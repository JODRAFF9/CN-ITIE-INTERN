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Bmd\Documents\ISE\Cours\ISE3\Stage ITIE\Analyse miroir\"/>
    </mc:Choice>
  </mc:AlternateContent>
  <xr:revisionPtr revIDLastSave="0" documentId="13_ncr:1_{3F0E7223-77AE-40FC-9A7A-97CAA7860A0C}" xr6:coauthVersionLast="47" xr6:coauthVersionMax="47" xr10:uidLastSave="{00000000-0000-0000-0000-000000000000}"/>
  <bookViews>
    <workbookView xWindow="-110" yWindow="-110" windowWidth="19420" windowHeight="10300" firstSheet="2" activeTab="2" xr2:uid="{00000000-000D-0000-FFFF-FFFF00000000}"/>
  </bookViews>
  <sheets>
    <sheet name="Feuil1" sheetId="3" r:id="rId1"/>
    <sheet name="Sheet1" sheetId="1" r:id="rId2"/>
    <sheet name="Sheet2" sheetId="2" r:id="rId3"/>
  </sheets>
  <calcPr calcId="0"/>
  <pivotCaches>
    <pivotCache cacheId="6" r:id="rId4"/>
  </pivotCaches>
</workbook>
</file>

<file path=xl/sharedStrings.xml><?xml version="1.0" encoding="utf-8"?>
<sst xmlns="http://schemas.openxmlformats.org/spreadsheetml/2006/main" count="1301" uniqueCount="105">
  <si>
    <t>typeCode</t>
  </si>
  <si>
    <t>freqCode</t>
  </si>
  <si>
    <t>refPeriodId</t>
  </si>
  <si>
    <t>refYear</t>
  </si>
  <si>
    <t>refMonth</t>
  </si>
  <si>
    <t>period</t>
  </si>
  <si>
    <t>reporterCode</t>
  </si>
  <si>
    <t>reporterISO</t>
  </si>
  <si>
    <t>reporterDesc</t>
  </si>
  <si>
    <t>flowCode</t>
  </si>
  <si>
    <t>flowDesc</t>
  </si>
  <si>
    <t>partnerCode</t>
  </si>
  <si>
    <t>partnerISO</t>
  </si>
  <si>
    <t>partnerDesc</t>
  </si>
  <si>
    <t>partner2Code</t>
  </si>
  <si>
    <t>partner2ISO</t>
  </si>
  <si>
    <t>partner2Desc</t>
  </si>
  <si>
    <t>classificationCode</t>
  </si>
  <si>
    <t>classificationSearchCode</t>
  </si>
  <si>
    <t>isOriginalClassification</t>
  </si>
  <si>
    <t>cmdCode</t>
  </si>
  <si>
    <t>cmdDesc</t>
  </si>
  <si>
    <t>aggrLevel</t>
  </si>
  <si>
    <t>isLeaf</t>
  </si>
  <si>
    <t>customsCode</t>
  </si>
  <si>
    <t>customsDesc</t>
  </si>
  <si>
    <t>mosCode</t>
  </si>
  <si>
    <t>motCode</t>
  </si>
  <si>
    <t>motDesc</t>
  </si>
  <si>
    <t>qtyUnitCode</t>
  </si>
  <si>
    <t>qtyUnitAbbr</t>
  </si>
  <si>
    <t>qty</t>
  </si>
  <si>
    <t>isQtyEstimated</t>
  </si>
  <si>
    <t>altQtyUnitCode</t>
  </si>
  <si>
    <t>altQtyUnitAbbr</t>
  </si>
  <si>
    <t>altQty</t>
  </si>
  <si>
    <t>isAltQtyEstimated</t>
  </si>
  <si>
    <t>netWgt</t>
  </si>
  <si>
    <t>isNetWgtEstimated</t>
  </si>
  <si>
    <t>grossWgt</t>
  </si>
  <si>
    <t>isGrossWgtEstimated</t>
  </si>
  <si>
    <t>cifvalue</t>
  </si>
  <si>
    <t>fobvalue</t>
  </si>
  <si>
    <t>primaryValue</t>
  </si>
  <si>
    <t>legacyEstimationFlag</t>
  </si>
  <si>
    <t>isReported</t>
  </si>
  <si>
    <t>isAggregate</t>
  </si>
  <si>
    <t>C</t>
  </si>
  <si>
    <t>A</t>
  </si>
  <si>
    <t>2014</t>
  </si>
  <si>
    <t>ITA</t>
  </si>
  <si>
    <t>Italy</t>
  </si>
  <si>
    <t>M</t>
  </si>
  <si>
    <t>Import</t>
  </si>
  <si>
    <t>SEN</t>
  </si>
  <si>
    <t>Senegal</t>
  </si>
  <si>
    <t>W00</t>
  </si>
  <si>
    <t>World</t>
  </si>
  <si>
    <t>H4</t>
  </si>
  <si>
    <t>HS</t>
  </si>
  <si>
    <t>710812</t>
  </si>
  <si>
    <t>Metals; gold, non-monetary, unwrought (but not powder)</t>
  </si>
  <si>
    <t>C00</t>
  </si>
  <si>
    <t>TOTAL CPC</t>
  </si>
  <si>
    <t>0</t>
  </si>
  <si>
    <t>TOTAL MOT</t>
  </si>
  <si>
    <t>kg</t>
  </si>
  <si>
    <t>N/A</t>
  </si>
  <si>
    <t>CHE</t>
  </si>
  <si>
    <t>Switzerland</t>
  </si>
  <si>
    <t>ARE</t>
  </si>
  <si>
    <t>United Arab Emirates</t>
  </si>
  <si>
    <t xml:space="preserve">0 </t>
  </si>
  <si>
    <t>2015</t>
  </si>
  <si>
    <t>g</t>
  </si>
  <si>
    <t>2016</t>
  </si>
  <si>
    <t>TUR</t>
  </si>
  <si>
    <t>Türkiye</t>
  </si>
  <si>
    <t>2017</t>
  </si>
  <si>
    <t>H5</t>
  </si>
  <si>
    <t>2018</t>
  </si>
  <si>
    <t>JPN</t>
  </si>
  <si>
    <t>Japan</t>
  </si>
  <si>
    <t>USA</t>
  </si>
  <si>
    <t>2019</t>
  </si>
  <si>
    <t>NPL</t>
  </si>
  <si>
    <t>Nepal</t>
  </si>
  <si>
    <t>2020</t>
  </si>
  <si>
    <t>AUS</t>
  </si>
  <si>
    <t>Australia</t>
  </si>
  <si>
    <t>2021</t>
  </si>
  <si>
    <t>2022</t>
  </si>
  <si>
    <t>H6</t>
  </si>
  <si>
    <t>2023</t>
  </si>
  <si>
    <t>MLI</t>
  </si>
  <si>
    <t>Mali</t>
  </si>
  <si>
    <t>2024</t>
  </si>
  <si>
    <t>CHN</t>
  </si>
  <si>
    <t>China</t>
  </si>
  <si>
    <t>THA</t>
  </si>
  <si>
    <t>Thailand</t>
  </si>
  <si>
    <t>2025</t>
  </si>
  <si>
    <t>Étiquettes de lignes</t>
  </si>
  <si>
    <t>Somme de qty</t>
  </si>
  <si>
    <t>Total général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</si>
</sst>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md" refreshedDate="46161.74062650463" createdVersion="8" refreshedVersion="8" minRefreshableVersion="3" recordCount="54" xr:uid="{0AEFB035-072D-4611-ABA2-8C75CFA92EBA}">
  <cacheSource type="worksheet">
    <worksheetSource ref="A1:AU55" sheet="Sheet1"/>
  </cacheSource>
  <cacheFields count="47">
    <cacheField name="typeCode" numFmtId="0">
      <sharedItems/>
    </cacheField>
    <cacheField name="freqCode" numFmtId="0">
      <sharedItems/>
    </cacheField>
    <cacheField name="refPeriodId" numFmtId="0">
      <sharedItems containsSemiMixedTypes="0" containsString="0" containsNumber="1" containsInteger="1" minValue="20140101" maxValue="20250101"/>
    </cacheField>
    <cacheField name="refYear" numFmtId="0">
      <sharedItems containsSemiMixedTypes="0" containsString="0" containsNumber="1" containsInteger="1" minValue="2014" maxValue="2025" count="12">
        <n v="2014"/>
        <n v="2015"/>
        <n v="2016"/>
        <n v="2017"/>
        <n v="2018"/>
        <n v="2019"/>
        <n v="2020"/>
        <n v="2021"/>
        <n v="2022"/>
        <n v="2023"/>
        <n v="2024"/>
        <n v="2025"/>
      </sharedItems>
    </cacheField>
    <cacheField name="refMonth" numFmtId="0">
      <sharedItems containsSemiMixedTypes="0" containsString="0" containsNumber="1" containsInteger="1" minValue="52" maxValue="52"/>
    </cacheField>
    <cacheField name="period" numFmtId="0">
      <sharedItems/>
    </cacheField>
    <cacheField name="reporterCode" numFmtId="0">
      <sharedItems containsSemiMixedTypes="0" containsString="0" containsNumber="1" containsInteger="1" minValue="36" maxValue="842"/>
    </cacheField>
    <cacheField name="reporterISO" numFmtId="0">
      <sharedItems/>
    </cacheField>
    <cacheField name="reporterDesc" numFmtId="0">
      <sharedItems/>
    </cacheField>
    <cacheField name="flowCode" numFmtId="0">
      <sharedItems/>
    </cacheField>
    <cacheField name="flowDesc" numFmtId="0">
      <sharedItems/>
    </cacheField>
    <cacheField name="partnerCode" numFmtId="0">
      <sharedItems containsSemiMixedTypes="0" containsString="0" containsNumber="1" containsInteger="1" minValue="686" maxValue="686"/>
    </cacheField>
    <cacheField name="partnerISO" numFmtId="0">
      <sharedItems/>
    </cacheField>
    <cacheField name="partnerDesc" numFmtId="0">
      <sharedItems/>
    </cacheField>
    <cacheField name="partner2Code" numFmtId="0">
      <sharedItems containsSemiMixedTypes="0" containsString="0" containsNumber="1" containsInteger="1" minValue="0" maxValue="0"/>
    </cacheField>
    <cacheField name="partner2ISO" numFmtId="0">
      <sharedItems/>
    </cacheField>
    <cacheField name="partner2Desc" numFmtId="0">
      <sharedItems/>
    </cacheField>
    <cacheField name="classificationCode" numFmtId="0">
      <sharedItems/>
    </cacheField>
    <cacheField name="classificationSearchCode" numFmtId="0">
      <sharedItems/>
    </cacheField>
    <cacheField name="isOriginalClassification" numFmtId="0">
      <sharedItems/>
    </cacheField>
    <cacheField name="cmdCode" numFmtId="0">
      <sharedItems/>
    </cacheField>
    <cacheField name="cmdDesc" numFmtId="0">
      <sharedItems/>
    </cacheField>
    <cacheField name="aggrLevel" numFmtId="0">
      <sharedItems containsSemiMixedTypes="0" containsString="0" containsNumber="1" containsInteger="1" minValue="6" maxValue="6"/>
    </cacheField>
    <cacheField name="isLeaf" numFmtId="0">
      <sharedItems/>
    </cacheField>
    <cacheField name="customsCode" numFmtId="0">
      <sharedItems/>
    </cacheField>
    <cacheField name="customsDesc" numFmtId="0">
      <sharedItems/>
    </cacheField>
    <cacheField name="mosCode" numFmtId="0">
      <sharedItems/>
    </cacheField>
    <cacheField name="motCode" numFmtId="0">
      <sharedItems containsSemiMixedTypes="0" containsString="0" containsNumber="1" containsInteger="1" minValue="0" maxValue="0"/>
    </cacheField>
    <cacheField name="motDesc" numFmtId="0">
      <sharedItems/>
    </cacheField>
    <cacheField name="qtyUnitCode" numFmtId="0">
      <sharedItems containsSemiMixedTypes="0" containsString="0" containsNumber="1" containsInteger="1" minValue="8" maxValue="8"/>
    </cacheField>
    <cacheField name="qtyUnitAbbr" numFmtId="0">
      <sharedItems/>
    </cacheField>
    <cacheField name="qty" numFmtId="0">
      <sharedItems containsSemiMixedTypes="0" containsString="0" containsNumber="1" minValue="1.0999999999999999E-2" maxValue="14569" count="54">
        <n v="51"/>
        <n v="7789"/>
        <n v="5235.57"/>
        <n v="66"/>
        <n v="6374"/>
        <n v="4658.66"/>
        <n v="105"/>
        <n v="7294"/>
        <n v="5394.42"/>
        <n v="8.0519999999999996"/>
        <n v="129.637"/>
        <n v="7443"/>
        <n v="5412"/>
        <n v="6.1310000000000002"/>
        <n v="176.50299999999999"/>
        <n v="3.4980000000000002"/>
        <n v="13436"/>
        <n v="4819.79"/>
        <n v="15.64"/>
        <n v="20.033999999999999"/>
        <n v="149.702"/>
        <n v="1.0999999999999999E-2"/>
        <n v="14569"/>
        <n v="4159.21"/>
        <n v="43.218000000000004"/>
        <n v="3634.4569999999999"/>
        <n v="71.575999999999993"/>
        <n v="9512"/>
        <n v="2118.87"/>
        <n v="42.487000000000002"/>
        <n v="3884.3809999999999"/>
        <n v="27.384"/>
        <n v="13581"/>
        <n v="2625.7"/>
        <n v="7.45"/>
        <n v="3171.53"/>
        <n v="32.393999999999998"/>
        <n v="12081"/>
        <n v="3215.52"/>
        <n v="3797.2040000000002"/>
        <n v="28.239000000000001"/>
        <n v="6.6109999999999998"/>
        <n v="10566"/>
        <n v="4014.64"/>
        <n v="34.648000000000003"/>
        <n v="3042.6289999999999"/>
        <n v="10.012"/>
        <n v="10.696999999999999"/>
        <n v="8103"/>
        <n v="20"/>
        <n v="1.9990000000000001"/>
        <n v="3556.0329999999999"/>
        <n v="769.14499999999998"/>
        <n v="10856"/>
      </sharedItems>
    </cacheField>
    <cacheField name="isQtyEstimated" numFmtId="0">
      <sharedItems/>
    </cacheField>
    <cacheField name="altQtyUnitCode" numFmtId="0">
      <sharedItems containsSemiMixedTypes="0" containsString="0" containsNumber="1" containsInteger="1" minValue="-1" maxValue="15"/>
    </cacheField>
    <cacheField name="altQtyUnitAbbr" numFmtId="0">
      <sharedItems/>
    </cacheField>
    <cacheField name="altQty" numFmtId="0">
      <sharedItems containsString="0" containsBlank="1" containsNumber="1" minValue="0" maxValue="769145"/>
    </cacheField>
    <cacheField name="isAltQtyEstimated" numFmtId="0">
      <sharedItems/>
    </cacheField>
    <cacheField name="netWgt" numFmtId="0">
      <sharedItems containsString="0" containsBlank="1" containsNumber="1" minValue="1.0999999999999999E-2" maxValue="14569"/>
    </cacheField>
    <cacheField name="isNetWgtEstimated" numFmtId="0">
      <sharedItems/>
    </cacheField>
    <cacheField name="grossWgt" numFmtId="0">
      <sharedItems containsString="0" containsBlank="1" containsNumber="1" minValue="0" maxValue="4600.33"/>
    </cacheField>
    <cacheField name="isGrossWgtEstimated" numFmtId="0">
      <sharedItems/>
    </cacheField>
    <cacheField name="cifvalue" numFmtId="0">
      <sharedItems containsSemiMixedTypes="0" containsString="0" containsNumber="1" minValue="446.18" maxValue="1121151364.724"/>
    </cacheField>
    <cacheField name="fobvalue" numFmtId="0">
      <sharedItems containsString="0" containsBlank="1" containsNumber="1" minValue="0" maxValue="328821987.85399997"/>
    </cacheField>
    <cacheField name="primaryValue" numFmtId="0">
      <sharedItems containsSemiMixedTypes="0" containsString="0" containsNumber="1" minValue="446.18" maxValue="1121151364.724"/>
    </cacheField>
    <cacheField name="legacyEstimationFlag" numFmtId="0">
      <sharedItems containsSemiMixedTypes="0" containsString="0" containsNumber="1" containsInteger="1" minValue="0" maxValue="6"/>
    </cacheField>
    <cacheField name="isReported" numFmtId="0">
      <sharedItems/>
    </cacheField>
    <cacheField name="isAggrega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s v="C"/>
    <s v="A"/>
    <n v="20140101"/>
    <x v="0"/>
    <n v="52"/>
    <s v="2014"/>
    <n v="380"/>
    <s v="ITA"/>
    <s v="Italy"/>
    <s v="M"/>
    <s v="Import"/>
    <n v="686"/>
    <s v="SEN"/>
    <s v="Senegal"/>
    <n v="0"/>
    <s v="W00"/>
    <s v="World"/>
    <s v="H4"/>
    <s v="HS"/>
    <b v="1"/>
    <s v="710812"/>
    <s v="Metals; gold, non-monetary, unwrought (but not powder)"/>
    <n v="6"/>
    <b v="1"/>
    <s v="C00"/>
    <s v="TOTAL CPC"/>
    <s v="0"/>
    <n v="0"/>
    <s v="TOTAL MOT"/>
    <n v="8"/>
    <s v="kg"/>
    <x v="0"/>
    <b v="0"/>
    <n v="-1"/>
    <s v="N/A"/>
    <m/>
    <b v="1"/>
    <n v="51"/>
    <b v="0"/>
    <m/>
    <b v="0"/>
    <n v="1496395"/>
    <m/>
    <n v="1496395"/>
    <n v="0"/>
    <b v="0"/>
    <b v="0"/>
  </r>
  <r>
    <s v="C"/>
    <s v="A"/>
    <n v="20140101"/>
    <x v="0"/>
    <n v="52"/>
    <s v="2014"/>
    <n v="757"/>
    <s v="CHE"/>
    <s v="Switzerland"/>
    <s v="M"/>
    <s v="Import"/>
    <n v="686"/>
    <s v="SEN"/>
    <s v="Senegal"/>
    <n v="0"/>
    <s v="W00"/>
    <s v="World"/>
    <s v="H4"/>
    <s v="HS"/>
    <b v="1"/>
    <s v="710812"/>
    <s v="Metals; gold, non-monetary, unwrought (but not powder)"/>
    <n v="6"/>
    <b v="1"/>
    <s v="C00"/>
    <s v="TOTAL CPC"/>
    <s v="0"/>
    <n v="0"/>
    <s v="TOTAL MOT"/>
    <n v="8"/>
    <s v="kg"/>
    <x v="1"/>
    <b v="0"/>
    <n v="8"/>
    <s v="kg"/>
    <n v="7789"/>
    <b v="0"/>
    <n v="7789"/>
    <b v="0"/>
    <n v="0"/>
    <b v="0"/>
    <n v="271006543.37199998"/>
    <n v="0"/>
    <n v="271006543.37199998"/>
    <n v="0"/>
    <b v="0"/>
    <b v="1"/>
  </r>
  <r>
    <s v="C"/>
    <s v="A"/>
    <n v="20140101"/>
    <x v="0"/>
    <n v="52"/>
    <s v="2014"/>
    <n v="784"/>
    <s v="ARE"/>
    <s v="United Arab Emirates"/>
    <s v="M"/>
    <s v="Import"/>
    <n v="686"/>
    <s v="SEN"/>
    <s v="Senegal"/>
    <n v="0"/>
    <s v="W00"/>
    <s v="World"/>
    <s v="H4"/>
    <s v="HS"/>
    <b v="1"/>
    <s v="710812"/>
    <s v="Metals; gold, non-monetary, unwrought (but not powder)"/>
    <n v="6"/>
    <b v="1"/>
    <s v="C00"/>
    <s v="TOTAL CPC"/>
    <s v="0 "/>
    <n v="0"/>
    <s v="TOTAL MOT"/>
    <n v="8"/>
    <s v="kg"/>
    <x v="2"/>
    <b v="0"/>
    <n v="8"/>
    <s v="kg"/>
    <n v="5235.57"/>
    <b v="0"/>
    <n v="5235.57"/>
    <b v="0"/>
    <m/>
    <b v="0"/>
    <n v="153775097.31200001"/>
    <m/>
    <n v="153775097.31200001"/>
    <n v="0"/>
    <b v="1"/>
    <b v="0"/>
  </r>
  <r>
    <s v="C"/>
    <s v="A"/>
    <n v="20150101"/>
    <x v="1"/>
    <n v="52"/>
    <s v="2015"/>
    <n v="380"/>
    <s v="ITA"/>
    <s v="Italy"/>
    <s v="M"/>
    <s v="Import"/>
    <n v="686"/>
    <s v="SEN"/>
    <s v="Senegal"/>
    <n v="0"/>
    <s v="W00"/>
    <s v="World"/>
    <s v="H4"/>
    <s v="HS"/>
    <b v="1"/>
    <s v="710812"/>
    <s v="Metals; gold, non-monetary, unwrought (but not powder)"/>
    <n v="6"/>
    <b v="1"/>
    <s v="C00"/>
    <s v="TOTAL CPC"/>
    <s v="0 "/>
    <n v="0"/>
    <s v="TOTAL MOT"/>
    <n v="8"/>
    <s v="kg"/>
    <x v="3"/>
    <b v="0"/>
    <n v="15"/>
    <s v="g"/>
    <n v="66945"/>
    <b v="0"/>
    <n v="66"/>
    <b v="0"/>
    <m/>
    <b v="0"/>
    <n v="2027375.871"/>
    <m/>
    <n v="2027375.871"/>
    <n v="0"/>
    <b v="1"/>
    <b v="0"/>
  </r>
  <r>
    <s v="C"/>
    <s v="A"/>
    <n v="20150101"/>
    <x v="1"/>
    <n v="52"/>
    <s v="2015"/>
    <n v="757"/>
    <s v="CHE"/>
    <s v="Switzerland"/>
    <s v="M"/>
    <s v="Import"/>
    <n v="686"/>
    <s v="SEN"/>
    <s v="Senegal"/>
    <n v="0"/>
    <s v="W00"/>
    <s v="World"/>
    <s v="H4"/>
    <s v="HS"/>
    <b v="1"/>
    <s v="710812"/>
    <s v="Metals; gold, non-monetary, unwrought (but not powder)"/>
    <n v="6"/>
    <b v="1"/>
    <s v="C00"/>
    <s v="TOTAL CPC"/>
    <s v="0"/>
    <n v="0"/>
    <s v="TOTAL MOT"/>
    <n v="8"/>
    <s v="kg"/>
    <x v="4"/>
    <b v="0"/>
    <n v="8"/>
    <s v="kg"/>
    <n v="6374"/>
    <b v="0"/>
    <n v="6374"/>
    <b v="0"/>
    <n v="0"/>
    <b v="0"/>
    <n v="219145334.37099999"/>
    <n v="0"/>
    <n v="219145334.37099999"/>
    <n v="0"/>
    <b v="0"/>
    <b v="1"/>
  </r>
  <r>
    <s v="C"/>
    <s v="A"/>
    <n v="20150101"/>
    <x v="1"/>
    <n v="52"/>
    <s v="2015"/>
    <n v="784"/>
    <s v="ARE"/>
    <s v="United Arab Emirates"/>
    <s v="M"/>
    <s v="Import"/>
    <n v="686"/>
    <s v="SEN"/>
    <s v="Senegal"/>
    <n v="0"/>
    <s v="W00"/>
    <s v="World"/>
    <s v="H4"/>
    <s v="HS"/>
    <b v="1"/>
    <s v="710812"/>
    <s v="Metals; gold, non-monetary, unwrought (but not powder)"/>
    <n v="6"/>
    <b v="1"/>
    <s v="C00"/>
    <s v="TOTAL CPC"/>
    <s v="0 "/>
    <n v="0"/>
    <s v="TOTAL MOT"/>
    <n v="8"/>
    <s v="kg"/>
    <x v="5"/>
    <b v="0"/>
    <n v="8"/>
    <s v="kg"/>
    <n v="4658.66"/>
    <b v="0"/>
    <n v="4658.66"/>
    <b v="0"/>
    <m/>
    <b v="0"/>
    <n v="123230254.083"/>
    <m/>
    <n v="123230254.083"/>
    <n v="0"/>
    <b v="1"/>
    <b v="0"/>
  </r>
  <r>
    <s v="C"/>
    <s v="A"/>
    <n v="20160101"/>
    <x v="2"/>
    <n v="52"/>
    <s v="2016"/>
    <n v="380"/>
    <s v="ITA"/>
    <s v="Italy"/>
    <s v="M"/>
    <s v="Import"/>
    <n v="686"/>
    <s v="SEN"/>
    <s v="Senegal"/>
    <n v="0"/>
    <s v="W00"/>
    <s v="World"/>
    <s v="H4"/>
    <s v="HS"/>
    <b v="1"/>
    <s v="710812"/>
    <s v="Metals; gold, non-monetary, unwrought (but not powder)"/>
    <n v="6"/>
    <b v="1"/>
    <s v="C00"/>
    <s v="TOTAL CPC"/>
    <s v="0 "/>
    <n v="0"/>
    <s v="TOTAL MOT"/>
    <n v="8"/>
    <s v="kg"/>
    <x v="6"/>
    <b v="0"/>
    <n v="15"/>
    <s v="g"/>
    <n v="100838"/>
    <b v="0"/>
    <n v="105"/>
    <b v="0"/>
    <m/>
    <b v="0"/>
    <n v="3655684.8059999999"/>
    <m/>
    <n v="3655684.8059999999"/>
    <n v="0"/>
    <b v="1"/>
    <b v="0"/>
  </r>
  <r>
    <s v="C"/>
    <s v="A"/>
    <n v="20160101"/>
    <x v="2"/>
    <n v="52"/>
    <s v="2016"/>
    <n v="757"/>
    <s v="CHE"/>
    <s v="Switzerland"/>
    <s v="M"/>
    <s v="Import"/>
    <n v="686"/>
    <s v="SEN"/>
    <s v="Senegal"/>
    <n v="0"/>
    <s v="W00"/>
    <s v="World"/>
    <s v="H4"/>
    <s v="HS"/>
    <b v="1"/>
    <s v="710812"/>
    <s v="Metals; gold, non-monetary, unwrought (but not powder)"/>
    <n v="6"/>
    <b v="1"/>
    <s v="C00"/>
    <s v="TOTAL CPC"/>
    <s v="0"/>
    <n v="0"/>
    <s v="TOTAL MOT"/>
    <n v="8"/>
    <s v="kg"/>
    <x v="7"/>
    <b v="0"/>
    <n v="8"/>
    <s v="kg"/>
    <n v="7294"/>
    <b v="0"/>
    <n v="7294"/>
    <b v="0"/>
    <n v="0"/>
    <b v="0"/>
    <n v="270646104.97600001"/>
    <n v="0"/>
    <n v="270646104.97600001"/>
    <n v="0"/>
    <b v="0"/>
    <b v="1"/>
  </r>
  <r>
    <s v="C"/>
    <s v="A"/>
    <n v="20160101"/>
    <x v="2"/>
    <n v="52"/>
    <s v="2016"/>
    <n v="784"/>
    <s v="ARE"/>
    <s v="United Arab Emirates"/>
    <s v="M"/>
    <s v="Import"/>
    <n v="686"/>
    <s v="SEN"/>
    <s v="Senegal"/>
    <n v="0"/>
    <s v="W00"/>
    <s v="World"/>
    <s v="H4"/>
    <s v="HS"/>
    <b v="1"/>
    <s v="710812"/>
    <s v="Metals; gold, non-monetary, unwrought (but not powder)"/>
    <n v="6"/>
    <b v="1"/>
    <s v="C00"/>
    <s v="TOTAL CPC"/>
    <s v="0 "/>
    <n v="0"/>
    <s v="TOTAL MOT"/>
    <n v="8"/>
    <s v="kg"/>
    <x v="8"/>
    <b v="0"/>
    <n v="8"/>
    <s v="kg"/>
    <n v="5394.42"/>
    <b v="0"/>
    <n v="5394.42"/>
    <b v="0"/>
    <m/>
    <b v="0"/>
    <n v="153104784.84400001"/>
    <m/>
    <n v="153104784.84400001"/>
    <n v="0"/>
    <b v="1"/>
    <b v="0"/>
  </r>
  <r>
    <s v="C"/>
    <s v="A"/>
    <n v="20160101"/>
    <x v="2"/>
    <n v="52"/>
    <s v="2016"/>
    <n v="792"/>
    <s v="TUR"/>
    <s v="Türkiye"/>
    <s v="M"/>
    <s v="Import"/>
    <n v="686"/>
    <s v="SEN"/>
    <s v="Senegal"/>
    <n v="0"/>
    <s v="W00"/>
    <s v="World"/>
    <s v="H4"/>
    <s v="HS"/>
    <b v="1"/>
    <s v="710812"/>
    <s v="Metals; gold, non-monetary, unwrought (but not powder)"/>
    <n v="6"/>
    <b v="1"/>
    <s v="C00"/>
    <s v="TOTAL CPC"/>
    <s v="0"/>
    <n v="0"/>
    <s v="TOTAL MOT"/>
    <n v="8"/>
    <s v="kg"/>
    <x v="9"/>
    <b v="0"/>
    <n v="15"/>
    <s v="g"/>
    <n v="8052"/>
    <b v="0"/>
    <n v="8"/>
    <b v="0"/>
    <n v="0"/>
    <b v="0"/>
    <n v="318362"/>
    <n v="281738"/>
    <n v="318362"/>
    <n v="0"/>
    <b v="0"/>
    <b v="1"/>
  </r>
  <r>
    <s v="C"/>
    <s v="A"/>
    <n v="20170101"/>
    <x v="3"/>
    <n v="52"/>
    <s v="2017"/>
    <n v="380"/>
    <s v="ITA"/>
    <s v="Italy"/>
    <s v="M"/>
    <s v="Import"/>
    <n v="686"/>
    <s v="SEN"/>
    <s v="Senegal"/>
    <n v="0"/>
    <s v="W00"/>
    <s v="World"/>
    <s v="H5"/>
    <s v="HS"/>
    <b v="1"/>
    <s v="710812"/>
    <s v="Metals; gold, non-monetary, unwrought (but not powder)"/>
    <n v="6"/>
    <b v="1"/>
    <s v="C00"/>
    <s v="TOTAL CPC"/>
    <s v="0"/>
    <n v="0"/>
    <s v="TOTAL MOT"/>
    <n v="8"/>
    <s v="kg"/>
    <x v="10"/>
    <b v="0"/>
    <n v="15"/>
    <s v="g"/>
    <n v="129637"/>
    <b v="0"/>
    <n v="133"/>
    <b v="0"/>
    <n v="0"/>
    <b v="0"/>
    <n v="4391259.8329999996"/>
    <m/>
    <n v="4391259.8329999996"/>
    <n v="0"/>
    <b v="1"/>
    <b v="0"/>
  </r>
  <r>
    <s v="C"/>
    <s v="A"/>
    <n v="20170101"/>
    <x v="3"/>
    <n v="52"/>
    <s v="2017"/>
    <n v="757"/>
    <s v="CHE"/>
    <s v="Switzerland"/>
    <s v="M"/>
    <s v="Import"/>
    <n v="686"/>
    <s v="SEN"/>
    <s v="Senegal"/>
    <n v="0"/>
    <s v="W00"/>
    <s v="World"/>
    <s v="H5"/>
    <s v="HS"/>
    <b v="1"/>
    <s v="710812"/>
    <s v="Metals; gold, non-monetary, unwrought (but not powder)"/>
    <n v="6"/>
    <b v="1"/>
    <s v="C00"/>
    <s v="TOTAL CPC"/>
    <s v="0"/>
    <n v="0"/>
    <s v="TOTAL MOT"/>
    <n v="8"/>
    <s v="kg"/>
    <x v="11"/>
    <b v="0"/>
    <n v="8"/>
    <s v="kg"/>
    <n v="7443"/>
    <b v="0"/>
    <n v="7443"/>
    <b v="0"/>
    <n v="0"/>
    <b v="0"/>
    <n v="277019288.92799997"/>
    <n v="0"/>
    <n v="277019288.92799997"/>
    <n v="0"/>
    <b v="0"/>
    <b v="1"/>
  </r>
  <r>
    <s v="C"/>
    <s v="A"/>
    <n v="20170101"/>
    <x v="3"/>
    <n v="52"/>
    <s v="2017"/>
    <n v="784"/>
    <s v="ARE"/>
    <s v="United Arab Emirates"/>
    <s v="M"/>
    <s v="Import"/>
    <n v="686"/>
    <s v="SEN"/>
    <s v="Senegal"/>
    <n v="0"/>
    <s v="W00"/>
    <s v="World"/>
    <s v="H4"/>
    <s v="HS"/>
    <b v="1"/>
    <s v="710812"/>
    <s v="Metals; gold, non-monetary, unwrought (but not powder)"/>
    <n v="6"/>
    <b v="1"/>
    <s v="C00"/>
    <s v="TOTAL CPC"/>
    <s v="0"/>
    <n v="0"/>
    <s v="TOTAL MOT"/>
    <n v="8"/>
    <s v="kg"/>
    <x v="12"/>
    <b v="0"/>
    <n v="8"/>
    <s v="kg"/>
    <n v="5412"/>
    <b v="0"/>
    <n v="5412"/>
    <b v="0"/>
    <n v="0"/>
    <b v="0"/>
    <n v="158206645.72099999"/>
    <n v="0"/>
    <n v="158206645.72099999"/>
    <n v="0"/>
    <b v="1"/>
    <b v="0"/>
  </r>
  <r>
    <s v="C"/>
    <s v="A"/>
    <n v="20170101"/>
    <x v="3"/>
    <n v="52"/>
    <s v="2017"/>
    <n v="792"/>
    <s v="TUR"/>
    <s v="Türkiye"/>
    <s v="M"/>
    <s v="Import"/>
    <n v="686"/>
    <s v="SEN"/>
    <s v="Senegal"/>
    <n v="0"/>
    <s v="W00"/>
    <s v="World"/>
    <s v="H5"/>
    <s v="HS"/>
    <b v="1"/>
    <s v="710812"/>
    <s v="Metals; gold, non-monetary, unwrought (but not powder)"/>
    <n v="6"/>
    <b v="1"/>
    <s v="C00"/>
    <s v="TOTAL CPC"/>
    <s v="0"/>
    <n v="0"/>
    <s v="TOTAL MOT"/>
    <n v="8"/>
    <s v="kg"/>
    <x v="13"/>
    <b v="0"/>
    <n v="15"/>
    <s v="g"/>
    <n v="6131"/>
    <b v="0"/>
    <n v="7"/>
    <b v="0"/>
    <n v="0"/>
    <b v="0"/>
    <n v="235899"/>
    <n v="208808"/>
    <n v="235899"/>
    <n v="0"/>
    <b v="0"/>
    <b v="1"/>
  </r>
  <r>
    <s v="C"/>
    <s v="A"/>
    <n v="20180101"/>
    <x v="4"/>
    <n v="52"/>
    <s v="2018"/>
    <n v="380"/>
    <s v="ITA"/>
    <s v="Italy"/>
    <s v="M"/>
    <s v="Import"/>
    <n v="686"/>
    <s v="SEN"/>
    <s v="Senegal"/>
    <n v="0"/>
    <s v="W00"/>
    <s v="World"/>
    <s v="H5"/>
    <s v="HS"/>
    <b v="1"/>
    <s v="710812"/>
    <s v="Metals; gold, non-monetary, unwrought (but not powder)"/>
    <n v="6"/>
    <b v="1"/>
    <s v="C00"/>
    <s v="TOTAL CPC"/>
    <s v="0"/>
    <n v="0"/>
    <s v="TOTAL MOT"/>
    <n v="8"/>
    <s v="kg"/>
    <x v="14"/>
    <b v="0"/>
    <n v="15"/>
    <s v="g"/>
    <n v="176503"/>
    <b v="0"/>
    <n v="178"/>
    <b v="0"/>
    <n v="0"/>
    <b v="0"/>
    <n v="5724894.1720000003"/>
    <m/>
    <n v="5724894.1720000003"/>
    <n v="0"/>
    <b v="1"/>
    <b v="0"/>
  </r>
  <r>
    <s v="C"/>
    <s v="A"/>
    <n v="20180101"/>
    <x v="4"/>
    <n v="52"/>
    <s v="2018"/>
    <n v="392"/>
    <s v="JPN"/>
    <s v="Japan"/>
    <s v="M"/>
    <s v="Import"/>
    <n v="686"/>
    <s v="SEN"/>
    <s v="Senegal"/>
    <n v="0"/>
    <s v="W00"/>
    <s v="World"/>
    <s v="H5"/>
    <s v="HS"/>
    <b v="1"/>
    <s v="710812"/>
    <s v="Metals; gold, non-monetary, unwrought (but not powder)"/>
    <n v="6"/>
    <b v="1"/>
    <s v="C00"/>
    <s v="TOTAL CPC"/>
    <s v="0"/>
    <n v="0"/>
    <s v="TOTAL MOT"/>
    <n v="8"/>
    <s v="kg"/>
    <x v="15"/>
    <b v="0"/>
    <n v="15"/>
    <s v="g"/>
    <n v="3498"/>
    <b v="0"/>
    <n v="3.4980000000000002"/>
    <b v="0"/>
    <n v="0"/>
    <b v="0"/>
    <n v="123289.04399999999"/>
    <n v="0"/>
    <n v="123289.04399999999"/>
    <n v="0"/>
    <b v="1"/>
    <b v="0"/>
  </r>
  <r>
    <s v="C"/>
    <s v="A"/>
    <n v="20180101"/>
    <x v="4"/>
    <n v="52"/>
    <s v="2018"/>
    <n v="757"/>
    <s v="CHE"/>
    <s v="Switzerland"/>
    <s v="M"/>
    <s v="Import"/>
    <n v="686"/>
    <s v="SEN"/>
    <s v="Senegal"/>
    <n v="0"/>
    <s v="W00"/>
    <s v="World"/>
    <s v="H5"/>
    <s v="HS"/>
    <b v="1"/>
    <s v="710812"/>
    <s v="Metals; gold, non-monetary, unwrought (but not powder)"/>
    <n v="6"/>
    <b v="1"/>
    <s v="C00"/>
    <s v="TOTAL CPC"/>
    <s v="0"/>
    <n v="0"/>
    <s v="TOTAL MOT"/>
    <n v="8"/>
    <s v="kg"/>
    <x v="16"/>
    <b v="0"/>
    <n v="8"/>
    <s v="kg"/>
    <n v="13436"/>
    <b v="0"/>
    <n v="13436"/>
    <b v="0"/>
    <n v="0"/>
    <b v="0"/>
    <n v="500809858.685"/>
    <n v="0"/>
    <n v="500809858.685"/>
    <n v="0"/>
    <b v="0"/>
    <b v="1"/>
  </r>
  <r>
    <s v="C"/>
    <s v="A"/>
    <n v="20180101"/>
    <x v="4"/>
    <n v="52"/>
    <s v="2018"/>
    <n v="784"/>
    <s v="ARE"/>
    <s v="United Arab Emirates"/>
    <s v="M"/>
    <s v="Import"/>
    <n v="686"/>
    <s v="SEN"/>
    <s v="Senegal"/>
    <n v="0"/>
    <s v="W00"/>
    <s v="World"/>
    <s v="H5"/>
    <s v="HS"/>
    <b v="1"/>
    <s v="710812"/>
    <s v="Metals; gold, non-monetary, unwrought (but not powder)"/>
    <n v="6"/>
    <b v="1"/>
    <s v="C00"/>
    <s v="TOTAL CPC"/>
    <s v="0"/>
    <n v="0"/>
    <s v="TOTAL MOT"/>
    <n v="8"/>
    <s v="kg"/>
    <x v="17"/>
    <b v="0"/>
    <n v="8"/>
    <s v="kg"/>
    <n v="4819.79"/>
    <b v="0"/>
    <n v="4819.79"/>
    <b v="0"/>
    <n v="0"/>
    <b v="0"/>
    <n v="167269387.57699999"/>
    <n v="0"/>
    <n v="167269387.57699999"/>
    <n v="0"/>
    <b v="1"/>
    <b v="0"/>
  </r>
  <r>
    <s v="C"/>
    <s v="A"/>
    <n v="20180101"/>
    <x v="4"/>
    <n v="52"/>
    <s v="2018"/>
    <n v="792"/>
    <s v="TUR"/>
    <s v="Türkiye"/>
    <s v="M"/>
    <s v="Import"/>
    <n v="686"/>
    <s v="SEN"/>
    <s v="Senegal"/>
    <n v="0"/>
    <s v="W00"/>
    <s v="World"/>
    <s v="H5"/>
    <s v="HS"/>
    <b v="1"/>
    <s v="710812"/>
    <s v="Metals; gold, non-monetary, unwrought (but not powder)"/>
    <n v="6"/>
    <b v="1"/>
    <s v="C00"/>
    <s v="TOTAL CPC"/>
    <s v="0"/>
    <n v="0"/>
    <s v="TOTAL MOT"/>
    <n v="8"/>
    <s v="kg"/>
    <x v="18"/>
    <b v="0"/>
    <n v="15"/>
    <s v="g"/>
    <n v="15640"/>
    <b v="0"/>
    <n v="16"/>
    <b v="0"/>
    <n v="0"/>
    <b v="0"/>
    <n v="541291"/>
    <n v="522902"/>
    <n v="541291"/>
    <n v="0"/>
    <b v="0"/>
    <b v="1"/>
  </r>
  <r>
    <s v="C"/>
    <s v="A"/>
    <n v="20180101"/>
    <x v="4"/>
    <n v="52"/>
    <s v="2018"/>
    <n v="842"/>
    <s v="USA"/>
    <s v="USA"/>
    <s v="M"/>
    <s v="Import"/>
    <n v="686"/>
    <s v="SEN"/>
    <s v="Senegal"/>
    <n v="0"/>
    <s v="W00"/>
    <s v="World"/>
    <s v="H5"/>
    <s v="HS"/>
    <b v="1"/>
    <s v="710812"/>
    <s v="Metals; gold, non-monetary, unwrought (but not powder)"/>
    <n v="6"/>
    <b v="1"/>
    <s v="C00"/>
    <s v="TOTAL CPC"/>
    <s v="0"/>
    <n v="0"/>
    <s v="TOTAL MOT"/>
    <n v="8"/>
    <s v="kg"/>
    <x v="19"/>
    <b v="0"/>
    <n v="-1"/>
    <s v="N/A"/>
    <n v="0"/>
    <b v="0"/>
    <n v="20.033999999999999"/>
    <b v="0"/>
    <n v="0"/>
    <b v="0"/>
    <n v="801860"/>
    <n v="0"/>
    <n v="801860"/>
    <n v="0"/>
    <b v="1"/>
    <b v="0"/>
  </r>
  <r>
    <s v="C"/>
    <s v="A"/>
    <n v="20190101"/>
    <x v="5"/>
    <n v="52"/>
    <s v="2019"/>
    <n v="380"/>
    <s v="ITA"/>
    <s v="Italy"/>
    <s v="M"/>
    <s v="Import"/>
    <n v="686"/>
    <s v="SEN"/>
    <s v="Senegal"/>
    <n v="0"/>
    <s v="W00"/>
    <s v="World"/>
    <s v="H5"/>
    <s v="HS"/>
    <b v="1"/>
    <s v="710812"/>
    <s v="Metals; gold, non-monetary, unwrought (but not powder)"/>
    <n v="6"/>
    <b v="1"/>
    <s v="C00"/>
    <s v="TOTAL CPC"/>
    <s v="0"/>
    <n v="0"/>
    <s v="TOTAL MOT"/>
    <n v="8"/>
    <s v="kg"/>
    <x v="20"/>
    <b v="0"/>
    <n v="15"/>
    <s v="g"/>
    <n v="149702"/>
    <b v="0"/>
    <n v="152"/>
    <b v="0"/>
    <n v="0"/>
    <b v="0"/>
    <n v="5376391.4160000002"/>
    <m/>
    <n v="5376391.4160000002"/>
    <n v="0"/>
    <b v="1"/>
    <b v="0"/>
  </r>
  <r>
    <s v="C"/>
    <s v="A"/>
    <n v="20190101"/>
    <x v="5"/>
    <n v="52"/>
    <s v="2019"/>
    <n v="524"/>
    <s v="NPL"/>
    <s v="Nepal"/>
    <s v="M"/>
    <s v="Import"/>
    <n v="686"/>
    <s v="SEN"/>
    <s v="Senegal"/>
    <n v="0"/>
    <s v="W00"/>
    <s v="World"/>
    <s v="H5"/>
    <s v="HS"/>
    <b v="1"/>
    <s v="710812"/>
    <s v="Metals; gold, non-monetary, unwrought (but not powder)"/>
    <n v="6"/>
    <b v="1"/>
    <s v="C00"/>
    <s v="TOTAL CPC"/>
    <s v="0"/>
    <n v="0"/>
    <s v="TOTAL MOT"/>
    <n v="8"/>
    <s v="kg"/>
    <x v="21"/>
    <b v="1"/>
    <n v="8"/>
    <s v="kg"/>
    <n v="0"/>
    <b v="0"/>
    <n v="1.0999999999999999E-2"/>
    <b v="1"/>
    <n v="0"/>
    <b v="0"/>
    <n v="446.18"/>
    <n v="0"/>
    <n v="446.18"/>
    <n v="6"/>
    <b v="1"/>
    <b v="0"/>
  </r>
  <r>
    <s v="C"/>
    <s v="A"/>
    <n v="20190101"/>
    <x v="5"/>
    <n v="52"/>
    <s v="2019"/>
    <n v="757"/>
    <s v="CHE"/>
    <s v="Switzerland"/>
    <s v="M"/>
    <s v="Import"/>
    <n v="686"/>
    <s v="SEN"/>
    <s v="Senegal"/>
    <n v="0"/>
    <s v="W00"/>
    <s v="World"/>
    <s v="H5"/>
    <s v="HS"/>
    <b v="1"/>
    <s v="710812"/>
    <s v="Metals; gold, non-monetary, unwrought (but not powder)"/>
    <n v="6"/>
    <b v="1"/>
    <s v="C00"/>
    <s v="TOTAL CPC"/>
    <s v="0"/>
    <n v="0"/>
    <s v="TOTAL MOT"/>
    <n v="8"/>
    <s v="kg"/>
    <x v="22"/>
    <b v="0"/>
    <n v="8"/>
    <s v="kg"/>
    <n v="14569"/>
    <b v="0"/>
    <n v="14569"/>
    <b v="0"/>
    <n v="0"/>
    <b v="0"/>
    <n v="590114985.82500005"/>
    <n v="0"/>
    <n v="590114985.82500005"/>
    <n v="0"/>
    <b v="0"/>
    <b v="1"/>
  </r>
  <r>
    <s v="C"/>
    <s v="A"/>
    <n v="20190101"/>
    <x v="5"/>
    <n v="52"/>
    <s v="2019"/>
    <n v="784"/>
    <s v="ARE"/>
    <s v="United Arab Emirates"/>
    <s v="M"/>
    <s v="Import"/>
    <n v="686"/>
    <s v="SEN"/>
    <s v="Senegal"/>
    <n v="0"/>
    <s v="W00"/>
    <s v="World"/>
    <s v="H5"/>
    <s v="HS"/>
    <b v="1"/>
    <s v="710812"/>
    <s v="Metals; gold, non-monetary, unwrought (but not powder)"/>
    <n v="6"/>
    <b v="1"/>
    <s v="C00"/>
    <s v="TOTAL CPC"/>
    <s v="0"/>
    <n v="0"/>
    <s v="TOTAL MOT"/>
    <n v="8"/>
    <s v="kg"/>
    <x v="23"/>
    <b v="0"/>
    <n v="8"/>
    <s v="kg"/>
    <n v="4159.21"/>
    <b v="0"/>
    <n v="4159.21"/>
    <b v="0"/>
    <n v="0"/>
    <b v="0"/>
    <n v="167462983.729"/>
    <n v="0"/>
    <n v="167462983.729"/>
    <n v="0"/>
    <b v="1"/>
    <b v="0"/>
  </r>
  <r>
    <s v="C"/>
    <s v="A"/>
    <n v="20190101"/>
    <x v="5"/>
    <n v="52"/>
    <s v="2019"/>
    <n v="792"/>
    <s v="TUR"/>
    <s v="Türkiye"/>
    <s v="M"/>
    <s v="Import"/>
    <n v="686"/>
    <s v="SEN"/>
    <s v="Senegal"/>
    <n v="0"/>
    <s v="W00"/>
    <s v="World"/>
    <s v="H5"/>
    <s v="HS"/>
    <b v="1"/>
    <s v="710812"/>
    <s v="Metals; gold, non-monetary, unwrought (but not powder)"/>
    <n v="6"/>
    <b v="1"/>
    <s v="C00"/>
    <s v="TOTAL CPC"/>
    <s v="0"/>
    <n v="0"/>
    <s v="TOTAL MOT"/>
    <n v="8"/>
    <s v="kg"/>
    <x v="24"/>
    <b v="0"/>
    <n v="15"/>
    <s v="g"/>
    <n v="43218"/>
    <b v="0"/>
    <n v="44"/>
    <b v="0"/>
    <n v="0"/>
    <b v="0"/>
    <n v="1525810"/>
    <n v="1524114"/>
    <n v="1525810"/>
    <n v="0"/>
    <b v="0"/>
    <b v="1"/>
  </r>
  <r>
    <s v="C"/>
    <s v="A"/>
    <n v="20200101"/>
    <x v="6"/>
    <n v="52"/>
    <s v="2020"/>
    <n v="36"/>
    <s v="AUS"/>
    <s v="Australia"/>
    <s v="M"/>
    <s v="Import"/>
    <n v="686"/>
    <s v="SEN"/>
    <s v="Senegal"/>
    <n v="0"/>
    <s v="W00"/>
    <s v="World"/>
    <s v="H5"/>
    <s v="HS"/>
    <b v="1"/>
    <s v="710812"/>
    <s v="Metals; gold, non-monetary, unwrought (but not powder)"/>
    <n v="6"/>
    <b v="1"/>
    <s v="C00"/>
    <s v="TOTAL CPC"/>
    <s v="0"/>
    <n v="0"/>
    <s v="TOTAL MOT"/>
    <n v="8"/>
    <s v="kg"/>
    <x v="25"/>
    <b v="1"/>
    <n v="-1"/>
    <s v="N/A"/>
    <n v="0"/>
    <b v="0"/>
    <n v="3634.4569999999999"/>
    <b v="1"/>
    <n v="3279.1"/>
    <b v="0"/>
    <n v="194991546.08899999"/>
    <n v="194452415.92699999"/>
    <n v="194991546.08899999"/>
    <n v="6"/>
    <b v="0"/>
    <b v="1"/>
  </r>
  <r>
    <s v="C"/>
    <s v="A"/>
    <n v="20200101"/>
    <x v="6"/>
    <n v="52"/>
    <s v="2020"/>
    <n v="380"/>
    <s v="ITA"/>
    <s v="Italy"/>
    <s v="M"/>
    <s v="Import"/>
    <n v="686"/>
    <s v="SEN"/>
    <s v="Senegal"/>
    <n v="0"/>
    <s v="W00"/>
    <s v="World"/>
    <s v="H5"/>
    <s v="HS"/>
    <b v="1"/>
    <s v="710812"/>
    <s v="Metals; gold, non-monetary, unwrought (but not powder)"/>
    <n v="6"/>
    <b v="1"/>
    <s v="C00"/>
    <s v="TOTAL CPC"/>
    <s v="0"/>
    <n v="0"/>
    <s v="TOTAL MOT"/>
    <n v="8"/>
    <s v="kg"/>
    <x v="26"/>
    <b v="0"/>
    <n v="15"/>
    <s v="g"/>
    <n v="71576"/>
    <b v="0"/>
    <n v="72"/>
    <b v="0"/>
    <n v="0"/>
    <b v="0"/>
    <n v="3260679.4619999998"/>
    <m/>
    <n v="3260679.4619999998"/>
    <n v="0"/>
    <b v="1"/>
    <b v="0"/>
  </r>
  <r>
    <s v="C"/>
    <s v="A"/>
    <n v="20200101"/>
    <x v="6"/>
    <n v="52"/>
    <s v="2020"/>
    <n v="757"/>
    <s v="CHE"/>
    <s v="Switzerland"/>
    <s v="M"/>
    <s v="Import"/>
    <n v="686"/>
    <s v="SEN"/>
    <s v="Senegal"/>
    <n v="0"/>
    <s v="W00"/>
    <s v="World"/>
    <s v="H5"/>
    <s v="HS"/>
    <b v="1"/>
    <s v="710812"/>
    <s v="Metals; gold, non-monetary, unwrought (but not powder)"/>
    <n v="6"/>
    <b v="1"/>
    <s v="C00"/>
    <s v="TOTAL CPC"/>
    <s v="0"/>
    <n v="0"/>
    <s v="TOTAL MOT"/>
    <n v="8"/>
    <s v="kg"/>
    <x v="27"/>
    <b v="0"/>
    <n v="8"/>
    <s v="kg"/>
    <n v="9512"/>
    <b v="0"/>
    <n v="9512"/>
    <b v="0"/>
    <n v="0"/>
    <b v="0"/>
    <n v="485160797.29100001"/>
    <n v="0"/>
    <n v="485160797.29100001"/>
    <n v="0"/>
    <b v="0"/>
    <b v="1"/>
  </r>
  <r>
    <s v="C"/>
    <s v="A"/>
    <n v="20200101"/>
    <x v="6"/>
    <n v="52"/>
    <s v="2020"/>
    <n v="784"/>
    <s v="ARE"/>
    <s v="United Arab Emirates"/>
    <s v="M"/>
    <s v="Import"/>
    <n v="686"/>
    <s v="SEN"/>
    <s v="Senegal"/>
    <n v="0"/>
    <s v="W00"/>
    <s v="World"/>
    <s v="H5"/>
    <s v="HS"/>
    <b v="1"/>
    <s v="710812"/>
    <s v="Metals; gold, non-monetary, unwrought (but not powder)"/>
    <n v="6"/>
    <b v="1"/>
    <s v="C00"/>
    <s v="TOTAL CPC"/>
    <s v="0"/>
    <n v="0"/>
    <s v="TOTAL MOT"/>
    <n v="8"/>
    <s v="kg"/>
    <x v="28"/>
    <b v="0"/>
    <n v="8"/>
    <s v="kg"/>
    <n v="2118.87"/>
    <b v="0"/>
    <n v="2118.87"/>
    <b v="0"/>
    <n v="0"/>
    <b v="0"/>
    <n v="104357473.52599999"/>
    <n v="0"/>
    <n v="104357473.52599999"/>
    <n v="0"/>
    <b v="1"/>
    <b v="0"/>
  </r>
  <r>
    <s v="C"/>
    <s v="A"/>
    <n v="20200101"/>
    <x v="6"/>
    <n v="52"/>
    <s v="2020"/>
    <n v="792"/>
    <s v="TUR"/>
    <s v="Türkiye"/>
    <s v="M"/>
    <s v="Import"/>
    <n v="686"/>
    <s v="SEN"/>
    <s v="Senegal"/>
    <n v="0"/>
    <s v="W00"/>
    <s v="World"/>
    <s v="H5"/>
    <s v="HS"/>
    <b v="1"/>
    <s v="710812"/>
    <s v="Metals; gold, non-monetary, unwrought (but not powder)"/>
    <n v="6"/>
    <b v="1"/>
    <s v="C00"/>
    <s v="TOTAL CPC"/>
    <s v="0"/>
    <n v="0"/>
    <s v="TOTAL MOT"/>
    <n v="8"/>
    <s v="kg"/>
    <x v="29"/>
    <b v="0"/>
    <n v="15"/>
    <s v="g"/>
    <n v="42487"/>
    <b v="0"/>
    <n v="42"/>
    <b v="0"/>
    <n v="0"/>
    <b v="0"/>
    <n v="1765487"/>
    <n v="1763539"/>
    <n v="1765487"/>
    <n v="0"/>
    <b v="0"/>
    <b v="1"/>
  </r>
  <r>
    <s v="C"/>
    <s v="A"/>
    <n v="20210101"/>
    <x v="7"/>
    <n v="52"/>
    <s v="2021"/>
    <n v="36"/>
    <s v="AUS"/>
    <s v="Australia"/>
    <s v="M"/>
    <s v="Import"/>
    <n v="686"/>
    <s v="SEN"/>
    <s v="Senegal"/>
    <n v="0"/>
    <s v="W00"/>
    <s v="World"/>
    <s v="H5"/>
    <s v="HS"/>
    <b v="1"/>
    <s v="710812"/>
    <s v="Metals; gold, non-monetary, unwrought (but not powder)"/>
    <n v="6"/>
    <b v="1"/>
    <s v="C00"/>
    <s v="TOTAL CPC"/>
    <s v="0"/>
    <n v="0"/>
    <s v="TOTAL MOT"/>
    <n v="8"/>
    <s v="kg"/>
    <x v="30"/>
    <b v="1"/>
    <n v="-1"/>
    <s v="N/A"/>
    <n v="0"/>
    <b v="0"/>
    <n v="3884.3809999999999"/>
    <b v="1"/>
    <n v="4600.33"/>
    <b v="0"/>
    <n v="219808451.24000001"/>
    <n v="219391552.43099999"/>
    <n v="219808451.24000001"/>
    <n v="6"/>
    <b v="0"/>
    <b v="1"/>
  </r>
  <r>
    <s v="C"/>
    <s v="A"/>
    <n v="20210101"/>
    <x v="7"/>
    <n v="52"/>
    <s v="2021"/>
    <n v="380"/>
    <s v="ITA"/>
    <s v="Italy"/>
    <s v="M"/>
    <s v="Import"/>
    <n v="686"/>
    <s v="SEN"/>
    <s v="Senegal"/>
    <n v="0"/>
    <s v="W00"/>
    <s v="World"/>
    <s v="H5"/>
    <s v="HS"/>
    <b v="1"/>
    <s v="710812"/>
    <s v="Metals; gold, non-monetary, unwrought (but not powder)"/>
    <n v="6"/>
    <b v="1"/>
    <s v="C00"/>
    <s v="TOTAL CPC"/>
    <s v="0"/>
    <n v="0"/>
    <s v="TOTAL MOT"/>
    <n v="8"/>
    <s v="kg"/>
    <x v="31"/>
    <b v="0"/>
    <n v="15"/>
    <s v="g"/>
    <n v="27384"/>
    <b v="0"/>
    <n v="28"/>
    <b v="0"/>
    <n v="0"/>
    <b v="0"/>
    <n v="1297177.531"/>
    <m/>
    <n v="1297177.531"/>
    <n v="0"/>
    <b v="1"/>
    <b v="0"/>
  </r>
  <r>
    <s v="C"/>
    <s v="A"/>
    <n v="20210101"/>
    <x v="7"/>
    <n v="52"/>
    <s v="2021"/>
    <n v="757"/>
    <s v="CHE"/>
    <s v="Switzerland"/>
    <s v="M"/>
    <s v="Import"/>
    <n v="686"/>
    <s v="SEN"/>
    <s v="Senegal"/>
    <n v="0"/>
    <s v="W00"/>
    <s v="World"/>
    <s v="H5"/>
    <s v="HS"/>
    <b v="1"/>
    <s v="710812"/>
    <s v="Metals; gold, non-monetary, unwrought (but not powder)"/>
    <n v="6"/>
    <b v="1"/>
    <s v="C00"/>
    <s v="TOTAL CPC"/>
    <s v="0"/>
    <n v="0"/>
    <s v="TOTAL MOT"/>
    <n v="8"/>
    <s v="kg"/>
    <x v="32"/>
    <b v="0"/>
    <n v="8"/>
    <s v="kg"/>
    <n v="13581"/>
    <b v="0"/>
    <n v="13581"/>
    <b v="0"/>
    <n v="0"/>
    <b v="0"/>
    <n v="710234464.13499999"/>
    <n v="0"/>
    <n v="710234464.13499999"/>
    <n v="0"/>
    <b v="0"/>
    <b v="1"/>
  </r>
  <r>
    <s v="C"/>
    <s v="A"/>
    <n v="20210101"/>
    <x v="7"/>
    <n v="52"/>
    <s v="2021"/>
    <n v="784"/>
    <s v="ARE"/>
    <s v="United Arab Emirates"/>
    <s v="M"/>
    <s v="Import"/>
    <n v="686"/>
    <s v="SEN"/>
    <s v="Senegal"/>
    <n v="0"/>
    <s v="W00"/>
    <s v="World"/>
    <s v="H5"/>
    <s v="HS"/>
    <b v="1"/>
    <s v="710812"/>
    <s v="Metals; gold, non-monetary, unwrought (but not powder)"/>
    <n v="6"/>
    <b v="1"/>
    <s v="C00"/>
    <s v="TOTAL CPC"/>
    <s v="0"/>
    <n v="0"/>
    <s v="TOTAL MOT"/>
    <n v="8"/>
    <s v="kg"/>
    <x v="33"/>
    <b v="0"/>
    <n v="8"/>
    <s v="kg"/>
    <n v="2625.7"/>
    <b v="0"/>
    <n v="2625.7"/>
    <b v="0"/>
    <n v="0"/>
    <b v="0"/>
    <n v="144247942.875"/>
    <n v="0"/>
    <n v="144247942.875"/>
    <n v="0"/>
    <b v="1"/>
    <b v="0"/>
  </r>
  <r>
    <s v="C"/>
    <s v="A"/>
    <n v="20210101"/>
    <x v="7"/>
    <n v="52"/>
    <s v="2021"/>
    <n v="792"/>
    <s v="TUR"/>
    <s v="Türkiye"/>
    <s v="M"/>
    <s v="Import"/>
    <n v="686"/>
    <s v="SEN"/>
    <s v="Senegal"/>
    <n v="0"/>
    <s v="W00"/>
    <s v="World"/>
    <s v="H5"/>
    <s v="HS"/>
    <b v="1"/>
    <s v="710812"/>
    <s v="Metals; gold, non-monetary, unwrought (but not powder)"/>
    <n v="6"/>
    <b v="1"/>
    <s v="C00"/>
    <s v="TOTAL CPC"/>
    <s v="0"/>
    <n v="0"/>
    <s v="TOTAL MOT"/>
    <n v="8"/>
    <s v="kg"/>
    <x v="34"/>
    <b v="0"/>
    <n v="15"/>
    <s v="g"/>
    <n v="7450"/>
    <b v="0"/>
    <n v="7"/>
    <b v="0"/>
    <n v="0"/>
    <b v="0"/>
    <n v="332900"/>
    <n v="332537"/>
    <n v="332900"/>
    <n v="0"/>
    <b v="0"/>
    <b v="1"/>
  </r>
  <r>
    <s v="C"/>
    <s v="A"/>
    <n v="20220101"/>
    <x v="8"/>
    <n v="52"/>
    <s v="2022"/>
    <n v="36"/>
    <s v="AUS"/>
    <s v="Australia"/>
    <s v="M"/>
    <s v="Import"/>
    <n v="686"/>
    <s v="SEN"/>
    <s v="Senegal"/>
    <n v="0"/>
    <s v="W00"/>
    <s v="World"/>
    <s v="H6"/>
    <s v="HS"/>
    <b v="1"/>
    <s v="710812"/>
    <s v="Metals; gold, non-monetary, unwrought (but not powder)"/>
    <n v="6"/>
    <b v="1"/>
    <s v="C00"/>
    <s v="TOTAL CPC"/>
    <s v="0"/>
    <n v="0"/>
    <s v="TOTAL MOT"/>
    <n v="8"/>
    <s v="kg"/>
    <x v="35"/>
    <b v="1"/>
    <n v="-1"/>
    <s v="N/A"/>
    <n v="0"/>
    <b v="0"/>
    <n v="3171.53"/>
    <b v="1"/>
    <n v="3535.05"/>
    <b v="0"/>
    <n v="179250830.28799999"/>
    <n v="178905720.074"/>
    <n v="179250830.28799999"/>
    <n v="6"/>
    <b v="0"/>
    <b v="1"/>
  </r>
  <r>
    <s v="C"/>
    <s v="A"/>
    <n v="20220101"/>
    <x v="8"/>
    <n v="52"/>
    <s v="2022"/>
    <n v="380"/>
    <s v="ITA"/>
    <s v="Italy"/>
    <s v="M"/>
    <s v="Import"/>
    <n v="686"/>
    <s v="SEN"/>
    <s v="Senegal"/>
    <n v="0"/>
    <s v="W00"/>
    <s v="World"/>
    <s v="H6"/>
    <s v="HS"/>
    <b v="1"/>
    <s v="710812"/>
    <s v="Metals; gold, non-monetary, unwrought (but not powder)"/>
    <n v="6"/>
    <b v="1"/>
    <s v="C00"/>
    <s v="TOTAL CPC"/>
    <s v="0"/>
    <n v="0"/>
    <s v="TOTAL MOT"/>
    <n v="8"/>
    <s v="kg"/>
    <x v="36"/>
    <b v="0"/>
    <n v="15"/>
    <s v="g"/>
    <n v="32394"/>
    <b v="0"/>
    <n v="33"/>
    <b v="0"/>
    <n v="0"/>
    <b v="0"/>
    <n v="1541344.121"/>
    <m/>
    <n v="1541344.121"/>
    <n v="0"/>
    <b v="1"/>
    <b v="0"/>
  </r>
  <r>
    <s v="C"/>
    <s v="A"/>
    <n v="20220101"/>
    <x v="8"/>
    <n v="52"/>
    <s v="2022"/>
    <n v="757"/>
    <s v="CHE"/>
    <s v="Switzerland"/>
    <s v="M"/>
    <s v="Import"/>
    <n v="686"/>
    <s v="SEN"/>
    <s v="Senegal"/>
    <n v="0"/>
    <s v="W00"/>
    <s v="World"/>
    <s v="H6"/>
    <s v="HS"/>
    <b v="1"/>
    <s v="710812"/>
    <s v="Metals; gold, non-monetary, unwrought (but not powder)"/>
    <n v="6"/>
    <b v="1"/>
    <s v="C00"/>
    <s v="TOTAL CPC"/>
    <s v="0"/>
    <n v="0"/>
    <s v="TOTAL MOT"/>
    <n v="8"/>
    <s v="kg"/>
    <x v="37"/>
    <b v="0"/>
    <n v="8"/>
    <s v="kg"/>
    <n v="12081"/>
    <b v="0"/>
    <n v="12081"/>
    <b v="0"/>
    <n v="0"/>
    <b v="0"/>
    <n v="631954371.199"/>
    <m/>
    <n v="631954371.199"/>
    <n v="0"/>
    <b v="0"/>
    <b v="1"/>
  </r>
  <r>
    <s v="C"/>
    <s v="A"/>
    <n v="20220101"/>
    <x v="8"/>
    <n v="52"/>
    <s v="2022"/>
    <n v="784"/>
    <s v="ARE"/>
    <s v="United Arab Emirates"/>
    <s v="M"/>
    <s v="Import"/>
    <n v="686"/>
    <s v="SEN"/>
    <s v="Senegal"/>
    <n v="0"/>
    <s v="W00"/>
    <s v="World"/>
    <s v="H6"/>
    <s v="HS"/>
    <b v="1"/>
    <s v="710812"/>
    <s v="Metals; gold, non-monetary, unwrought (but not powder)"/>
    <n v="6"/>
    <b v="1"/>
    <s v="C00"/>
    <s v="TOTAL CPC"/>
    <s v="0"/>
    <n v="0"/>
    <s v="TOTAL MOT"/>
    <n v="8"/>
    <s v="kg"/>
    <x v="38"/>
    <b v="0"/>
    <n v="8"/>
    <s v="kg"/>
    <n v="3215.52"/>
    <b v="0"/>
    <n v="3215.52"/>
    <b v="0"/>
    <n v="0"/>
    <b v="0"/>
    <n v="171934926.44400001"/>
    <m/>
    <n v="171934926.44400001"/>
    <n v="0"/>
    <b v="1"/>
    <b v="0"/>
  </r>
  <r>
    <s v="C"/>
    <s v="A"/>
    <n v="20230101"/>
    <x v="9"/>
    <n v="52"/>
    <s v="2023"/>
    <n v="36"/>
    <s v="AUS"/>
    <s v="Australia"/>
    <s v="M"/>
    <s v="Import"/>
    <n v="686"/>
    <s v="SEN"/>
    <s v="Senegal"/>
    <n v="0"/>
    <s v="W00"/>
    <s v="World"/>
    <s v="H6"/>
    <s v="HS"/>
    <b v="1"/>
    <s v="710812"/>
    <s v="Metals; gold, non-monetary, unwrought (but not powder)"/>
    <n v="6"/>
    <b v="1"/>
    <s v="C00"/>
    <s v="TOTAL CPC"/>
    <s v="0"/>
    <n v="0"/>
    <s v="TOTAL MOT"/>
    <n v="8"/>
    <s v="kg"/>
    <x v="39"/>
    <b v="1"/>
    <n v="-1"/>
    <s v="N/A"/>
    <n v="0"/>
    <b v="0"/>
    <m/>
    <b v="0"/>
    <n v="4228"/>
    <b v="0"/>
    <n v="230374640.12099999"/>
    <n v="229615460.164"/>
    <n v="230374640.12099999"/>
    <n v="2"/>
    <b v="0"/>
    <b v="1"/>
  </r>
  <r>
    <s v="C"/>
    <s v="A"/>
    <n v="20230101"/>
    <x v="9"/>
    <n v="52"/>
    <s v="2023"/>
    <n v="380"/>
    <s v="ITA"/>
    <s v="Italy"/>
    <s v="M"/>
    <s v="Import"/>
    <n v="686"/>
    <s v="SEN"/>
    <s v="Senegal"/>
    <n v="0"/>
    <s v="W00"/>
    <s v="World"/>
    <s v="H6"/>
    <s v="HS"/>
    <b v="1"/>
    <s v="710812"/>
    <s v="Metals; gold, non-monetary, unwrought (but not powder)"/>
    <n v="6"/>
    <b v="1"/>
    <s v="C00"/>
    <s v="TOTAL CPC"/>
    <s v="0"/>
    <n v="0"/>
    <s v="TOTAL MOT"/>
    <n v="8"/>
    <s v="kg"/>
    <x v="40"/>
    <b v="0"/>
    <n v="15"/>
    <s v="g"/>
    <n v="28239"/>
    <b v="0"/>
    <n v="28"/>
    <b v="0"/>
    <n v="0"/>
    <b v="0"/>
    <n v="1335454.328"/>
    <m/>
    <n v="1335454.328"/>
    <n v="0"/>
    <b v="1"/>
    <b v="0"/>
  </r>
  <r>
    <s v="C"/>
    <s v="A"/>
    <n v="20230101"/>
    <x v="9"/>
    <n v="52"/>
    <s v="2023"/>
    <n v="466"/>
    <s v="MLI"/>
    <s v="Mali"/>
    <s v="M"/>
    <s v="Import"/>
    <n v="686"/>
    <s v="SEN"/>
    <s v="Senegal"/>
    <n v="0"/>
    <s v="W00"/>
    <s v="World"/>
    <s v="H6"/>
    <s v="HS"/>
    <b v="1"/>
    <s v="710812"/>
    <s v="Metals; gold, non-monetary, unwrought (but not powder)"/>
    <n v="6"/>
    <b v="1"/>
    <s v="C00"/>
    <s v="TOTAL CPC"/>
    <s v="0"/>
    <n v="0"/>
    <s v="TOTAL MOT"/>
    <n v="8"/>
    <s v="kg"/>
    <x v="41"/>
    <b v="0"/>
    <n v="8"/>
    <s v="kg"/>
    <n v="6.6109999999999998"/>
    <b v="0"/>
    <n v="6.6109999999999998"/>
    <b v="0"/>
    <n v="0"/>
    <b v="0"/>
    <n v="337980.12400000001"/>
    <m/>
    <n v="337980.12400000001"/>
    <n v="0"/>
    <b v="1"/>
    <b v="0"/>
  </r>
  <r>
    <s v="C"/>
    <s v="A"/>
    <n v="20230101"/>
    <x v="9"/>
    <n v="52"/>
    <s v="2023"/>
    <n v="757"/>
    <s v="CHE"/>
    <s v="Switzerland"/>
    <s v="M"/>
    <s v="Import"/>
    <n v="686"/>
    <s v="SEN"/>
    <s v="Senegal"/>
    <n v="0"/>
    <s v="W00"/>
    <s v="World"/>
    <s v="H6"/>
    <s v="HS"/>
    <b v="1"/>
    <s v="710812"/>
    <s v="Metals; gold, non-monetary, unwrought (but not powder)"/>
    <n v="6"/>
    <b v="1"/>
    <s v="C00"/>
    <s v="TOTAL CPC"/>
    <s v="0"/>
    <n v="0"/>
    <s v="TOTAL MOT"/>
    <n v="8"/>
    <s v="kg"/>
    <x v="42"/>
    <b v="0"/>
    <n v="8"/>
    <s v="kg"/>
    <n v="10566"/>
    <b v="0"/>
    <n v="10566"/>
    <b v="0"/>
    <n v="0"/>
    <b v="0"/>
    <n v="593906011.35000002"/>
    <m/>
    <n v="593906011.35000002"/>
    <n v="0"/>
    <b v="0"/>
    <b v="1"/>
  </r>
  <r>
    <s v="C"/>
    <s v="A"/>
    <n v="20230101"/>
    <x v="9"/>
    <n v="52"/>
    <s v="2023"/>
    <n v="784"/>
    <s v="ARE"/>
    <s v="United Arab Emirates"/>
    <s v="M"/>
    <s v="Import"/>
    <n v="686"/>
    <s v="SEN"/>
    <s v="Senegal"/>
    <n v="0"/>
    <s v="W00"/>
    <s v="World"/>
    <s v="H6"/>
    <s v="HS"/>
    <b v="1"/>
    <s v="710812"/>
    <s v="Metals; gold, non-monetary, unwrought (but not powder)"/>
    <n v="6"/>
    <b v="1"/>
    <s v="C00"/>
    <s v="TOTAL CPC"/>
    <s v="0"/>
    <n v="0"/>
    <s v="TOTAL MOT"/>
    <n v="8"/>
    <s v="kg"/>
    <x v="43"/>
    <b v="0"/>
    <n v="8"/>
    <s v="kg"/>
    <n v="4014.64"/>
    <b v="0"/>
    <n v="4014.64"/>
    <b v="0"/>
    <n v="0"/>
    <b v="0"/>
    <n v="238406106.84299999"/>
    <m/>
    <n v="238406106.84299999"/>
    <n v="0"/>
    <b v="1"/>
    <b v="0"/>
  </r>
  <r>
    <s v="C"/>
    <s v="A"/>
    <n v="20230101"/>
    <x v="9"/>
    <n v="52"/>
    <s v="2023"/>
    <n v="792"/>
    <s v="TUR"/>
    <s v="Türkiye"/>
    <s v="M"/>
    <s v="Import"/>
    <n v="686"/>
    <s v="SEN"/>
    <s v="Senegal"/>
    <n v="0"/>
    <s v="W00"/>
    <s v="World"/>
    <s v="H6"/>
    <s v="HS"/>
    <b v="1"/>
    <s v="710812"/>
    <s v="Metals; gold, non-monetary, unwrought (but not powder)"/>
    <n v="6"/>
    <b v="1"/>
    <s v="C00"/>
    <s v="TOTAL CPC"/>
    <s v="0"/>
    <n v="0"/>
    <s v="TOTAL MOT"/>
    <n v="8"/>
    <s v="kg"/>
    <x v="44"/>
    <b v="0"/>
    <n v="8"/>
    <s v="kg"/>
    <n v="34.648000000000003"/>
    <b v="0"/>
    <n v="35"/>
    <b v="0"/>
    <n v="0"/>
    <b v="0"/>
    <n v="1695971"/>
    <n v="1694377"/>
    <n v="1695971"/>
    <n v="0"/>
    <b v="0"/>
    <b v="1"/>
  </r>
  <r>
    <s v="C"/>
    <s v="A"/>
    <n v="20240101"/>
    <x v="10"/>
    <n v="52"/>
    <s v="2024"/>
    <n v="36"/>
    <s v="AUS"/>
    <s v="Australia"/>
    <s v="M"/>
    <s v="Import"/>
    <n v="686"/>
    <s v="SEN"/>
    <s v="Senegal"/>
    <n v="0"/>
    <s v="W00"/>
    <s v="World"/>
    <s v="H6"/>
    <s v="HS"/>
    <b v="1"/>
    <s v="710812"/>
    <s v="Metals; gold, non-monetary, unwrought (but not powder)"/>
    <n v="6"/>
    <b v="1"/>
    <s v="C00"/>
    <s v="TOTAL CPC"/>
    <s v="0"/>
    <n v="0"/>
    <s v="TOTAL MOT"/>
    <n v="8"/>
    <s v="kg"/>
    <x v="45"/>
    <b v="1"/>
    <n v="-1"/>
    <s v="N/A"/>
    <n v="0"/>
    <b v="0"/>
    <n v="3042.6289999999999"/>
    <b v="1"/>
    <n v="3.117"/>
    <b v="0"/>
    <n v="201071815.89399999"/>
    <n v="200467702.66499999"/>
    <n v="201071815.89399999"/>
    <n v="6"/>
    <b v="0"/>
    <b v="1"/>
  </r>
  <r>
    <s v="C"/>
    <s v="A"/>
    <n v="20240101"/>
    <x v="10"/>
    <n v="52"/>
    <s v="2024"/>
    <n v="156"/>
    <s v="CHN"/>
    <s v="China"/>
    <s v="M"/>
    <s v="Import"/>
    <n v="686"/>
    <s v="SEN"/>
    <s v="Senegal"/>
    <n v="0"/>
    <s v="W00"/>
    <s v="World"/>
    <s v="H6"/>
    <s v="HS"/>
    <b v="1"/>
    <s v="710812"/>
    <s v="Metals; gold, non-monetary, unwrought (but not powder)"/>
    <n v="6"/>
    <b v="1"/>
    <s v="C00"/>
    <s v="TOTAL CPC"/>
    <s v="0"/>
    <n v="0"/>
    <s v="TOTAL MOT"/>
    <n v="8"/>
    <s v="kg"/>
    <x v="46"/>
    <b v="0"/>
    <n v="15"/>
    <s v="g"/>
    <n v="10012"/>
    <b v="0"/>
    <n v="10.012"/>
    <b v="0"/>
    <n v="0"/>
    <b v="0"/>
    <n v="819980"/>
    <m/>
    <n v="819980"/>
    <n v="0"/>
    <b v="1"/>
    <b v="0"/>
  </r>
  <r>
    <s v="C"/>
    <s v="A"/>
    <n v="20240101"/>
    <x v="10"/>
    <n v="52"/>
    <s v="2024"/>
    <n v="380"/>
    <s v="ITA"/>
    <s v="Italy"/>
    <s v="M"/>
    <s v="Import"/>
    <n v="686"/>
    <s v="SEN"/>
    <s v="Senegal"/>
    <n v="0"/>
    <s v="W00"/>
    <s v="World"/>
    <s v="H6"/>
    <s v="HS"/>
    <b v="1"/>
    <s v="710812"/>
    <s v="Metals; gold, non-monetary, unwrought (but not powder)"/>
    <n v="6"/>
    <b v="1"/>
    <s v="C00"/>
    <s v="TOTAL CPC"/>
    <s v="0"/>
    <n v="0"/>
    <s v="TOTAL MOT"/>
    <n v="8"/>
    <s v="kg"/>
    <x v="47"/>
    <b v="0"/>
    <n v="8"/>
    <s v="kg"/>
    <n v="10.696999999999999"/>
    <b v="0"/>
    <n v="12"/>
    <b v="0"/>
    <n v="0"/>
    <b v="0"/>
    <n v="676674.71200000006"/>
    <m/>
    <n v="676674.71200000006"/>
    <n v="0"/>
    <b v="1"/>
    <b v="0"/>
  </r>
  <r>
    <s v="C"/>
    <s v="A"/>
    <n v="20240101"/>
    <x v="10"/>
    <n v="52"/>
    <s v="2024"/>
    <n v="757"/>
    <s v="CHE"/>
    <s v="Switzerland"/>
    <s v="M"/>
    <s v="Import"/>
    <n v="686"/>
    <s v="SEN"/>
    <s v="Senegal"/>
    <n v="0"/>
    <s v="W00"/>
    <s v="World"/>
    <s v="H6"/>
    <s v="HS"/>
    <b v="1"/>
    <s v="710812"/>
    <s v="Metals; gold, non-monetary, unwrought (but not powder)"/>
    <n v="6"/>
    <b v="1"/>
    <s v="C00"/>
    <s v="TOTAL CPC"/>
    <s v="0"/>
    <n v="0"/>
    <s v="TOTAL MOT"/>
    <n v="8"/>
    <s v="kg"/>
    <x v="48"/>
    <b v="0"/>
    <n v="8"/>
    <s v="kg"/>
    <n v="8103"/>
    <b v="0"/>
    <n v="8103"/>
    <b v="0"/>
    <n v="0"/>
    <b v="0"/>
    <n v="548487309.28999996"/>
    <m/>
    <n v="548487309.28999996"/>
    <n v="0"/>
    <b v="0"/>
    <b v="1"/>
  </r>
  <r>
    <s v="C"/>
    <s v="A"/>
    <n v="20240101"/>
    <x v="10"/>
    <n v="52"/>
    <s v="2024"/>
    <n v="764"/>
    <s v="THA"/>
    <s v="Thailand"/>
    <s v="M"/>
    <s v="Import"/>
    <n v="686"/>
    <s v="SEN"/>
    <s v="Senegal"/>
    <n v="0"/>
    <s v="W00"/>
    <s v="World"/>
    <s v="H6"/>
    <s v="HS"/>
    <b v="1"/>
    <s v="710812"/>
    <s v="Metals; gold, non-monetary, unwrought (but not powder)"/>
    <n v="6"/>
    <b v="1"/>
    <s v="C00"/>
    <s v="TOTAL CPC"/>
    <s v="0"/>
    <n v="0"/>
    <s v="TOTAL MOT"/>
    <n v="8"/>
    <s v="kg"/>
    <x v="49"/>
    <b v="0"/>
    <n v="8"/>
    <s v="kg"/>
    <n v="20"/>
    <b v="0"/>
    <n v="20"/>
    <b v="0"/>
    <n v="0"/>
    <b v="0"/>
    <n v="1764637.62"/>
    <m/>
    <n v="1764637.62"/>
    <n v="0"/>
    <b v="0"/>
    <b v="1"/>
  </r>
  <r>
    <s v="C"/>
    <s v="A"/>
    <n v="20240101"/>
    <x v="10"/>
    <n v="52"/>
    <s v="2024"/>
    <n v="792"/>
    <s v="TUR"/>
    <s v="Türkiye"/>
    <s v="M"/>
    <s v="Import"/>
    <n v="686"/>
    <s v="SEN"/>
    <s v="Senegal"/>
    <n v="0"/>
    <s v="W00"/>
    <s v="World"/>
    <s v="H6"/>
    <s v="HS"/>
    <b v="1"/>
    <s v="710812"/>
    <s v="Metals; gold, non-monetary, unwrought (but not powder)"/>
    <n v="6"/>
    <b v="1"/>
    <s v="C00"/>
    <s v="TOTAL CPC"/>
    <s v="0"/>
    <n v="0"/>
    <s v="TOTAL MOT"/>
    <n v="8"/>
    <s v="kg"/>
    <x v="50"/>
    <b v="0"/>
    <n v="15"/>
    <s v="g"/>
    <n v="1999"/>
    <b v="0"/>
    <n v="2"/>
    <b v="0"/>
    <n v="0"/>
    <b v="0"/>
    <n v="99765"/>
    <n v="99675"/>
    <n v="99765"/>
    <n v="0"/>
    <b v="0"/>
    <b v="1"/>
  </r>
  <r>
    <s v="C"/>
    <s v="A"/>
    <n v="20250101"/>
    <x v="11"/>
    <n v="52"/>
    <s v="2025"/>
    <n v="36"/>
    <s v="AUS"/>
    <s v="Australia"/>
    <s v="M"/>
    <s v="Import"/>
    <n v="686"/>
    <s v="SEN"/>
    <s v="Senegal"/>
    <n v="0"/>
    <s v="W00"/>
    <s v="World"/>
    <s v="H6"/>
    <s v="HS"/>
    <b v="1"/>
    <s v="710812"/>
    <s v="Metals; gold, non-monetary, unwrought (but not powder)"/>
    <n v="6"/>
    <b v="1"/>
    <s v="C00"/>
    <s v="TOTAL CPC"/>
    <s v="0"/>
    <n v="0"/>
    <s v="TOTAL MOT"/>
    <n v="8"/>
    <s v="kg"/>
    <x v="51"/>
    <b v="1"/>
    <n v="-1"/>
    <s v="N/A"/>
    <n v="0"/>
    <b v="0"/>
    <n v="3556.0329999999999"/>
    <b v="1"/>
    <n v="3.4329999999999998"/>
    <b v="0"/>
    <n v="329735619.51700002"/>
    <n v="328821987.85399997"/>
    <n v="329735619.51700002"/>
    <n v="6"/>
    <b v="0"/>
    <b v="1"/>
  </r>
  <r>
    <s v="C"/>
    <s v="A"/>
    <n v="20250101"/>
    <x v="11"/>
    <n v="52"/>
    <s v="2025"/>
    <n v="380"/>
    <s v="ITA"/>
    <s v="Italy"/>
    <s v="M"/>
    <s v="Import"/>
    <n v="686"/>
    <s v="SEN"/>
    <s v="Senegal"/>
    <n v="0"/>
    <s v="W00"/>
    <s v="World"/>
    <s v="H6"/>
    <s v="HS"/>
    <b v="1"/>
    <s v="710812"/>
    <s v="Metals; gold, non-monetary, unwrought (but not powder)"/>
    <n v="6"/>
    <b v="1"/>
    <s v="C00"/>
    <s v="TOTAL CPC"/>
    <s v="0"/>
    <n v="0"/>
    <s v="TOTAL MOT"/>
    <n v="8"/>
    <s v="kg"/>
    <x v="52"/>
    <b v="0"/>
    <n v="15"/>
    <s v="g"/>
    <n v="769145"/>
    <b v="0"/>
    <n v="771"/>
    <b v="0"/>
    <n v="0"/>
    <b v="0"/>
    <n v="88775185.213"/>
    <m/>
    <n v="88775185.213"/>
    <n v="0"/>
    <b v="1"/>
    <b v="0"/>
  </r>
  <r>
    <s v="C"/>
    <s v="A"/>
    <n v="20250101"/>
    <x v="11"/>
    <n v="52"/>
    <s v="2025"/>
    <n v="757"/>
    <s v="CHE"/>
    <s v="Switzerland"/>
    <s v="M"/>
    <s v="Import"/>
    <n v="686"/>
    <s v="SEN"/>
    <s v="Senegal"/>
    <n v="0"/>
    <s v="W00"/>
    <s v="World"/>
    <s v="H6"/>
    <s v="HS"/>
    <b v="1"/>
    <s v="710812"/>
    <s v="Metals; gold, non-monetary, unwrought (but not powder)"/>
    <n v="6"/>
    <b v="1"/>
    <s v="C00"/>
    <s v="TOTAL CPC"/>
    <s v="0"/>
    <n v="0"/>
    <s v="TOTAL MOT"/>
    <n v="8"/>
    <s v="kg"/>
    <x v="53"/>
    <b v="0"/>
    <n v="8"/>
    <s v="kg"/>
    <n v="10856"/>
    <b v="0"/>
    <n v="10856"/>
    <b v="0"/>
    <n v="0"/>
    <b v="0"/>
    <n v="1121151364.724"/>
    <m/>
    <n v="1121151364.724"/>
    <n v="0"/>
    <b v="0"/>
    <b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4D32A6-4A1E-4C79-B8C2-D60B8C234333}" name="Tableau croisé dynamique2" cacheId="6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16" firstHeaderRow="1" firstDataRow="1" firstDataCol="1"/>
  <pivotFields count="47">
    <pivotField showAll="0"/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55">
        <item x="21"/>
        <item x="50"/>
        <item x="15"/>
        <item x="13"/>
        <item x="41"/>
        <item x="34"/>
        <item x="9"/>
        <item x="46"/>
        <item x="47"/>
        <item x="18"/>
        <item x="49"/>
        <item x="19"/>
        <item x="31"/>
        <item x="40"/>
        <item x="36"/>
        <item x="44"/>
        <item x="29"/>
        <item x="24"/>
        <item x="0"/>
        <item x="3"/>
        <item x="26"/>
        <item x="6"/>
        <item x="10"/>
        <item x="20"/>
        <item x="14"/>
        <item x="52"/>
        <item x="28"/>
        <item x="33"/>
        <item x="45"/>
        <item x="35"/>
        <item x="38"/>
        <item x="51"/>
        <item x="25"/>
        <item x="39"/>
        <item x="30"/>
        <item x="43"/>
        <item x="23"/>
        <item x="5"/>
        <item x="17"/>
        <item x="2"/>
        <item x="8"/>
        <item x="12"/>
        <item x="4"/>
        <item x="7"/>
        <item x="11"/>
        <item x="1"/>
        <item x="48"/>
        <item x="27"/>
        <item x="42"/>
        <item x="53"/>
        <item x="37"/>
        <item x="16"/>
        <item x="32"/>
        <item x="2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me de qty" fld="31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B4915-A3C3-41A3-AA70-47C6EE64B813}">
  <dimension ref="A3:B16"/>
  <sheetViews>
    <sheetView workbookViewId="0">
      <selection activeCell="A3" sqref="A3:B16"/>
    </sheetView>
  </sheetViews>
  <sheetFormatPr baseColWidth="10" defaultRowHeight="15.5" x14ac:dyDescent="0.35"/>
  <cols>
    <col min="1" max="1" width="19" bestFit="1" customWidth="1"/>
    <col min="2" max="2" width="12.5" bestFit="1" customWidth="1"/>
    <col min="3" max="6" width="5.75" bestFit="1" customWidth="1"/>
    <col min="7" max="7" width="4.75" bestFit="1" customWidth="1"/>
    <col min="8" max="8" width="5.75" bestFit="1" customWidth="1"/>
    <col min="9" max="10" width="6.75" bestFit="1" customWidth="1"/>
    <col min="11" max="11" width="5.75" bestFit="1" customWidth="1"/>
    <col min="12" max="12" width="2.75" bestFit="1" customWidth="1"/>
    <col min="13" max="19" width="6.75" bestFit="1" customWidth="1"/>
    <col min="20" max="21" width="2.75" bestFit="1" customWidth="1"/>
    <col min="22" max="22" width="6.75" bestFit="1" customWidth="1"/>
    <col min="23" max="23" width="3.75" bestFit="1" customWidth="1"/>
    <col min="24" max="28" width="7.75" bestFit="1" customWidth="1"/>
    <col min="29" max="29" width="6.75" bestFit="1" customWidth="1"/>
    <col min="30" max="30" width="8.75" bestFit="1" customWidth="1"/>
    <col min="31" max="32" width="7.75" bestFit="1" customWidth="1"/>
    <col min="33" max="36" width="8.75" bestFit="1" customWidth="1"/>
    <col min="37" max="42" width="7.75" bestFit="1" customWidth="1"/>
    <col min="43" max="49" width="4.75" bestFit="1" customWidth="1"/>
    <col min="50" max="55" width="5.75" bestFit="1" customWidth="1"/>
    <col min="56" max="56" width="11.58203125" bestFit="1" customWidth="1"/>
  </cols>
  <sheetData>
    <row r="3" spans="1:2" x14ac:dyDescent="0.35">
      <c r="A3" s="1" t="s">
        <v>102</v>
      </c>
      <c r="B3" t="s">
        <v>103</v>
      </c>
    </row>
    <row r="4" spans="1:2" x14ac:dyDescent="0.35">
      <c r="A4" s="2">
        <v>2014</v>
      </c>
      <c r="B4">
        <v>13075.57</v>
      </c>
    </row>
    <row r="5" spans="1:2" x14ac:dyDescent="0.35">
      <c r="A5" s="2">
        <v>2015</v>
      </c>
      <c r="B5">
        <v>11098.66</v>
      </c>
    </row>
    <row r="6" spans="1:2" x14ac:dyDescent="0.35">
      <c r="A6" s="2">
        <v>2016</v>
      </c>
      <c r="B6">
        <v>12801.472</v>
      </c>
    </row>
    <row r="7" spans="1:2" x14ac:dyDescent="0.35">
      <c r="A7" s="2">
        <v>2017</v>
      </c>
      <c r="B7">
        <v>12990.767999999998</v>
      </c>
    </row>
    <row r="8" spans="1:2" x14ac:dyDescent="0.35">
      <c r="A8" s="2">
        <v>2018</v>
      </c>
      <c r="B8">
        <v>18471.465</v>
      </c>
    </row>
    <row r="9" spans="1:2" x14ac:dyDescent="0.35">
      <c r="A9" s="2">
        <v>2019</v>
      </c>
      <c r="B9">
        <v>18921.141</v>
      </c>
    </row>
    <row r="10" spans="1:2" x14ac:dyDescent="0.35">
      <c r="A10" s="2">
        <v>2020</v>
      </c>
      <c r="B10">
        <v>15379.389999999998</v>
      </c>
    </row>
    <row r="11" spans="1:2" x14ac:dyDescent="0.35">
      <c r="A11" s="2">
        <v>2021</v>
      </c>
      <c r="B11">
        <v>20125.915000000001</v>
      </c>
    </row>
    <row r="12" spans="1:2" x14ac:dyDescent="0.35">
      <c r="A12" s="2">
        <v>2022</v>
      </c>
      <c r="B12">
        <v>18500.444</v>
      </c>
    </row>
    <row r="13" spans="1:2" x14ac:dyDescent="0.35">
      <c r="A13" s="2">
        <v>2023</v>
      </c>
      <c r="B13">
        <v>18447.342000000001</v>
      </c>
    </row>
    <row r="14" spans="1:2" x14ac:dyDescent="0.35">
      <c r="A14" s="2">
        <v>2024</v>
      </c>
      <c r="B14">
        <v>11188.337</v>
      </c>
    </row>
    <row r="15" spans="1:2" x14ac:dyDescent="0.35">
      <c r="A15" s="2">
        <v>2025</v>
      </c>
      <c r="B15">
        <v>15181.178</v>
      </c>
    </row>
    <row r="16" spans="1:2" x14ac:dyDescent="0.35">
      <c r="A16" s="2" t="s">
        <v>104</v>
      </c>
      <c r="B16">
        <v>186181.68199999997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55"/>
  <sheetViews>
    <sheetView zoomScaleNormal="100" workbookViewId="0">
      <selection sqref="A1:AU55"/>
    </sheetView>
  </sheetViews>
  <sheetFormatPr baseColWidth="10" defaultRowHeight="14.5" x14ac:dyDescent="0.35"/>
  <sheetData>
    <row r="1" spans="1:47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ht="15.5" x14ac:dyDescent="0.35">
      <c r="A2" t="s">
        <v>47</v>
      </c>
      <c r="B2" t="s">
        <v>48</v>
      </c>
      <c r="C2">
        <v>20140101</v>
      </c>
      <c r="D2">
        <v>2014</v>
      </c>
      <c r="E2">
        <v>52</v>
      </c>
      <c r="F2" t="s">
        <v>49</v>
      </c>
      <c r="G2">
        <v>380</v>
      </c>
      <c r="H2" t="s">
        <v>50</v>
      </c>
      <c r="I2" t="s">
        <v>51</v>
      </c>
      <c r="J2" t="s">
        <v>52</v>
      </c>
      <c r="K2" t="s">
        <v>53</v>
      </c>
      <c r="L2">
        <v>686</v>
      </c>
      <c r="M2" t="s">
        <v>54</v>
      </c>
      <c r="N2" t="s">
        <v>55</v>
      </c>
      <c r="O2">
        <v>0</v>
      </c>
      <c r="P2" t="s">
        <v>56</v>
      </c>
      <c r="Q2" t="s">
        <v>57</v>
      </c>
      <c r="R2" t="s">
        <v>58</v>
      </c>
      <c r="S2" t="s">
        <v>59</v>
      </c>
      <c r="T2" t="b">
        <v>1</v>
      </c>
      <c r="U2" t="s">
        <v>60</v>
      </c>
      <c r="V2" t="s">
        <v>61</v>
      </c>
      <c r="W2">
        <v>6</v>
      </c>
      <c r="X2" t="b">
        <v>1</v>
      </c>
      <c r="Y2" t="s">
        <v>62</v>
      </c>
      <c r="Z2" t="s">
        <v>63</v>
      </c>
      <c r="AA2" t="s">
        <v>64</v>
      </c>
      <c r="AB2">
        <v>0</v>
      </c>
      <c r="AC2" t="s">
        <v>65</v>
      </c>
      <c r="AD2">
        <v>8</v>
      </c>
      <c r="AE2" t="s">
        <v>66</v>
      </c>
      <c r="AF2">
        <v>51</v>
      </c>
      <c r="AG2" t="b">
        <v>0</v>
      </c>
      <c r="AH2">
        <v>-1</v>
      </c>
      <c r="AI2" t="s">
        <v>67</v>
      </c>
      <c r="AK2" t="b">
        <v>1</v>
      </c>
      <c r="AL2">
        <v>51</v>
      </c>
      <c r="AM2" t="b">
        <v>0</v>
      </c>
      <c r="AO2" t="b">
        <v>0</v>
      </c>
      <c r="AP2">
        <v>1496395</v>
      </c>
      <c r="AR2">
        <v>1496395</v>
      </c>
      <c r="AS2">
        <v>0</v>
      </c>
      <c r="AT2" t="b">
        <v>0</v>
      </c>
      <c r="AU2" t="b">
        <v>0</v>
      </c>
    </row>
    <row r="3" spans="1:47" ht="15.5" x14ac:dyDescent="0.35">
      <c r="A3" t="s">
        <v>47</v>
      </c>
      <c r="B3" t="s">
        <v>48</v>
      </c>
      <c r="C3">
        <v>20140101</v>
      </c>
      <c r="D3">
        <v>2014</v>
      </c>
      <c r="E3">
        <v>52</v>
      </c>
      <c r="F3" t="s">
        <v>49</v>
      </c>
      <c r="G3">
        <v>757</v>
      </c>
      <c r="H3" t="s">
        <v>68</v>
      </c>
      <c r="I3" t="s">
        <v>69</v>
      </c>
      <c r="J3" t="s">
        <v>52</v>
      </c>
      <c r="K3" t="s">
        <v>53</v>
      </c>
      <c r="L3">
        <v>686</v>
      </c>
      <c r="M3" t="s">
        <v>54</v>
      </c>
      <c r="N3" t="s">
        <v>55</v>
      </c>
      <c r="O3">
        <v>0</v>
      </c>
      <c r="P3" t="s">
        <v>56</v>
      </c>
      <c r="Q3" t="s">
        <v>57</v>
      </c>
      <c r="R3" t="s">
        <v>58</v>
      </c>
      <c r="S3" t="s">
        <v>59</v>
      </c>
      <c r="T3" t="b">
        <v>1</v>
      </c>
      <c r="U3" t="s">
        <v>60</v>
      </c>
      <c r="V3" t="s">
        <v>61</v>
      </c>
      <c r="W3">
        <v>6</v>
      </c>
      <c r="X3" t="b">
        <v>1</v>
      </c>
      <c r="Y3" t="s">
        <v>62</v>
      </c>
      <c r="Z3" t="s">
        <v>63</v>
      </c>
      <c r="AA3" t="s">
        <v>64</v>
      </c>
      <c r="AB3">
        <v>0</v>
      </c>
      <c r="AC3" t="s">
        <v>65</v>
      </c>
      <c r="AD3">
        <v>8</v>
      </c>
      <c r="AE3" t="s">
        <v>66</v>
      </c>
      <c r="AF3">
        <v>7789</v>
      </c>
      <c r="AG3" t="b">
        <v>0</v>
      </c>
      <c r="AH3">
        <v>8</v>
      </c>
      <c r="AI3" t="s">
        <v>66</v>
      </c>
      <c r="AJ3">
        <v>7789</v>
      </c>
      <c r="AK3" t="b">
        <v>0</v>
      </c>
      <c r="AL3">
        <v>7789</v>
      </c>
      <c r="AM3" t="b">
        <v>0</v>
      </c>
      <c r="AN3">
        <v>0</v>
      </c>
      <c r="AO3" t="b">
        <v>0</v>
      </c>
      <c r="AP3">
        <v>271006543.37199998</v>
      </c>
      <c r="AQ3">
        <v>0</v>
      </c>
      <c r="AR3">
        <v>271006543.37199998</v>
      </c>
      <c r="AS3">
        <v>0</v>
      </c>
      <c r="AT3" t="b">
        <v>0</v>
      </c>
      <c r="AU3" t="b">
        <v>1</v>
      </c>
    </row>
    <row r="4" spans="1:47" ht="15.5" x14ac:dyDescent="0.35">
      <c r="A4" t="s">
        <v>47</v>
      </c>
      <c r="B4" t="s">
        <v>48</v>
      </c>
      <c r="C4">
        <v>20140101</v>
      </c>
      <c r="D4">
        <v>2014</v>
      </c>
      <c r="E4">
        <v>52</v>
      </c>
      <c r="F4" t="s">
        <v>49</v>
      </c>
      <c r="G4">
        <v>784</v>
      </c>
      <c r="H4" t="s">
        <v>70</v>
      </c>
      <c r="I4" t="s">
        <v>71</v>
      </c>
      <c r="J4" t="s">
        <v>52</v>
      </c>
      <c r="K4" t="s">
        <v>53</v>
      </c>
      <c r="L4">
        <v>686</v>
      </c>
      <c r="M4" t="s">
        <v>54</v>
      </c>
      <c r="N4" t="s">
        <v>55</v>
      </c>
      <c r="O4">
        <v>0</v>
      </c>
      <c r="P4" t="s">
        <v>56</v>
      </c>
      <c r="Q4" t="s">
        <v>57</v>
      </c>
      <c r="R4" t="s">
        <v>58</v>
      </c>
      <c r="S4" t="s">
        <v>59</v>
      </c>
      <c r="T4" t="b">
        <v>1</v>
      </c>
      <c r="U4" t="s">
        <v>60</v>
      </c>
      <c r="V4" t="s">
        <v>61</v>
      </c>
      <c r="W4">
        <v>6</v>
      </c>
      <c r="X4" t="b">
        <v>1</v>
      </c>
      <c r="Y4" t="s">
        <v>62</v>
      </c>
      <c r="Z4" t="s">
        <v>63</v>
      </c>
      <c r="AA4" t="s">
        <v>72</v>
      </c>
      <c r="AB4">
        <v>0</v>
      </c>
      <c r="AC4" t="s">
        <v>65</v>
      </c>
      <c r="AD4">
        <v>8</v>
      </c>
      <c r="AE4" t="s">
        <v>66</v>
      </c>
      <c r="AF4">
        <v>5235.57</v>
      </c>
      <c r="AG4" t="b">
        <v>0</v>
      </c>
      <c r="AH4">
        <v>8</v>
      </c>
      <c r="AI4" t="s">
        <v>66</v>
      </c>
      <c r="AJ4">
        <v>5235.57</v>
      </c>
      <c r="AK4" t="b">
        <v>0</v>
      </c>
      <c r="AL4">
        <v>5235.57</v>
      </c>
      <c r="AM4" t="b">
        <v>0</v>
      </c>
      <c r="AO4" t="b">
        <v>0</v>
      </c>
      <c r="AP4">
        <v>153775097.31200001</v>
      </c>
      <c r="AR4">
        <v>153775097.31200001</v>
      </c>
      <c r="AS4">
        <v>0</v>
      </c>
      <c r="AT4" t="b">
        <v>1</v>
      </c>
      <c r="AU4" t="b">
        <v>0</v>
      </c>
    </row>
    <row r="5" spans="1:47" ht="15.5" x14ac:dyDescent="0.35">
      <c r="A5" t="s">
        <v>47</v>
      </c>
      <c r="B5" t="s">
        <v>48</v>
      </c>
      <c r="C5">
        <v>20150101</v>
      </c>
      <c r="D5">
        <v>2015</v>
      </c>
      <c r="E5">
        <v>52</v>
      </c>
      <c r="F5" t="s">
        <v>73</v>
      </c>
      <c r="G5">
        <v>380</v>
      </c>
      <c r="H5" t="s">
        <v>50</v>
      </c>
      <c r="I5" t="s">
        <v>51</v>
      </c>
      <c r="J5" t="s">
        <v>52</v>
      </c>
      <c r="K5" t="s">
        <v>53</v>
      </c>
      <c r="L5">
        <v>686</v>
      </c>
      <c r="M5" t="s">
        <v>54</v>
      </c>
      <c r="N5" t="s">
        <v>55</v>
      </c>
      <c r="O5">
        <v>0</v>
      </c>
      <c r="P5" t="s">
        <v>56</v>
      </c>
      <c r="Q5" t="s">
        <v>57</v>
      </c>
      <c r="R5" t="s">
        <v>58</v>
      </c>
      <c r="S5" t="s">
        <v>59</v>
      </c>
      <c r="T5" t="b">
        <v>1</v>
      </c>
      <c r="U5" t="s">
        <v>60</v>
      </c>
      <c r="V5" t="s">
        <v>61</v>
      </c>
      <c r="W5">
        <v>6</v>
      </c>
      <c r="X5" t="b">
        <v>1</v>
      </c>
      <c r="Y5" t="s">
        <v>62</v>
      </c>
      <c r="Z5" t="s">
        <v>63</v>
      </c>
      <c r="AA5" t="s">
        <v>72</v>
      </c>
      <c r="AB5">
        <v>0</v>
      </c>
      <c r="AC5" t="s">
        <v>65</v>
      </c>
      <c r="AD5">
        <v>8</v>
      </c>
      <c r="AE5" t="s">
        <v>66</v>
      </c>
      <c r="AF5">
        <v>66</v>
      </c>
      <c r="AG5" t="b">
        <v>0</v>
      </c>
      <c r="AH5">
        <v>15</v>
      </c>
      <c r="AI5" t="s">
        <v>74</v>
      </c>
      <c r="AJ5">
        <v>66945</v>
      </c>
      <c r="AK5" t="b">
        <v>0</v>
      </c>
      <c r="AL5">
        <v>66</v>
      </c>
      <c r="AM5" t="b">
        <v>0</v>
      </c>
      <c r="AO5" t="b">
        <v>0</v>
      </c>
      <c r="AP5">
        <v>2027375.871</v>
      </c>
      <c r="AR5">
        <v>2027375.871</v>
      </c>
      <c r="AS5">
        <v>0</v>
      </c>
      <c r="AT5" t="b">
        <v>1</v>
      </c>
      <c r="AU5" t="b">
        <v>0</v>
      </c>
    </row>
    <row r="6" spans="1:47" ht="15.5" x14ac:dyDescent="0.35">
      <c r="A6" t="s">
        <v>47</v>
      </c>
      <c r="B6" t="s">
        <v>48</v>
      </c>
      <c r="C6">
        <v>20150101</v>
      </c>
      <c r="D6">
        <v>2015</v>
      </c>
      <c r="E6">
        <v>52</v>
      </c>
      <c r="F6" t="s">
        <v>73</v>
      </c>
      <c r="G6">
        <v>757</v>
      </c>
      <c r="H6" t="s">
        <v>68</v>
      </c>
      <c r="I6" t="s">
        <v>69</v>
      </c>
      <c r="J6" t="s">
        <v>52</v>
      </c>
      <c r="K6" t="s">
        <v>53</v>
      </c>
      <c r="L6">
        <v>686</v>
      </c>
      <c r="M6" t="s">
        <v>54</v>
      </c>
      <c r="N6" t="s">
        <v>55</v>
      </c>
      <c r="O6">
        <v>0</v>
      </c>
      <c r="P6" t="s">
        <v>56</v>
      </c>
      <c r="Q6" t="s">
        <v>57</v>
      </c>
      <c r="R6" t="s">
        <v>58</v>
      </c>
      <c r="S6" t="s">
        <v>59</v>
      </c>
      <c r="T6" t="b">
        <v>1</v>
      </c>
      <c r="U6" t="s">
        <v>60</v>
      </c>
      <c r="V6" t="s">
        <v>61</v>
      </c>
      <c r="W6">
        <v>6</v>
      </c>
      <c r="X6" t="b">
        <v>1</v>
      </c>
      <c r="Y6" t="s">
        <v>62</v>
      </c>
      <c r="Z6" t="s">
        <v>63</v>
      </c>
      <c r="AA6" t="s">
        <v>64</v>
      </c>
      <c r="AB6">
        <v>0</v>
      </c>
      <c r="AC6" t="s">
        <v>65</v>
      </c>
      <c r="AD6">
        <v>8</v>
      </c>
      <c r="AE6" t="s">
        <v>66</v>
      </c>
      <c r="AF6">
        <v>6374</v>
      </c>
      <c r="AG6" t="b">
        <v>0</v>
      </c>
      <c r="AH6">
        <v>8</v>
      </c>
      <c r="AI6" t="s">
        <v>66</v>
      </c>
      <c r="AJ6">
        <v>6374</v>
      </c>
      <c r="AK6" t="b">
        <v>0</v>
      </c>
      <c r="AL6">
        <v>6374</v>
      </c>
      <c r="AM6" t="b">
        <v>0</v>
      </c>
      <c r="AN6">
        <v>0</v>
      </c>
      <c r="AO6" t="b">
        <v>0</v>
      </c>
      <c r="AP6">
        <v>219145334.37099999</v>
      </c>
      <c r="AQ6">
        <v>0</v>
      </c>
      <c r="AR6">
        <v>219145334.37099999</v>
      </c>
      <c r="AS6">
        <v>0</v>
      </c>
      <c r="AT6" t="b">
        <v>0</v>
      </c>
      <c r="AU6" t="b">
        <v>1</v>
      </c>
    </row>
    <row r="7" spans="1:47" ht="15.5" x14ac:dyDescent="0.35">
      <c r="A7" t="s">
        <v>47</v>
      </c>
      <c r="B7" t="s">
        <v>48</v>
      </c>
      <c r="C7">
        <v>20150101</v>
      </c>
      <c r="D7">
        <v>2015</v>
      </c>
      <c r="E7">
        <v>52</v>
      </c>
      <c r="F7" t="s">
        <v>73</v>
      </c>
      <c r="G7">
        <v>784</v>
      </c>
      <c r="H7" t="s">
        <v>70</v>
      </c>
      <c r="I7" t="s">
        <v>71</v>
      </c>
      <c r="J7" t="s">
        <v>52</v>
      </c>
      <c r="K7" t="s">
        <v>53</v>
      </c>
      <c r="L7">
        <v>686</v>
      </c>
      <c r="M7" t="s">
        <v>54</v>
      </c>
      <c r="N7" t="s">
        <v>55</v>
      </c>
      <c r="O7">
        <v>0</v>
      </c>
      <c r="P7" t="s">
        <v>56</v>
      </c>
      <c r="Q7" t="s">
        <v>57</v>
      </c>
      <c r="R7" t="s">
        <v>58</v>
      </c>
      <c r="S7" t="s">
        <v>59</v>
      </c>
      <c r="T7" t="b">
        <v>1</v>
      </c>
      <c r="U7" t="s">
        <v>60</v>
      </c>
      <c r="V7" t="s">
        <v>61</v>
      </c>
      <c r="W7">
        <v>6</v>
      </c>
      <c r="X7" t="b">
        <v>1</v>
      </c>
      <c r="Y7" t="s">
        <v>62</v>
      </c>
      <c r="Z7" t="s">
        <v>63</v>
      </c>
      <c r="AA7" t="s">
        <v>72</v>
      </c>
      <c r="AB7">
        <v>0</v>
      </c>
      <c r="AC7" t="s">
        <v>65</v>
      </c>
      <c r="AD7">
        <v>8</v>
      </c>
      <c r="AE7" t="s">
        <v>66</v>
      </c>
      <c r="AF7">
        <v>4658.66</v>
      </c>
      <c r="AG7" t="b">
        <v>0</v>
      </c>
      <c r="AH7">
        <v>8</v>
      </c>
      <c r="AI7" t="s">
        <v>66</v>
      </c>
      <c r="AJ7">
        <v>4658.66</v>
      </c>
      <c r="AK7" t="b">
        <v>0</v>
      </c>
      <c r="AL7">
        <v>4658.66</v>
      </c>
      <c r="AM7" t="b">
        <v>0</v>
      </c>
      <c r="AO7" t="b">
        <v>0</v>
      </c>
      <c r="AP7">
        <v>123230254.083</v>
      </c>
      <c r="AR7">
        <v>123230254.083</v>
      </c>
      <c r="AS7">
        <v>0</v>
      </c>
      <c r="AT7" t="b">
        <v>1</v>
      </c>
      <c r="AU7" t="b">
        <v>0</v>
      </c>
    </row>
    <row r="8" spans="1:47" ht="15.5" x14ac:dyDescent="0.35">
      <c r="A8" t="s">
        <v>47</v>
      </c>
      <c r="B8" t="s">
        <v>48</v>
      </c>
      <c r="C8">
        <v>20160101</v>
      </c>
      <c r="D8">
        <v>2016</v>
      </c>
      <c r="E8">
        <v>52</v>
      </c>
      <c r="F8" t="s">
        <v>75</v>
      </c>
      <c r="G8">
        <v>380</v>
      </c>
      <c r="H8" t="s">
        <v>50</v>
      </c>
      <c r="I8" t="s">
        <v>51</v>
      </c>
      <c r="J8" t="s">
        <v>52</v>
      </c>
      <c r="K8" t="s">
        <v>53</v>
      </c>
      <c r="L8">
        <v>686</v>
      </c>
      <c r="M8" t="s">
        <v>54</v>
      </c>
      <c r="N8" t="s">
        <v>55</v>
      </c>
      <c r="O8">
        <v>0</v>
      </c>
      <c r="P8" t="s">
        <v>56</v>
      </c>
      <c r="Q8" t="s">
        <v>57</v>
      </c>
      <c r="R8" t="s">
        <v>58</v>
      </c>
      <c r="S8" t="s">
        <v>59</v>
      </c>
      <c r="T8" t="b">
        <v>1</v>
      </c>
      <c r="U8" t="s">
        <v>60</v>
      </c>
      <c r="V8" t="s">
        <v>61</v>
      </c>
      <c r="W8">
        <v>6</v>
      </c>
      <c r="X8" t="b">
        <v>1</v>
      </c>
      <c r="Y8" t="s">
        <v>62</v>
      </c>
      <c r="Z8" t="s">
        <v>63</v>
      </c>
      <c r="AA8" t="s">
        <v>72</v>
      </c>
      <c r="AB8">
        <v>0</v>
      </c>
      <c r="AC8" t="s">
        <v>65</v>
      </c>
      <c r="AD8">
        <v>8</v>
      </c>
      <c r="AE8" t="s">
        <v>66</v>
      </c>
      <c r="AF8">
        <v>105</v>
      </c>
      <c r="AG8" t="b">
        <v>0</v>
      </c>
      <c r="AH8">
        <v>15</v>
      </c>
      <c r="AI8" t="s">
        <v>74</v>
      </c>
      <c r="AJ8">
        <v>100838</v>
      </c>
      <c r="AK8" t="b">
        <v>0</v>
      </c>
      <c r="AL8">
        <v>105</v>
      </c>
      <c r="AM8" t="b">
        <v>0</v>
      </c>
      <c r="AO8" t="b">
        <v>0</v>
      </c>
      <c r="AP8">
        <v>3655684.8059999999</v>
      </c>
      <c r="AR8">
        <v>3655684.8059999999</v>
      </c>
      <c r="AS8">
        <v>0</v>
      </c>
      <c r="AT8" t="b">
        <v>1</v>
      </c>
      <c r="AU8" t="b">
        <v>0</v>
      </c>
    </row>
    <row r="9" spans="1:47" ht="15.5" x14ac:dyDescent="0.35">
      <c r="A9" t="s">
        <v>47</v>
      </c>
      <c r="B9" t="s">
        <v>48</v>
      </c>
      <c r="C9">
        <v>20160101</v>
      </c>
      <c r="D9">
        <v>2016</v>
      </c>
      <c r="E9">
        <v>52</v>
      </c>
      <c r="F9" t="s">
        <v>75</v>
      </c>
      <c r="G9">
        <v>757</v>
      </c>
      <c r="H9" t="s">
        <v>68</v>
      </c>
      <c r="I9" t="s">
        <v>69</v>
      </c>
      <c r="J9" t="s">
        <v>52</v>
      </c>
      <c r="K9" t="s">
        <v>53</v>
      </c>
      <c r="L9">
        <v>686</v>
      </c>
      <c r="M9" t="s">
        <v>54</v>
      </c>
      <c r="N9" t="s">
        <v>55</v>
      </c>
      <c r="O9">
        <v>0</v>
      </c>
      <c r="P9" t="s">
        <v>56</v>
      </c>
      <c r="Q9" t="s">
        <v>57</v>
      </c>
      <c r="R9" t="s">
        <v>58</v>
      </c>
      <c r="S9" t="s">
        <v>59</v>
      </c>
      <c r="T9" t="b">
        <v>1</v>
      </c>
      <c r="U9" t="s">
        <v>60</v>
      </c>
      <c r="V9" t="s">
        <v>61</v>
      </c>
      <c r="W9">
        <v>6</v>
      </c>
      <c r="X9" t="b">
        <v>1</v>
      </c>
      <c r="Y9" t="s">
        <v>62</v>
      </c>
      <c r="Z9" t="s">
        <v>63</v>
      </c>
      <c r="AA9" t="s">
        <v>64</v>
      </c>
      <c r="AB9">
        <v>0</v>
      </c>
      <c r="AC9" t="s">
        <v>65</v>
      </c>
      <c r="AD9">
        <v>8</v>
      </c>
      <c r="AE9" t="s">
        <v>66</v>
      </c>
      <c r="AF9">
        <v>7294</v>
      </c>
      <c r="AG9" t="b">
        <v>0</v>
      </c>
      <c r="AH9">
        <v>8</v>
      </c>
      <c r="AI9" t="s">
        <v>66</v>
      </c>
      <c r="AJ9">
        <v>7294</v>
      </c>
      <c r="AK9" t="b">
        <v>0</v>
      </c>
      <c r="AL9">
        <v>7294</v>
      </c>
      <c r="AM9" t="b">
        <v>0</v>
      </c>
      <c r="AN9">
        <v>0</v>
      </c>
      <c r="AO9" t="b">
        <v>0</v>
      </c>
      <c r="AP9">
        <v>270646104.97600001</v>
      </c>
      <c r="AQ9">
        <v>0</v>
      </c>
      <c r="AR9">
        <v>270646104.97600001</v>
      </c>
      <c r="AS9">
        <v>0</v>
      </c>
      <c r="AT9" t="b">
        <v>0</v>
      </c>
      <c r="AU9" t="b">
        <v>1</v>
      </c>
    </row>
    <row r="10" spans="1:47" ht="15.5" x14ac:dyDescent="0.35">
      <c r="A10" t="s">
        <v>47</v>
      </c>
      <c r="B10" t="s">
        <v>48</v>
      </c>
      <c r="C10">
        <v>20160101</v>
      </c>
      <c r="D10">
        <v>2016</v>
      </c>
      <c r="E10">
        <v>52</v>
      </c>
      <c r="F10" t="s">
        <v>75</v>
      </c>
      <c r="G10">
        <v>784</v>
      </c>
      <c r="H10" t="s">
        <v>70</v>
      </c>
      <c r="I10" t="s">
        <v>71</v>
      </c>
      <c r="J10" t="s">
        <v>52</v>
      </c>
      <c r="K10" t="s">
        <v>53</v>
      </c>
      <c r="L10">
        <v>686</v>
      </c>
      <c r="M10" t="s">
        <v>54</v>
      </c>
      <c r="N10" t="s">
        <v>55</v>
      </c>
      <c r="O10">
        <v>0</v>
      </c>
      <c r="P10" t="s">
        <v>56</v>
      </c>
      <c r="Q10" t="s">
        <v>57</v>
      </c>
      <c r="R10" t="s">
        <v>58</v>
      </c>
      <c r="S10" t="s">
        <v>59</v>
      </c>
      <c r="T10" t="b">
        <v>1</v>
      </c>
      <c r="U10" t="s">
        <v>60</v>
      </c>
      <c r="V10" t="s">
        <v>61</v>
      </c>
      <c r="W10">
        <v>6</v>
      </c>
      <c r="X10" t="b">
        <v>1</v>
      </c>
      <c r="Y10" t="s">
        <v>62</v>
      </c>
      <c r="Z10" t="s">
        <v>63</v>
      </c>
      <c r="AA10" t="s">
        <v>72</v>
      </c>
      <c r="AB10">
        <v>0</v>
      </c>
      <c r="AC10" t="s">
        <v>65</v>
      </c>
      <c r="AD10">
        <v>8</v>
      </c>
      <c r="AE10" t="s">
        <v>66</v>
      </c>
      <c r="AF10">
        <v>5394.42</v>
      </c>
      <c r="AG10" t="b">
        <v>0</v>
      </c>
      <c r="AH10">
        <v>8</v>
      </c>
      <c r="AI10" t="s">
        <v>66</v>
      </c>
      <c r="AJ10">
        <v>5394.42</v>
      </c>
      <c r="AK10" t="b">
        <v>0</v>
      </c>
      <c r="AL10">
        <v>5394.42</v>
      </c>
      <c r="AM10" t="b">
        <v>0</v>
      </c>
      <c r="AO10" t="b">
        <v>0</v>
      </c>
      <c r="AP10">
        <v>153104784.84400001</v>
      </c>
      <c r="AR10">
        <v>153104784.84400001</v>
      </c>
      <c r="AS10">
        <v>0</v>
      </c>
      <c r="AT10" t="b">
        <v>1</v>
      </c>
      <c r="AU10" t="b">
        <v>0</v>
      </c>
    </row>
    <row r="11" spans="1:47" ht="15.5" x14ac:dyDescent="0.35">
      <c r="A11" t="s">
        <v>47</v>
      </c>
      <c r="B11" t="s">
        <v>48</v>
      </c>
      <c r="C11">
        <v>20160101</v>
      </c>
      <c r="D11">
        <v>2016</v>
      </c>
      <c r="E11">
        <v>52</v>
      </c>
      <c r="F11" t="s">
        <v>75</v>
      </c>
      <c r="G11">
        <v>792</v>
      </c>
      <c r="H11" t="s">
        <v>76</v>
      </c>
      <c r="I11" t="s">
        <v>77</v>
      </c>
      <c r="J11" t="s">
        <v>52</v>
      </c>
      <c r="K11" t="s">
        <v>53</v>
      </c>
      <c r="L11">
        <v>686</v>
      </c>
      <c r="M11" t="s">
        <v>54</v>
      </c>
      <c r="N11" t="s">
        <v>55</v>
      </c>
      <c r="O11">
        <v>0</v>
      </c>
      <c r="P11" t="s">
        <v>56</v>
      </c>
      <c r="Q11" t="s">
        <v>57</v>
      </c>
      <c r="R11" t="s">
        <v>58</v>
      </c>
      <c r="S11" t="s">
        <v>59</v>
      </c>
      <c r="T11" t="b">
        <v>1</v>
      </c>
      <c r="U11" t="s">
        <v>60</v>
      </c>
      <c r="V11" t="s">
        <v>61</v>
      </c>
      <c r="W11">
        <v>6</v>
      </c>
      <c r="X11" t="b">
        <v>1</v>
      </c>
      <c r="Y11" t="s">
        <v>62</v>
      </c>
      <c r="Z11" t="s">
        <v>63</v>
      </c>
      <c r="AA11" t="s">
        <v>64</v>
      </c>
      <c r="AB11">
        <v>0</v>
      </c>
      <c r="AC11" t="s">
        <v>65</v>
      </c>
      <c r="AD11">
        <v>8</v>
      </c>
      <c r="AE11" t="s">
        <v>66</v>
      </c>
      <c r="AF11">
        <v>8.0519999999999996</v>
      </c>
      <c r="AG11" t="b">
        <v>0</v>
      </c>
      <c r="AH11">
        <v>15</v>
      </c>
      <c r="AI11" t="s">
        <v>74</v>
      </c>
      <c r="AJ11">
        <v>8052</v>
      </c>
      <c r="AK11" t="b">
        <v>0</v>
      </c>
      <c r="AL11">
        <v>8</v>
      </c>
      <c r="AM11" t="b">
        <v>0</v>
      </c>
      <c r="AN11">
        <v>0</v>
      </c>
      <c r="AO11" t="b">
        <v>0</v>
      </c>
      <c r="AP11">
        <v>318362</v>
      </c>
      <c r="AQ11">
        <v>281738</v>
      </c>
      <c r="AR11">
        <v>318362</v>
      </c>
      <c r="AS11">
        <v>0</v>
      </c>
      <c r="AT11" t="b">
        <v>0</v>
      </c>
      <c r="AU11" t="b">
        <v>1</v>
      </c>
    </row>
    <row r="12" spans="1:47" ht="15.5" x14ac:dyDescent="0.35">
      <c r="A12" t="s">
        <v>47</v>
      </c>
      <c r="B12" t="s">
        <v>48</v>
      </c>
      <c r="C12">
        <v>20170101</v>
      </c>
      <c r="D12">
        <v>2017</v>
      </c>
      <c r="E12">
        <v>52</v>
      </c>
      <c r="F12" t="s">
        <v>78</v>
      </c>
      <c r="G12">
        <v>380</v>
      </c>
      <c r="H12" t="s">
        <v>50</v>
      </c>
      <c r="I12" t="s">
        <v>51</v>
      </c>
      <c r="J12" t="s">
        <v>52</v>
      </c>
      <c r="K12" t="s">
        <v>53</v>
      </c>
      <c r="L12">
        <v>686</v>
      </c>
      <c r="M12" t="s">
        <v>54</v>
      </c>
      <c r="N12" t="s">
        <v>55</v>
      </c>
      <c r="O12">
        <v>0</v>
      </c>
      <c r="P12" t="s">
        <v>56</v>
      </c>
      <c r="Q12" t="s">
        <v>57</v>
      </c>
      <c r="R12" t="s">
        <v>79</v>
      </c>
      <c r="S12" t="s">
        <v>59</v>
      </c>
      <c r="T12" t="b">
        <v>1</v>
      </c>
      <c r="U12" t="s">
        <v>60</v>
      </c>
      <c r="V12" t="s">
        <v>61</v>
      </c>
      <c r="W12">
        <v>6</v>
      </c>
      <c r="X12" t="b">
        <v>1</v>
      </c>
      <c r="Y12" t="s">
        <v>62</v>
      </c>
      <c r="Z12" t="s">
        <v>63</v>
      </c>
      <c r="AA12" t="s">
        <v>64</v>
      </c>
      <c r="AB12">
        <v>0</v>
      </c>
      <c r="AC12" t="s">
        <v>65</v>
      </c>
      <c r="AD12">
        <v>8</v>
      </c>
      <c r="AE12" t="s">
        <v>66</v>
      </c>
      <c r="AF12">
        <v>129.637</v>
      </c>
      <c r="AG12" t="b">
        <v>0</v>
      </c>
      <c r="AH12">
        <v>15</v>
      </c>
      <c r="AI12" t="s">
        <v>74</v>
      </c>
      <c r="AJ12">
        <v>129637</v>
      </c>
      <c r="AK12" t="b">
        <v>0</v>
      </c>
      <c r="AL12">
        <v>133</v>
      </c>
      <c r="AM12" t="b">
        <v>0</v>
      </c>
      <c r="AN12">
        <v>0</v>
      </c>
      <c r="AO12" t="b">
        <v>0</v>
      </c>
      <c r="AP12">
        <v>4391259.8329999996</v>
      </c>
      <c r="AR12">
        <v>4391259.8329999996</v>
      </c>
      <c r="AS12">
        <v>0</v>
      </c>
      <c r="AT12" t="b">
        <v>1</v>
      </c>
      <c r="AU12" t="b">
        <v>0</v>
      </c>
    </row>
    <row r="13" spans="1:47" ht="15.5" x14ac:dyDescent="0.35">
      <c r="A13" t="s">
        <v>47</v>
      </c>
      <c r="B13" t="s">
        <v>48</v>
      </c>
      <c r="C13">
        <v>20170101</v>
      </c>
      <c r="D13">
        <v>2017</v>
      </c>
      <c r="E13">
        <v>52</v>
      </c>
      <c r="F13" t="s">
        <v>78</v>
      </c>
      <c r="G13">
        <v>757</v>
      </c>
      <c r="H13" t="s">
        <v>68</v>
      </c>
      <c r="I13" t="s">
        <v>69</v>
      </c>
      <c r="J13" t="s">
        <v>52</v>
      </c>
      <c r="K13" t="s">
        <v>53</v>
      </c>
      <c r="L13">
        <v>686</v>
      </c>
      <c r="M13" t="s">
        <v>54</v>
      </c>
      <c r="N13" t="s">
        <v>55</v>
      </c>
      <c r="O13">
        <v>0</v>
      </c>
      <c r="P13" t="s">
        <v>56</v>
      </c>
      <c r="Q13" t="s">
        <v>57</v>
      </c>
      <c r="R13" t="s">
        <v>79</v>
      </c>
      <c r="S13" t="s">
        <v>59</v>
      </c>
      <c r="T13" t="b">
        <v>1</v>
      </c>
      <c r="U13" t="s">
        <v>60</v>
      </c>
      <c r="V13" t="s">
        <v>61</v>
      </c>
      <c r="W13">
        <v>6</v>
      </c>
      <c r="X13" t="b">
        <v>1</v>
      </c>
      <c r="Y13" t="s">
        <v>62</v>
      </c>
      <c r="Z13" t="s">
        <v>63</v>
      </c>
      <c r="AA13" t="s">
        <v>64</v>
      </c>
      <c r="AB13">
        <v>0</v>
      </c>
      <c r="AC13" t="s">
        <v>65</v>
      </c>
      <c r="AD13">
        <v>8</v>
      </c>
      <c r="AE13" t="s">
        <v>66</v>
      </c>
      <c r="AF13">
        <v>7443</v>
      </c>
      <c r="AG13" t="b">
        <v>0</v>
      </c>
      <c r="AH13">
        <v>8</v>
      </c>
      <c r="AI13" t="s">
        <v>66</v>
      </c>
      <c r="AJ13">
        <v>7443</v>
      </c>
      <c r="AK13" t="b">
        <v>0</v>
      </c>
      <c r="AL13">
        <v>7443</v>
      </c>
      <c r="AM13" t="b">
        <v>0</v>
      </c>
      <c r="AN13">
        <v>0</v>
      </c>
      <c r="AO13" t="b">
        <v>0</v>
      </c>
      <c r="AP13">
        <v>277019288.92799997</v>
      </c>
      <c r="AQ13">
        <v>0</v>
      </c>
      <c r="AR13">
        <v>277019288.92799997</v>
      </c>
      <c r="AS13">
        <v>0</v>
      </c>
      <c r="AT13" t="b">
        <v>0</v>
      </c>
      <c r="AU13" t="b">
        <v>1</v>
      </c>
    </row>
    <row r="14" spans="1:47" ht="15.5" x14ac:dyDescent="0.35">
      <c r="A14" t="s">
        <v>47</v>
      </c>
      <c r="B14" t="s">
        <v>48</v>
      </c>
      <c r="C14">
        <v>20170101</v>
      </c>
      <c r="D14">
        <v>2017</v>
      </c>
      <c r="E14">
        <v>52</v>
      </c>
      <c r="F14" t="s">
        <v>78</v>
      </c>
      <c r="G14">
        <v>784</v>
      </c>
      <c r="H14" t="s">
        <v>70</v>
      </c>
      <c r="I14" t="s">
        <v>71</v>
      </c>
      <c r="J14" t="s">
        <v>52</v>
      </c>
      <c r="K14" t="s">
        <v>53</v>
      </c>
      <c r="L14">
        <v>686</v>
      </c>
      <c r="M14" t="s">
        <v>54</v>
      </c>
      <c r="N14" t="s">
        <v>55</v>
      </c>
      <c r="O14">
        <v>0</v>
      </c>
      <c r="P14" t="s">
        <v>56</v>
      </c>
      <c r="Q14" t="s">
        <v>57</v>
      </c>
      <c r="R14" t="s">
        <v>58</v>
      </c>
      <c r="S14" t="s">
        <v>59</v>
      </c>
      <c r="T14" t="b">
        <v>1</v>
      </c>
      <c r="U14" t="s">
        <v>60</v>
      </c>
      <c r="V14" t="s">
        <v>61</v>
      </c>
      <c r="W14">
        <v>6</v>
      </c>
      <c r="X14" t="b">
        <v>1</v>
      </c>
      <c r="Y14" t="s">
        <v>62</v>
      </c>
      <c r="Z14" t="s">
        <v>63</v>
      </c>
      <c r="AA14" t="s">
        <v>64</v>
      </c>
      <c r="AB14">
        <v>0</v>
      </c>
      <c r="AC14" t="s">
        <v>65</v>
      </c>
      <c r="AD14">
        <v>8</v>
      </c>
      <c r="AE14" t="s">
        <v>66</v>
      </c>
      <c r="AF14">
        <v>5412</v>
      </c>
      <c r="AG14" t="b">
        <v>0</v>
      </c>
      <c r="AH14">
        <v>8</v>
      </c>
      <c r="AI14" t="s">
        <v>66</v>
      </c>
      <c r="AJ14">
        <v>5412</v>
      </c>
      <c r="AK14" t="b">
        <v>0</v>
      </c>
      <c r="AL14">
        <v>5412</v>
      </c>
      <c r="AM14" t="b">
        <v>0</v>
      </c>
      <c r="AN14">
        <v>0</v>
      </c>
      <c r="AO14" t="b">
        <v>0</v>
      </c>
      <c r="AP14">
        <v>158206645.72099999</v>
      </c>
      <c r="AQ14">
        <v>0</v>
      </c>
      <c r="AR14">
        <v>158206645.72099999</v>
      </c>
      <c r="AS14">
        <v>0</v>
      </c>
      <c r="AT14" t="b">
        <v>1</v>
      </c>
      <c r="AU14" t="b">
        <v>0</v>
      </c>
    </row>
    <row r="15" spans="1:47" ht="15.5" x14ac:dyDescent="0.35">
      <c r="A15" t="s">
        <v>47</v>
      </c>
      <c r="B15" t="s">
        <v>48</v>
      </c>
      <c r="C15">
        <v>20170101</v>
      </c>
      <c r="D15">
        <v>2017</v>
      </c>
      <c r="E15">
        <v>52</v>
      </c>
      <c r="F15" t="s">
        <v>78</v>
      </c>
      <c r="G15">
        <v>792</v>
      </c>
      <c r="H15" t="s">
        <v>76</v>
      </c>
      <c r="I15" t="s">
        <v>77</v>
      </c>
      <c r="J15" t="s">
        <v>52</v>
      </c>
      <c r="K15" t="s">
        <v>53</v>
      </c>
      <c r="L15">
        <v>686</v>
      </c>
      <c r="M15" t="s">
        <v>54</v>
      </c>
      <c r="N15" t="s">
        <v>55</v>
      </c>
      <c r="O15">
        <v>0</v>
      </c>
      <c r="P15" t="s">
        <v>56</v>
      </c>
      <c r="Q15" t="s">
        <v>57</v>
      </c>
      <c r="R15" t="s">
        <v>79</v>
      </c>
      <c r="S15" t="s">
        <v>59</v>
      </c>
      <c r="T15" t="b">
        <v>1</v>
      </c>
      <c r="U15" t="s">
        <v>60</v>
      </c>
      <c r="V15" t="s">
        <v>61</v>
      </c>
      <c r="W15">
        <v>6</v>
      </c>
      <c r="X15" t="b">
        <v>1</v>
      </c>
      <c r="Y15" t="s">
        <v>62</v>
      </c>
      <c r="Z15" t="s">
        <v>63</v>
      </c>
      <c r="AA15" t="s">
        <v>64</v>
      </c>
      <c r="AB15">
        <v>0</v>
      </c>
      <c r="AC15" t="s">
        <v>65</v>
      </c>
      <c r="AD15">
        <v>8</v>
      </c>
      <c r="AE15" t="s">
        <v>66</v>
      </c>
      <c r="AF15">
        <v>6.1310000000000002</v>
      </c>
      <c r="AG15" t="b">
        <v>0</v>
      </c>
      <c r="AH15">
        <v>15</v>
      </c>
      <c r="AI15" t="s">
        <v>74</v>
      </c>
      <c r="AJ15">
        <v>6131</v>
      </c>
      <c r="AK15" t="b">
        <v>0</v>
      </c>
      <c r="AL15">
        <v>7</v>
      </c>
      <c r="AM15" t="b">
        <v>0</v>
      </c>
      <c r="AN15">
        <v>0</v>
      </c>
      <c r="AO15" t="b">
        <v>0</v>
      </c>
      <c r="AP15">
        <v>235899</v>
      </c>
      <c r="AQ15">
        <v>208808</v>
      </c>
      <c r="AR15">
        <v>235899</v>
      </c>
      <c r="AS15">
        <v>0</v>
      </c>
      <c r="AT15" t="b">
        <v>0</v>
      </c>
      <c r="AU15" t="b">
        <v>1</v>
      </c>
    </row>
    <row r="16" spans="1:47" ht="15.5" x14ac:dyDescent="0.35">
      <c r="A16" t="s">
        <v>47</v>
      </c>
      <c r="B16" t="s">
        <v>48</v>
      </c>
      <c r="C16">
        <v>20180101</v>
      </c>
      <c r="D16">
        <v>2018</v>
      </c>
      <c r="E16">
        <v>52</v>
      </c>
      <c r="F16" t="s">
        <v>80</v>
      </c>
      <c r="G16">
        <v>380</v>
      </c>
      <c r="H16" t="s">
        <v>50</v>
      </c>
      <c r="I16" t="s">
        <v>51</v>
      </c>
      <c r="J16" t="s">
        <v>52</v>
      </c>
      <c r="K16" t="s">
        <v>53</v>
      </c>
      <c r="L16">
        <v>686</v>
      </c>
      <c r="M16" t="s">
        <v>54</v>
      </c>
      <c r="N16" t="s">
        <v>55</v>
      </c>
      <c r="O16">
        <v>0</v>
      </c>
      <c r="P16" t="s">
        <v>56</v>
      </c>
      <c r="Q16" t="s">
        <v>57</v>
      </c>
      <c r="R16" t="s">
        <v>79</v>
      </c>
      <c r="S16" t="s">
        <v>59</v>
      </c>
      <c r="T16" t="b">
        <v>1</v>
      </c>
      <c r="U16" t="s">
        <v>60</v>
      </c>
      <c r="V16" t="s">
        <v>61</v>
      </c>
      <c r="W16">
        <v>6</v>
      </c>
      <c r="X16" t="b">
        <v>1</v>
      </c>
      <c r="Y16" t="s">
        <v>62</v>
      </c>
      <c r="Z16" t="s">
        <v>63</v>
      </c>
      <c r="AA16" t="s">
        <v>64</v>
      </c>
      <c r="AB16">
        <v>0</v>
      </c>
      <c r="AC16" t="s">
        <v>65</v>
      </c>
      <c r="AD16">
        <v>8</v>
      </c>
      <c r="AE16" t="s">
        <v>66</v>
      </c>
      <c r="AF16">
        <v>176.50299999999999</v>
      </c>
      <c r="AG16" t="b">
        <v>0</v>
      </c>
      <c r="AH16">
        <v>15</v>
      </c>
      <c r="AI16" t="s">
        <v>74</v>
      </c>
      <c r="AJ16">
        <v>176503</v>
      </c>
      <c r="AK16" t="b">
        <v>0</v>
      </c>
      <c r="AL16">
        <v>178</v>
      </c>
      <c r="AM16" t="b">
        <v>0</v>
      </c>
      <c r="AN16">
        <v>0</v>
      </c>
      <c r="AO16" t="b">
        <v>0</v>
      </c>
      <c r="AP16">
        <v>5724894.1720000003</v>
      </c>
      <c r="AR16">
        <v>5724894.1720000003</v>
      </c>
      <c r="AS16">
        <v>0</v>
      </c>
      <c r="AT16" t="b">
        <v>1</v>
      </c>
      <c r="AU16" t="b">
        <v>0</v>
      </c>
    </row>
    <row r="17" spans="1:47" ht="15.5" x14ac:dyDescent="0.35">
      <c r="A17" t="s">
        <v>47</v>
      </c>
      <c r="B17" t="s">
        <v>48</v>
      </c>
      <c r="C17">
        <v>20180101</v>
      </c>
      <c r="D17">
        <v>2018</v>
      </c>
      <c r="E17">
        <v>52</v>
      </c>
      <c r="F17" t="s">
        <v>80</v>
      </c>
      <c r="G17">
        <v>392</v>
      </c>
      <c r="H17" t="s">
        <v>81</v>
      </c>
      <c r="I17" t="s">
        <v>82</v>
      </c>
      <c r="J17" t="s">
        <v>52</v>
      </c>
      <c r="K17" t="s">
        <v>53</v>
      </c>
      <c r="L17">
        <v>686</v>
      </c>
      <c r="M17" t="s">
        <v>54</v>
      </c>
      <c r="N17" t="s">
        <v>55</v>
      </c>
      <c r="O17">
        <v>0</v>
      </c>
      <c r="P17" t="s">
        <v>56</v>
      </c>
      <c r="Q17" t="s">
        <v>57</v>
      </c>
      <c r="R17" t="s">
        <v>79</v>
      </c>
      <c r="S17" t="s">
        <v>59</v>
      </c>
      <c r="T17" t="b">
        <v>1</v>
      </c>
      <c r="U17" t="s">
        <v>60</v>
      </c>
      <c r="V17" t="s">
        <v>61</v>
      </c>
      <c r="W17">
        <v>6</v>
      </c>
      <c r="X17" t="b">
        <v>1</v>
      </c>
      <c r="Y17" t="s">
        <v>62</v>
      </c>
      <c r="Z17" t="s">
        <v>63</v>
      </c>
      <c r="AA17" t="s">
        <v>64</v>
      </c>
      <c r="AB17">
        <v>0</v>
      </c>
      <c r="AC17" t="s">
        <v>65</v>
      </c>
      <c r="AD17">
        <v>8</v>
      </c>
      <c r="AE17" t="s">
        <v>66</v>
      </c>
      <c r="AF17">
        <v>3.4980000000000002</v>
      </c>
      <c r="AG17" t="b">
        <v>0</v>
      </c>
      <c r="AH17">
        <v>15</v>
      </c>
      <c r="AI17" t="s">
        <v>74</v>
      </c>
      <c r="AJ17">
        <v>3498</v>
      </c>
      <c r="AK17" t="b">
        <v>0</v>
      </c>
      <c r="AL17">
        <v>3.4980000000000002</v>
      </c>
      <c r="AM17" t="b">
        <v>0</v>
      </c>
      <c r="AN17">
        <v>0</v>
      </c>
      <c r="AO17" t="b">
        <v>0</v>
      </c>
      <c r="AP17">
        <v>123289.04399999999</v>
      </c>
      <c r="AQ17">
        <v>0</v>
      </c>
      <c r="AR17">
        <v>123289.04399999999</v>
      </c>
      <c r="AS17">
        <v>0</v>
      </c>
      <c r="AT17" t="b">
        <v>1</v>
      </c>
      <c r="AU17" t="b">
        <v>0</v>
      </c>
    </row>
    <row r="18" spans="1:47" ht="15.5" x14ac:dyDescent="0.35">
      <c r="A18" t="s">
        <v>47</v>
      </c>
      <c r="B18" t="s">
        <v>48</v>
      </c>
      <c r="C18">
        <v>20180101</v>
      </c>
      <c r="D18">
        <v>2018</v>
      </c>
      <c r="E18">
        <v>52</v>
      </c>
      <c r="F18" t="s">
        <v>80</v>
      </c>
      <c r="G18">
        <v>757</v>
      </c>
      <c r="H18" t="s">
        <v>68</v>
      </c>
      <c r="I18" t="s">
        <v>69</v>
      </c>
      <c r="J18" t="s">
        <v>52</v>
      </c>
      <c r="K18" t="s">
        <v>53</v>
      </c>
      <c r="L18">
        <v>686</v>
      </c>
      <c r="M18" t="s">
        <v>54</v>
      </c>
      <c r="N18" t="s">
        <v>55</v>
      </c>
      <c r="O18">
        <v>0</v>
      </c>
      <c r="P18" t="s">
        <v>56</v>
      </c>
      <c r="Q18" t="s">
        <v>57</v>
      </c>
      <c r="R18" t="s">
        <v>79</v>
      </c>
      <c r="S18" t="s">
        <v>59</v>
      </c>
      <c r="T18" t="b">
        <v>1</v>
      </c>
      <c r="U18" t="s">
        <v>60</v>
      </c>
      <c r="V18" t="s">
        <v>61</v>
      </c>
      <c r="W18">
        <v>6</v>
      </c>
      <c r="X18" t="b">
        <v>1</v>
      </c>
      <c r="Y18" t="s">
        <v>62</v>
      </c>
      <c r="Z18" t="s">
        <v>63</v>
      </c>
      <c r="AA18" t="s">
        <v>64</v>
      </c>
      <c r="AB18">
        <v>0</v>
      </c>
      <c r="AC18" t="s">
        <v>65</v>
      </c>
      <c r="AD18">
        <v>8</v>
      </c>
      <c r="AE18" t="s">
        <v>66</v>
      </c>
      <c r="AF18">
        <v>13436</v>
      </c>
      <c r="AG18" t="b">
        <v>0</v>
      </c>
      <c r="AH18">
        <v>8</v>
      </c>
      <c r="AI18" t="s">
        <v>66</v>
      </c>
      <c r="AJ18">
        <v>13436</v>
      </c>
      <c r="AK18" t="b">
        <v>0</v>
      </c>
      <c r="AL18">
        <v>13436</v>
      </c>
      <c r="AM18" t="b">
        <v>0</v>
      </c>
      <c r="AN18">
        <v>0</v>
      </c>
      <c r="AO18" t="b">
        <v>0</v>
      </c>
      <c r="AP18">
        <v>500809858.685</v>
      </c>
      <c r="AQ18">
        <v>0</v>
      </c>
      <c r="AR18">
        <v>500809858.685</v>
      </c>
      <c r="AS18">
        <v>0</v>
      </c>
      <c r="AT18" t="b">
        <v>0</v>
      </c>
      <c r="AU18" t="b">
        <v>1</v>
      </c>
    </row>
    <row r="19" spans="1:47" ht="15.5" x14ac:dyDescent="0.35">
      <c r="A19" t="s">
        <v>47</v>
      </c>
      <c r="B19" t="s">
        <v>48</v>
      </c>
      <c r="C19">
        <v>20180101</v>
      </c>
      <c r="D19">
        <v>2018</v>
      </c>
      <c r="E19">
        <v>52</v>
      </c>
      <c r="F19" t="s">
        <v>80</v>
      </c>
      <c r="G19">
        <v>784</v>
      </c>
      <c r="H19" t="s">
        <v>70</v>
      </c>
      <c r="I19" t="s">
        <v>71</v>
      </c>
      <c r="J19" t="s">
        <v>52</v>
      </c>
      <c r="K19" t="s">
        <v>53</v>
      </c>
      <c r="L19">
        <v>686</v>
      </c>
      <c r="M19" t="s">
        <v>54</v>
      </c>
      <c r="N19" t="s">
        <v>55</v>
      </c>
      <c r="O19">
        <v>0</v>
      </c>
      <c r="P19" t="s">
        <v>56</v>
      </c>
      <c r="Q19" t="s">
        <v>57</v>
      </c>
      <c r="R19" t="s">
        <v>79</v>
      </c>
      <c r="S19" t="s">
        <v>59</v>
      </c>
      <c r="T19" t="b">
        <v>1</v>
      </c>
      <c r="U19" t="s">
        <v>60</v>
      </c>
      <c r="V19" t="s">
        <v>61</v>
      </c>
      <c r="W19">
        <v>6</v>
      </c>
      <c r="X19" t="b">
        <v>1</v>
      </c>
      <c r="Y19" t="s">
        <v>62</v>
      </c>
      <c r="Z19" t="s">
        <v>63</v>
      </c>
      <c r="AA19" t="s">
        <v>64</v>
      </c>
      <c r="AB19">
        <v>0</v>
      </c>
      <c r="AC19" t="s">
        <v>65</v>
      </c>
      <c r="AD19">
        <v>8</v>
      </c>
      <c r="AE19" t="s">
        <v>66</v>
      </c>
      <c r="AF19">
        <v>4819.79</v>
      </c>
      <c r="AG19" t="b">
        <v>0</v>
      </c>
      <c r="AH19">
        <v>8</v>
      </c>
      <c r="AI19" t="s">
        <v>66</v>
      </c>
      <c r="AJ19">
        <v>4819.79</v>
      </c>
      <c r="AK19" t="b">
        <v>0</v>
      </c>
      <c r="AL19">
        <v>4819.79</v>
      </c>
      <c r="AM19" t="b">
        <v>0</v>
      </c>
      <c r="AN19">
        <v>0</v>
      </c>
      <c r="AO19" t="b">
        <v>0</v>
      </c>
      <c r="AP19">
        <v>167269387.57699999</v>
      </c>
      <c r="AQ19">
        <v>0</v>
      </c>
      <c r="AR19">
        <v>167269387.57699999</v>
      </c>
      <c r="AS19">
        <v>0</v>
      </c>
      <c r="AT19" t="b">
        <v>1</v>
      </c>
      <c r="AU19" t="b">
        <v>0</v>
      </c>
    </row>
    <row r="20" spans="1:47" ht="15.5" x14ac:dyDescent="0.35">
      <c r="A20" t="s">
        <v>47</v>
      </c>
      <c r="B20" t="s">
        <v>48</v>
      </c>
      <c r="C20">
        <v>20180101</v>
      </c>
      <c r="D20">
        <v>2018</v>
      </c>
      <c r="E20">
        <v>52</v>
      </c>
      <c r="F20" t="s">
        <v>80</v>
      </c>
      <c r="G20">
        <v>792</v>
      </c>
      <c r="H20" t="s">
        <v>76</v>
      </c>
      <c r="I20" t="s">
        <v>77</v>
      </c>
      <c r="J20" t="s">
        <v>52</v>
      </c>
      <c r="K20" t="s">
        <v>53</v>
      </c>
      <c r="L20">
        <v>686</v>
      </c>
      <c r="M20" t="s">
        <v>54</v>
      </c>
      <c r="N20" t="s">
        <v>55</v>
      </c>
      <c r="O20">
        <v>0</v>
      </c>
      <c r="P20" t="s">
        <v>56</v>
      </c>
      <c r="Q20" t="s">
        <v>57</v>
      </c>
      <c r="R20" t="s">
        <v>79</v>
      </c>
      <c r="S20" t="s">
        <v>59</v>
      </c>
      <c r="T20" t="b">
        <v>1</v>
      </c>
      <c r="U20" t="s">
        <v>60</v>
      </c>
      <c r="V20" t="s">
        <v>61</v>
      </c>
      <c r="W20">
        <v>6</v>
      </c>
      <c r="X20" t="b">
        <v>1</v>
      </c>
      <c r="Y20" t="s">
        <v>62</v>
      </c>
      <c r="Z20" t="s">
        <v>63</v>
      </c>
      <c r="AA20" t="s">
        <v>64</v>
      </c>
      <c r="AB20">
        <v>0</v>
      </c>
      <c r="AC20" t="s">
        <v>65</v>
      </c>
      <c r="AD20">
        <v>8</v>
      </c>
      <c r="AE20" t="s">
        <v>66</v>
      </c>
      <c r="AF20">
        <v>15.64</v>
      </c>
      <c r="AG20" t="b">
        <v>0</v>
      </c>
      <c r="AH20">
        <v>15</v>
      </c>
      <c r="AI20" t="s">
        <v>74</v>
      </c>
      <c r="AJ20">
        <v>15640</v>
      </c>
      <c r="AK20" t="b">
        <v>0</v>
      </c>
      <c r="AL20">
        <v>16</v>
      </c>
      <c r="AM20" t="b">
        <v>0</v>
      </c>
      <c r="AN20">
        <v>0</v>
      </c>
      <c r="AO20" t="b">
        <v>0</v>
      </c>
      <c r="AP20">
        <v>541291</v>
      </c>
      <c r="AQ20">
        <v>522902</v>
      </c>
      <c r="AR20">
        <v>541291</v>
      </c>
      <c r="AS20">
        <v>0</v>
      </c>
      <c r="AT20" t="b">
        <v>0</v>
      </c>
      <c r="AU20" t="b">
        <v>1</v>
      </c>
    </row>
    <row r="21" spans="1:47" ht="15.5" x14ac:dyDescent="0.35">
      <c r="A21" t="s">
        <v>47</v>
      </c>
      <c r="B21" t="s">
        <v>48</v>
      </c>
      <c r="C21">
        <v>20180101</v>
      </c>
      <c r="D21">
        <v>2018</v>
      </c>
      <c r="E21">
        <v>52</v>
      </c>
      <c r="F21" t="s">
        <v>80</v>
      </c>
      <c r="G21">
        <v>842</v>
      </c>
      <c r="H21" t="s">
        <v>83</v>
      </c>
      <c r="I21" t="s">
        <v>83</v>
      </c>
      <c r="J21" t="s">
        <v>52</v>
      </c>
      <c r="K21" t="s">
        <v>53</v>
      </c>
      <c r="L21">
        <v>686</v>
      </c>
      <c r="M21" t="s">
        <v>54</v>
      </c>
      <c r="N21" t="s">
        <v>55</v>
      </c>
      <c r="O21">
        <v>0</v>
      </c>
      <c r="P21" t="s">
        <v>56</v>
      </c>
      <c r="Q21" t="s">
        <v>57</v>
      </c>
      <c r="R21" t="s">
        <v>79</v>
      </c>
      <c r="S21" t="s">
        <v>59</v>
      </c>
      <c r="T21" t="b">
        <v>1</v>
      </c>
      <c r="U21" t="s">
        <v>60</v>
      </c>
      <c r="V21" t="s">
        <v>61</v>
      </c>
      <c r="W21">
        <v>6</v>
      </c>
      <c r="X21" t="b">
        <v>1</v>
      </c>
      <c r="Y21" t="s">
        <v>62</v>
      </c>
      <c r="Z21" t="s">
        <v>63</v>
      </c>
      <c r="AA21" t="s">
        <v>64</v>
      </c>
      <c r="AB21">
        <v>0</v>
      </c>
      <c r="AC21" t="s">
        <v>65</v>
      </c>
      <c r="AD21">
        <v>8</v>
      </c>
      <c r="AE21" t="s">
        <v>66</v>
      </c>
      <c r="AF21">
        <v>20.033999999999999</v>
      </c>
      <c r="AG21" t="b">
        <v>0</v>
      </c>
      <c r="AH21">
        <v>-1</v>
      </c>
      <c r="AI21" t="s">
        <v>67</v>
      </c>
      <c r="AJ21">
        <v>0</v>
      </c>
      <c r="AK21" t="b">
        <v>0</v>
      </c>
      <c r="AL21">
        <v>20.033999999999999</v>
      </c>
      <c r="AM21" t="b">
        <v>0</v>
      </c>
      <c r="AN21">
        <v>0</v>
      </c>
      <c r="AO21" t="b">
        <v>0</v>
      </c>
      <c r="AP21">
        <v>801860</v>
      </c>
      <c r="AQ21">
        <v>0</v>
      </c>
      <c r="AR21">
        <v>801860</v>
      </c>
      <c r="AS21">
        <v>0</v>
      </c>
      <c r="AT21" t="b">
        <v>1</v>
      </c>
      <c r="AU21" t="b">
        <v>0</v>
      </c>
    </row>
    <row r="22" spans="1:47" ht="15.5" x14ac:dyDescent="0.35">
      <c r="A22" t="s">
        <v>47</v>
      </c>
      <c r="B22" t="s">
        <v>48</v>
      </c>
      <c r="C22">
        <v>20190101</v>
      </c>
      <c r="D22">
        <v>2019</v>
      </c>
      <c r="E22">
        <v>52</v>
      </c>
      <c r="F22" t="s">
        <v>84</v>
      </c>
      <c r="G22">
        <v>380</v>
      </c>
      <c r="H22" t="s">
        <v>50</v>
      </c>
      <c r="I22" t="s">
        <v>51</v>
      </c>
      <c r="J22" t="s">
        <v>52</v>
      </c>
      <c r="K22" t="s">
        <v>53</v>
      </c>
      <c r="L22">
        <v>686</v>
      </c>
      <c r="M22" t="s">
        <v>54</v>
      </c>
      <c r="N22" t="s">
        <v>55</v>
      </c>
      <c r="O22">
        <v>0</v>
      </c>
      <c r="P22" t="s">
        <v>56</v>
      </c>
      <c r="Q22" t="s">
        <v>57</v>
      </c>
      <c r="R22" t="s">
        <v>79</v>
      </c>
      <c r="S22" t="s">
        <v>59</v>
      </c>
      <c r="T22" t="b">
        <v>1</v>
      </c>
      <c r="U22" t="s">
        <v>60</v>
      </c>
      <c r="V22" t="s">
        <v>61</v>
      </c>
      <c r="W22">
        <v>6</v>
      </c>
      <c r="X22" t="b">
        <v>1</v>
      </c>
      <c r="Y22" t="s">
        <v>62</v>
      </c>
      <c r="Z22" t="s">
        <v>63</v>
      </c>
      <c r="AA22" t="s">
        <v>64</v>
      </c>
      <c r="AB22">
        <v>0</v>
      </c>
      <c r="AC22" t="s">
        <v>65</v>
      </c>
      <c r="AD22">
        <v>8</v>
      </c>
      <c r="AE22" t="s">
        <v>66</v>
      </c>
      <c r="AF22">
        <v>149.702</v>
      </c>
      <c r="AG22" t="b">
        <v>0</v>
      </c>
      <c r="AH22">
        <v>15</v>
      </c>
      <c r="AI22" t="s">
        <v>74</v>
      </c>
      <c r="AJ22">
        <v>149702</v>
      </c>
      <c r="AK22" t="b">
        <v>0</v>
      </c>
      <c r="AL22">
        <v>152</v>
      </c>
      <c r="AM22" t="b">
        <v>0</v>
      </c>
      <c r="AN22">
        <v>0</v>
      </c>
      <c r="AO22" t="b">
        <v>0</v>
      </c>
      <c r="AP22">
        <v>5376391.4160000002</v>
      </c>
      <c r="AR22">
        <v>5376391.4160000002</v>
      </c>
      <c r="AS22">
        <v>0</v>
      </c>
      <c r="AT22" t="b">
        <v>1</v>
      </c>
      <c r="AU22" t="b">
        <v>0</v>
      </c>
    </row>
    <row r="23" spans="1:47" ht="15.5" x14ac:dyDescent="0.35">
      <c r="A23" t="s">
        <v>47</v>
      </c>
      <c r="B23" t="s">
        <v>48</v>
      </c>
      <c r="C23">
        <v>20190101</v>
      </c>
      <c r="D23">
        <v>2019</v>
      </c>
      <c r="E23">
        <v>52</v>
      </c>
      <c r="F23" t="s">
        <v>84</v>
      </c>
      <c r="G23">
        <v>524</v>
      </c>
      <c r="H23" t="s">
        <v>85</v>
      </c>
      <c r="I23" t="s">
        <v>86</v>
      </c>
      <c r="J23" t="s">
        <v>52</v>
      </c>
      <c r="K23" t="s">
        <v>53</v>
      </c>
      <c r="L23">
        <v>686</v>
      </c>
      <c r="M23" t="s">
        <v>54</v>
      </c>
      <c r="N23" t="s">
        <v>55</v>
      </c>
      <c r="O23">
        <v>0</v>
      </c>
      <c r="P23" t="s">
        <v>56</v>
      </c>
      <c r="Q23" t="s">
        <v>57</v>
      </c>
      <c r="R23" t="s">
        <v>79</v>
      </c>
      <c r="S23" t="s">
        <v>59</v>
      </c>
      <c r="T23" t="b">
        <v>1</v>
      </c>
      <c r="U23" t="s">
        <v>60</v>
      </c>
      <c r="V23" t="s">
        <v>61</v>
      </c>
      <c r="W23">
        <v>6</v>
      </c>
      <c r="X23" t="b">
        <v>1</v>
      </c>
      <c r="Y23" t="s">
        <v>62</v>
      </c>
      <c r="Z23" t="s">
        <v>63</v>
      </c>
      <c r="AA23" t="s">
        <v>64</v>
      </c>
      <c r="AB23">
        <v>0</v>
      </c>
      <c r="AC23" t="s">
        <v>65</v>
      </c>
      <c r="AD23">
        <v>8</v>
      </c>
      <c r="AE23" t="s">
        <v>66</v>
      </c>
      <c r="AF23">
        <v>1.0999999999999999E-2</v>
      </c>
      <c r="AG23" t="b">
        <v>1</v>
      </c>
      <c r="AH23">
        <v>8</v>
      </c>
      <c r="AI23" t="s">
        <v>66</v>
      </c>
      <c r="AJ23">
        <v>0</v>
      </c>
      <c r="AK23" t="b">
        <v>0</v>
      </c>
      <c r="AL23">
        <v>1.0999999999999999E-2</v>
      </c>
      <c r="AM23" t="b">
        <v>1</v>
      </c>
      <c r="AN23">
        <v>0</v>
      </c>
      <c r="AO23" t="b">
        <v>0</v>
      </c>
      <c r="AP23">
        <v>446.18</v>
      </c>
      <c r="AQ23">
        <v>0</v>
      </c>
      <c r="AR23">
        <v>446.18</v>
      </c>
      <c r="AS23">
        <v>6</v>
      </c>
      <c r="AT23" t="b">
        <v>1</v>
      </c>
      <c r="AU23" t="b">
        <v>0</v>
      </c>
    </row>
    <row r="24" spans="1:47" ht="15.5" x14ac:dyDescent="0.35">
      <c r="A24" t="s">
        <v>47</v>
      </c>
      <c r="B24" t="s">
        <v>48</v>
      </c>
      <c r="C24">
        <v>20190101</v>
      </c>
      <c r="D24">
        <v>2019</v>
      </c>
      <c r="E24">
        <v>52</v>
      </c>
      <c r="F24" t="s">
        <v>84</v>
      </c>
      <c r="G24">
        <v>757</v>
      </c>
      <c r="H24" t="s">
        <v>68</v>
      </c>
      <c r="I24" t="s">
        <v>69</v>
      </c>
      <c r="J24" t="s">
        <v>52</v>
      </c>
      <c r="K24" t="s">
        <v>53</v>
      </c>
      <c r="L24">
        <v>686</v>
      </c>
      <c r="M24" t="s">
        <v>54</v>
      </c>
      <c r="N24" t="s">
        <v>55</v>
      </c>
      <c r="O24">
        <v>0</v>
      </c>
      <c r="P24" t="s">
        <v>56</v>
      </c>
      <c r="Q24" t="s">
        <v>57</v>
      </c>
      <c r="R24" t="s">
        <v>79</v>
      </c>
      <c r="S24" t="s">
        <v>59</v>
      </c>
      <c r="T24" t="b">
        <v>1</v>
      </c>
      <c r="U24" t="s">
        <v>60</v>
      </c>
      <c r="V24" t="s">
        <v>61</v>
      </c>
      <c r="W24">
        <v>6</v>
      </c>
      <c r="X24" t="b">
        <v>1</v>
      </c>
      <c r="Y24" t="s">
        <v>62</v>
      </c>
      <c r="Z24" t="s">
        <v>63</v>
      </c>
      <c r="AA24" t="s">
        <v>64</v>
      </c>
      <c r="AB24">
        <v>0</v>
      </c>
      <c r="AC24" t="s">
        <v>65</v>
      </c>
      <c r="AD24">
        <v>8</v>
      </c>
      <c r="AE24" t="s">
        <v>66</v>
      </c>
      <c r="AF24">
        <v>14569</v>
      </c>
      <c r="AG24" t="b">
        <v>0</v>
      </c>
      <c r="AH24">
        <v>8</v>
      </c>
      <c r="AI24" t="s">
        <v>66</v>
      </c>
      <c r="AJ24">
        <v>14569</v>
      </c>
      <c r="AK24" t="b">
        <v>0</v>
      </c>
      <c r="AL24">
        <v>14569</v>
      </c>
      <c r="AM24" t="b">
        <v>0</v>
      </c>
      <c r="AN24">
        <v>0</v>
      </c>
      <c r="AO24" t="b">
        <v>0</v>
      </c>
      <c r="AP24">
        <v>590114985.82500005</v>
      </c>
      <c r="AQ24">
        <v>0</v>
      </c>
      <c r="AR24">
        <v>590114985.82500005</v>
      </c>
      <c r="AS24">
        <v>0</v>
      </c>
      <c r="AT24" t="b">
        <v>0</v>
      </c>
      <c r="AU24" t="b">
        <v>1</v>
      </c>
    </row>
    <row r="25" spans="1:47" ht="15.5" x14ac:dyDescent="0.35">
      <c r="A25" t="s">
        <v>47</v>
      </c>
      <c r="B25" t="s">
        <v>48</v>
      </c>
      <c r="C25">
        <v>20190101</v>
      </c>
      <c r="D25">
        <v>2019</v>
      </c>
      <c r="E25">
        <v>52</v>
      </c>
      <c r="F25" t="s">
        <v>84</v>
      </c>
      <c r="G25">
        <v>784</v>
      </c>
      <c r="H25" t="s">
        <v>70</v>
      </c>
      <c r="I25" t="s">
        <v>71</v>
      </c>
      <c r="J25" t="s">
        <v>52</v>
      </c>
      <c r="K25" t="s">
        <v>53</v>
      </c>
      <c r="L25">
        <v>686</v>
      </c>
      <c r="M25" t="s">
        <v>54</v>
      </c>
      <c r="N25" t="s">
        <v>55</v>
      </c>
      <c r="O25">
        <v>0</v>
      </c>
      <c r="P25" t="s">
        <v>56</v>
      </c>
      <c r="Q25" t="s">
        <v>57</v>
      </c>
      <c r="R25" t="s">
        <v>79</v>
      </c>
      <c r="S25" t="s">
        <v>59</v>
      </c>
      <c r="T25" t="b">
        <v>1</v>
      </c>
      <c r="U25" t="s">
        <v>60</v>
      </c>
      <c r="V25" t="s">
        <v>61</v>
      </c>
      <c r="W25">
        <v>6</v>
      </c>
      <c r="X25" t="b">
        <v>1</v>
      </c>
      <c r="Y25" t="s">
        <v>62</v>
      </c>
      <c r="Z25" t="s">
        <v>63</v>
      </c>
      <c r="AA25" t="s">
        <v>64</v>
      </c>
      <c r="AB25">
        <v>0</v>
      </c>
      <c r="AC25" t="s">
        <v>65</v>
      </c>
      <c r="AD25">
        <v>8</v>
      </c>
      <c r="AE25" t="s">
        <v>66</v>
      </c>
      <c r="AF25">
        <v>4159.21</v>
      </c>
      <c r="AG25" t="b">
        <v>0</v>
      </c>
      <c r="AH25">
        <v>8</v>
      </c>
      <c r="AI25" t="s">
        <v>66</v>
      </c>
      <c r="AJ25">
        <v>4159.21</v>
      </c>
      <c r="AK25" t="b">
        <v>0</v>
      </c>
      <c r="AL25">
        <v>4159.21</v>
      </c>
      <c r="AM25" t="b">
        <v>0</v>
      </c>
      <c r="AN25">
        <v>0</v>
      </c>
      <c r="AO25" t="b">
        <v>0</v>
      </c>
      <c r="AP25">
        <v>167462983.729</v>
      </c>
      <c r="AQ25">
        <v>0</v>
      </c>
      <c r="AR25">
        <v>167462983.729</v>
      </c>
      <c r="AS25">
        <v>0</v>
      </c>
      <c r="AT25" t="b">
        <v>1</v>
      </c>
      <c r="AU25" t="b">
        <v>0</v>
      </c>
    </row>
    <row r="26" spans="1:47" ht="15.5" x14ac:dyDescent="0.35">
      <c r="A26" t="s">
        <v>47</v>
      </c>
      <c r="B26" t="s">
        <v>48</v>
      </c>
      <c r="C26">
        <v>20190101</v>
      </c>
      <c r="D26">
        <v>2019</v>
      </c>
      <c r="E26">
        <v>52</v>
      </c>
      <c r="F26" t="s">
        <v>84</v>
      </c>
      <c r="G26">
        <v>792</v>
      </c>
      <c r="H26" t="s">
        <v>76</v>
      </c>
      <c r="I26" t="s">
        <v>77</v>
      </c>
      <c r="J26" t="s">
        <v>52</v>
      </c>
      <c r="K26" t="s">
        <v>53</v>
      </c>
      <c r="L26">
        <v>686</v>
      </c>
      <c r="M26" t="s">
        <v>54</v>
      </c>
      <c r="N26" t="s">
        <v>55</v>
      </c>
      <c r="O26">
        <v>0</v>
      </c>
      <c r="P26" t="s">
        <v>56</v>
      </c>
      <c r="Q26" t="s">
        <v>57</v>
      </c>
      <c r="R26" t="s">
        <v>79</v>
      </c>
      <c r="S26" t="s">
        <v>59</v>
      </c>
      <c r="T26" t="b">
        <v>1</v>
      </c>
      <c r="U26" t="s">
        <v>60</v>
      </c>
      <c r="V26" t="s">
        <v>61</v>
      </c>
      <c r="W26">
        <v>6</v>
      </c>
      <c r="X26" t="b">
        <v>1</v>
      </c>
      <c r="Y26" t="s">
        <v>62</v>
      </c>
      <c r="Z26" t="s">
        <v>63</v>
      </c>
      <c r="AA26" t="s">
        <v>64</v>
      </c>
      <c r="AB26">
        <v>0</v>
      </c>
      <c r="AC26" t="s">
        <v>65</v>
      </c>
      <c r="AD26">
        <v>8</v>
      </c>
      <c r="AE26" t="s">
        <v>66</v>
      </c>
      <c r="AF26">
        <v>43.218000000000004</v>
      </c>
      <c r="AG26" t="b">
        <v>0</v>
      </c>
      <c r="AH26">
        <v>15</v>
      </c>
      <c r="AI26" t="s">
        <v>74</v>
      </c>
      <c r="AJ26">
        <v>43218</v>
      </c>
      <c r="AK26" t="b">
        <v>0</v>
      </c>
      <c r="AL26">
        <v>44</v>
      </c>
      <c r="AM26" t="b">
        <v>0</v>
      </c>
      <c r="AN26">
        <v>0</v>
      </c>
      <c r="AO26" t="b">
        <v>0</v>
      </c>
      <c r="AP26">
        <v>1525810</v>
      </c>
      <c r="AQ26">
        <v>1524114</v>
      </c>
      <c r="AR26">
        <v>1525810</v>
      </c>
      <c r="AS26">
        <v>0</v>
      </c>
      <c r="AT26" t="b">
        <v>0</v>
      </c>
      <c r="AU26" t="b">
        <v>1</v>
      </c>
    </row>
    <row r="27" spans="1:47" ht="15.5" x14ac:dyDescent="0.35">
      <c r="A27" t="s">
        <v>47</v>
      </c>
      <c r="B27" t="s">
        <v>48</v>
      </c>
      <c r="C27">
        <v>20200101</v>
      </c>
      <c r="D27">
        <v>2020</v>
      </c>
      <c r="E27">
        <v>52</v>
      </c>
      <c r="F27" t="s">
        <v>87</v>
      </c>
      <c r="G27">
        <v>36</v>
      </c>
      <c r="H27" t="s">
        <v>88</v>
      </c>
      <c r="I27" t="s">
        <v>89</v>
      </c>
      <c r="J27" t="s">
        <v>52</v>
      </c>
      <c r="K27" t="s">
        <v>53</v>
      </c>
      <c r="L27">
        <v>686</v>
      </c>
      <c r="M27" t="s">
        <v>54</v>
      </c>
      <c r="N27" t="s">
        <v>55</v>
      </c>
      <c r="O27">
        <v>0</v>
      </c>
      <c r="P27" t="s">
        <v>56</v>
      </c>
      <c r="Q27" t="s">
        <v>57</v>
      </c>
      <c r="R27" t="s">
        <v>79</v>
      </c>
      <c r="S27" t="s">
        <v>59</v>
      </c>
      <c r="T27" t="b">
        <v>1</v>
      </c>
      <c r="U27" t="s">
        <v>60</v>
      </c>
      <c r="V27" t="s">
        <v>61</v>
      </c>
      <c r="W27">
        <v>6</v>
      </c>
      <c r="X27" t="b">
        <v>1</v>
      </c>
      <c r="Y27" t="s">
        <v>62</v>
      </c>
      <c r="Z27" t="s">
        <v>63</v>
      </c>
      <c r="AA27" t="s">
        <v>64</v>
      </c>
      <c r="AB27">
        <v>0</v>
      </c>
      <c r="AC27" t="s">
        <v>65</v>
      </c>
      <c r="AD27">
        <v>8</v>
      </c>
      <c r="AE27" t="s">
        <v>66</v>
      </c>
      <c r="AF27">
        <v>3634.4569999999999</v>
      </c>
      <c r="AG27" t="b">
        <v>1</v>
      </c>
      <c r="AH27">
        <v>-1</v>
      </c>
      <c r="AI27" t="s">
        <v>67</v>
      </c>
      <c r="AJ27">
        <v>0</v>
      </c>
      <c r="AK27" t="b">
        <v>0</v>
      </c>
      <c r="AL27">
        <v>3634.4569999999999</v>
      </c>
      <c r="AM27" t="b">
        <v>1</v>
      </c>
      <c r="AN27">
        <v>3279.1</v>
      </c>
      <c r="AO27" t="b">
        <v>0</v>
      </c>
      <c r="AP27">
        <v>194991546.08899999</v>
      </c>
      <c r="AQ27">
        <v>194452415.92699999</v>
      </c>
      <c r="AR27">
        <v>194991546.08899999</v>
      </c>
      <c r="AS27">
        <v>6</v>
      </c>
      <c r="AT27" t="b">
        <v>0</v>
      </c>
      <c r="AU27" t="b">
        <v>1</v>
      </c>
    </row>
    <row r="28" spans="1:47" ht="15.5" x14ac:dyDescent="0.35">
      <c r="A28" t="s">
        <v>47</v>
      </c>
      <c r="B28" t="s">
        <v>48</v>
      </c>
      <c r="C28">
        <v>20200101</v>
      </c>
      <c r="D28">
        <v>2020</v>
      </c>
      <c r="E28">
        <v>52</v>
      </c>
      <c r="F28" t="s">
        <v>87</v>
      </c>
      <c r="G28">
        <v>380</v>
      </c>
      <c r="H28" t="s">
        <v>50</v>
      </c>
      <c r="I28" t="s">
        <v>51</v>
      </c>
      <c r="J28" t="s">
        <v>52</v>
      </c>
      <c r="K28" t="s">
        <v>53</v>
      </c>
      <c r="L28">
        <v>686</v>
      </c>
      <c r="M28" t="s">
        <v>54</v>
      </c>
      <c r="N28" t="s">
        <v>55</v>
      </c>
      <c r="O28">
        <v>0</v>
      </c>
      <c r="P28" t="s">
        <v>56</v>
      </c>
      <c r="Q28" t="s">
        <v>57</v>
      </c>
      <c r="R28" t="s">
        <v>79</v>
      </c>
      <c r="S28" t="s">
        <v>59</v>
      </c>
      <c r="T28" t="b">
        <v>1</v>
      </c>
      <c r="U28" t="s">
        <v>60</v>
      </c>
      <c r="V28" t="s">
        <v>61</v>
      </c>
      <c r="W28">
        <v>6</v>
      </c>
      <c r="X28" t="b">
        <v>1</v>
      </c>
      <c r="Y28" t="s">
        <v>62</v>
      </c>
      <c r="Z28" t="s">
        <v>63</v>
      </c>
      <c r="AA28" t="s">
        <v>64</v>
      </c>
      <c r="AB28">
        <v>0</v>
      </c>
      <c r="AC28" t="s">
        <v>65</v>
      </c>
      <c r="AD28">
        <v>8</v>
      </c>
      <c r="AE28" t="s">
        <v>66</v>
      </c>
      <c r="AF28">
        <v>71.575999999999993</v>
      </c>
      <c r="AG28" t="b">
        <v>0</v>
      </c>
      <c r="AH28">
        <v>15</v>
      </c>
      <c r="AI28" t="s">
        <v>74</v>
      </c>
      <c r="AJ28">
        <v>71576</v>
      </c>
      <c r="AK28" t="b">
        <v>0</v>
      </c>
      <c r="AL28">
        <v>72</v>
      </c>
      <c r="AM28" t="b">
        <v>0</v>
      </c>
      <c r="AN28">
        <v>0</v>
      </c>
      <c r="AO28" t="b">
        <v>0</v>
      </c>
      <c r="AP28">
        <v>3260679.4619999998</v>
      </c>
      <c r="AR28">
        <v>3260679.4619999998</v>
      </c>
      <c r="AS28">
        <v>0</v>
      </c>
      <c r="AT28" t="b">
        <v>1</v>
      </c>
      <c r="AU28" t="b">
        <v>0</v>
      </c>
    </row>
    <row r="29" spans="1:47" ht="15.5" x14ac:dyDescent="0.35">
      <c r="A29" t="s">
        <v>47</v>
      </c>
      <c r="B29" t="s">
        <v>48</v>
      </c>
      <c r="C29">
        <v>20200101</v>
      </c>
      <c r="D29">
        <v>2020</v>
      </c>
      <c r="E29">
        <v>52</v>
      </c>
      <c r="F29" t="s">
        <v>87</v>
      </c>
      <c r="G29">
        <v>757</v>
      </c>
      <c r="H29" t="s">
        <v>68</v>
      </c>
      <c r="I29" t="s">
        <v>69</v>
      </c>
      <c r="J29" t="s">
        <v>52</v>
      </c>
      <c r="K29" t="s">
        <v>53</v>
      </c>
      <c r="L29">
        <v>686</v>
      </c>
      <c r="M29" t="s">
        <v>54</v>
      </c>
      <c r="N29" t="s">
        <v>55</v>
      </c>
      <c r="O29">
        <v>0</v>
      </c>
      <c r="P29" t="s">
        <v>56</v>
      </c>
      <c r="Q29" t="s">
        <v>57</v>
      </c>
      <c r="R29" t="s">
        <v>79</v>
      </c>
      <c r="S29" t="s">
        <v>59</v>
      </c>
      <c r="T29" t="b">
        <v>1</v>
      </c>
      <c r="U29" t="s">
        <v>60</v>
      </c>
      <c r="V29" t="s">
        <v>61</v>
      </c>
      <c r="W29">
        <v>6</v>
      </c>
      <c r="X29" t="b">
        <v>1</v>
      </c>
      <c r="Y29" t="s">
        <v>62</v>
      </c>
      <c r="Z29" t="s">
        <v>63</v>
      </c>
      <c r="AA29" t="s">
        <v>64</v>
      </c>
      <c r="AB29">
        <v>0</v>
      </c>
      <c r="AC29" t="s">
        <v>65</v>
      </c>
      <c r="AD29">
        <v>8</v>
      </c>
      <c r="AE29" t="s">
        <v>66</v>
      </c>
      <c r="AF29">
        <v>9512</v>
      </c>
      <c r="AG29" t="b">
        <v>0</v>
      </c>
      <c r="AH29">
        <v>8</v>
      </c>
      <c r="AI29" t="s">
        <v>66</v>
      </c>
      <c r="AJ29">
        <v>9512</v>
      </c>
      <c r="AK29" t="b">
        <v>0</v>
      </c>
      <c r="AL29">
        <v>9512</v>
      </c>
      <c r="AM29" t="b">
        <v>0</v>
      </c>
      <c r="AN29">
        <v>0</v>
      </c>
      <c r="AO29" t="b">
        <v>0</v>
      </c>
      <c r="AP29">
        <v>485160797.29100001</v>
      </c>
      <c r="AQ29">
        <v>0</v>
      </c>
      <c r="AR29">
        <v>485160797.29100001</v>
      </c>
      <c r="AS29">
        <v>0</v>
      </c>
      <c r="AT29" t="b">
        <v>0</v>
      </c>
      <c r="AU29" t="b">
        <v>1</v>
      </c>
    </row>
    <row r="30" spans="1:47" ht="15.5" x14ac:dyDescent="0.35">
      <c r="A30" t="s">
        <v>47</v>
      </c>
      <c r="B30" t="s">
        <v>48</v>
      </c>
      <c r="C30">
        <v>20200101</v>
      </c>
      <c r="D30">
        <v>2020</v>
      </c>
      <c r="E30">
        <v>52</v>
      </c>
      <c r="F30" t="s">
        <v>87</v>
      </c>
      <c r="G30">
        <v>784</v>
      </c>
      <c r="H30" t="s">
        <v>70</v>
      </c>
      <c r="I30" t="s">
        <v>71</v>
      </c>
      <c r="J30" t="s">
        <v>52</v>
      </c>
      <c r="K30" t="s">
        <v>53</v>
      </c>
      <c r="L30">
        <v>686</v>
      </c>
      <c r="M30" t="s">
        <v>54</v>
      </c>
      <c r="N30" t="s">
        <v>55</v>
      </c>
      <c r="O30">
        <v>0</v>
      </c>
      <c r="P30" t="s">
        <v>56</v>
      </c>
      <c r="Q30" t="s">
        <v>57</v>
      </c>
      <c r="R30" t="s">
        <v>79</v>
      </c>
      <c r="S30" t="s">
        <v>59</v>
      </c>
      <c r="T30" t="b">
        <v>1</v>
      </c>
      <c r="U30" t="s">
        <v>60</v>
      </c>
      <c r="V30" t="s">
        <v>61</v>
      </c>
      <c r="W30">
        <v>6</v>
      </c>
      <c r="X30" t="b">
        <v>1</v>
      </c>
      <c r="Y30" t="s">
        <v>62</v>
      </c>
      <c r="Z30" t="s">
        <v>63</v>
      </c>
      <c r="AA30" t="s">
        <v>64</v>
      </c>
      <c r="AB30">
        <v>0</v>
      </c>
      <c r="AC30" t="s">
        <v>65</v>
      </c>
      <c r="AD30">
        <v>8</v>
      </c>
      <c r="AE30" t="s">
        <v>66</v>
      </c>
      <c r="AF30">
        <v>2118.87</v>
      </c>
      <c r="AG30" t="b">
        <v>0</v>
      </c>
      <c r="AH30">
        <v>8</v>
      </c>
      <c r="AI30" t="s">
        <v>66</v>
      </c>
      <c r="AJ30">
        <v>2118.87</v>
      </c>
      <c r="AK30" t="b">
        <v>0</v>
      </c>
      <c r="AL30">
        <v>2118.87</v>
      </c>
      <c r="AM30" t="b">
        <v>0</v>
      </c>
      <c r="AN30">
        <v>0</v>
      </c>
      <c r="AO30" t="b">
        <v>0</v>
      </c>
      <c r="AP30">
        <v>104357473.52599999</v>
      </c>
      <c r="AQ30">
        <v>0</v>
      </c>
      <c r="AR30">
        <v>104357473.52599999</v>
      </c>
      <c r="AS30">
        <v>0</v>
      </c>
      <c r="AT30" t="b">
        <v>1</v>
      </c>
      <c r="AU30" t="b">
        <v>0</v>
      </c>
    </row>
    <row r="31" spans="1:47" ht="15.5" x14ac:dyDescent="0.35">
      <c r="A31" t="s">
        <v>47</v>
      </c>
      <c r="B31" t="s">
        <v>48</v>
      </c>
      <c r="C31">
        <v>20200101</v>
      </c>
      <c r="D31">
        <v>2020</v>
      </c>
      <c r="E31">
        <v>52</v>
      </c>
      <c r="F31" t="s">
        <v>87</v>
      </c>
      <c r="G31">
        <v>792</v>
      </c>
      <c r="H31" t="s">
        <v>76</v>
      </c>
      <c r="I31" t="s">
        <v>77</v>
      </c>
      <c r="J31" t="s">
        <v>52</v>
      </c>
      <c r="K31" t="s">
        <v>53</v>
      </c>
      <c r="L31">
        <v>686</v>
      </c>
      <c r="M31" t="s">
        <v>54</v>
      </c>
      <c r="N31" t="s">
        <v>55</v>
      </c>
      <c r="O31">
        <v>0</v>
      </c>
      <c r="P31" t="s">
        <v>56</v>
      </c>
      <c r="Q31" t="s">
        <v>57</v>
      </c>
      <c r="R31" t="s">
        <v>79</v>
      </c>
      <c r="S31" t="s">
        <v>59</v>
      </c>
      <c r="T31" t="b">
        <v>1</v>
      </c>
      <c r="U31" t="s">
        <v>60</v>
      </c>
      <c r="V31" t="s">
        <v>61</v>
      </c>
      <c r="W31">
        <v>6</v>
      </c>
      <c r="X31" t="b">
        <v>1</v>
      </c>
      <c r="Y31" t="s">
        <v>62</v>
      </c>
      <c r="Z31" t="s">
        <v>63</v>
      </c>
      <c r="AA31" t="s">
        <v>64</v>
      </c>
      <c r="AB31">
        <v>0</v>
      </c>
      <c r="AC31" t="s">
        <v>65</v>
      </c>
      <c r="AD31">
        <v>8</v>
      </c>
      <c r="AE31" t="s">
        <v>66</v>
      </c>
      <c r="AF31">
        <v>42.487000000000002</v>
      </c>
      <c r="AG31" t="b">
        <v>0</v>
      </c>
      <c r="AH31">
        <v>15</v>
      </c>
      <c r="AI31" t="s">
        <v>74</v>
      </c>
      <c r="AJ31">
        <v>42487</v>
      </c>
      <c r="AK31" t="b">
        <v>0</v>
      </c>
      <c r="AL31">
        <v>42</v>
      </c>
      <c r="AM31" t="b">
        <v>0</v>
      </c>
      <c r="AN31">
        <v>0</v>
      </c>
      <c r="AO31" t="b">
        <v>0</v>
      </c>
      <c r="AP31">
        <v>1765487</v>
      </c>
      <c r="AQ31">
        <v>1763539</v>
      </c>
      <c r="AR31">
        <v>1765487</v>
      </c>
      <c r="AS31">
        <v>0</v>
      </c>
      <c r="AT31" t="b">
        <v>0</v>
      </c>
      <c r="AU31" t="b">
        <v>1</v>
      </c>
    </row>
    <row r="32" spans="1:47" ht="15.5" x14ac:dyDescent="0.35">
      <c r="A32" t="s">
        <v>47</v>
      </c>
      <c r="B32" t="s">
        <v>48</v>
      </c>
      <c r="C32">
        <v>20210101</v>
      </c>
      <c r="D32">
        <v>2021</v>
      </c>
      <c r="E32">
        <v>52</v>
      </c>
      <c r="F32" t="s">
        <v>90</v>
      </c>
      <c r="G32">
        <v>36</v>
      </c>
      <c r="H32" t="s">
        <v>88</v>
      </c>
      <c r="I32" t="s">
        <v>89</v>
      </c>
      <c r="J32" t="s">
        <v>52</v>
      </c>
      <c r="K32" t="s">
        <v>53</v>
      </c>
      <c r="L32">
        <v>686</v>
      </c>
      <c r="M32" t="s">
        <v>54</v>
      </c>
      <c r="N32" t="s">
        <v>55</v>
      </c>
      <c r="O32">
        <v>0</v>
      </c>
      <c r="P32" t="s">
        <v>56</v>
      </c>
      <c r="Q32" t="s">
        <v>57</v>
      </c>
      <c r="R32" t="s">
        <v>79</v>
      </c>
      <c r="S32" t="s">
        <v>59</v>
      </c>
      <c r="T32" t="b">
        <v>1</v>
      </c>
      <c r="U32" t="s">
        <v>60</v>
      </c>
      <c r="V32" t="s">
        <v>61</v>
      </c>
      <c r="W32">
        <v>6</v>
      </c>
      <c r="X32" t="b">
        <v>1</v>
      </c>
      <c r="Y32" t="s">
        <v>62</v>
      </c>
      <c r="Z32" t="s">
        <v>63</v>
      </c>
      <c r="AA32" t="s">
        <v>64</v>
      </c>
      <c r="AB32">
        <v>0</v>
      </c>
      <c r="AC32" t="s">
        <v>65</v>
      </c>
      <c r="AD32">
        <v>8</v>
      </c>
      <c r="AE32" t="s">
        <v>66</v>
      </c>
      <c r="AF32">
        <v>3884.3809999999999</v>
      </c>
      <c r="AG32" t="b">
        <v>1</v>
      </c>
      <c r="AH32">
        <v>-1</v>
      </c>
      <c r="AI32" t="s">
        <v>67</v>
      </c>
      <c r="AJ32">
        <v>0</v>
      </c>
      <c r="AK32" t="b">
        <v>0</v>
      </c>
      <c r="AL32">
        <v>3884.3809999999999</v>
      </c>
      <c r="AM32" t="b">
        <v>1</v>
      </c>
      <c r="AN32">
        <v>4600.33</v>
      </c>
      <c r="AO32" t="b">
        <v>0</v>
      </c>
      <c r="AP32">
        <v>219808451.24000001</v>
      </c>
      <c r="AQ32">
        <v>219391552.43099999</v>
      </c>
      <c r="AR32">
        <v>219808451.24000001</v>
      </c>
      <c r="AS32">
        <v>6</v>
      </c>
      <c r="AT32" t="b">
        <v>0</v>
      </c>
      <c r="AU32" t="b">
        <v>1</v>
      </c>
    </row>
    <row r="33" spans="1:47" ht="15.5" x14ac:dyDescent="0.35">
      <c r="A33" t="s">
        <v>47</v>
      </c>
      <c r="B33" t="s">
        <v>48</v>
      </c>
      <c r="C33">
        <v>20210101</v>
      </c>
      <c r="D33">
        <v>2021</v>
      </c>
      <c r="E33">
        <v>52</v>
      </c>
      <c r="F33" t="s">
        <v>90</v>
      </c>
      <c r="G33">
        <v>380</v>
      </c>
      <c r="H33" t="s">
        <v>50</v>
      </c>
      <c r="I33" t="s">
        <v>51</v>
      </c>
      <c r="J33" t="s">
        <v>52</v>
      </c>
      <c r="K33" t="s">
        <v>53</v>
      </c>
      <c r="L33">
        <v>686</v>
      </c>
      <c r="M33" t="s">
        <v>54</v>
      </c>
      <c r="N33" t="s">
        <v>55</v>
      </c>
      <c r="O33">
        <v>0</v>
      </c>
      <c r="P33" t="s">
        <v>56</v>
      </c>
      <c r="Q33" t="s">
        <v>57</v>
      </c>
      <c r="R33" t="s">
        <v>79</v>
      </c>
      <c r="S33" t="s">
        <v>59</v>
      </c>
      <c r="T33" t="b">
        <v>1</v>
      </c>
      <c r="U33" t="s">
        <v>60</v>
      </c>
      <c r="V33" t="s">
        <v>61</v>
      </c>
      <c r="W33">
        <v>6</v>
      </c>
      <c r="X33" t="b">
        <v>1</v>
      </c>
      <c r="Y33" t="s">
        <v>62</v>
      </c>
      <c r="Z33" t="s">
        <v>63</v>
      </c>
      <c r="AA33" t="s">
        <v>64</v>
      </c>
      <c r="AB33">
        <v>0</v>
      </c>
      <c r="AC33" t="s">
        <v>65</v>
      </c>
      <c r="AD33">
        <v>8</v>
      </c>
      <c r="AE33" t="s">
        <v>66</v>
      </c>
      <c r="AF33">
        <v>27.384</v>
      </c>
      <c r="AG33" t="b">
        <v>0</v>
      </c>
      <c r="AH33">
        <v>15</v>
      </c>
      <c r="AI33" t="s">
        <v>74</v>
      </c>
      <c r="AJ33">
        <v>27384</v>
      </c>
      <c r="AK33" t="b">
        <v>0</v>
      </c>
      <c r="AL33">
        <v>28</v>
      </c>
      <c r="AM33" t="b">
        <v>0</v>
      </c>
      <c r="AN33">
        <v>0</v>
      </c>
      <c r="AO33" t="b">
        <v>0</v>
      </c>
      <c r="AP33">
        <v>1297177.531</v>
      </c>
      <c r="AR33">
        <v>1297177.531</v>
      </c>
      <c r="AS33">
        <v>0</v>
      </c>
      <c r="AT33" t="b">
        <v>1</v>
      </c>
      <c r="AU33" t="b">
        <v>0</v>
      </c>
    </row>
    <row r="34" spans="1:47" ht="15.5" x14ac:dyDescent="0.35">
      <c r="A34" t="s">
        <v>47</v>
      </c>
      <c r="B34" t="s">
        <v>48</v>
      </c>
      <c r="C34">
        <v>20210101</v>
      </c>
      <c r="D34">
        <v>2021</v>
      </c>
      <c r="E34">
        <v>52</v>
      </c>
      <c r="F34" t="s">
        <v>90</v>
      </c>
      <c r="G34">
        <v>757</v>
      </c>
      <c r="H34" t="s">
        <v>68</v>
      </c>
      <c r="I34" t="s">
        <v>69</v>
      </c>
      <c r="J34" t="s">
        <v>52</v>
      </c>
      <c r="K34" t="s">
        <v>53</v>
      </c>
      <c r="L34">
        <v>686</v>
      </c>
      <c r="M34" t="s">
        <v>54</v>
      </c>
      <c r="N34" t="s">
        <v>55</v>
      </c>
      <c r="O34">
        <v>0</v>
      </c>
      <c r="P34" t="s">
        <v>56</v>
      </c>
      <c r="Q34" t="s">
        <v>57</v>
      </c>
      <c r="R34" t="s">
        <v>79</v>
      </c>
      <c r="S34" t="s">
        <v>59</v>
      </c>
      <c r="T34" t="b">
        <v>1</v>
      </c>
      <c r="U34" t="s">
        <v>60</v>
      </c>
      <c r="V34" t="s">
        <v>61</v>
      </c>
      <c r="W34">
        <v>6</v>
      </c>
      <c r="X34" t="b">
        <v>1</v>
      </c>
      <c r="Y34" t="s">
        <v>62</v>
      </c>
      <c r="Z34" t="s">
        <v>63</v>
      </c>
      <c r="AA34" t="s">
        <v>64</v>
      </c>
      <c r="AB34">
        <v>0</v>
      </c>
      <c r="AC34" t="s">
        <v>65</v>
      </c>
      <c r="AD34">
        <v>8</v>
      </c>
      <c r="AE34" t="s">
        <v>66</v>
      </c>
      <c r="AF34">
        <v>13581</v>
      </c>
      <c r="AG34" t="b">
        <v>0</v>
      </c>
      <c r="AH34">
        <v>8</v>
      </c>
      <c r="AI34" t="s">
        <v>66</v>
      </c>
      <c r="AJ34">
        <v>13581</v>
      </c>
      <c r="AK34" t="b">
        <v>0</v>
      </c>
      <c r="AL34">
        <v>13581</v>
      </c>
      <c r="AM34" t="b">
        <v>0</v>
      </c>
      <c r="AN34">
        <v>0</v>
      </c>
      <c r="AO34" t="b">
        <v>0</v>
      </c>
      <c r="AP34">
        <v>710234464.13499999</v>
      </c>
      <c r="AQ34">
        <v>0</v>
      </c>
      <c r="AR34">
        <v>710234464.13499999</v>
      </c>
      <c r="AS34">
        <v>0</v>
      </c>
      <c r="AT34" t="b">
        <v>0</v>
      </c>
      <c r="AU34" t="b">
        <v>1</v>
      </c>
    </row>
    <row r="35" spans="1:47" ht="15.5" x14ac:dyDescent="0.35">
      <c r="A35" t="s">
        <v>47</v>
      </c>
      <c r="B35" t="s">
        <v>48</v>
      </c>
      <c r="C35">
        <v>20210101</v>
      </c>
      <c r="D35">
        <v>2021</v>
      </c>
      <c r="E35">
        <v>52</v>
      </c>
      <c r="F35" t="s">
        <v>90</v>
      </c>
      <c r="G35">
        <v>784</v>
      </c>
      <c r="H35" t="s">
        <v>70</v>
      </c>
      <c r="I35" t="s">
        <v>71</v>
      </c>
      <c r="J35" t="s">
        <v>52</v>
      </c>
      <c r="K35" t="s">
        <v>53</v>
      </c>
      <c r="L35">
        <v>686</v>
      </c>
      <c r="M35" t="s">
        <v>54</v>
      </c>
      <c r="N35" t="s">
        <v>55</v>
      </c>
      <c r="O35">
        <v>0</v>
      </c>
      <c r="P35" t="s">
        <v>56</v>
      </c>
      <c r="Q35" t="s">
        <v>57</v>
      </c>
      <c r="R35" t="s">
        <v>79</v>
      </c>
      <c r="S35" t="s">
        <v>59</v>
      </c>
      <c r="T35" t="b">
        <v>1</v>
      </c>
      <c r="U35" t="s">
        <v>60</v>
      </c>
      <c r="V35" t="s">
        <v>61</v>
      </c>
      <c r="W35">
        <v>6</v>
      </c>
      <c r="X35" t="b">
        <v>1</v>
      </c>
      <c r="Y35" t="s">
        <v>62</v>
      </c>
      <c r="Z35" t="s">
        <v>63</v>
      </c>
      <c r="AA35" t="s">
        <v>64</v>
      </c>
      <c r="AB35">
        <v>0</v>
      </c>
      <c r="AC35" t="s">
        <v>65</v>
      </c>
      <c r="AD35">
        <v>8</v>
      </c>
      <c r="AE35" t="s">
        <v>66</v>
      </c>
      <c r="AF35">
        <v>2625.7</v>
      </c>
      <c r="AG35" t="b">
        <v>0</v>
      </c>
      <c r="AH35">
        <v>8</v>
      </c>
      <c r="AI35" t="s">
        <v>66</v>
      </c>
      <c r="AJ35">
        <v>2625.7</v>
      </c>
      <c r="AK35" t="b">
        <v>0</v>
      </c>
      <c r="AL35">
        <v>2625.7</v>
      </c>
      <c r="AM35" t="b">
        <v>0</v>
      </c>
      <c r="AN35">
        <v>0</v>
      </c>
      <c r="AO35" t="b">
        <v>0</v>
      </c>
      <c r="AP35">
        <v>144247942.875</v>
      </c>
      <c r="AQ35">
        <v>0</v>
      </c>
      <c r="AR35">
        <v>144247942.875</v>
      </c>
      <c r="AS35">
        <v>0</v>
      </c>
      <c r="AT35" t="b">
        <v>1</v>
      </c>
      <c r="AU35" t="b">
        <v>0</v>
      </c>
    </row>
    <row r="36" spans="1:47" ht="15.5" x14ac:dyDescent="0.35">
      <c r="A36" t="s">
        <v>47</v>
      </c>
      <c r="B36" t="s">
        <v>48</v>
      </c>
      <c r="C36">
        <v>20210101</v>
      </c>
      <c r="D36">
        <v>2021</v>
      </c>
      <c r="E36">
        <v>52</v>
      </c>
      <c r="F36" t="s">
        <v>90</v>
      </c>
      <c r="G36">
        <v>792</v>
      </c>
      <c r="H36" t="s">
        <v>76</v>
      </c>
      <c r="I36" t="s">
        <v>77</v>
      </c>
      <c r="J36" t="s">
        <v>52</v>
      </c>
      <c r="K36" t="s">
        <v>53</v>
      </c>
      <c r="L36">
        <v>686</v>
      </c>
      <c r="M36" t="s">
        <v>54</v>
      </c>
      <c r="N36" t="s">
        <v>55</v>
      </c>
      <c r="O36">
        <v>0</v>
      </c>
      <c r="P36" t="s">
        <v>56</v>
      </c>
      <c r="Q36" t="s">
        <v>57</v>
      </c>
      <c r="R36" t="s">
        <v>79</v>
      </c>
      <c r="S36" t="s">
        <v>59</v>
      </c>
      <c r="T36" t="b">
        <v>1</v>
      </c>
      <c r="U36" t="s">
        <v>60</v>
      </c>
      <c r="V36" t="s">
        <v>61</v>
      </c>
      <c r="W36">
        <v>6</v>
      </c>
      <c r="X36" t="b">
        <v>1</v>
      </c>
      <c r="Y36" t="s">
        <v>62</v>
      </c>
      <c r="Z36" t="s">
        <v>63</v>
      </c>
      <c r="AA36" t="s">
        <v>64</v>
      </c>
      <c r="AB36">
        <v>0</v>
      </c>
      <c r="AC36" t="s">
        <v>65</v>
      </c>
      <c r="AD36">
        <v>8</v>
      </c>
      <c r="AE36" t="s">
        <v>66</v>
      </c>
      <c r="AF36">
        <v>7.45</v>
      </c>
      <c r="AG36" t="b">
        <v>0</v>
      </c>
      <c r="AH36">
        <v>15</v>
      </c>
      <c r="AI36" t="s">
        <v>74</v>
      </c>
      <c r="AJ36">
        <v>7450</v>
      </c>
      <c r="AK36" t="b">
        <v>0</v>
      </c>
      <c r="AL36">
        <v>7</v>
      </c>
      <c r="AM36" t="b">
        <v>0</v>
      </c>
      <c r="AN36">
        <v>0</v>
      </c>
      <c r="AO36" t="b">
        <v>0</v>
      </c>
      <c r="AP36">
        <v>332900</v>
      </c>
      <c r="AQ36">
        <v>332537</v>
      </c>
      <c r="AR36">
        <v>332900</v>
      </c>
      <c r="AS36">
        <v>0</v>
      </c>
      <c r="AT36" t="b">
        <v>0</v>
      </c>
      <c r="AU36" t="b">
        <v>1</v>
      </c>
    </row>
    <row r="37" spans="1:47" ht="15.5" x14ac:dyDescent="0.35">
      <c r="A37" t="s">
        <v>47</v>
      </c>
      <c r="B37" t="s">
        <v>48</v>
      </c>
      <c r="C37">
        <v>20220101</v>
      </c>
      <c r="D37">
        <v>2022</v>
      </c>
      <c r="E37">
        <v>52</v>
      </c>
      <c r="F37" t="s">
        <v>91</v>
      </c>
      <c r="G37">
        <v>36</v>
      </c>
      <c r="H37" t="s">
        <v>88</v>
      </c>
      <c r="I37" t="s">
        <v>89</v>
      </c>
      <c r="J37" t="s">
        <v>52</v>
      </c>
      <c r="K37" t="s">
        <v>53</v>
      </c>
      <c r="L37">
        <v>686</v>
      </c>
      <c r="M37" t="s">
        <v>54</v>
      </c>
      <c r="N37" t="s">
        <v>55</v>
      </c>
      <c r="O37">
        <v>0</v>
      </c>
      <c r="P37" t="s">
        <v>56</v>
      </c>
      <c r="Q37" t="s">
        <v>57</v>
      </c>
      <c r="R37" t="s">
        <v>92</v>
      </c>
      <c r="S37" t="s">
        <v>59</v>
      </c>
      <c r="T37" t="b">
        <v>1</v>
      </c>
      <c r="U37" t="s">
        <v>60</v>
      </c>
      <c r="V37" t="s">
        <v>61</v>
      </c>
      <c r="W37">
        <v>6</v>
      </c>
      <c r="X37" t="b">
        <v>1</v>
      </c>
      <c r="Y37" t="s">
        <v>62</v>
      </c>
      <c r="Z37" t="s">
        <v>63</v>
      </c>
      <c r="AA37" t="s">
        <v>64</v>
      </c>
      <c r="AB37">
        <v>0</v>
      </c>
      <c r="AC37" t="s">
        <v>65</v>
      </c>
      <c r="AD37">
        <v>8</v>
      </c>
      <c r="AE37" t="s">
        <v>66</v>
      </c>
      <c r="AF37">
        <v>3171.53</v>
      </c>
      <c r="AG37" t="b">
        <v>1</v>
      </c>
      <c r="AH37">
        <v>-1</v>
      </c>
      <c r="AI37" t="s">
        <v>67</v>
      </c>
      <c r="AJ37">
        <v>0</v>
      </c>
      <c r="AK37" t="b">
        <v>0</v>
      </c>
      <c r="AL37">
        <v>3171.53</v>
      </c>
      <c r="AM37" t="b">
        <v>1</v>
      </c>
      <c r="AN37">
        <v>3535.05</v>
      </c>
      <c r="AO37" t="b">
        <v>0</v>
      </c>
      <c r="AP37">
        <v>179250830.28799999</v>
      </c>
      <c r="AQ37">
        <v>178905720.074</v>
      </c>
      <c r="AR37">
        <v>179250830.28799999</v>
      </c>
      <c r="AS37">
        <v>6</v>
      </c>
      <c r="AT37" t="b">
        <v>0</v>
      </c>
      <c r="AU37" t="b">
        <v>1</v>
      </c>
    </row>
    <row r="38" spans="1:47" ht="15.5" x14ac:dyDescent="0.35">
      <c r="A38" t="s">
        <v>47</v>
      </c>
      <c r="B38" t="s">
        <v>48</v>
      </c>
      <c r="C38">
        <v>20220101</v>
      </c>
      <c r="D38">
        <v>2022</v>
      </c>
      <c r="E38">
        <v>52</v>
      </c>
      <c r="F38" t="s">
        <v>91</v>
      </c>
      <c r="G38">
        <v>380</v>
      </c>
      <c r="H38" t="s">
        <v>50</v>
      </c>
      <c r="I38" t="s">
        <v>51</v>
      </c>
      <c r="J38" t="s">
        <v>52</v>
      </c>
      <c r="K38" t="s">
        <v>53</v>
      </c>
      <c r="L38">
        <v>686</v>
      </c>
      <c r="M38" t="s">
        <v>54</v>
      </c>
      <c r="N38" t="s">
        <v>55</v>
      </c>
      <c r="O38">
        <v>0</v>
      </c>
      <c r="P38" t="s">
        <v>56</v>
      </c>
      <c r="Q38" t="s">
        <v>57</v>
      </c>
      <c r="R38" t="s">
        <v>92</v>
      </c>
      <c r="S38" t="s">
        <v>59</v>
      </c>
      <c r="T38" t="b">
        <v>1</v>
      </c>
      <c r="U38" t="s">
        <v>60</v>
      </c>
      <c r="V38" t="s">
        <v>61</v>
      </c>
      <c r="W38">
        <v>6</v>
      </c>
      <c r="X38" t="b">
        <v>1</v>
      </c>
      <c r="Y38" t="s">
        <v>62</v>
      </c>
      <c r="Z38" t="s">
        <v>63</v>
      </c>
      <c r="AA38" t="s">
        <v>64</v>
      </c>
      <c r="AB38">
        <v>0</v>
      </c>
      <c r="AC38" t="s">
        <v>65</v>
      </c>
      <c r="AD38">
        <v>8</v>
      </c>
      <c r="AE38" t="s">
        <v>66</v>
      </c>
      <c r="AF38">
        <v>32.393999999999998</v>
      </c>
      <c r="AG38" t="b">
        <v>0</v>
      </c>
      <c r="AH38">
        <v>15</v>
      </c>
      <c r="AI38" t="s">
        <v>74</v>
      </c>
      <c r="AJ38">
        <v>32394</v>
      </c>
      <c r="AK38" t="b">
        <v>0</v>
      </c>
      <c r="AL38">
        <v>33</v>
      </c>
      <c r="AM38" t="b">
        <v>0</v>
      </c>
      <c r="AN38">
        <v>0</v>
      </c>
      <c r="AO38" t="b">
        <v>0</v>
      </c>
      <c r="AP38">
        <v>1541344.121</v>
      </c>
      <c r="AR38">
        <v>1541344.121</v>
      </c>
      <c r="AS38">
        <v>0</v>
      </c>
      <c r="AT38" t="b">
        <v>1</v>
      </c>
      <c r="AU38" t="b">
        <v>0</v>
      </c>
    </row>
    <row r="39" spans="1:47" ht="15.5" x14ac:dyDescent="0.35">
      <c r="A39" t="s">
        <v>47</v>
      </c>
      <c r="B39" t="s">
        <v>48</v>
      </c>
      <c r="C39">
        <v>20220101</v>
      </c>
      <c r="D39">
        <v>2022</v>
      </c>
      <c r="E39">
        <v>52</v>
      </c>
      <c r="F39" t="s">
        <v>91</v>
      </c>
      <c r="G39">
        <v>757</v>
      </c>
      <c r="H39" t="s">
        <v>68</v>
      </c>
      <c r="I39" t="s">
        <v>69</v>
      </c>
      <c r="J39" t="s">
        <v>52</v>
      </c>
      <c r="K39" t="s">
        <v>53</v>
      </c>
      <c r="L39">
        <v>686</v>
      </c>
      <c r="M39" t="s">
        <v>54</v>
      </c>
      <c r="N39" t="s">
        <v>55</v>
      </c>
      <c r="O39">
        <v>0</v>
      </c>
      <c r="P39" t="s">
        <v>56</v>
      </c>
      <c r="Q39" t="s">
        <v>57</v>
      </c>
      <c r="R39" t="s">
        <v>92</v>
      </c>
      <c r="S39" t="s">
        <v>59</v>
      </c>
      <c r="T39" t="b">
        <v>1</v>
      </c>
      <c r="U39" t="s">
        <v>60</v>
      </c>
      <c r="V39" t="s">
        <v>61</v>
      </c>
      <c r="W39">
        <v>6</v>
      </c>
      <c r="X39" t="b">
        <v>1</v>
      </c>
      <c r="Y39" t="s">
        <v>62</v>
      </c>
      <c r="Z39" t="s">
        <v>63</v>
      </c>
      <c r="AA39" t="s">
        <v>64</v>
      </c>
      <c r="AB39">
        <v>0</v>
      </c>
      <c r="AC39" t="s">
        <v>65</v>
      </c>
      <c r="AD39">
        <v>8</v>
      </c>
      <c r="AE39" t="s">
        <v>66</v>
      </c>
      <c r="AF39">
        <v>12081</v>
      </c>
      <c r="AG39" t="b">
        <v>0</v>
      </c>
      <c r="AH39">
        <v>8</v>
      </c>
      <c r="AI39" t="s">
        <v>66</v>
      </c>
      <c r="AJ39">
        <v>12081</v>
      </c>
      <c r="AK39" t="b">
        <v>0</v>
      </c>
      <c r="AL39">
        <v>12081</v>
      </c>
      <c r="AM39" t="b">
        <v>0</v>
      </c>
      <c r="AN39">
        <v>0</v>
      </c>
      <c r="AO39" t="b">
        <v>0</v>
      </c>
      <c r="AP39">
        <v>631954371.199</v>
      </c>
      <c r="AR39">
        <v>631954371.199</v>
      </c>
      <c r="AS39">
        <v>0</v>
      </c>
      <c r="AT39" t="b">
        <v>0</v>
      </c>
      <c r="AU39" t="b">
        <v>1</v>
      </c>
    </row>
    <row r="40" spans="1:47" ht="15.5" x14ac:dyDescent="0.35">
      <c r="A40" t="s">
        <v>47</v>
      </c>
      <c r="B40" t="s">
        <v>48</v>
      </c>
      <c r="C40">
        <v>20220101</v>
      </c>
      <c r="D40">
        <v>2022</v>
      </c>
      <c r="E40">
        <v>52</v>
      </c>
      <c r="F40" t="s">
        <v>91</v>
      </c>
      <c r="G40">
        <v>784</v>
      </c>
      <c r="H40" t="s">
        <v>70</v>
      </c>
      <c r="I40" t="s">
        <v>71</v>
      </c>
      <c r="J40" t="s">
        <v>52</v>
      </c>
      <c r="K40" t="s">
        <v>53</v>
      </c>
      <c r="L40">
        <v>686</v>
      </c>
      <c r="M40" t="s">
        <v>54</v>
      </c>
      <c r="N40" t="s">
        <v>55</v>
      </c>
      <c r="O40">
        <v>0</v>
      </c>
      <c r="P40" t="s">
        <v>56</v>
      </c>
      <c r="Q40" t="s">
        <v>57</v>
      </c>
      <c r="R40" t="s">
        <v>92</v>
      </c>
      <c r="S40" t="s">
        <v>59</v>
      </c>
      <c r="T40" t="b">
        <v>1</v>
      </c>
      <c r="U40" t="s">
        <v>60</v>
      </c>
      <c r="V40" t="s">
        <v>61</v>
      </c>
      <c r="W40">
        <v>6</v>
      </c>
      <c r="X40" t="b">
        <v>1</v>
      </c>
      <c r="Y40" t="s">
        <v>62</v>
      </c>
      <c r="Z40" t="s">
        <v>63</v>
      </c>
      <c r="AA40" t="s">
        <v>64</v>
      </c>
      <c r="AB40">
        <v>0</v>
      </c>
      <c r="AC40" t="s">
        <v>65</v>
      </c>
      <c r="AD40">
        <v>8</v>
      </c>
      <c r="AE40" t="s">
        <v>66</v>
      </c>
      <c r="AF40">
        <v>3215.52</v>
      </c>
      <c r="AG40" t="b">
        <v>0</v>
      </c>
      <c r="AH40">
        <v>8</v>
      </c>
      <c r="AI40" t="s">
        <v>66</v>
      </c>
      <c r="AJ40">
        <v>3215.52</v>
      </c>
      <c r="AK40" t="b">
        <v>0</v>
      </c>
      <c r="AL40">
        <v>3215.52</v>
      </c>
      <c r="AM40" t="b">
        <v>0</v>
      </c>
      <c r="AN40">
        <v>0</v>
      </c>
      <c r="AO40" t="b">
        <v>0</v>
      </c>
      <c r="AP40">
        <v>171934926.44400001</v>
      </c>
      <c r="AR40">
        <v>171934926.44400001</v>
      </c>
      <c r="AS40">
        <v>0</v>
      </c>
      <c r="AT40" t="b">
        <v>1</v>
      </c>
      <c r="AU40" t="b">
        <v>0</v>
      </c>
    </row>
    <row r="41" spans="1:47" ht="15.5" x14ac:dyDescent="0.35">
      <c r="A41" t="s">
        <v>47</v>
      </c>
      <c r="B41" t="s">
        <v>48</v>
      </c>
      <c r="C41">
        <v>20230101</v>
      </c>
      <c r="D41">
        <v>2023</v>
      </c>
      <c r="E41">
        <v>52</v>
      </c>
      <c r="F41" t="s">
        <v>93</v>
      </c>
      <c r="G41">
        <v>36</v>
      </c>
      <c r="H41" t="s">
        <v>88</v>
      </c>
      <c r="I41" t="s">
        <v>89</v>
      </c>
      <c r="J41" t="s">
        <v>52</v>
      </c>
      <c r="K41" t="s">
        <v>53</v>
      </c>
      <c r="L41">
        <v>686</v>
      </c>
      <c r="M41" t="s">
        <v>54</v>
      </c>
      <c r="N41" t="s">
        <v>55</v>
      </c>
      <c r="O41">
        <v>0</v>
      </c>
      <c r="P41" t="s">
        <v>56</v>
      </c>
      <c r="Q41" t="s">
        <v>57</v>
      </c>
      <c r="R41" t="s">
        <v>92</v>
      </c>
      <c r="S41" t="s">
        <v>59</v>
      </c>
      <c r="T41" t="b">
        <v>1</v>
      </c>
      <c r="U41" t="s">
        <v>60</v>
      </c>
      <c r="V41" t="s">
        <v>61</v>
      </c>
      <c r="W41">
        <v>6</v>
      </c>
      <c r="X41" t="b">
        <v>1</v>
      </c>
      <c r="Y41" t="s">
        <v>62</v>
      </c>
      <c r="Z41" t="s">
        <v>63</v>
      </c>
      <c r="AA41" t="s">
        <v>64</v>
      </c>
      <c r="AB41">
        <v>0</v>
      </c>
      <c r="AC41" t="s">
        <v>65</v>
      </c>
      <c r="AD41">
        <v>8</v>
      </c>
      <c r="AE41" t="s">
        <v>66</v>
      </c>
      <c r="AF41">
        <v>3797.2040000000002</v>
      </c>
      <c r="AG41" t="b">
        <v>1</v>
      </c>
      <c r="AH41">
        <v>-1</v>
      </c>
      <c r="AI41" t="s">
        <v>67</v>
      </c>
      <c r="AJ41">
        <v>0</v>
      </c>
      <c r="AK41" t="b">
        <v>0</v>
      </c>
      <c r="AM41" t="b">
        <v>0</v>
      </c>
      <c r="AN41">
        <v>4228</v>
      </c>
      <c r="AO41" t="b">
        <v>0</v>
      </c>
      <c r="AP41">
        <v>230374640.12099999</v>
      </c>
      <c r="AQ41">
        <v>229615460.164</v>
      </c>
      <c r="AR41">
        <v>230374640.12099999</v>
      </c>
      <c r="AS41">
        <v>2</v>
      </c>
      <c r="AT41" t="b">
        <v>0</v>
      </c>
      <c r="AU41" t="b">
        <v>1</v>
      </c>
    </row>
    <row r="42" spans="1:47" ht="15.5" x14ac:dyDescent="0.35">
      <c r="A42" t="s">
        <v>47</v>
      </c>
      <c r="B42" t="s">
        <v>48</v>
      </c>
      <c r="C42">
        <v>20230101</v>
      </c>
      <c r="D42">
        <v>2023</v>
      </c>
      <c r="E42">
        <v>52</v>
      </c>
      <c r="F42" t="s">
        <v>93</v>
      </c>
      <c r="G42">
        <v>380</v>
      </c>
      <c r="H42" t="s">
        <v>50</v>
      </c>
      <c r="I42" t="s">
        <v>51</v>
      </c>
      <c r="J42" t="s">
        <v>52</v>
      </c>
      <c r="K42" t="s">
        <v>53</v>
      </c>
      <c r="L42">
        <v>686</v>
      </c>
      <c r="M42" t="s">
        <v>54</v>
      </c>
      <c r="N42" t="s">
        <v>55</v>
      </c>
      <c r="O42">
        <v>0</v>
      </c>
      <c r="P42" t="s">
        <v>56</v>
      </c>
      <c r="Q42" t="s">
        <v>57</v>
      </c>
      <c r="R42" t="s">
        <v>92</v>
      </c>
      <c r="S42" t="s">
        <v>59</v>
      </c>
      <c r="T42" t="b">
        <v>1</v>
      </c>
      <c r="U42" t="s">
        <v>60</v>
      </c>
      <c r="V42" t="s">
        <v>61</v>
      </c>
      <c r="W42">
        <v>6</v>
      </c>
      <c r="X42" t="b">
        <v>1</v>
      </c>
      <c r="Y42" t="s">
        <v>62</v>
      </c>
      <c r="Z42" t="s">
        <v>63</v>
      </c>
      <c r="AA42" t="s">
        <v>64</v>
      </c>
      <c r="AB42">
        <v>0</v>
      </c>
      <c r="AC42" t="s">
        <v>65</v>
      </c>
      <c r="AD42">
        <v>8</v>
      </c>
      <c r="AE42" t="s">
        <v>66</v>
      </c>
      <c r="AF42">
        <v>28.239000000000001</v>
      </c>
      <c r="AG42" t="b">
        <v>0</v>
      </c>
      <c r="AH42">
        <v>15</v>
      </c>
      <c r="AI42" t="s">
        <v>74</v>
      </c>
      <c r="AJ42">
        <v>28239</v>
      </c>
      <c r="AK42" t="b">
        <v>0</v>
      </c>
      <c r="AL42">
        <v>28</v>
      </c>
      <c r="AM42" t="b">
        <v>0</v>
      </c>
      <c r="AN42">
        <v>0</v>
      </c>
      <c r="AO42" t="b">
        <v>0</v>
      </c>
      <c r="AP42">
        <v>1335454.328</v>
      </c>
      <c r="AR42">
        <v>1335454.328</v>
      </c>
      <c r="AS42">
        <v>0</v>
      </c>
      <c r="AT42" t="b">
        <v>1</v>
      </c>
      <c r="AU42" t="b">
        <v>0</v>
      </c>
    </row>
    <row r="43" spans="1:47" ht="15.5" x14ac:dyDescent="0.35">
      <c r="A43" t="s">
        <v>47</v>
      </c>
      <c r="B43" t="s">
        <v>48</v>
      </c>
      <c r="C43">
        <v>20230101</v>
      </c>
      <c r="D43">
        <v>2023</v>
      </c>
      <c r="E43">
        <v>52</v>
      </c>
      <c r="F43" t="s">
        <v>93</v>
      </c>
      <c r="G43">
        <v>466</v>
      </c>
      <c r="H43" t="s">
        <v>94</v>
      </c>
      <c r="I43" t="s">
        <v>95</v>
      </c>
      <c r="J43" t="s">
        <v>52</v>
      </c>
      <c r="K43" t="s">
        <v>53</v>
      </c>
      <c r="L43">
        <v>686</v>
      </c>
      <c r="M43" t="s">
        <v>54</v>
      </c>
      <c r="N43" t="s">
        <v>55</v>
      </c>
      <c r="O43">
        <v>0</v>
      </c>
      <c r="P43" t="s">
        <v>56</v>
      </c>
      <c r="Q43" t="s">
        <v>57</v>
      </c>
      <c r="R43" t="s">
        <v>92</v>
      </c>
      <c r="S43" t="s">
        <v>59</v>
      </c>
      <c r="T43" t="b">
        <v>1</v>
      </c>
      <c r="U43" t="s">
        <v>60</v>
      </c>
      <c r="V43" t="s">
        <v>61</v>
      </c>
      <c r="W43">
        <v>6</v>
      </c>
      <c r="X43" t="b">
        <v>1</v>
      </c>
      <c r="Y43" t="s">
        <v>62</v>
      </c>
      <c r="Z43" t="s">
        <v>63</v>
      </c>
      <c r="AA43" t="s">
        <v>64</v>
      </c>
      <c r="AB43">
        <v>0</v>
      </c>
      <c r="AC43" t="s">
        <v>65</v>
      </c>
      <c r="AD43">
        <v>8</v>
      </c>
      <c r="AE43" t="s">
        <v>66</v>
      </c>
      <c r="AF43">
        <v>6.6109999999999998</v>
      </c>
      <c r="AG43" t="b">
        <v>0</v>
      </c>
      <c r="AH43">
        <v>8</v>
      </c>
      <c r="AI43" t="s">
        <v>66</v>
      </c>
      <c r="AJ43">
        <v>6.6109999999999998</v>
      </c>
      <c r="AK43" t="b">
        <v>0</v>
      </c>
      <c r="AL43">
        <v>6.6109999999999998</v>
      </c>
      <c r="AM43" t="b">
        <v>0</v>
      </c>
      <c r="AN43">
        <v>0</v>
      </c>
      <c r="AO43" t="b">
        <v>0</v>
      </c>
      <c r="AP43">
        <v>337980.12400000001</v>
      </c>
      <c r="AR43">
        <v>337980.12400000001</v>
      </c>
      <c r="AS43">
        <v>0</v>
      </c>
      <c r="AT43" t="b">
        <v>1</v>
      </c>
      <c r="AU43" t="b">
        <v>0</v>
      </c>
    </row>
    <row r="44" spans="1:47" ht="15.5" x14ac:dyDescent="0.35">
      <c r="A44" t="s">
        <v>47</v>
      </c>
      <c r="B44" t="s">
        <v>48</v>
      </c>
      <c r="C44">
        <v>20230101</v>
      </c>
      <c r="D44">
        <v>2023</v>
      </c>
      <c r="E44">
        <v>52</v>
      </c>
      <c r="F44" t="s">
        <v>93</v>
      </c>
      <c r="G44">
        <v>757</v>
      </c>
      <c r="H44" t="s">
        <v>68</v>
      </c>
      <c r="I44" t="s">
        <v>69</v>
      </c>
      <c r="J44" t="s">
        <v>52</v>
      </c>
      <c r="K44" t="s">
        <v>53</v>
      </c>
      <c r="L44">
        <v>686</v>
      </c>
      <c r="M44" t="s">
        <v>54</v>
      </c>
      <c r="N44" t="s">
        <v>55</v>
      </c>
      <c r="O44">
        <v>0</v>
      </c>
      <c r="P44" t="s">
        <v>56</v>
      </c>
      <c r="Q44" t="s">
        <v>57</v>
      </c>
      <c r="R44" t="s">
        <v>92</v>
      </c>
      <c r="S44" t="s">
        <v>59</v>
      </c>
      <c r="T44" t="b">
        <v>1</v>
      </c>
      <c r="U44" t="s">
        <v>60</v>
      </c>
      <c r="V44" t="s">
        <v>61</v>
      </c>
      <c r="W44">
        <v>6</v>
      </c>
      <c r="X44" t="b">
        <v>1</v>
      </c>
      <c r="Y44" t="s">
        <v>62</v>
      </c>
      <c r="Z44" t="s">
        <v>63</v>
      </c>
      <c r="AA44" t="s">
        <v>64</v>
      </c>
      <c r="AB44">
        <v>0</v>
      </c>
      <c r="AC44" t="s">
        <v>65</v>
      </c>
      <c r="AD44">
        <v>8</v>
      </c>
      <c r="AE44" t="s">
        <v>66</v>
      </c>
      <c r="AF44">
        <v>10566</v>
      </c>
      <c r="AG44" t="b">
        <v>0</v>
      </c>
      <c r="AH44">
        <v>8</v>
      </c>
      <c r="AI44" t="s">
        <v>66</v>
      </c>
      <c r="AJ44">
        <v>10566</v>
      </c>
      <c r="AK44" t="b">
        <v>0</v>
      </c>
      <c r="AL44">
        <v>10566</v>
      </c>
      <c r="AM44" t="b">
        <v>0</v>
      </c>
      <c r="AN44">
        <v>0</v>
      </c>
      <c r="AO44" t="b">
        <v>0</v>
      </c>
      <c r="AP44">
        <v>593906011.35000002</v>
      </c>
      <c r="AR44">
        <v>593906011.35000002</v>
      </c>
      <c r="AS44">
        <v>0</v>
      </c>
      <c r="AT44" t="b">
        <v>0</v>
      </c>
      <c r="AU44" t="b">
        <v>1</v>
      </c>
    </row>
    <row r="45" spans="1:47" ht="15.5" x14ac:dyDescent="0.35">
      <c r="A45" t="s">
        <v>47</v>
      </c>
      <c r="B45" t="s">
        <v>48</v>
      </c>
      <c r="C45">
        <v>20230101</v>
      </c>
      <c r="D45">
        <v>2023</v>
      </c>
      <c r="E45">
        <v>52</v>
      </c>
      <c r="F45" t="s">
        <v>93</v>
      </c>
      <c r="G45">
        <v>784</v>
      </c>
      <c r="H45" t="s">
        <v>70</v>
      </c>
      <c r="I45" t="s">
        <v>71</v>
      </c>
      <c r="J45" t="s">
        <v>52</v>
      </c>
      <c r="K45" t="s">
        <v>53</v>
      </c>
      <c r="L45">
        <v>686</v>
      </c>
      <c r="M45" t="s">
        <v>54</v>
      </c>
      <c r="N45" t="s">
        <v>55</v>
      </c>
      <c r="O45">
        <v>0</v>
      </c>
      <c r="P45" t="s">
        <v>56</v>
      </c>
      <c r="Q45" t="s">
        <v>57</v>
      </c>
      <c r="R45" t="s">
        <v>92</v>
      </c>
      <c r="S45" t="s">
        <v>59</v>
      </c>
      <c r="T45" t="b">
        <v>1</v>
      </c>
      <c r="U45" t="s">
        <v>60</v>
      </c>
      <c r="V45" t="s">
        <v>61</v>
      </c>
      <c r="W45">
        <v>6</v>
      </c>
      <c r="X45" t="b">
        <v>1</v>
      </c>
      <c r="Y45" t="s">
        <v>62</v>
      </c>
      <c r="Z45" t="s">
        <v>63</v>
      </c>
      <c r="AA45" t="s">
        <v>64</v>
      </c>
      <c r="AB45">
        <v>0</v>
      </c>
      <c r="AC45" t="s">
        <v>65</v>
      </c>
      <c r="AD45">
        <v>8</v>
      </c>
      <c r="AE45" t="s">
        <v>66</v>
      </c>
      <c r="AF45">
        <v>4014.64</v>
      </c>
      <c r="AG45" t="b">
        <v>0</v>
      </c>
      <c r="AH45">
        <v>8</v>
      </c>
      <c r="AI45" t="s">
        <v>66</v>
      </c>
      <c r="AJ45">
        <v>4014.64</v>
      </c>
      <c r="AK45" t="b">
        <v>0</v>
      </c>
      <c r="AL45">
        <v>4014.64</v>
      </c>
      <c r="AM45" t="b">
        <v>0</v>
      </c>
      <c r="AN45">
        <v>0</v>
      </c>
      <c r="AO45" t="b">
        <v>0</v>
      </c>
      <c r="AP45">
        <v>238406106.84299999</v>
      </c>
      <c r="AR45">
        <v>238406106.84299999</v>
      </c>
      <c r="AS45">
        <v>0</v>
      </c>
      <c r="AT45" t="b">
        <v>1</v>
      </c>
      <c r="AU45" t="b">
        <v>0</v>
      </c>
    </row>
    <row r="46" spans="1:47" ht="15.5" x14ac:dyDescent="0.35">
      <c r="A46" t="s">
        <v>47</v>
      </c>
      <c r="B46" t="s">
        <v>48</v>
      </c>
      <c r="C46">
        <v>20230101</v>
      </c>
      <c r="D46">
        <v>2023</v>
      </c>
      <c r="E46">
        <v>52</v>
      </c>
      <c r="F46" t="s">
        <v>93</v>
      </c>
      <c r="G46">
        <v>792</v>
      </c>
      <c r="H46" t="s">
        <v>76</v>
      </c>
      <c r="I46" t="s">
        <v>77</v>
      </c>
      <c r="J46" t="s">
        <v>52</v>
      </c>
      <c r="K46" t="s">
        <v>53</v>
      </c>
      <c r="L46">
        <v>686</v>
      </c>
      <c r="M46" t="s">
        <v>54</v>
      </c>
      <c r="N46" t="s">
        <v>55</v>
      </c>
      <c r="O46">
        <v>0</v>
      </c>
      <c r="P46" t="s">
        <v>56</v>
      </c>
      <c r="Q46" t="s">
        <v>57</v>
      </c>
      <c r="R46" t="s">
        <v>92</v>
      </c>
      <c r="S46" t="s">
        <v>59</v>
      </c>
      <c r="T46" t="b">
        <v>1</v>
      </c>
      <c r="U46" t="s">
        <v>60</v>
      </c>
      <c r="V46" t="s">
        <v>61</v>
      </c>
      <c r="W46">
        <v>6</v>
      </c>
      <c r="X46" t="b">
        <v>1</v>
      </c>
      <c r="Y46" t="s">
        <v>62</v>
      </c>
      <c r="Z46" t="s">
        <v>63</v>
      </c>
      <c r="AA46" t="s">
        <v>64</v>
      </c>
      <c r="AB46">
        <v>0</v>
      </c>
      <c r="AC46" t="s">
        <v>65</v>
      </c>
      <c r="AD46">
        <v>8</v>
      </c>
      <c r="AE46" t="s">
        <v>66</v>
      </c>
      <c r="AF46">
        <v>34.648000000000003</v>
      </c>
      <c r="AG46" t="b">
        <v>0</v>
      </c>
      <c r="AH46">
        <v>8</v>
      </c>
      <c r="AI46" t="s">
        <v>66</v>
      </c>
      <c r="AJ46">
        <v>34.648000000000003</v>
      </c>
      <c r="AK46" t="b">
        <v>0</v>
      </c>
      <c r="AL46">
        <v>35</v>
      </c>
      <c r="AM46" t="b">
        <v>0</v>
      </c>
      <c r="AN46">
        <v>0</v>
      </c>
      <c r="AO46" t="b">
        <v>0</v>
      </c>
      <c r="AP46">
        <v>1695971</v>
      </c>
      <c r="AQ46">
        <v>1694377</v>
      </c>
      <c r="AR46">
        <v>1695971</v>
      </c>
      <c r="AS46">
        <v>0</v>
      </c>
      <c r="AT46" t="b">
        <v>0</v>
      </c>
      <c r="AU46" t="b">
        <v>1</v>
      </c>
    </row>
    <row r="47" spans="1:47" ht="15.5" x14ac:dyDescent="0.35">
      <c r="A47" t="s">
        <v>47</v>
      </c>
      <c r="B47" t="s">
        <v>48</v>
      </c>
      <c r="C47">
        <v>20240101</v>
      </c>
      <c r="D47">
        <v>2024</v>
      </c>
      <c r="E47">
        <v>52</v>
      </c>
      <c r="F47" t="s">
        <v>96</v>
      </c>
      <c r="G47">
        <v>36</v>
      </c>
      <c r="H47" t="s">
        <v>88</v>
      </c>
      <c r="I47" t="s">
        <v>89</v>
      </c>
      <c r="J47" t="s">
        <v>52</v>
      </c>
      <c r="K47" t="s">
        <v>53</v>
      </c>
      <c r="L47">
        <v>686</v>
      </c>
      <c r="M47" t="s">
        <v>54</v>
      </c>
      <c r="N47" t="s">
        <v>55</v>
      </c>
      <c r="O47">
        <v>0</v>
      </c>
      <c r="P47" t="s">
        <v>56</v>
      </c>
      <c r="Q47" t="s">
        <v>57</v>
      </c>
      <c r="R47" t="s">
        <v>92</v>
      </c>
      <c r="S47" t="s">
        <v>59</v>
      </c>
      <c r="T47" t="b">
        <v>1</v>
      </c>
      <c r="U47" t="s">
        <v>60</v>
      </c>
      <c r="V47" t="s">
        <v>61</v>
      </c>
      <c r="W47">
        <v>6</v>
      </c>
      <c r="X47" t="b">
        <v>1</v>
      </c>
      <c r="Y47" t="s">
        <v>62</v>
      </c>
      <c r="Z47" t="s">
        <v>63</v>
      </c>
      <c r="AA47" t="s">
        <v>64</v>
      </c>
      <c r="AB47">
        <v>0</v>
      </c>
      <c r="AC47" t="s">
        <v>65</v>
      </c>
      <c r="AD47">
        <v>8</v>
      </c>
      <c r="AE47" t="s">
        <v>66</v>
      </c>
      <c r="AF47">
        <v>3042.6289999999999</v>
      </c>
      <c r="AG47" t="b">
        <v>1</v>
      </c>
      <c r="AH47">
        <v>-1</v>
      </c>
      <c r="AI47" t="s">
        <v>67</v>
      </c>
      <c r="AJ47">
        <v>0</v>
      </c>
      <c r="AK47" t="b">
        <v>0</v>
      </c>
      <c r="AL47">
        <v>3042.6289999999999</v>
      </c>
      <c r="AM47" t="b">
        <v>1</v>
      </c>
      <c r="AN47">
        <v>3.117</v>
      </c>
      <c r="AO47" t="b">
        <v>0</v>
      </c>
      <c r="AP47">
        <v>201071815.89399999</v>
      </c>
      <c r="AQ47">
        <v>200467702.66499999</v>
      </c>
      <c r="AR47">
        <v>201071815.89399999</v>
      </c>
      <c r="AS47">
        <v>6</v>
      </c>
      <c r="AT47" t="b">
        <v>0</v>
      </c>
      <c r="AU47" t="b">
        <v>1</v>
      </c>
    </row>
    <row r="48" spans="1:47" ht="15.5" x14ac:dyDescent="0.35">
      <c r="A48" t="s">
        <v>47</v>
      </c>
      <c r="B48" t="s">
        <v>48</v>
      </c>
      <c r="C48">
        <v>20240101</v>
      </c>
      <c r="D48">
        <v>2024</v>
      </c>
      <c r="E48">
        <v>52</v>
      </c>
      <c r="F48" t="s">
        <v>96</v>
      </c>
      <c r="G48">
        <v>156</v>
      </c>
      <c r="H48" t="s">
        <v>97</v>
      </c>
      <c r="I48" t="s">
        <v>98</v>
      </c>
      <c r="J48" t="s">
        <v>52</v>
      </c>
      <c r="K48" t="s">
        <v>53</v>
      </c>
      <c r="L48">
        <v>686</v>
      </c>
      <c r="M48" t="s">
        <v>54</v>
      </c>
      <c r="N48" t="s">
        <v>55</v>
      </c>
      <c r="O48">
        <v>0</v>
      </c>
      <c r="P48" t="s">
        <v>56</v>
      </c>
      <c r="Q48" t="s">
        <v>57</v>
      </c>
      <c r="R48" t="s">
        <v>92</v>
      </c>
      <c r="S48" t="s">
        <v>59</v>
      </c>
      <c r="T48" t="b">
        <v>1</v>
      </c>
      <c r="U48" t="s">
        <v>60</v>
      </c>
      <c r="V48" t="s">
        <v>61</v>
      </c>
      <c r="W48">
        <v>6</v>
      </c>
      <c r="X48" t="b">
        <v>1</v>
      </c>
      <c r="Y48" t="s">
        <v>62</v>
      </c>
      <c r="Z48" t="s">
        <v>63</v>
      </c>
      <c r="AA48" t="s">
        <v>64</v>
      </c>
      <c r="AB48">
        <v>0</v>
      </c>
      <c r="AC48" t="s">
        <v>65</v>
      </c>
      <c r="AD48">
        <v>8</v>
      </c>
      <c r="AE48" t="s">
        <v>66</v>
      </c>
      <c r="AF48">
        <v>10.012</v>
      </c>
      <c r="AG48" t="b">
        <v>0</v>
      </c>
      <c r="AH48">
        <v>15</v>
      </c>
      <c r="AI48" t="s">
        <v>74</v>
      </c>
      <c r="AJ48">
        <v>10012</v>
      </c>
      <c r="AK48" t="b">
        <v>0</v>
      </c>
      <c r="AL48">
        <v>10.012</v>
      </c>
      <c r="AM48" t="b">
        <v>0</v>
      </c>
      <c r="AN48">
        <v>0</v>
      </c>
      <c r="AO48" t="b">
        <v>0</v>
      </c>
      <c r="AP48">
        <v>819980</v>
      </c>
      <c r="AR48">
        <v>819980</v>
      </c>
      <c r="AS48">
        <v>0</v>
      </c>
      <c r="AT48" t="b">
        <v>1</v>
      </c>
      <c r="AU48" t="b">
        <v>0</v>
      </c>
    </row>
    <row r="49" spans="1:47" ht="15.5" x14ac:dyDescent="0.35">
      <c r="A49" t="s">
        <v>47</v>
      </c>
      <c r="B49" t="s">
        <v>48</v>
      </c>
      <c r="C49">
        <v>20240101</v>
      </c>
      <c r="D49">
        <v>2024</v>
      </c>
      <c r="E49">
        <v>52</v>
      </c>
      <c r="F49" t="s">
        <v>96</v>
      </c>
      <c r="G49">
        <v>380</v>
      </c>
      <c r="H49" t="s">
        <v>50</v>
      </c>
      <c r="I49" t="s">
        <v>51</v>
      </c>
      <c r="J49" t="s">
        <v>52</v>
      </c>
      <c r="K49" t="s">
        <v>53</v>
      </c>
      <c r="L49">
        <v>686</v>
      </c>
      <c r="M49" t="s">
        <v>54</v>
      </c>
      <c r="N49" t="s">
        <v>55</v>
      </c>
      <c r="O49">
        <v>0</v>
      </c>
      <c r="P49" t="s">
        <v>56</v>
      </c>
      <c r="Q49" t="s">
        <v>57</v>
      </c>
      <c r="R49" t="s">
        <v>92</v>
      </c>
      <c r="S49" t="s">
        <v>59</v>
      </c>
      <c r="T49" t="b">
        <v>1</v>
      </c>
      <c r="U49" t="s">
        <v>60</v>
      </c>
      <c r="V49" t="s">
        <v>61</v>
      </c>
      <c r="W49">
        <v>6</v>
      </c>
      <c r="X49" t="b">
        <v>1</v>
      </c>
      <c r="Y49" t="s">
        <v>62</v>
      </c>
      <c r="Z49" t="s">
        <v>63</v>
      </c>
      <c r="AA49" t="s">
        <v>64</v>
      </c>
      <c r="AB49">
        <v>0</v>
      </c>
      <c r="AC49" t="s">
        <v>65</v>
      </c>
      <c r="AD49">
        <v>8</v>
      </c>
      <c r="AE49" t="s">
        <v>66</v>
      </c>
      <c r="AF49">
        <v>10.696999999999999</v>
      </c>
      <c r="AG49" t="b">
        <v>0</v>
      </c>
      <c r="AH49">
        <v>8</v>
      </c>
      <c r="AI49" t="s">
        <v>66</v>
      </c>
      <c r="AJ49">
        <v>10.696999999999999</v>
      </c>
      <c r="AK49" t="b">
        <v>0</v>
      </c>
      <c r="AL49">
        <v>12</v>
      </c>
      <c r="AM49" t="b">
        <v>0</v>
      </c>
      <c r="AN49">
        <v>0</v>
      </c>
      <c r="AO49" t="b">
        <v>0</v>
      </c>
      <c r="AP49">
        <v>676674.71200000006</v>
      </c>
      <c r="AR49">
        <v>676674.71200000006</v>
      </c>
      <c r="AS49">
        <v>0</v>
      </c>
      <c r="AT49" t="b">
        <v>1</v>
      </c>
      <c r="AU49" t="b">
        <v>0</v>
      </c>
    </row>
    <row r="50" spans="1:47" ht="15.5" x14ac:dyDescent="0.35">
      <c r="A50" t="s">
        <v>47</v>
      </c>
      <c r="B50" t="s">
        <v>48</v>
      </c>
      <c r="C50">
        <v>20240101</v>
      </c>
      <c r="D50">
        <v>2024</v>
      </c>
      <c r="E50">
        <v>52</v>
      </c>
      <c r="F50" t="s">
        <v>96</v>
      </c>
      <c r="G50">
        <v>757</v>
      </c>
      <c r="H50" t="s">
        <v>68</v>
      </c>
      <c r="I50" t="s">
        <v>69</v>
      </c>
      <c r="J50" t="s">
        <v>52</v>
      </c>
      <c r="K50" t="s">
        <v>53</v>
      </c>
      <c r="L50">
        <v>686</v>
      </c>
      <c r="M50" t="s">
        <v>54</v>
      </c>
      <c r="N50" t="s">
        <v>55</v>
      </c>
      <c r="O50">
        <v>0</v>
      </c>
      <c r="P50" t="s">
        <v>56</v>
      </c>
      <c r="Q50" t="s">
        <v>57</v>
      </c>
      <c r="R50" t="s">
        <v>92</v>
      </c>
      <c r="S50" t="s">
        <v>59</v>
      </c>
      <c r="T50" t="b">
        <v>1</v>
      </c>
      <c r="U50" t="s">
        <v>60</v>
      </c>
      <c r="V50" t="s">
        <v>61</v>
      </c>
      <c r="W50">
        <v>6</v>
      </c>
      <c r="X50" t="b">
        <v>1</v>
      </c>
      <c r="Y50" t="s">
        <v>62</v>
      </c>
      <c r="Z50" t="s">
        <v>63</v>
      </c>
      <c r="AA50" t="s">
        <v>64</v>
      </c>
      <c r="AB50">
        <v>0</v>
      </c>
      <c r="AC50" t="s">
        <v>65</v>
      </c>
      <c r="AD50">
        <v>8</v>
      </c>
      <c r="AE50" t="s">
        <v>66</v>
      </c>
      <c r="AF50">
        <v>8103</v>
      </c>
      <c r="AG50" t="b">
        <v>0</v>
      </c>
      <c r="AH50">
        <v>8</v>
      </c>
      <c r="AI50" t="s">
        <v>66</v>
      </c>
      <c r="AJ50">
        <v>8103</v>
      </c>
      <c r="AK50" t="b">
        <v>0</v>
      </c>
      <c r="AL50">
        <v>8103</v>
      </c>
      <c r="AM50" t="b">
        <v>0</v>
      </c>
      <c r="AN50">
        <v>0</v>
      </c>
      <c r="AO50" t="b">
        <v>0</v>
      </c>
      <c r="AP50">
        <v>548487309.28999996</v>
      </c>
      <c r="AR50">
        <v>548487309.28999996</v>
      </c>
      <c r="AS50">
        <v>0</v>
      </c>
      <c r="AT50" t="b">
        <v>0</v>
      </c>
      <c r="AU50" t="b">
        <v>1</v>
      </c>
    </row>
    <row r="51" spans="1:47" ht="15.5" x14ac:dyDescent="0.35">
      <c r="A51" t="s">
        <v>47</v>
      </c>
      <c r="B51" t="s">
        <v>48</v>
      </c>
      <c r="C51">
        <v>20240101</v>
      </c>
      <c r="D51">
        <v>2024</v>
      </c>
      <c r="E51">
        <v>52</v>
      </c>
      <c r="F51" t="s">
        <v>96</v>
      </c>
      <c r="G51">
        <v>764</v>
      </c>
      <c r="H51" t="s">
        <v>99</v>
      </c>
      <c r="I51" t="s">
        <v>100</v>
      </c>
      <c r="J51" t="s">
        <v>52</v>
      </c>
      <c r="K51" t="s">
        <v>53</v>
      </c>
      <c r="L51">
        <v>686</v>
      </c>
      <c r="M51" t="s">
        <v>54</v>
      </c>
      <c r="N51" t="s">
        <v>55</v>
      </c>
      <c r="O51">
        <v>0</v>
      </c>
      <c r="P51" t="s">
        <v>56</v>
      </c>
      <c r="Q51" t="s">
        <v>57</v>
      </c>
      <c r="R51" t="s">
        <v>92</v>
      </c>
      <c r="S51" t="s">
        <v>59</v>
      </c>
      <c r="T51" t="b">
        <v>1</v>
      </c>
      <c r="U51" t="s">
        <v>60</v>
      </c>
      <c r="V51" t="s">
        <v>61</v>
      </c>
      <c r="W51">
        <v>6</v>
      </c>
      <c r="X51" t="b">
        <v>1</v>
      </c>
      <c r="Y51" t="s">
        <v>62</v>
      </c>
      <c r="Z51" t="s">
        <v>63</v>
      </c>
      <c r="AA51" t="s">
        <v>64</v>
      </c>
      <c r="AB51">
        <v>0</v>
      </c>
      <c r="AC51" t="s">
        <v>65</v>
      </c>
      <c r="AD51">
        <v>8</v>
      </c>
      <c r="AE51" t="s">
        <v>66</v>
      </c>
      <c r="AF51">
        <v>20</v>
      </c>
      <c r="AG51" t="b">
        <v>0</v>
      </c>
      <c r="AH51">
        <v>8</v>
      </c>
      <c r="AI51" t="s">
        <v>66</v>
      </c>
      <c r="AJ51">
        <v>20</v>
      </c>
      <c r="AK51" t="b">
        <v>0</v>
      </c>
      <c r="AL51">
        <v>20</v>
      </c>
      <c r="AM51" t="b">
        <v>0</v>
      </c>
      <c r="AN51">
        <v>0</v>
      </c>
      <c r="AO51" t="b">
        <v>0</v>
      </c>
      <c r="AP51">
        <v>1764637.62</v>
      </c>
      <c r="AR51">
        <v>1764637.62</v>
      </c>
      <c r="AS51">
        <v>0</v>
      </c>
      <c r="AT51" t="b">
        <v>0</v>
      </c>
      <c r="AU51" t="b">
        <v>1</v>
      </c>
    </row>
    <row r="52" spans="1:47" ht="15.5" x14ac:dyDescent="0.35">
      <c r="A52" t="s">
        <v>47</v>
      </c>
      <c r="B52" t="s">
        <v>48</v>
      </c>
      <c r="C52">
        <v>20240101</v>
      </c>
      <c r="D52">
        <v>2024</v>
      </c>
      <c r="E52">
        <v>52</v>
      </c>
      <c r="F52" t="s">
        <v>96</v>
      </c>
      <c r="G52">
        <v>792</v>
      </c>
      <c r="H52" t="s">
        <v>76</v>
      </c>
      <c r="I52" t="s">
        <v>77</v>
      </c>
      <c r="J52" t="s">
        <v>52</v>
      </c>
      <c r="K52" t="s">
        <v>53</v>
      </c>
      <c r="L52">
        <v>686</v>
      </c>
      <c r="M52" t="s">
        <v>54</v>
      </c>
      <c r="N52" t="s">
        <v>55</v>
      </c>
      <c r="O52">
        <v>0</v>
      </c>
      <c r="P52" t="s">
        <v>56</v>
      </c>
      <c r="Q52" t="s">
        <v>57</v>
      </c>
      <c r="R52" t="s">
        <v>92</v>
      </c>
      <c r="S52" t="s">
        <v>59</v>
      </c>
      <c r="T52" t="b">
        <v>1</v>
      </c>
      <c r="U52" t="s">
        <v>60</v>
      </c>
      <c r="V52" t="s">
        <v>61</v>
      </c>
      <c r="W52">
        <v>6</v>
      </c>
      <c r="X52" t="b">
        <v>1</v>
      </c>
      <c r="Y52" t="s">
        <v>62</v>
      </c>
      <c r="Z52" t="s">
        <v>63</v>
      </c>
      <c r="AA52" t="s">
        <v>64</v>
      </c>
      <c r="AB52">
        <v>0</v>
      </c>
      <c r="AC52" t="s">
        <v>65</v>
      </c>
      <c r="AD52">
        <v>8</v>
      </c>
      <c r="AE52" t="s">
        <v>66</v>
      </c>
      <c r="AF52">
        <v>1.9990000000000001</v>
      </c>
      <c r="AG52" t="b">
        <v>0</v>
      </c>
      <c r="AH52">
        <v>15</v>
      </c>
      <c r="AI52" t="s">
        <v>74</v>
      </c>
      <c r="AJ52">
        <v>1999</v>
      </c>
      <c r="AK52" t="b">
        <v>0</v>
      </c>
      <c r="AL52">
        <v>2</v>
      </c>
      <c r="AM52" t="b">
        <v>0</v>
      </c>
      <c r="AN52">
        <v>0</v>
      </c>
      <c r="AO52" t="b">
        <v>0</v>
      </c>
      <c r="AP52">
        <v>99765</v>
      </c>
      <c r="AQ52">
        <v>99675</v>
      </c>
      <c r="AR52">
        <v>99765</v>
      </c>
      <c r="AS52">
        <v>0</v>
      </c>
      <c r="AT52" t="b">
        <v>0</v>
      </c>
      <c r="AU52" t="b">
        <v>1</v>
      </c>
    </row>
    <row r="53" spans="1:47" ht="15.5" x14ac:dyDescent="0.35">
      <c r="A53" t="s">
        <v>47</v>
      </c>
      <c r="B53" t="s">
        <v>48</v>
      </c>
      <c r="C53">
        <v>20250101</v>
      </c>
      <c r="D53">
        <v>2025</v>
      </c>
      <c r="E53">
        <v>52</v>
      </c>
      <c r="F53" t="s">
        <v>101</v>
      </c>
      <c r="G53">
        <v>36</v>
      </c>
      <c r="H53" t="s">
        <v>88</v>
      </c>
      <c r="I53" t="s">
        <v>89</v>
      </c>
      <c r="J53" t="s">
        <v>52</v>
      </c>
      <c r="K53" t="s">
        <v>53</v>
      </c>
      <c r="L53">
        <v>686</v>
      </c>
      <c r="M53" t="s">
        <v>54</v>
      </c>
      <c r="N53" t="s">
        <v>55</v>
      </c>
      <c r="O53">
        <v>0</v>
      </c>
      <c r="P53" t="s">
        <v>56</v>
      </c>
      <c r="Q53" t="s">
        <v>57</v>
      </c>
      <c r="R53" t="s">
        <v>92</v>
      </c>
      <c r="S53" t="s">
        <v>59</v>
      </c>
      <c r="T53" t="b">
        <v>1</v>
      </c>
      <c r="U53" t="s">
        <v>60</v>
      </c>
      <c r="V53" t="s">
        <v>61</v>
      </c>
      <c r="W53">
        <v>6</v>
      </c>
      <c r="X53" t="b">
        <v>1</v>
      </c>
      <c r="Y53" t="s">
        <v>62</v>
      </c>
      <c r="Z53" t="s">
        <v>63</v>
      </c>
      <c r="AA53" t="s">
        <v>64</v>
      </c>
      <c r="AB53">
        <v>0</v>
      </c>
      <c r="AC53" t="s">
        <v>65</v>
      </c>
      <c r="AD53">
        <v>8</v>
      </c>
      <c r="AE53" t="s">
        <v>66</v>
      </c>
      <c r="AF53">
        <v>3556.0329999999999</v>
      </c>
      <c r="AG53" t="b">
        <v>1</v>
      </c>
      <c r="AH53">
        <v>-1</v>
      </c>
      <c r="AI53" t="s">
        <v>67</v>
      </c>
      <c r="AJ53">
        <v>0</v>
      </c>
      <c r="AK53" t="b">
        <v>0</v>
      </c>
      <c r="AL53">
        <v>3556.0329999999999</v>
      </c>
      <c r="AM53" t="b">
        <v>1</v>
      </c>
      <c r="AN53">
        <v>3.4329999999999998</v>
      </c>
      <c r="AO53" t="b">
        <v>0</v>
      </c>
      <c r="AP53">
        <v>329735619.51700002</v>
      </c>
      <c r="AQ53">
        <v>328821987.85399997</v>
      </c>
      <c r="AR53">
        <v>329735619.51700002</v>
      </c>
      <c r="AS53">
        <v>6</v>
      </c>
      <c r="AT53" t="b">
        <v>0</v>
      </c>
      <c r="AU53" t="b">
        <v>1</v>
      </c>
    </row>
    <row r="54" spans="1:47" ht="15.5" x14ac:dyDescent="0.35">
      <c r="A54" t="s">
        <v>47</v>
      </c>
      <c r="B54" t="s">
        <v>48</v>
      </c>
      <c r="C54">
        <v>20250101</v>
      </c>
      <c r="D54">
        <v>2025</v>
      </c>
      <c r="E54">
        <v>52</v>
      </c>
      <c r="F54" t="s">
        <v>101</v>
      </c>
      <c r="G54">
        <v>380</v>
      </c>
      <c r="H54" t="s">
        <v>50</v>
      </c>
      <c r="I54" t="s">
        <v>51</v>
      </c>
      <c r="J54" t="s">
        <v>52</v>
      </c>
      <c r="K54" t="s">
        <v>53</v>
      </c>
      <c r="L54">
        <v>686</v>
      </c>
      <c r="M54" t="s">
        <v>54</v>
      </c>
      <c r="N54" t="s">
        <v>55</v>
      </c>
      <c r="O54">
        <v>0</v>
      </c>
      <c r="P54" t="s">
        <v>56</v>
      </c>
      <c r="Q54" t="s">
        <v>57</v>
      </c>
      <c r="R54" t="s">
        <v>92</v>
      </c>
      <c r="S54" t="s">
        <v>59</v>
      </c>
      <c r="T54" t="b">
        <v>1</v>
      </c>
      <c r="U54" t="s">
        <v>60</v>
      </c>
      <c r="V54" t="s">
        <v>61</v>
      </c>
      <c r="W54">
        <v>6</v>
      </c>
      <c r="X54" t="b">
        <v>1</v>
      </c>
      <c r="Y54" t="s">
        <v>62</v>
      </c>
      <c r="Z54" t="s">
        <v>63</v>
      </c>
      <c r="AA54" t="s">
        <v>64</v>
      </c>
      <c r="AB54">
        <v>0</v>
      </c>
      <c r="AC54" t="s">
        <v>65</v>
      </c>
      <c r="AD54">
        <v>8</v>
      </c>
      <c r="AE54" t="s">
        <v>66</v>
      </c>
      <c r="AF54">
        <v>769.14499999999998</v>
      </c>
      <c r="AG54" t="b">
        <v>0</v>
      </c>
      <c r="AH54">
        <v>15</v>
      </c>
      <c r="AI54" t="s">
        <v>74</v>
      </c>
      <c r="AJ54">
        <v>769145</v>
      </c>
      <c r="AK54" t="b">
        <v>0</v>
      </c>
      <c r="AL54">
        <v>771</v>
      </c>
      <c r="AM54" t="b">
        <v>0</v>
      </c>
      <c r="AN54">
        <v>0</v>
      </c>
      <c r="AO54" t="b">
        <v>0</v>
      </c>
      <c r="AP54">
        <v>88775185.213</v>
      </c>
      <c r="AR54">
        <v>88775185.213</v>
      </c>
      <c r="AS54">
        <v>0</v>
      </c>
      <c r="AT54" t="b">
        <v>1</v>
      </c>
      <c r="AU54" t="b">
        <v>0</v>
      </c>
    </row>
    <row r="55" spans="1:47" ht="15.5" x14ac:dyDescent="0.35">
      <c r="A55" t="s">
        <v>47</v>
      </c>
      <c r="B55" t="s">
        <v>48</v>
      </c>
      <c r="C55">
        <v>20250101</v>
      </c>
      <c r="D55">
        <v>2025</v>
      </c>
      <c r="E55">
        <v>52</v>
      </c>
      <c r="F55" t="s">
        <v>101</v>
      </c>
      <c r="G55">
        <v>757</v>
      </c>
      <c r="H55" t="s">
        <v>68</v>
      </c>
      <c r="I55" t="s">
        <v>69</v>
      </c>
      <c r="J55" t="s">
        <v>52</v>
      </c>
      <c r="K55" t="s">
        <v>53</v>
      </c>
      <c r="L55">
        <v>686</v>
      </c>
      <c r="M55" t="s">
        <v>54</v>
      </c>
      <c r="N55" t="s">
        <v>55</v>
      </c>
      <c r="O55">
        <v>0</v>
      </c>
      <c r="P55" t="s">
        <v>56</v>
      </c>
      <c r="Q55" t="s">
        <v>57</v>
      </c>
      <c r="R55" t="s">
        <v>92</v>
      </c>
      <c r="S55" t="s">
        <v>59</v>
      </c>
      <c r="T55" t="b">
        <v>1</v>
      </c>
      <c r="U55" t="s">
        <v>60</v>
      </c>
      <c r="V55" t="s">
        <v>61</v>
      </c>
      <c r="W55">
        <v>6</v>
      </c>
      <c r="X55" t="b">
        <v>1</v>
      </c>
      <c r="Y55" t="s">
        <v>62</v>
      </c>
      <c r="Z55" t="s">
        <v>63</v>
      </c>
      <c r="AA55" t="s">
        <v>64</v>
      </c>
      <c r="AB55">
        <v>0</v>
      </c>
      <c r="AC55" t="s">
        <v>65</v>
      </c>
      <c r="AD55">
        <v>8</v>
      </c>
      <c r="AE55" t="s">
        <v>66</v>
      </c>
      <c r="AF55">
        <v>10856</v>
      </c>
      <c r="AG55" t="b">
        <v>0</v>
      </c>
      <c r="AH55">
        <v>8</v>
      </c>
      <c r="AI55" t="s">
        <v>66</v>
      </c>
      <c r="AJ55">
        <v>10856</v>
      </c>
      <c r="AK55" t="b">
        <v>0</v>
      </c>
      <c r="AL55">
        <v>10856</v>
      </c>
      <c r="AM55" t="b">
        <v>0</v>
      </c>
      <c r="AN55">
        <v>0</v>
      </c>
      <c r="AO55" t="b">
        <v>0</v>
      </c>
      <c r="AP55">
        <v>1121151364.724</v>
      </c>
      <c r="AR55">
        <v>1121151364.724</v>
      </c>
      <c r="AS55">
        <v>0</v>
      </c>
      <c r="AT55" t="b">
        <v>0</v>
      </c>
      <c r="AU55" t="b">
        <v>1</v>
      </c>
    </row>
  </sheetData>
  <pageMargins left="0.7" right="0.7" top="0.75" bottom="0.75" header="0.3" footer="0.3"/>
  <ignoredErrors>
    <ignoredError sqref="A1:AU5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5"/>
  <sheetViews>
    <sheetView tabSelected="1" workbookViewId="0">
      <selection activeCell="E1" sqref="E1:K1048576"/>
    </sheetView>
  </sheetViews>
  <sheetFormatPr baseColWidth="10" defaultRowHeight="14.5" x14ac:dyDescent="0.35"/>
  <cols>
    <col min="6" max="6" width="8.75" bestFit="1" customWidth="1"/>
  </cols>
  <sheetData>
    <row r="1" spans="1:10" x14ac:dyDescent="0.35">
      <c r="A1" t="s">
        <v>3</v>
      </c>
      <c r="B1" t="s">
        <v>8</v>
      </c>
      <c r="C1" t="s">
        <v>30</v>
      </c>
      <c r="D1" t="s">
        <v>31</v>
      </c>
      <c r="F1" t="s">
        <v>37</v>
      </c>
      <c r="G1" t="s">
        <v>39</v>
      </c>
      <c r="H1" t="s">
        <v>41</v>
      </c>
      <c r="I1" t="s">
        <v>42</v>
      </c>
      <c r="J1" t="s">
        <v>43</v>
      </c>
    </row>
    <row r="2" spans="1:10" x14ac:dyDescent="0.35">
      <c r="A2">
        <v>2025</v>
      </c>
      <c r="B2" t="s">
        <v>89</v>
      </c>
      <c r="C2" t="s">
        <v>66</v>
      </c>
      <c r="D2">
        <v>3556.0329999999999</v>
      </c>
      <c r="F2">
        <v>3556.0329999999999</v>
      </c>
      <c r="G2">
        <v>3.4329999999999998</v>
      </c>
      <c r="H2">
        <v>329735619.51700002</v>
      </c>
      <c r="I2">
        <v>328821987.85399997</v>
      </c>
      <c r="J2">
        <v>329735619.51700002</v>
      </c>
    </row>
    <row r="3" spans="1:10" x14ac:dyDescent="0.35">
      <c r="A3">
        <v>2025</v>
      </c>
      <c r="B3" t="s">
        <v>51</v>
      </c>
      <c r="C3" t="s">
        <v>66</v>
      </c>
      <c r="D3">
        <v>769.14499999999998</v>
      </c>
      <c r="F3">
        <v>771</v>
      </c>
      <c r="G3">
        <v>0</v>
      </c>
      <c r="H3">
        <v>88775185.213</v>
      </c>
      <c r="J3">
        <v>88775185.213</v>
      </c>
    </row>
    <row r="4" spans="1:10" x14ac:dyDescent="0.35">
      <c r="A4">
        <v>2025</v>
      </c>
      <c r="B4" t="s">
        <v>69</v>
      </c>
      <c r="C4" t="s">
        <v>66</v>
      </c>
      <c r="D4">
        <v>10856</v>
      </c>
      <c r="F4">
        <v>10856</v>
      </c>
      <c r="G4">
        <v>0</v>
      </c>
      <c r="H4">
        <v>1121151364.724</v>
      </c>
      <c r="J4">
        <v>1121151364.724</v>
      </c>
    </row>
    <row r="5" spans="1:10" x14ac:dyDescent="0.35">
      <c r="A5">
        <v>2024</v>
      </c>
      <c r="B5" t="s">
        <v>89</v>
      </c>
      <c r="C5" t="s">
        <v>66</v>
      </c>
      <c r="D5">
        <v>3042.6289999999999</v>
      </c>
      <c r="F5">
        <v>3042.6289999999999</v>
      </c>
      <c r="G5">
        <v>3.117</v>
      </c>
      <c r="H5">
        <v>201071815.89399999</v>
      </c>
      <c r="I5">
        <v>200467702.66499999</v>
      </c>
      <c r="J5">
        <v>201071815.89399999</v>
      </c>
    </row>
    <row r="6" spans="1:10" x14ac:dyDescent="0.35">
      <c r="A6">
        <v>2024</v>
      </c>
      <c r="B6" t="s">
        <v>98</v>
      </c>
      <c r="C6" t="s">
        <v>66</v>
      </c>
      <c r="D6">
        <v>10.012</v>
      </c>
      <c r="F6">
        <v>10.012</v>
      </c>
      <c r="G6">
        <v>0</v>
      </c>
      <c r="H6">
        <v>819980</v>
      </c>
      <c r="J6">
        <v>819980</v>
      </c>
    </row>
    <row r="7" spans="1:10" x14ac:dyDescent="0.35">
      <c r="A7">
        <v>2024</v>
      </c>
      <c r="B7" t="s">
        <v>51</v>
      </c>
      <c r="C7" t="s">
        <v>66</v>
      </c>
      <c r="D7">
        <v>10.696999999999999</v>
      </c>
      <c r="F7">
        <v>12</v>
      </c>
      <c r="G7">
        <v>0</v>
      </c>
      <c r="H7">
        <v>676674.71200000006</v>
      </c>
      <c r="J7">
        <v>676674.71200000006</v>
      </c>
    </row>
    <row r="8" spans="1:10" x14ac:dyDescent="0.35">
      <c r="A8">
        <v>2024</v>
      </c>
      <c r="B8" t="s">
        <v>69</v>
      </c>
      <c r="C8" t="s">
        <v>66</v>
      </c>
      <c r="D8">
        <v>8103</v>
      </c>
      <c r="F8">
        <v>8103</v>
      </c>
      <c r="G8">
        <v>0</v>
      </c>
      <c r="H8">
        <v>548487309.28999996</v>
      </c>
      <c r="J8">
        <v>548487309.28999996</v>
      </c>
    </row>
    <row r="9" spans="1:10" x14ac:dyDescent="0.35">
      <c r="A9">
        <v>2024</v>
      </c>
      <c r="B9" t="s">
        <v>100</v>
      </c>
      <c r="C9" t="s">
        <v>66</v>
      </c>
      <c r="D9">
        <v>20</v>
      </c>
      <c r="F9">
        <v>20</v>
      </c>
      <c r="G9">
        <v>0</v>
      </c>
      <c r="H9">
        <v>1764637.62</v>
      </c>
      <c r="J9">
        <v>1764637.62</v>
      </c>
    </row>
    <row r="10" spans="1:10" x14ac:dyDescent="0.35">
      <c r="A10">
        <v>2024</v>
      </c>
      <c r="B10" t="s">
        <v>77</v>
      </c>
      <c r="C10" t="s">
        <v>66</v>
      </c>
      <c r="D10">
        <v>1.9990000000000001</v>
      </c>
      <c r="F10">
        <v>2</v>
      </c>
      <c r="G10">
        <v>0</v>
      </c>
      <c r="H10">
        <v>99765</v>
      </c>
      <c r="I10">
        <v>99675</v>
      </c>
      <c r="J10">
        <v>99765</v>
      </c>
    </row>
    <row r="11" spans="1:10" x14ac:dyDescent="0.35">
      <c r="A11">
        <v>2023</v>
      </c>
      <c r="B11" t="s">
        <v>89</v>
      </c>
      <c r="C11" t="s">
        <v>66</v>
      </c>
      <c r="D11">
        <v>3797.2040000000002</v>
      </c>
      <c r="G11">
        <v>4228</v>
      </c>
      <c r="H11">
        <v>230374640.12099999</v>
      </c>
      <c r="I11">
        <v>229615460.164</v>
      </c>
      <c r="J11">
        <v>230374640.12099999</v>
      </c>
    </row>
    <row r="12" spans="1:10" x14ac:dyDescent="0.35">
      <c r="A12">
        <v>2023</v>
      </c>
      <c r="B12" t="s">
        <v>51</v>
      </c>
      <c r="C12" t="s">
        <v>66</v>
      </c>
      <c r="D12">
        <v>28.239000000000001</v>
      </c>
      <c r="F12">
        <v>28</v>
      </c>
      <c r="G12">
        <v>0</v>
      </c>
      <c r="H12">
        <v>1335454.328</v>
      </c>
      <c r="J12">
        <v>1335454.328</v>
      </c>
    </row>
    <row r="13" spans="1:10" x14ac:dyDescent="0.35">
      <c r="A13">
        <v>2023</v>
      </c>
      <c r="B13" t="s">
        <v>95</v>
      </c>
      <c r="C13" t="s">
        <v>66</v>
      </c>
      <c r="D13">
        <v>6.6109999999999998</v>
      </c>
      <c r="F13">
        <v>6.6109999999999998</v>
      </c>
      <c r="G13">
        <v>0</v>
      </c>
      <c r="H13">
        <v>337980.12400000001</v>
      </c>
      <c r="J13">
        <v>337980.12400000001</v>
      </c>
    </row>
    <row r="14" spans="1:10" x14ac:dyDescent="0.35">
      <c r="A14">
        <v>2023</v>
      </c>
      <c r="B14" t="s">
        <v>69</v>
      </c>
      <c r="C14" t="s">
        <v>66</v>
      </c>
      <c r="D14">
        <v>10566</v>
      </c>
      <c r="F14">
        <v>10566</v>
      </c>
      <c r="G14">
        <v>0</v>
      </c>
      <c r="H14">
        <v>593906011.35000002</v>
      </c>
      <c r="J14">
        <v>593906011.35000002</v>
      </c>
    </row>
    <row r="15" spans="1:10" x14ac:dyDescent="0.35">
      <c r="A15">
        <v>2023</v>
      </c>
      <c r="B15" t="s">
        <v>71</v>
      </c>
      <c r="C15" t="s">
        <v>66</v>
      </c>
      <c r="D15">
        <v>4014.64</v>
      </c>
      <c r="F15">
        <v>4014.64</v>
      </c>
      <c r="G15">
        <v>0</v>
      </c>
      <c r="H15">
        <v>238406106.84299999</v>
      </c>
      <c r="J15">
        <v>238406106.84299999</v>
      </c>
    </row>
    <row r="16" spans="1:10" x14ac:dyDescent="0.35">
      <c r="A16">
        <v>2023</v>
      </c>
      <c r="B16" t="s">
        <v>77</v>
      </c>
      <c r="C16" t="s">
        <v>66</v>
      </c>
      <c r="D16">
        <v>34.648000000000003</v>
      </c>
      <c r="F16">
        <v>35</v>
      </c>
      <c r="G16">
        <v>0</v>
      </c>
      <c r="H16">
        <v>1695971</v>
      </c>
      <c r="I16">
        <v>1694377</v>
      </c>
      <c r="J16">
        <v>1695971</v>
      </c>
    </row>
    <row r="17" spans="1:10" x14ac:dyDescent="0.35">
      <c r="A17">
        <v>2022</v>
      </c>
      <c r="B17" t="s">
        <v>89</v>
      </c>
      <c r="C17" t="s">
        <v>66</v>
      </c>
      <c r="D17">
        <v>3171.53</v>
      </c>
      <c r="F17">
        <v>3171.53</v>
      </c>
      <c r="G17">
        <v>3535.05</v>
      </c>
      <c r="H17">
        <v>179250830.28799999</v>
      </c>
      <c r="I17">
        <v>178905720.074</v>
      </c>
      <c r="J17">
        <v>179250830.28799999</v>
      </c>
    </row>
    <row r="18" spans="1:10" x14ac:dyDescent="0.35">
      <c r="A18">
        <v>2022</v>
      </c>
      <c r="B18" t="s">
        <v>51</v>
      </c>
      <c r="C18" t="s">
        <v>66</v>
      </c>
      <c r="D18">
        <v>32.393999999999998</v>
      </c>
      <c r="F18">
        <v>33</v>
      </c>
      <c r="G18">
        <v>0</v>
      </c>
      <c r="H18">
        <v>1541344.121</v>
      </c>
      <c r="J18">
        <v>1541344.121</v>
      </c>
    </row>
    <row r="19" spans="1:10" x14ac:dyDescent="0.35">
      <c r="A19">
        <v>2022</v>
      </c>
      <c r="B19" t="s">
        <v>69</v>
      </c>
      <c r="C19" t="s">
        <v>66</v>
      </c>
      <c r="D19">
        <v>12081</v>
      </c>
      <c r="F19">
        <v>12081</v>
      </c>
      <c r="G19">
        <v>0</v>
      </c>
      <c r="H19">
        <v>631954371.199</v>
      </c>
      <c r="J19">
        <v>631954371.199</v>
      </c>
    </row>
    <row r="20" spans="1:10" x14ac:dyDescent="0.35">
      <c r="A20">
        <v>2022</v>
      </c>
      <c r="B20" t="s">
        <v>71</v>
      </c>
      <c r="C20" t="s">
        <v>66</v>
      </c>
      <c r="D20">
        <v>3215.52</v>
      </c>
      <c r="F20">
        <v>3215.52</v>
      </c>
      <c r="G20">
        <v>0</v>
      </c>
      <c r="H20">
        <v>171934926.44400001</v>
      </c>
      <c r="J20">
        <v>171934926.44400001</v>
      </c>
    </row>
    <row r="21" spans="1:10" x14ac:dyDescent="0.35">
      <c r="A21">
        <v>2021</v>
      </c>
      <c r="B21" t="s">
        <v>89</v>
      </c>
      <c r="C21" t="s">
        <v>66</v>
      </c>
      <c r="D21">
        <v>3884.3809999999999</v>
      </c>
      <c r="F21">
        <v>3884.3809999999999</v>
      </c>
      <c r="G21">
        <v>4600.33</v>
      </c>
      <c r="H21">
        <v>219808451.24000001</v>
      </c>
      <c r="I21">
        <v>219391552.43099999</v>
      </c>
      <c r="J21">
        <v>219808451.24000001</v>
      </c>
    </row>
    <row r="22" spans="1:10" x14ac:dyDescent="0.35">
      <c r="A22">
        <v>2021</v>
      </c>
      <c r="B22" t="s">
        <v>51</v>
      </c>
      <c r="C22" t="s">
        <v>66</v>
      </c>
      <c r="D22">
        <v>27.384</v>
      </c>
      <c r="F22">
        <v>28</v>
      </c>
      <c r="G22">
        <v>0</v>
      </c>
      <c r="H22">
        <v>1297177.531</v>
      </c>
      <c r="J22">
        <v>1297177.531</v>
      </c>
    </row>
    <row r="23" spans="1:10" x14ac:dyDescent="0.35">
      <c r="A23">
        <v>2021</v>
      </c>
      <c r="B23" t="s">
        <v>69</v>
      </c>
      <c r="C23" t="s">
        <v>66</v>
      </c>
      <c r="D23">
        <v>13581</v>
      </c>
      <c r="F23">
        <v>13581</v>
      </c>
      <c r="G23">
        <v>0</v>
      </c>
      <c r="H23">
        <v>710234464.13499999</v>
      </c>
      <c r="I23">
        <v>0</v>
      </c>
      <c r="J23">
        <v>710234464.13499999</v>
      </c>
    </row>
    <row r="24" spans="1:10" x14ac:dyDescent="0.35">
      <c r="A24">
        <v>2021</v>
      </c>
      <c r="B24" t="s">
        <v>71</v>
      </c>
      <c r="C24" t="s">
        <v>66</v>
      </c>
      <c r="D24">
        <v>2625.7</v>
      </c>
      <c r="F24">
        <v>2625.7</v>
      </c>
      <c r="G24">
        <v>0</v>
      </c>
      <c r="H24">
        <v>144247942.875</v>
      </c>
      <c r="I24">
        <v>0</v>
      </c>
      <c r="J24">
        <v>144247942.875</v>
      </c>
    </row>
    <row r="25" spans="1:10" x14ac:dyDescent="0.35">
      <c r="A25">
        <v>2021</v>
      </c>
      <c r="B25" t="s">
        <v>77</v>
      </c>
      <c r="C25" t="s">
        <v>66</v>
      </c>
      <c r="D25">
        <v>7.45</v>
      </c>
      <c r="F25">
        <v>7</v>
      </c>
      <c r="G25">
        <v>0</v>
      </c>
      <c r="H25">
        <v>332900</v>
      </c>
      <c r="I25">
        <v>332537</v>
      </c>
      <c r="J25">
        <v>332900</v>
      </c>
    </row>
    <row r="26" spans="1:10" x14ac:dyDescent="0.35">
      <c r="A26">
        <v>2020</v>
      </c>
      <c r="B26" t="s">
        <v>89</v>
      </c>
      <c r="C26" t="s">
        <v>66</v>
      </c>
      <c r="D26">
        <v>3634.4569999999999</v>
      </c>
      <c r="F26">
        <v>3634.4569999999999</v>
      </c>
      <c r="G26">
        <v>3279.1</v>
      </c>
      <c r="H26">
        <v>194991546.08899999</v>
      </c>
      <c r="I26">
        <v>194452415.92699999</v>
      </c>
      <c r="J26">
        <v>194991546.08899999</v>
      </c>
    </row>
    <row r="27" spans="1:10" x14ac:dyDescent="0.35">
      <c r="A27">
        <v>2020</v>
      </c>
      <c r="B27" t="s">
        <v>51</v>
      </c>
      <c r="C27" t="s">
        <v>66</v>
      </c>
      <c r="D27">
        <v>71.575999999999993</v>
      </c>
      <c r="F27">
        <v>72</v>
      </c>
      <c r="G27">
        <v>0</v>
      </c>
      <c r="H27">
        <v>3260679.4619999998</v>
      </c>
      <c r="J27">
        <v>3260679.4619999998</v>
      </c>
    </row>
    <row r="28" spans="1:10" x14ac:dyDescent="0.35">
      <c r="A28">
        <v>2020</v>
      </c>
      <c r="B28" t="s">
        <v>69</v>
      </c>
      <c r="C28" t="s">
        <v>66</v>
      </c>
      <c r="D28">
        <v>9512</v>
      </c>
      <c r="F28">
        <v>9512</v>
      </c>
      <c r="G28">
        <v>0</v>
      </c>
      <c r="H28">
        <v>485160797.29100001</v>
      </c>
      <c r="I28">
        <v>0</v>
      </c>
      <c r="J28">
        <v>485160797.29100001</v>
      </c>
    </row>
    <row r="29" spans="1:10" x14ac:dyDescent="0.35">
      <c r="A29">
        <v>2020</v>
      </c>
      <c r="B29" t="s">
        <v>71</v>
      </c>
      <c r="C29" t="s">
        <v>66</v>
      </c>
      <c r="D29">
        <v>2118.87</v>
      </c>
      <c r="F29">
        <v>2118.87</v>
      </c>
      <c r="G29">
        <v>0</v>
      </c>
      <c r="H29">
        <v>104357473.52599999</v>
      </c>
      <c r="I29">
        <v>0</v>
      </c>
      <c r="J29">
        <v>104357473.52599999</v>
      </c>
    </row>
    <row r="30" spans="1:10" x14ac:dyDescent="0.35">
      <c r="A30">
        <v>2020</v>
      </c>
      <c r="B30" t="s">
        <v>77</v>
      </c>
      <c r="C30" t="s">
        <v>66</v>
      </c>
      <c r="D30">
        <v>42.487000000000002</v>
      </c>
      <c r="F30">
        <v>42</v>
      </c>
      <c r="G30">
        <v>0</v>
      </c>
      <c r="H30">
        <v>1765487</v>
      </c>
      <c r="I30">
        <v>1763539</v>
      </c>
      <c r="J30">
        <v>1765487</v>
      </c>
    </row>
    <row r="31" spans="1:10" x14ac:dyDescent="0.35">
      <c r="A31">
        <v>2019</v>
      </c>
      <c r="B31" t="s">
        <v>51</v>
      </c>
      <c r="C31" t="s">
        <v>66</v>
      </c>
      <c r="D31">
        <v>149.702</v>
      </c>
      <c r="F31">
        <v>152</v>
      </c>
      <c r="G31">
        <v>0</v>
      </c>
      <c r="H31">
        <v>5376391.4160000002</v>
      </c>
      <c r="J31">
        <v>5376391.4160000002</v>
      </c>
    </row>
    <row r="32" spans="1:10" x14ac:dyDescent="0.35">
      <c r="A32">
        <v>2019</v>
      </c>
      <c r="B32" t="s">
        <v>86</v>
      </c>
      <c r="C32" t="s">
        <v>66</v>
      </c>
      <c r="D32">
        <v>1.0999999999999999E-2</v>
      </c>
      <c r="F32">
        <v>1.0999999999999999E-2</v>
      </c>
      <c r="G32">
        <v>0</v>
      </c>
      <c r="H32">
        <v>446.18</v>
      </c>
      <c r="I32">
        <v>0</v>
      </c>
      <c r="J32">
        <v>446.18</v>
      </c>
    </row>
    <row r="33" spans="1:10" x14ac:dyDescent="0.35">
      <c r="A33">
        <v>2019</v>
      </c>
      <c r="B33" t="s">
        <v>69</v>
      </c>
      <c r="C33" t="s">
        <v>66</v>
      </c>
      <c r="D33">
        <v>14569</v>
      </c>
      <c r="F33">
        <v>14569</v>
      </c>
      <c r="G33">
        <v>0</v>
      </c>
      <c r="H33">
        <v>590114985.82500005</v>
      </c>
      <c r="I33">
        <v>0</v>
      </c>
      <c r="J33">
        <v>590114985.82500005</v>
      </c>
    </row>
    <row r="34" spans="1:10" x14ac:dyDescent="0.35">
      <c r="A34">
        <v>2019</v>
      </c>
      <c r="B34" t="s">
        <v>71</v>
      </c>
      <c r="C34" t="s">
        <v>66</v>
      </c>
      <c r="D34">
        <v>4159.21</v>
      </c>
      <c r="F34">
        <v>4159.21</v>
      </c>
      <c r="G34">
        <v>0</v>
      </c>
      <c r="H34">
        <v>167462983.729</v>
      </c>
      <c r="I34">
        <v>0</v>
      </c>
      <c r="J34">
        <v>167462983.729</v>
      </c>
    </row>
    <row r="35" spans="1:10" x14ac:dyDescent="0.35">
      <c r="A35">
        <v>2019</v>
      </c>
      <c r="B35" t="s">
        <v>77</v>
      </c>
      <c r="C35" t="s">
        <v>66</v>
      </c>
      <c r="D35">
        <v>43.218000000000004</v>
      </c>
      <c r="F35">
        <v>44</v>
      </c>
      <c r="G35">
        <v>0</v>
      </c>
      <c r="H35">
        <v>1525810</v>
      </c>
      <c r="I35">
        <v>1524114</v>
      </c>
      <c r="J35">
        <v>1525810</v>
      </c>
    </row>
    <row r="36" spans="1:10" x14ac:dyDescent="0.35">
      <c r="A36">
        <v>2018</v>
      </c>
      <c r="B36" t="s">
        <v>51</v>
      </c>
      <c r="C36" t="s">
        <v>66</v>
      </c>
      <c r="D36">
        <v>176.50299999999999</v>
      </c>
      <c r="F36">
        <v>178</v>
      </c>
      <c r="G36">
        <v>0</v>
      </c>
      <c r="H36">
        <v>5724894.1720000003</v>
      </c>
      <c r="J36">
        <v>5724894.1720000003</v>
      </c>
    </row>
    <row r="37" spans="1:10" x14ac:dyDescent="0.35">
      <c r="A37">
        <v>2018</v>
      </c>
      <c r="B37" t="s">
        <v>82</v>
      </c>
      <c r="C37" t="s">
        <v>66</v>
      </c>
      <c r="D37">
        <v>3.4980000000000002</v>
      </c>
      <c r="F37">
        <v>3.4980000000000002</v>
      </c>
      <c r="G37">
        <v>0</v>
      </c>
      <c r="H37">
        <v>123289.04399999999</v>
      </c>
      <c r="I37">
        <v>0</v>
      </c>
      <c r="J37">
        <v>123289.04399999999</v>
      </c>
    </row>
    <row r="38" spans="1:10" x14ac:dyDescent="0.35">
      <c r="A38">
        <v>2018</v>
      </c>
      <c r="B38" t="s">
        <v>69</v>
      </c>
      <c r="C38" t="s">
        <v>66</v>
      </c>
      <c r="D38">
        <v>13436</v>
      </c>
      <c r="F38">
        <v>13436</v>
      </c>
      <c r="G38">
        <v>0</v>
      </c>
      <c r="H38">
        <v>500809858.685</v>
      </c>
      <c r="I38">
        <v>0</v>
      </c>
      <c r="J38">
        <v>500809858.685</v>
      </c>
    </row>
    <row r="39" spans="1:10" x14ac:dyDescent="0.35">
      <c r="A39">
        <v>2018</v>
      </c>
      <c r="B39" t="s">
        <v>71</v>
      </c>
      <c r="C39" t="s">
        <v>66</v>
      </c>
      <c r="D39">
        <v>4819.79</v>
      </c>
      <c r="F39">
        <v>4819.79</v>
      </c>
      <c r="G39">
        <v>0</v>
      </c>
      <c r="H39">
        <v>167269387.57699999</v>
      </c>
      <c r="I39">
        <v>0</v>
      </c>
      <c r="J39">
        <v>167269387.57699999</v>
      </c>
    </row>
    <row r="40" spans="1:10" x14ac:dyDescent="0.35">
      <c r="A40">
        <v>2018</v>
      </c>
      <c r="B40" t="s">
        <v>77</v>
      </c>
      <c r="C40" t="s">
        <v>66</v>
      </c>
      <c r="D40">
        <v>15.64</v>
      </c>
      <c r="F40">
        <v>16</v>
      </c>
      <c r="G40">
        <v>0</v>
      </c>
      <c r="H40">
        <v>541291</v>
      </c>
      <c r="I40">
        <v>522902</v>
      </c>
      <c r="J40">
        <v>541291</v>
      </c>
    </row>
    <row r="41" spans="1:10" x14ac:dyDescent="0.35">
      <c r="A41">
        <v>2018</v>
      </c>
      <c r="B41" t="s">
        <v>83</v>
      </c>
      <c r="C41" t="s">
        <v>66</v>
      </c>
      <c r="D41">
        <v>20.033999999999999</v>
      </c>
      <c r="F41">
        <v>20.033999999999999</v>
      </c>
      <c r="G41">
        <v>0</v>
      </c>
      <c r="H41">
        <v>801860</v>
      </c>
      <c r="I41">
        <v>0</v>
      </c>
      <c r="J41">
        <v>801860</v>
      </c>
    </row>
    <row r="42" spans="1:10" x14ac:dyDescent="0.35">
      <c r="A42">
        <v>2017</v>
      </c>
      <c r="B42" t="s">
        <v>51</v>
      </c>
      <c r="C42" t="s">
        <v>66</v>
      </c>
      <c r="D42">
        <v>129.637</v>
      </c>
      <c r="F42">
        <v>133</v>
      </c>
      <c r="G42">
        <v>0</v>
      </c>
      <c r="H42">
        <v>4391259.8329999996</v>
      </c>
      <c r="J42">
        <v>4391259.8329999996</v>
      </c>
    </row>
    <row r="43" spans="1:10" x14ac:dyDescent="0.35">
      <c r="A43">
        <v>2017</v>
      </c>
      <c r="B43" t="s">
        <v>69</v>
      </c>
      <c r="C43" t="s">
        <v>66</v>
      </c>
      <c r="D43">
        <v>7443</v>
      </c>
      <c r="F43">
        <v>7443</v>
      </c>
      <c r="G43">
        <v>0</v>
      </c>
      <c r="H43">
        <v>277019288.92799997</v>
      </c>
      <c r="I43">
        <v>0</v>
      </c>
      <c r="J43">
        <v>277019288.92799997</v>
      </c>
    </row>
    <row r="44" spans="1:10" x14ac:dyDescent="0.35">
      <c r="A44">
        <v>2017</v>
      </c>
      <c r="B44" t="s">
        <v>71</v>
      </c>
      <c r="C44" t="s">
        <v>66</v>
      </c>
      <c r="D44">
        <v>5412</v>
      </c>
      <c r="F44">
        <v>5412</v>
      </c>
      <c r="G44">
        <v>0</v>
      </c>
      <c r="H44">
        <v>158206645.72099999</v>
      </c>
      <c r="I44">
        <v>0</v>
      </c>
      <c r="J44">
        <v>158206645.72099999</v>
      </c>
    </row>
    <row r="45" spans="1:10" x14ac:dyDescent="0.35">
      <c r="A45">
        <v>2017</v>
      </c>
      <c r="B45" t="s">
        <v>77</v>
      </c>
      <c r="C45" t="s">
        <v>66</v>
      </c>
      <c r="D45">
        <v>6.1310000000000002</v>
      </c>
      <c r="F45">
        <v>7</v>
      </c>
      <c r="G45">
        <v>0</v>
      </c>
      <c r="H45">
        <v>235899</v>
      </c>
      <c r="I45">
        <v>208808</v>
      </c>
      <c r="J45">
        <v>235899</v>
      </c>
    </row>
    <row r="46" spans="1:10" x14ac:dyDescent="0.35">
      <c r="A46">
        <v>2016</v>
      </c>
      <c r="B46" t="s">
        <v>51</v>
      </c>
      <c r="C46" t="s">
        <v>66</v>
      </c>
      <c r="D46">
        <v>105</v>
      </c>
      <c r="F46">
        <v>105</v>
      </c>
      <c r="H46">
        <v>3655684.8059999999</v>
      </c>
      <c r="J46">
        <v>3655684.8059999999</v>
      </c>
    </row>
    <row r="47" spans="1:10" x14ac:dyDescent="0.35">
      <c r="A47">
        <v>2016</v>
      </c>
      <c r="B47" t="s">
        <v>69</v>
      </c>
      <c r="C47" t="s">
        <v>66</v>
      </c>
      <c r="D47">
        <v>7294</v>
      </c>
      <c r="F47">
        <v>7294</v>
      </c>
      <c r="G47">
        <v>0</v>
      </c>
      <c r="H47">
        <v>270646104.97600001</v>
      </c>
      <c r="I47">
        <v>0</v>
      </c>
      <c r="J47">
        <v>270646104.97600001</v>
      </c>
    </row>
    <row r="48" spans="1:10" x14ac:dyDescent="0.35">
      <c r="A48">
        <v>2016</v>
      </c>
      <c r="B48" t="s">
        <v>71</v>
      </c>
      <c r="C48" t="s">
        <v>66</v>
      </c>
      <c r="D48">
        <v>5394.42</v>
      </c>
      <c r="F48">
        <v>5394.42</v>
      </c>
      <c r="H48">
        <v>153104784.84400001</v>
      </c>
      <c r="J48">
        <v>153104784.84400001</v>
      </c>
    </row>
    <row r="49" spans="1:10" x14ac:dyDescent="0.35">
      <c r="A49">
        <v>2016</v>
      </c>
      <c r="B49" t="s">
        <v>77</v>
      </c>
      <c r="C49" t="s">
        <v>66</v>
      </c>
      <c r="D49">
        <v>8.0519999999999996</v>
      </c>
      <c r="F49">
        <v>8</v>
      </c>
      <c r="G49">
        <v>0</v>
      </c>
      <c r="H49">
        <v>318362</v>
      </c>
      <c r="I49">
        <v>281738</v>
      </c>
      <c r="J49">
        <v>318362</v>
      </c>
    </row>
    <row r="50" spans="1:10" x14ac:dyDescent="0.35">
      <c r="A50">
        <v>2015</v>
      </c>
      <c r="B50" t="s">
        <v>51</v>
      </c>
      <c r="C50" t="s">
        <v>66</v>
      </c>
      <c r="D50">
        <v>66</v>
      </c>
      <c r="F50">
        <v>66</v>
      </c>
      <c r="H50">
        <v>2027375.871</v>
      </c>
      <c r="J50">
        <v>2027375.871</v>
      </c>
    </row>
    <row r="51" spans="1:10" x14ac:dyDescent="0.35">
      <c r="A51">
        <v>2015</v>
      </c>
      <c r="B51" t="s">
        <v>69</v>
      </c>
      <c r="C51" t="s">
        <v>66</v>
      </c>
      <c r="D51">
        <v>6374</v>
      </c>
      <c r="F51">
        <v>6374</v>
      </c>
      <c r="G51">
        <v>0</v>
      </c>
      <c r="H51">
        <v>219145334.37099999</v>
      </c>
      <c r="I51">
        <v>0</v>
      </c>
      <c r="J51">
        <v>219145334.37099999</v>
      </c>
    </row>
    <row r="52" spans="1:10" x14ac:dyDescent="0.35">
      <c r="A52">
        <v>2015</v>
      </c>
      <c r="B52" t="s">
        <v>71</v>
      </c>
      <c r="C52" t="s">
        <v>66</v>
      </c>
      <c r="D52">
        <v>4658.66</v>
      </c>
      <c r="F52">
        <v>4658.66</v>
      </c>
      <c r="H52">
        <v>123230254.083</v>
      </c>
      <c r="J52">
        <v>123230254.083</v>
      </c>
    </row>
    <row r="53" spans="1:10" x14ac:dyDescent="0.35">
      <c r="A53">
        <v>2014</v>
      </c>
      <c r="B53" t="s">
        <v>51</v>
      </c>
      <c r="C53" t="s">
        <v>66</v>
      </c>
      <c r="D53">
        <v>51</v>
      </c>
      <c r="F53">
        <v>51</v>
      </c>
      <c r="H53">
        <v>1496395</v>
      </c>
      <c r="J53">
        <v>1496395</v>
      </c>
    </row>
    <row r="54" spans="1:10" x14ac:dyDescent="0.35">
      <c r="A54">
        <v>2014</v>
      </c>
      <c r="B54" t="s">
        <v>69</v>
      </c>
      <c r="C54" t="s">
        <v>66</v>
      </c>
      <c r="D54">
        <v>7789</v>
      </c>
      <c r="F54">
        <v>7789</v>
      </c>
      <c r="G54">
        <v>0</v>
      </c>
      <c r="H54">
        <v>271006543.37199998</v>
      </c>
      <c r="I54">
        <v>0</v>
      </c>
      <c r="J54">
        <v>271006543.37199998</v>
      </c>
    </row>
    <row r="55" spans="1:10" x14ac:dyDescent="0.35">
      <c r="A55">
        <v>2014</v>
      </c>
      <c r="B55" t="s">
        <v>71</v>
      </c>
      <c r="C55" t="s">
        <v>66</v>
      </c>
      <c r="D55">
        <v>5235.57</v>
      </c>
      <c r="F55">
        <v>5235.57</v>
      </c>
      <c r="H55">
        <v>153775097.31200001</v>
      </c>
      <c r="J55">
        <v>153775097.31200001</v>
      </c>
    </row>
  </sheetData>
  <sortState xmlns:xlrd2="http://schemas.microsoft.com/office/spreadsheetml/2017/richdata2" ref="A1:J56">
    <sortCondition descending="1" ref="A1:A5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Bmd</dc:creator>
  <cp:lastModifiedBy>sie rachid traore</cp:lastModifiedBy>
  <dcterms:created xsi:type="dcterms:W3CDTF">2026-05-19T17:45:50Z</dcterms:created>
  <dcterms:modified xsi:type="dcterms:W3CDTF">2026-05-19T18:01:57Z</dcterms:modified>
</cp:coreProperties>
</file>