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Stage ITIE\Analyse miroir\"/>
    </mc:Choice>
  </mc:AlternateContent>
  <xr:revisionPtr revIDLastSave="0" documentId="13_ncr:1_{54D0AD76-438B-46CA-B89C-4A056A15DFF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euil2" sheetId="4" r:id="rId1"/>
    <sheet name="Graphique1" sheetId="5" r:id="rId2"/>
    <sheet name="Feuil1" sheetId="3" r:id="rId3"/>
    <sheet name="Sheet1" sheetId="1" r:id="rId4"/>
    <sheet name="Sheet2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<sst xmlns="http://schemas.openxmlformats.org/spreadsheetml/2006/main" count="1374" uniqueCount="190">
  <si>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</si>
  <si>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</si>
  <si>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</si>
  <si>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</si>
  <si>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</si>
  <si>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</si>
  <si>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</si>
  <si>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</si>
  <si>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</si>
  <si>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</si>
  <si>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</si>
  <si>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</si>
  <si>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</si>
  <si>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</si>
  <si>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</si>
  <si>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</si>
  <si>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</si>
  <si>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</si>
  <si>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</si>
  <si>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</si>
  <si>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</si>
  <si>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</si>
  <si>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</si>
  <si>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</si>
  <si>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</si>
  <si>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</si>
  <si>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</si>
  <si>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</si>
  <si>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mirrorQtyUnitCode</t>
  </si>
  <si>
    <t>mirrorQtyUnitAbbr</t>
  </si>
  <si>
    <t>mirror2QtyUnitCode</t>
  </si>
  <si>
    <t>mirror2QtyUnitAbbr</t>
  </si>
  <si>
    <t>qty</t>
  </si>
  <si>
    <t>mirrorQty</t>
  </si>
  <si>
    <t>mirror2Qty</t>
  </si>
  <si>
    <t>isQtyEstimated</t>
  </si>
  <si>
    <t>altQtyUnitCode</t>
  </si>
  <si>
    <t>altQtyUnitAbbr</t>
  </si>
  <si>
    <t>altQty</t>
  </si>
  <si>
    <t>mirrorAltQtyUnitCode</t>
  </si>
  <si>
    <t>mirrorAltQtyUnitAbbr</t>
  </si>
  <si>
    <t>mirror2AltQtyUnitCode</t>
  </si>
  <si>
    <t>mirror2AltQtyUnitAbbr</t>
  </si>
  <si>
    <t>mirrorAltQty</t>
  </si>
  <si>
    <t>mirror2AltQty</t>
  </si>
  <si>
    <t>isAltQtyEstimated</t>
  </si>
  <si>
    <t>netWgt</t>
  </si>
  <si>
    <t>mirrorNetWgt</t>
  </si>
  <si>
    <t>mirror2NetWgt</t>
  </si>
  <si>
    <t>isNetWgtEstimated</t>
  </si>
  <si>
    <t>grossWgt</t>
  </si>
  <si>
    <t>mirrorGrossWgt</t>
  </si>
  <si>
    <t>mirror2GrossWgt</t>
  </si>
  <si>
    <t>isGrossWgtEstimated</t>
  </si>
  <si>
    <t>cifvalue</t>
  </si>
  <si>
    <t>fobvalue</t>
  </si>
  <si>
    <t>primaryValue</t>
  </si>
  <si>
    <t>isExtendedPartnerCode</t>
  </si>
  <si>
    <t>mirrorPrimaryValue</t>
  </si>
  <si>
    <t>primaryValueDisc</t>
  </si>
  <si>
    <t>mirror2PrimaryValue</t>
  </si>
  <si>
    <t>isExtendedPartner2Code</t>
  </si>
  <si>
    <t>legacyEstimationFlag</t>
  </si>
  <si>
    <t>isReported</t>
  </si>
  <si>
    <t>isAggregate</t>
  </si>
  <si>
    <t>C</t>
  </si>
  <si>
    <t>A</t>
  </si>
  <si>
    <t>2014</t>
  </si>
  <si>
    <t>ITA</t>
  </si>
  <si>
    <t>Italy</t>
  </si>
  <si>
    <t>M</t>
  </si>
  <si>
    <t>Import</t>
  </si>
  <si>
    <t>SEN</t>
  </si>
  <si>
    <t>Senegal</t>
  </si>
  <si>
    <t>H4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</si>
  <si>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</si>
  <si>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</si>
  <si>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</si>
  <si>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</si>
  <si>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</si>
  <si>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</si>
  <si>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</si>
  <si>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</si>
  <si>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</si>
  <si>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CHE</t>
  </si>
  <si>
    <t>Switzerland</t>
  </si>
  <si>
    <t>ARE</t>
  </si>
  <si>
    <t>United Arab Emirates</t>
  </si>
  <si>
    <t xml:space="preserve">0 </t>
  </si>
  <si>
    <t>2015</t>
  </si>
  <si>
    <t>g</t>
  </si>
  <si>
    <t>2016</t>
  </si>
  <si>
    <t>POL</t>
  </si>
  <si>
    <t>Poland</t>
  </si>
  <si>
    <t>TUR</t>
  </si>
  <si>
    <t>Türkiye</t>
  </si>
  <si>
    <t>2017</t>
  </si>
  <si>
    <t>H5</t>
  </si>
  <si>
    <t>ESP</t>
  </si>
  <si>
    <t>Spain</t>
  </si>
  <si>
    <t>2018</t>
  </si>
  <si>
    <t>BEL</t>
  </si>
  <si>
    <t>Belgium</t>
  </si>
  <si>
    <t>IRL</t>
  </si>
  <si>
    <t>Ireland</t>
  </si>
  <si>
    <t>JPN</t>
  </si>
  <si>
    <t>Japan</t>
  </si>
  <si>
    <t>USA</t>
  </si>
  <si>
    <t>2019</t>
  </si>
  <si>
    <t>NPL</t>
  </si>
  <si>
    <t>Nepal</t>
  </si>
  <si>
    <t>NER</t>
  </si>
  <si>
    <t>Niger</t>
  </si>
  <si>
    <t>2020</t>
  </si>
  <si>
    <t>AUS</t>
  </si>
  <si>
    <t>Australia</t>
  </si>
  <si>
    <t>2021</t>
  </si>
  <si>
    <t>2022</t>
  </si>
  <si>
    <t>H6</t>
  </si>
  <si>
    <t>2023</t>
  </si>
  <si>
    <t>MLI</t>
  </si>
  <si>
    <t>Mali</t>
  </si>
  <si>
    <t>2024</t>
  </si>
  <si>
    <t>CHN</t>
  </si>
  <si>
    <t>China</t>
  </si>
  <si>
    <t>THA</t>
  </si>
  <si>
    <t>Thailand</t>
  </si>
  <si>
    <t>2025</t>
  </si>
  <si>
    <t>🟡 1. Variables d’identification du flux</t>
  </si>
  <si>
    <r>
      <t>typeCode</t>
    </r>
    <r>
      <rPr>
        <sz val="12"/>
        <color theme="1"/>
        <rFont val="Calibri"/>
        <family val="2"/>
        <scheme val="minor"/>
      </rPr>
      <t xml:space="preserve"> : type de données (ex : marchandises)</t>
    </r>
  </si>
  <si>
    <r>
      <t>freqCode</t>
    </r>
    <r>
      <rPr>
        <sz val="12"/>
        <color theme="1"/>
        <rFont val="Calibri"/>
        <family val="2"/>
        <scheme val="minor"/>
      </rPr>
      <t xml:space="preserve"> : fréquence</t>
    </r>
  </si>
  <si>
    <t>A = annuel</t>
  </si>
  <si>
    <t>M = mensuel</t>
  </si>
  <si>
    <r>
      <t>refPeriodId / period</t>
    </r>
    <r>
      <rPr>
        <sz val="12"/>
        <color theme="1"/>
        <rFont val="Calibri"/>
        <family val="2"/>
        <scheme val="minor"/>
      </rPr>
      <t xml:space="preserve"> : période (ex : 2023)</t>
    </r>
  </si>
  <si>
    <r>
      <t>refYear / refMonth</t>
    </r>
    <r>
      <rPr>
        <sz val="12"/>
        <color theme="1"/>
        <rFont val="Calibri"/>
        <family val="2"/>
        <scheme val="minor"/>
      </rPr>
      <t xml:space="preserve"> : année / mois</t>
    </r>
  </si>
  <si>
    <t>🟡 2. Pays déclarant (exportateur/importateur)</t>
  </si>
  <si>
    <r>
      <t>reporterCode</t>
    </r>
    <r>
      <rPr>
        <sz val="12"/>
        <color theme="1"/>
        <rFont val="Calibri"/>
        <family val="2"/>
        <scheme val="minor"/>
      </rPr>
      <t xml:space="preserve"> : code numérique du pays (ex : 686 = Sénégal)</t>
    </r>
  </si>
  <si>
    <r>
      <t>reporterISO</t>
    </r>
    <r>
      <rPr>
        <sz val="12"/>
        <color theme="1"/>
        <rFont val="Calibri"/>
        <family val="2"/>
        <scheme val="minor"/>
      </rPr>
      <t xml:space="preserve"> : code ISO (SEN)</t>
    </r>
  </si>
  <si>
    <r>
      <t>reporterDesc</t>
    </r>
    <r>
      <rPr>
        <sz val="12"/>
        <color theme="1"/>
        <rFont val="Calibri"/>
        <family val="2"/>
        <scheme val="minor"/>
      </rPr>
      <t xml:space="preserve"> : nom du pays (Senegal)</t>
    </r>
  </si>
  <si>
    <t>🟡 3. Type de flux commercial</t>
  </si>
  <si>
    <r>
      <t>flowCode</t>
    </r>
    <r>
      <rPr>
        <sz val="12"/>
        <color theme="1"/>
        <rFont val="Calibri"/>
        <family val="2"/>
        <scheme val="minor"/>
      </rPr>
      <t xml:space="preserve"> :</t>
    </r>
  </si>
  <si>
    <t>X = export</t>
  </si>
  <si>
    <t>M = import</t>
  </si>
  <si>
    <r>
      <t>flowDesc</t>
    </r>
    <r>
      <rPr>
        <sz val="12"/>
        <color theme="1"/>
        <rFont val="Calibri"/>
        <family val="2"/>
        <scheme val="minor"/>
      </rPr>
      <t xml:space="preserve"> : description (Exports / Imports)</t>
    </r>
  </si>
  <si>
    <t>🟡 4. Pays partenaire</t>
  </si>
  <si>
    <r>
      <t>partnerCode</t>
    </r>
    <r>
      <rPr>
        <sz val="12"/>
        <color theme="1"/>
        <rFont val="Calibri"/>
        <family val="2"/>
        <scheme val="minor"/>
      </rPr>
      <t xml:space="preserve"> : code du pays partenaire</t>
    </r>
  </si>
  <si>
    <r>
      <t>partnerISO</t>
    </r>
    <r>
      <rPr>
        <sz val="12"/>
        <color theme="1"/>
        <rFont val="Calibri"/>
        <family val="2"/>
        <scheme val="minor"/>
      </rPr>
      <t xml:space="preserve"> : code ISO</t>
    </r>
  </si>
  <si>
    <r>
      <t>partnerDesc</t>
    </r>
    <r>
      <rPr>
        <sz val="12"/>
        <color theme="1"/>
        <rFont val="Calibri"/>
        <family val="2"/>
        <scheme val="minor"/>
      </rPr>
      <t xml:space="preserve"> : nom du pays (ex : Switzerland)</t>
    </r>
  </si>
  <si>
    <r>
      <t xml:space="preserve">👉 C’est </t>
    </r>
    <r>
      <rPr>
        <b/>
        <sz val="12"/>
        <color theme="1"/>
        <rFont val="Calibri"/>
        <family val="2"/>
        <scheme val="minor"/>
      </rPr>
      <t>la variable clé pour ton analyse des destinations de l’or</t>
    </r>
  </si>
  <si>
    <t>🟡 5. Produit (classification)</t>
  </si>
  <si>
    <r>
      <t>classificationCode</t>
    </r>
    <r>
      <rPr>
        <sz val="12"/>
        <color theme="1"/>
        <rFont val="Calibri"/>
        <family val="2"/>
        <scheme val="minor"/>
      </rPr>
      <t xml:space="preserve"> : type de nomenclature (HS = Harmonized System)</t>
    </r>
  </si>
  <si>
    <r>
      <t>cmdCode</t>
    </r>
    <r>
      <rPr>
        <sz val="12"/>
        <color theme="1"/>
        <rFont val="Calibri"/>
        <family val="2"/>
        <scheme val="minor"/>
      </rPr>
      <t xml:space="preserve"> : code produit (ex : 7108 = or)</t>
    </r>
  </si>
  <si>
    <r>
      <t>cmdDesc</t>
    </r>
    <r>
      <rPr>
        <sz val="12"/>
        <color theme="1"/>
        <rFont val="Calibri"/>
        <family val="2"/>
        <scheme val="minor"/>
      </rPr>
      <t xml:space="preserve"> : description du produit</t>
    </r>
  </si>
  <si>
    <r>
      <t>aggrLevel</t>
    </r>
    <r>
      <rPr>
        <sz val="12"/>
        <color theme="1"/>
        <rFont val="Calibri"/>
        <family val="2"/>
        <scheme val="minor"/>
      </rPr>
      <t xml:space="preserve"> : niveau d’agrégation (plus élevé = plus détaillé)</t>
    </r>
  </si>
  <si>
    <r>
      <t>isLeaf</t>
    </r>
    <r>
      <rPr>
        <sz val="12"/>
        <color theme="1"/>
        <rFont val="Calibri"/>
        <family val="2"/>
        <scheme val="minor"/>
      </rPr>
      <t xml:space="preserve"> :</t>
    </r>
  </si>
  <si>
    <t>TRUE = niveau le plus fin</t>
  </si>
  <si>
    <t>FALSE = agrégé</t>
  </si>
  <si>
    <t>🟡 6. Douanes et mode de transport</t>
  </si>
  <si>
    <r>
      <t>customsCode / customsDesc</t>
    </r>
    <r>
      <rPr>
        <sz val="12"/>
        <color theme="1"/>
        <rFont val="Calibri"/>
        <family val="2"/>
        <scheme val="minor"/>
      </rPr>
      <t xml:space="preserve"> : type de procédure douanière</t>
    </r>
  </si>
  <si>
    <r>
      <t>motCode / motDesc</t>
    </r>
    <r>
      <rPr>
        <sz val="12"/>
        <color theme="1"/>
        <rFont val="Calibri"/>
        <family val="2"/>
        <scheme val="minor"/>
      </rPr>
      <t xml:space="preserve"> : mode de transport (mer, air, etc.)</t>
    </r>
  </si>
  <si>
    <t>👉 souvent peu utilisé en analyse macro</t>
  </si>
  <si>
    <t>🟡 7. Quantités</t>
  </si>
  <si>
    <r>
      <t>qty</t>
    </r>
    <r>
      <rPr>
        <sz val="12"/>
        <color theme="1"/>
        <rFont val="Calibri"/>
        <family val="2"/>
        <scheme val="minor"/>
      </rPr>
      <t xml:space="preserve"> : quantité exportée</t>
    </r>
  </si>
  <si>
    <r>
      <t>qtyUnitAbbr</t>
    </r>
    <r>
      <rPr>
        <sz val="12"/>
        <color theme="1"/>
        <rFont val="Calibri"/>
        <family val="2"/>
        <scheme val="minor"/>
      </rPr>
      <t xml:space="preserve"> : unité (kg, tonnes…)</t>
    </r>
  </si>
  <si>
    <r>
      <t>netWgt</t>
    </r>
    <r>
      <rPr>
        <sz val="12"/>
        <color theme="1"/>
        <rFont val="Calibri"/>
        <family val="2"/>
        <scheme val="minor"/>
      </rPr>
      <t xml:space="preserve"> : poids net</t>
    </r>
  </si>
  <si>
    <r>
      <t>grossWgt</t>
    </r>
    <r>
      <rPr>
        <sz val="12"/>
        <color theme="1"/>
        <rFont val="Calibri"/>
        <family val="2"/>
        <scheme val="minor"/>
      </rPr>
      <t xml:space="preserve"> : poids brut</t>
    </r>
  </si>
  <si>
    <r>
      <t>isQtyEstimated / isNetWgtEstimated</t>
    </r>
    <r>
      <rPr>
        <sz val="12"/>
        <color theme="1"/>
        <rFont val="Calibri"/>
        <family val="2"/>
        <scheme val="minor"/>
      </rPr>
      <t xml:space="preserve"> : indicateur d’estimation</t>
    </r>
  </si>
  <si>
    <t>🟡 8. Valeurs commerciales 💰 (les plus importantes)</t>
  </si>
  <si>
    <r>
      <t>fobvalue</t>
    </r>
    <r>
      <rPr>
        <sz val="12"/>
        <color theme="1"/>
        <rFont val="Calibri"/>
        <family val="2"/>
        <scheme val="minor"/>
      </rPr>
      <t xml:space="preserve"> : valeur FOB (Free On Board)</t>
    </r>
  </si>
  <si>
    <r>
      <t>cifvalue</t>
    </r>
    <r>
      <rPr>
        <sz val="12"/>
        <color theme="1"/>
        <rFont val="Calibri"/>
        <family val="2"/>
        <scheme val="minor"/>
      </rPr>
      <t xml:space="preserve"> : valeur CIF (Cost Insurance Freight)</t>
    </r>
  </si>
  <si>
    <t>👉 différence :</t>
  </si>
  <si>
    <t>FOB = valeur à l’export</t>
  </si>
  <si>
    <t>CIF = valeur à l’import</t>
  </si>
  <si>
    <r>
      <t>primaryValue</t>
    </r>
    <r>
      <rPr>
        <sz val="12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valeur principale à utiliser</t>
    </r>
  </si>
  <si>
    <t>👉 généralement FOB pour export</t>
  </si>
  <si>
    <t>🟡 9. Variables miroir (mirror)</t>
  </si>
  <si>
    <r>
      <t>mirrorPrimaryValue</t>
    </r>
    <r>
      <rPr>
        <sz val="12"/>
        <color theme="1"/>
        <rFont val="Calibri"/>
        <family val="2"/>
        <scheme val="minor"/>
      </rPr>
      <t xml:space="preserve"> : valeur déclarée par le pays partenaire</t>
    </r>
  </si>
  <si>
    <r>
      <t>mirrorQty / mirrorNetWgt</t>
    </r>
    <r>
      <rPr>
        <sz val="12"/>
        <color theme="1"/>
        <rFont val="Calibri"/>
        <family val="2"/>
        <scheme val="minor"/>
      </rPr>
      <t xml:space="preserve"> : quantités côté partenaire</t>
    </r>
  </si>
  <si>
    <t>👉 utile pour :</t>
  </si>
  <si>
    <t>détecter incohérences</t>
  </si>
  <si>
    <t>corriger sous-déclarations</t>
  </si>
  <si>
    <t>🟡 10. Variables techniques</t>
  </si>
  <si>
    <r>
      <t>isReported</t>
    </r>
    <r>
      <rPr>
        <sz val="12"/>
        <color theme="1"/>
        <rFont val="Calibri"/>
        <family val="2"/>
        <scheme val="minor"/>
      </rPr>
      <t xml:space="preserve"> : données réellement reportées</t>
    </r>
  </si>
  <si>
    <r>
      <t>isAggregate</t>
    </r>
    <r>
      <rPr>
        <sz val="12"/>
        <color theme="1"/>
        <rFont val="Calibri"/>
        <family val="2"/>
        <scheme val="minor"/>
      </rPr>
      <t xml:space="preserve"> : agrégation (ex : régions)</t>
    </r>
  </si>
  <si>
    <r>
      <t>legacyEstimationFlag</t>
    </r>
    <r>
      <rPr>
        <sz val="12"/>
        <color theme="1"/>
        <rFont val="Calibri"/>
        <family val="2"/>
        <scheme val="minor"/>
      </rPr>
      <t xml:space="preserve"> : ancienne estimation</t>
    </r>
  </si>
  <si>
    <r>
      <t>isExtendedPartnerCode</t>
    </r>
    <r>
      <rPr>
        <sz val="12"/>
        <color theme="1"/>
        <rFont val="Calibri"/>
        <family val="2"/>
        <scheme val="minor"/>
      </rPr>
      <t xml:space="preserve"> : codes étendus (zones spéciales)</t>
    </r>
  </si>
  <si>
    <t>Étiquettes de colonnes</t>
  </si>
  <si>
    <t>Total général</t>
  </si>
  <si>
    <t>Étiquettes de lignes</t>
  </si>
  <si>
    <t>Somme de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</si>
</sst>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2" fillId="0" borderId="0" xfId="0" applyNumberFormat="1" applyFont="1" applyAlignment="1">
      <alignment vertical="center"/>
    </xf>
    <xf numFmtId="0" fontId="0" fillId="0" borderId="0" xfId="0" applyNumberFormat="1" applyAlignment="1">
      <alignment horizontal="left" vertical="center" indent="1"/>
    </xf>
    <xf numFmtId="0" fontId="1" fillId="0" borderId="0" xfId="0" applyNumberFormat="1" applyFont="1" applyAlignment="1">
      <alignment horizontal="left" vertical="center" indent="1"/>
    </xf>
    <xf numFmtId="0" fontId="0" fillId="0" borderId="0" xfId="0" applyNumberFormat="1" applyAlignment="1">
      <alignment horizontal="left" vertical="center" indent="2"/>
    </xf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[All_Import_Or.xlsx]Feuil1!Tableau croisé dynamique1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Feuil1!$B$5:$B$17</c:f>
              <c:numCache>
                <c:formatCode>General</c:formatCode>
                <c:ptCount val="12"/>
                <c:pt idx="6">
                  <c:v>3634.4569999999999</c:v>
                </c:pt>
                <c:pt idx="7">
                  <c:v>3884.3809999999999</c:v>
                </c:pt>
                <c:pt idx="8">
                  <c:v>3660.4029999999998</c:v>
                </c:pt>
                <c:pt idx="9">
                  <c:v>3797.2040000000002</c:v>
                </c:pt>
                <c:pt idx="10">
                  <c:v>3042.6289999999999</c:v>
                </c:pt>
                <c:pt idx="11">
                  <c:v>3556.0329999999999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8-41AA-84DC-EBE67AA0EFCA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Feuil1!$C$5:$C$17</c:f>
              <c:numCache>
                <c:formatCode>General</c:formatCode>
                <c:ptCount val="12"/>
                <c:pt idx="4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8-41AA-84DC-EBE67AA0EFCA}"/>
            </c:ext>
          </c:extLst>
        </c:ser>
        <c:ser>
          <c:idx val="2"/>
          <c:order val="2"/>
          <c:tx>
            <c:strRef>
              <c:f>Feuil1!$D$3:$D$4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Feuil1!$D$5:$D$17</c:f>
              <c:numCache>
                <c:formatCode>General</c:formatCode>
                <c:ptCount val="12"/>
                <c:pt idx="10">
                  <c:v>10.012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48-41AA-84DC-EBE67AA0EFCA}"/>
            </c:ext>
          </c:extLst>
        </c:ser>
        <c:ser>
          <c:idx val="3"/>
          <c:order val="3"/>
          <c:tx>
            <c:strRef>
              <c:f>Feuil1!$E$3:$E$4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Feuil1!$E$5:$E$17</c:f>
              <c:numCache>
                <c:formatCode>General</c:formatCode>
                <c:ptCount val="12"/>
                <c:pt idx="4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48-41AA-84DC-EBE67AA0EFCA}"/>
            </c:ext>
          </c:extLst>
        </c:ser>
        <c:ser>
          <c:idx val="4"/>
          <c:order val="4"/>
          <c:tx>
            <c:strRef>
              <c:f>Feuil1!$F$3:$F$4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Feuil1!$F$5:$F$17</c:f>
              <c:numCache>
                <c:formatCode>General</c:formatCode>
                <c:ptCount val="12"/>
                <c:pt idx="0">
                  <c:v>63</c:v>
                </c:pt>
                <c:pt idx="1">
                  <c:v>81</c:v>
                </c:pt>
                <c:pt idx="2">
                  <c:v>116</c:v>
                </c:pt>
                <c:pt idx="3">
                  <c:v>147.637</c:v>
                </c:pt>
                <c:pt idx="4">
                  <c:v>194.50299999999999</c:v>
                </c:pt>
                <c:pt idx="5">
                  <c:v>165.702</c:v>
                </c:pt>
                <c:pt idx="6">
                  <c:v>77.575999999999993</c:v>
                </c:pt>
                <c:pt idx="7">
                  <c:v>27.384</c:v>
                </c:pt>
                <c:pt idx="8">
                  <c:v>32.393999999999998</c:v>
                </c:pt>
                <c:pt idx="9">
                  <c:v>28.239000000000001</c:v>
                </c:pt>
                <c:pt idx="10">
                  <c:v>10.696999999999999</c:v>
                </c:pt>
                <c:pt idx="11">
                  <c:v>769.14499999999998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8-41AA-84DC-EBE67AA0EFCA}"/>
            </c:ext>
          </c:extLst>
        </c:ser>
        <c:ser>
          <c:idx val="5"/>
          <c:order val="5"/>
          <c:tx>
            <c:strRef>
              <c:f>Feuil1!$G$3:$G$4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Feuil1!$G$5:$G$17</c:f>
              <c:numCache>
                <c:formatCode>General</c:formatCode>
                <c:ptCount val="12"/>
                <c:pt idx="4">
                  <c:v>3.4980000000000002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48-41AA-84DC-EBE67AA0EFCA}"/>
            </c:ext>
          </c:extLst>
        </c:ser>
        <c:ser>
          <c:idx val="6"/>
          <c:order val="6"/>
          <c:tx>
            <c:strRef>
              <c:f>Feuil1!$H$3:$H$4</c:f>
              <c:strCache>
                <c:ptCount val="1"/>
                <c:pt idx="0">
                  <c:v>Mali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Feuil1!$H$5:$H$17</c:f>
              <c:numCache>
                <c:formatCode>General</c:formatCode>
                <c:ptCount val="12"/>
                <c:pt idx="9">
                  <c:v>6.6109999999999998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48-41AA-84DC-EBE67AA0EFCA}"/>
            </c:ext>
          </c:extLst>
        </c:ser>
        <c:ser>
          <c:idx val="7"/>
          <c:order val="7"/>
          <c:tx>
            <c:strRef>
              <c:f>Feuil1!$I$3:$I$4</c:f>
              <c:strCache>
                <c:ptCount val="1"/>
                <c:pt idx="0">
                  <c:v>Nepal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Feuil1!$I$5:$I$17</c:f>
              <c:numCache>
                <c:formatCode>General</c:formatCode>
                <c:ptCount val="12"/>
                <c:pt idx="5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48-41AA-84DC-EBE67AA0EFCA}"/>
            </c:ext>
          </c:extLst>
        </c:ser>
        <c:ser>
          <c:idx val="8"/>
          <c:order val="8"/>
          <c:tx>
            <c:strRef>
              <c:f>Feuil1!$J$3:$J$4</c:f>
              <c:strCache>
                <c:ptCount val="1"/>
                <c:pt idx="0">
                  <c:v>Niger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Feuil1!$J$5:$J$17</c:f>
              <c:numCache>
                <c:formatCode>General</c:formatCode>
                <c:ptCount val="12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48-41AA-84DC-EBE67AA0EFCA}"/>
            </c:ext>
          </c:extLst>
        </c:ser>
        <c:ser>
          <c:idx val="9"/>
          <c:order val="9"/>
          <c:tx>
            <c:strRef>
              <c:f>Feuil1!$K$3:$K$4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Feuil1!$K$5:$K$17</c:f>
              <c:numCache>
                <c:formatCode>General</c:formatCode>
                <c:ptCount val="12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48-41AA-84DC-EBE67AA0EFCA}"/>
            </c:ext>
          </c:extLst>
        </c:ser>
        <c:ser>
          <c:idx val="10"/>
          <c:order val="10"/>
          <c:tx>
            <c:strRef>
              <c:f>Feuil1!$L$3:$L$4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Feuil1!$L$5:$L$17</c:f>
              <c:numCache>
                <c:formatCode>General</c:formatCode>
                <c:ptCount val="12"/>
                <c:pt idx="3">
                  <c:v>0.81299999999999994</c:v>
                </c:pt>
                <c:pt idx="4">
                  <c:v>2.8</c:v>
                </c:pt>
                <c:pt idx="7">
                  <c:v>0.998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48-41AA-84DC-EBE67AA0EFCA}"/>
            </c:ext>
          </c:extLst>
        </c:ser>
        <c:ser>
          <c:idx val="11"/>
          <c:order val="11"/>
          <c:tx>
            <c:strRef>
              <c:f>Feuil1!$M$3:$M$4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Feuil1!$M$5:$M$17</c:f>
              <c:numCache>
                <c:formatCode>General</c:formatCode>
                <c:ptCount val="12"/>
                <c:pt idx="0">
                  <c:v>7789</c:v>
                </c:pt>
                <c:pt idx="1">
                  <c:v>6374</c:v>
                </c:pt>
                <c:pt idx="2">
                  <c:v>7294</c:v>
                </c:pt>
                <c:pt idx="3">
                  <c:v>7443</c:v>
                </c:pt>
                <c:pt idx="4">
                  <c:v>13436</c:v>
                </c:pt>
                <c:pt idx="5">
                  <c:v>14569</c:v>
                </c:pt>
                <c:pt idx="6">
                  <c:v>9512</c:v>
                </c:pt>
                <c:pt idx="7">
                  <c:v>13581</c:v>
                </c:pt>
                <c:pt idx="8">
                  <c:v>12081</c:v>
                </c:pt>
                <c:pt idx="9">
                  <c:v>10566</c:v>
                </c:pt>
                <c:pt idx="10">
                  <c:v>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048-41AA-84DC-EBE67AA0EFCA}"/>
            </c:ext>
          </c:extLst>
        </c:ser>
        <c:ser>
          <c:idx val="12"/>
          <c:order val="12"/>
          <c:tx>
            <c:strRef>
              <c:f>Feuil1!$N$3:$N$4</c:f>
              <c:strCache>
                <c:ptCount val="1"/>
                <c:pt idx="0">
                  <c:v>Thailand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Feuil1!$N$5:$N$17</c:f>
              <c:numCache>
                <c:formatCode>General</c:formatCode>
                <c:ptCount val="12"/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48-41AA-84DC-EBE67AA0EFCA}"/>
            </c:ext>
          </c:extLst>
        </c:ser>
        <c:ser>
          <c:idx val="13"/>
          <c:order val="13"/>
          <c:tx>
            <c:strRef>
              <c:f>Feuil1!$O$3:$O$4</c:f>
              <c:strCache>
                <c:ptCount val="1"/>
                <c:pt idx="0">
                  <c:v>Türkiye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Feuil1!$O$5:$O$17</c:f>
              <c:numCache>
                <c:formatCode>General</c:formatCode>
                <c:ptCount val="12"/>
                <c:pt idx="2">
                  <c:v>8.0519999999999996</c:v>
                </c:pt>
                <c:pt idx="3">
                  <c:v>6.1310000000000002</c:v>
                </c:pt>
                <c:pt idx="4">
                  <c:v>15.64</c:v>
                </c:pt>
                <c:pt idx="5">
                  <c:v>43.218000000000004</c:v>
                </c:pt>
                <c:pt idx="6">
                  <c:v>42.487000000000002</c:v>
                </c:pt>
                <c:pt idx="7">
                  <c:v>7.45</c:v>
                </c:pt>
                <c:pt idx="9">
                  <c:v>34.648000000000003</c:v>
                </c:pt>
                <c:pt idx="10">
                  <c:v>1.9990000000000001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048-41AA-84DC-EBE67AA0EFCA}"/>
            </c:ext>
          </c:extLst>
        </c:ser>
        <c:ser>
          <c:idx val="14"/>
          <c:order val="14"/>
          <c:tx>
            <c:strRef>
              <c:f>Feuil1!$P$3:$P$4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Feuil1!$P$5:$P$17</c:f>
              <c:numCache>
                <c:formatCode>General</c:formatCode>
                <c:ptCount val="12"/>
                <c:pt idx="0">
                  <c:v>5235.57</c:v>
                </c:pt>
                <c:pt idx="1">
                  <c:v>4658.66</c:v>
                </c:pt>
                <c:pt idx="2">
                  <c:v>5394.42</c:v>
                </c:pt>
                <c:pt idx="3">
                  <c:v>5413</c:v>
                </c:pt>
                <c:pt idx="4">
                  <c:v>4819.79</c:v>
                </c:pt>
                <c:pt idx="5">
                  <c:v>4159.21</c:v>
                </c:pt>
                <c:pt idx="6">
                  <c:v>2118.87</c:v>
                </c:pt>
                <c:pt idx="7">
                  <c:v>2625.9</c:v>
                </c:pt>
                <c:pt idx="8">
                  <c:v>3215.52</c:v>
                </c:pt>
                <c:pt idx="9">
                  <c:v>4014.64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48-41AA-84DC-EBE67AA0EFCA}"/>
            </c:ext>
          </c:extLst>
        </c:ser>
        <c:ser>
          <c:idx val="15"/>
          <c:order val="15"/>
          <c:tx>
            <c:strRef>
              <c:f>Feuil1!$Q$3:$Q$4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Feuil1!$A$5:$A$17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Feuil1!$Q$5:$Q$17</c:f>
              <c:numCache>
                <c:formatCode>General</c:formatCode>
                <c:ptCount val="12"/>
                <c:pt idx="4">
                  <c:v>20.033999999999999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048-41AA-84DC-EBE67AA0E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1551119"/>
        <c:axId val="411549455"/>
        <c:axId val="0"/>
      </c:bar3DChart>
      <c:catAx>
        <c:axId val="41155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1549455"/>
        <c:crosses val="autoZero"/>
        <c:auto val="1"/>
        <c:lblAlgn val="ctr"/>
        <c:lblOffset val="100"/>
        <c:noMultiLvlLbl val="0"/>
      </c:catAx>
      <c:valAx>
        <c:axId val="4115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155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3838E8-53A0-4BAC-A52E-09DF1765B8D6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3A39E5-1BC4-4026-9A65-29EBEFCFAE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e rachid traore" refreshedDate="46147.696321180556" createdVersion="7" refreshedVersion="7" minRefreshableVersion="3" recordCount="60" xr:uid="{78372E4B-B7CD-4D89-BBBD-4F0416B80107}">
  <cacheSource type="worksheet">
    <worksheetSource name="Tableau1"/>
  </cacheSource>
  <cacheFields count="65">
    <cacheField name="typeCode" numFmtId="0">
      <sharedItems/>
    </cacheField>
    <cacheField name="freqCode" numFmtId="0">
      <sharedItems/>
    </cacheField>
    <cacheField name="refPeriodId" numFmtId="0">
      <sharedItems containsSemiMixedTypes="0" containsString="0" containsNumber="1" containsInteger="1" minValue="20140101" maxValue="20250101"/>
    </cacheField>
    <cacheField name="refYear" numFmtId="0">
      <sharedItems containsSemiMixedTypes="0" containsString="0" containsNumber="1" containsInteger="1" minValue="2014" maxValue="2025" count="12"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refMonth" numFmtId="0">
      <sharedItems containsSemiMixedTypes="0" containsString="0" containsNumber="1" containsInteger="1" minValue="52" maxValue="52"/>
    </cacheField>
    <cacheField name="period" numFmtId="0">
      <sharedItems/>
    </cacheField>
    <cacheField name="reporterCode" numFmtId="0">
      <sharedItems containsSemiMixedTypes="0" containsString="0" containsNumber="1" containsInteger="1" minValue="36" maxValue="842"/>
    </cacheField>
    <cacheField name="reporterISO" numFmtId="0">
      <sharedItems/>
    </cacheField>
    <cacheField name="reporterDesc" numFmtId="0">
      <sharedItems count="16">
        <s v="Italy"/>
        <s v="Switzerland"/>
        <s v="United Arab Emirates"/>
        <s v="Poland"/>
        <s v="Türkiye"/>
        <s v="Spain"/>
        <s v="Belgium"/>
        <s v="Ireland"/>
        <s v="Japan"/>
        <s v="USA"/>
        <s v="Nepal"/>
        <s v="Niger"/>
        <s v="Australia"/>
        <s v="Mali"/>
        <s v="China"/>
        <s v="Thailand"/>
      </sharedItems>
    </cacheField>
    <cacheField name="flowCode" numFmtId="0">
      <sharedItems/>
    </cacheField>
    <cacheField name="flowDesc" numFmtId="0">
      <sharedItems/>
    </cacheField>
    <cacheField name="partnerCode" numFmtId="0">
      <sharedItems containsSemiMixedTypes="0" containsString="0" containsNumber="1" containsInteger="1" minValue="686" maxValue="686"/>
    </cacheField>
    <cacheField name="partnerISO" numFmtId="0">
      <sharedItems/>
    </cacheField>
    <cacheField name="partnerDesc" numFmtId="0">
      <sharedItems count="1">
        <s v="Senegal"/>
      </sharedItems>
    </cacheField>
    <cacheField name="classificationCode" numFmtId="0">
      <sharedItems/>
    </cacheField>
    <cacheField name="classificationSearchCode" numFmtId="0">
      <sharedItems/>
    </cacheField>
    <cacheField name="isOriginalClassification" numFmtId="0">
      <sharedItems/>
    </cacheField>
    <cacheField name="cmdCode" numFmtId="0">
      <sharedItems/>
    </cacheField>
    <cacheField name="cmdDesc" numFmtId="0">
      <sharedItems/>
    </cacheField>
    <cacheField name="aggrLevel" numFmtId="0">
      <sharedItems containsSemiMixedTypes="0" containsString="0" containsNumber="1" containsInteger="1" minValue="4" maxValue="4"/>
    </cacheField>
    <cacheField name="isLeaf" numFmtId="0">
      <sharedItems/>
    </cacheField>
    <cacheField name="customsCode" numFmtId="0">
      <sharedItems/>
    </cacheField>
    <cacheField name="customsDesc" numFmtId="0">
      <sharedItems/>
    </cacheField>
    <cacheField name="mosCode" numFmtId="0">
      <sharedItems/>
    </cacheField>
    <cacheField name="motCode" numFmtId="0">
      <sharedItems containsSemiMixedTypes="0" containsString="0" containsNumber="1" containsInteger="1" minValue="0" maxValue="0"/>
    </cacheField>
    <cacheField name="motDesc" numFmtId="0">
      <sharedItems/>
    </cacheField>
    <cacheField name="qtyUnitCode" numFmtId="0">
      <sharedItems containsSemiMixedTypes="0" containsString="0" containsNumber="1" containsInteger="1" minValue="8" maxValue="8"/>
    </cacheField>
    <cacheField name="qtyUnitAbbr" numFmtId="0">
      <sharedItems/>
    </cacheField>
    <cacheField name="mirrorQtyUnitCode" numFmtId="0">
      <sharedItems containsString="0" containsBlank="1" containsNumber="1" containsInteger="1" minValue="8" maxValue="8"/>
    </cacheField>
    <cacheField name="mirrorQtyUnitAbbr" numFmtId="0">
      <sharedItems containsBlank="1"/>
    </cacheField>
    <cacheField name="mirror2QtyUnitCode" numFmtId="0">
      <sharedItems containsNonDate="0" containsString="0" containsBlank="1"/>
    </cacheField>
    <cacheField name="mirror2QtyUnitAbbr" numFmtId="0">
      <sharedItems containsNonDate="0" containsString="0" containsBlank="1"/>
    </cacheField>
    <cacheField name="qty" numFmtId="0">
      <sharedItems containsSemiMixedTypes="0" containsString="0" containsNumber="1" minValue="2E-3" maxValue="14569" count="60">
        <n v="63"/>
        <n v="7789"/>
        <n v="5235.57"/>
        <n v="81"/>
        <n v="6374"/>
        <n v="4658.66"/>
        <n v="116"/>
        <n v="2"/>
        <n v="7294"/>
        <n v="5394.42"/>
        <n v="8.0519999999999996"/>
        <n v="147.637"/>
        <n v="0.81299999999999994"/>
        <n v="7443"/>
        <n v="5413"/>
        <n v="6.1310000000000002"/>
        <n v="18.100000000000001"/>
        <n v="2E-3"/>
        <n v="194.50299999999999"/>
        <n v="3.4980000000000002"/>
        <n v="2.8"/>
        <n v="13436"/>
        <n v="4819.79"/>
        <n v="15.64"/>
        <n v="20.033999999999999"/>
        <n v="165.702"/>
        <n v="1.0999999999999999E-2"/>
        <n v="1"/>
        <n v="14569"/>
        <n v="4159.21"/>
        <n v="43.218000000000004"/>
        <n v="3634.4569999999999"/>
        <n v="77.575999999999993"/>
        <n v="9512"/>
        <n v="2118.87"/>
        <n v="42.487000000000002"/>
        <n v="3884.3809999999999"/>
        <n v="27.384"/>
        <n v="0.998"/>
        <n v="13581"/>
        <n v="2625.9"/>
        <n v="7.45"/>
        <n v="3660.4029999999998"/>
        <n v="32.393999999999998"/>
        <n v="12081"/>
        <n v="3215.52"/>
        <n v="3797.2040000000002"/>
        <n v="28.239000000000001"/>
        <n v="6.6109999999999998"/>
        <n v="10566"/>
        <n v="4014.64"/>
        <n v="34.648000000000003"/>
        <n v="3042.6289999999999"/>
        <n v="10.012"/>
        <n v="10.696999999999999"/>
        <n v="8103"/>
        <n v="20"/>
        <n v="1.9990000000000001"/>
        <n v="3556.0329999999999"/>
        <n v="769.14499999999998"/>
      </sharedItems>
    </cacheField>
    <cacheField name="mirrorQty" numFmtId="0">
      <sharedItems containsString="0" containsBlank="1" containsNumber="1" containsInteger="1" minValue="2" maxValue="13134"/>
    </cacheField>
    <cacheField name="mirror2Qty" numFmtId="0">
      <sharedItems containsNonDate="0" containsString="0" containsBlank="1"/>
    </cacheField>
    <cacheField name="isQtyEstimated" numFmtId="0">
      <sharedItems/>
    </cacheField>
    <cacheField name="altQtyUnitCode" numFmtId="0">
      <sharedItems containsSemiMixedTypes="0" containsString="0" containsNumber="1" containsInteger="1" minValue="-1" maxValue="15"/>
    </cacheField>
    <cacheField name="altQtyUnitAbbr" numFmtId="0">
      <sharedItems/>
    </cacheField>
    <cacheField name="altQty" numFmtId="0">
      <sharedItems containsString="0" containsBlank="1" containsNumber="1" minValue="0" maxValue="769145"/>
    </cacheField>
    <cacheField name="mirrorAltQtyUnitCode" numFmtId="0">
      <sharedItems containsString="0" containsBlank="1" containsNumber="1" containsInteger="1" minValue="-1" maxValue="8"/>
    </cacheField>
    <cacheField name="mirrorAltQtyUnitAbbr" numFmtId="0">
      <sharedItems containsBlank="1"/>
    </cacheField>
    <cacheField name="mirror2AltQtyUnitCode" numFmtId="0">
      <sharedItems containsNonDate="0" containsString="0" containsBlank="1"/>
    </cacheField>
    <cacheField name="mirror2AltQtyUnitAbbr" numFmtId="0">
      <sharedItems containsNonDate="0" containsString="0" containsBlank="1"/>
    </cacheField>
    <cacheField name="mirrorAltQty" numFmtId="0">
      <sharedItems containsString="0" containsBlank="1" containsNumber="1" containsInteger="1" minValue="2" maxValue="13134"/>
    </cacheField>
    <cacheField name="mirror2AltQty" numFmtId="0">
      <sharedItems containsNonDate="0" containsString="0" containsBlank="1"/>
    </cacheField>
    <cacheField name="isAltQtyEstimated" numFmtId="0">
      <sharedItems/>
    </cacheField>
    <cacheField name="netWgt" numFmtId="0">
      <sharedItems containsString="0" containsBlank="1" containsNumber="1" minValue="2E-3" maxValue="14569"/>
    </cacheField>
    <cacheField name="mirrorNetWgt" numFmtId="0">
      <sharedItems containsString="0" containsBlank="1" containsNumber="1" containsInteger="1" minValue="2" maxValue="13134"/>
    </cacheField>
    <cacheField name="mirror2NetWgt" numFmtId="0">
      <sharedItems containsNonDate="0" containsString="0" containsBlank="1"/>
    </cacheField>
    <cacheField name="isNetWgtEstimated" numFmtId="0">
      <sharedItems/>
    </cacheField>
    <cacheField name="grossWgt" numFmtId="0">
      <sharedItems containsString="0" containsBlank="1" containsNumber="1" minValue="0" maxValue="4600.33"/>
    </cacheField>
    <cacheField name="mirrorGrossWgt" numFmtId="0">
      <sharedItems containsString="0" containsBlank="1" containsNumber="1" containsInteger="1" minValue="0" maxValue="0"/>
    </cacheField>
    <cacheField name="mirror2GrossWgt" numFmtId="0">
      <sharedItems containsNonDate="0" containsString="0" containsBlank="1"/>
    </cacheField>
    <cacheField name="isGrossWgtEstimated" numFmtId="0">
      <sharedItems/>
    </cacheField>
    <cacheField name="cifvalue" numFmtId="0">
      <sharedItems containsSemiMixedTypes="0" containsString="0" containsNumber="1" minValue="94.475999999999999" maxValue="710234464.13499999"/>
    </cacheField>
    <cacheField name="fobvalue" numFmtId="0">
      <sharedItems containsString="0" containsBlank="1" containsNumber="1" minValue="0" maxValue="328821987.85399997"/>
    </cacheField>
    <cacheField name="primaryValue" numFmtId="0">
      <sharedItems containsSemiMixedTypes="0" containsString="0" containsNumber="1" minValue="94.475999999999999" maxValue="710234464.13499999"/>
    </cacheField>
    <cacheField name="isExtendedPartnerCode" numFmtId="0">
      <sharedItems/>
    </cacheField>
    <cacheField name="mirrorPrimaryValue" numFmtId="0">
      <sharedItems containsSemiMixedTypes="0" containsString="0" containsNumber="1" minValue="0" maxValue="724559741.37"/>
    </cacheField>
    <cacheField name="primaryValueDisc" numFmtId="0">
      <sharedItems containsSemiMixedTypes="0" containsString="0" containsNumber="1" minValue="-1" maxValue="0.47823991980359382"/>
    </cacheField>
    <cacheField name="mirror2PrimaryValue" numFmtId="0">
      <sharedItems containsSemiMixedTypes="0" containsString="0" containsNumber="1" containsInteger="1" minValue="0" maxValue="0"/>
    </cacheField>
    <cacheField name="isExtendedPartner2Code" numFmtId="0">
      <sharedItems/>
    </cacheField>
    <cacheField name="legacyEstimationFlag" numFmtId="0">
      <sharedItems containsSemiMixedTypes="0" containsString="0" containsNumber="1" containsInteger="1" minValue="0" maxValue="6"/>
    </cacheField>
    <cacheField name="isReported" numFmtId="0">
      <sharedItems/>
    </cacheField>
    <cacheField name="isAggreg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"/>
    <s v="A"/>
    <n v="20140101"/>
    <x v="0"/>
    <n v="52"/>
    <s v="2014"/>
    <n v="380"/>
    <s v="ITA"/>
    <x v="0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0"/>
    <n v="75"/>
    <m/>
    <b v="0"/>
    <n v="-1"/>
    <s v="N/A"/>
    <m/>
    <n v="-1"/>
    <s v="N/A"/>
    <m/>
    <m/>
    <m/>
    <m/>
    <b v="1"/>
    <n v="63"/>
    <n v="75"/>
    <m/>
    <b v="0"/>
    <m/>
    <m/>
    <m/>
    <b v="0"/>
    <n v="2048560"/>
    <m/>
    <n v="2048560"/>
    <b v="1"/>
    <n v="1762549"/>
    <n v="-0.13961563244425357"/>
    <n v="0"/>
    <b v="0"/>
    <n v="0"/>
    <b v="0"/>
    <b v="0"/>
  </r>
  <r>
    <s v="C"/>
    <s v="A"/>
    <n v="20140101"/>
    <x v="0"/>
    <n v="52"/>
    <s v="2014"/>
    <n v="757"/>
    <s v="CHE"/>
    <x v="1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"/>
    <n v="6572"/>
    <m/>
    <b v="0"/>
    <n v="8"/>
    <s v="kg"/>
    <n v="7789"/>
    <n v="-1"/>
    <s v="N/A"/>
    <m/>
    <m/>
    <m/>
    <m/>
    <b v="0"/>
    <n v="7789"/>
    <n v="6572"/>
    <m/>
    <b v="0"/>
    <n v="0"/>
    <m/>
    <m/>
    <b v="0"/>
    <n v="271006543.37199998"/>
    <n v="0"/>
    <n v="271006543.37199998"/>
    <b v="1"/>
    <n v="255134940"/>
    <n v="-5.8565388032766674E-2"/>
    <n v="0"/>
    <b v="0"/>
    <n v="0"/>
    <b v="0"/>
    <b v="1"/>
  </r>
  <r>
    <s v="C"/>
    <s v="A"/>
    <n v="20140101"/>
    <x v="0"/>
    <n v="52"/>
    <s v="2014"/>
    <n v="784"/>
    <s v="ARE"/>
    <x v="2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 "/>
    <n v="0"/>
    <s v="TOTAL MOT"/>
    <n v="8"/>
    <s v="kg"/>
    <n v="8"/>
    <s v="kg"/>
    <m/>
    <m/>
    <x v="2"/>
    <n v="3452"/>
    <m/>
    <b v="0"/>
    <n v="8"/>
    <s v="kg"/>
    <n v="5235.57"/>
    <n v="-1"/>
    <s v="N/A"/>
    <m/>
    <m/>
    <m/>
    <m/>
    <b v="0"/>
    <n v="5235.57"/>
    <n v="3452"/>
    <m/>
    <b v="0"/>
    <m/>
    <m/>
    <m/>
    <b v="0"/>
    <n v="153775097.31200001"/>
    <m/>
    <n v="153775097.31200001"/>
    <b v="1"/>
    <n v="87648240"/>
    <n v="-0.43002318624993463"/>
    <n v="0"/>
    <b v="0"/>
    <n v="0"/>
    <b v="0"/>
    <b v="1"/>
  </r>
  <r>
    <s v="C"/>
    <s v="A"/>
    <n v="20150101"/>
    <x v="1"/>
    <n v="52"/>
    <s v="2015"/>
    <n v="380"/>
    <s v="ITA"/>
    <x v="0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 "/>
    <n v="0"/>
    <s v="TOTAL MOT"/>
    <n v="8"/>
    <s v="kg"/>
    <n v="8"/>
    <s v="kg"/>
    <m/>
    <m/>
    <x v="3"/>
    <n v="117"/>
    <m/>
    <b v="0"/>
    <n v="15"/>
    <s v="g"/>
    <n v="79761"/>
    <n v="-1"/>
    <s v="N/A"/>
    <m/>
    <m/>
    <m/>
    <m/>
    <b v="0"/>
    <n v="81"/>
    <n v="117"/>
    <m/>
    <b v="0"/>
    <m/>
    <m/>
    <m/>
    <b v="0"/>
    <n v="2595853.5920000002"/>
    <m/>
    <n v="2595853.5920000002"/>
    <b v="1"/>
    <n v="1866997"/>
    <n v="-0.2807772342193019"/>
    <n v="0"/>
    <b v="0"/>
    <n v="0"/>
    <b v="0"/>
    <b v="1"/>
  </r>
  <r>
    <s v="C"/>
    <s v="A"/>
    <n v="20150101"/>
    <x v="1"/>
    <n v="52"/>
    <s v="2015"/>
    <n v="757"/>
    <s v="CHE"/>
    <x v="1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"/>
    <n v="5743"/>
    <m/>
    <b v="0"/>
    <n v="8"/>
    <s v="kg"/>
    <n v="6374"/>
    <n v="-1"/>
    <s v="N/A"/>
    <m/>
    <m/>
    <m/>
    <m/>
    <b v="0"/>
    <n v="6374"/>
    <n v="5743"/>
    <m/>
    <b v="0"/>
    <n v="0"/>
    <m/>
    <m/>
    <b v="0"/>
    <n v="219145334.37099999"/>
    <n v="0"/>
    <n v="219145334.37099999"/>
    <b v="1"/>
    <n v="212688412"/>
    <n v="-2.9464110607387184E-2"/>
    <n v="0"/>
    <b v="0"/>
    <n v="0"/>
    <b v="0"/>
    <b v="1"/>
  </r>
  <r>
    <s v="C"/>
    <s v="A"/>
    <n v="20150101"/>
    <x v="1"/>
    <n v="52"/>
    <s v="2015"/>
    <n v="784"/>
    <s v="ARE"/>
    <x v="2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 "/>
    <n v="0"/>
    <s v="TOTAL MOT"/>
    <n v="8"/>
    <s v="kg"/>
    <n v="8"/>
    <s v="kg"/>
    <m/>
    <m/>
    <x v="5"/>
    <n v="1936"/>
    <m/>
    <b v="0"/>
    <n v="8"/>
    <s v="kg"/>
    <n v="4658.66"/>
    <n v="-1"/>
    <s v="N/A"/>
    <m/>
    <m/>
    <m/>
    <m/>
    <b v="0"/>
    <n v="4658.66"/>
    <n v="1936"/>
    <m/>
    <b v="0"/>
    <m/>
    <m/>
    <m/>
    <b v="0"/>
    <n v="123230254.083"/>
    <m/>
    <n v="123230254.083"/>
    <b v="1"/>
    <n v="39375352"/>
    <n v="-0.68047333592707449"/>
    <n v="0"/>
    <b v="0"/>
    <n v="0"/>
    <b v="0"/>
    <b v="1"/>
  </r>
  <r>
    <s v="C"/>
    <s v="A"/>
    <n v="20160101"/>
    <x v="2"/>
    <n v="52"/>
    <s v="2016"/>
    <n v="380"/>
    <s v="ITA"/>
    <x v="0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 "/>
    <n v="0"/>
    <s v="TOTAL MOT"/>
    <n v="8"/>
    <s v="kg"/>
    <n v="8"/>
    <s v="kg"/>
    <m/>
    <m/>
    <x v="6"/>
    <n v="149"/>
    <m/>
    <b v="0"/>
    <n v="15"/>
    <s v="g"/>
    <n v="112612"/>
    <n v="-1"/>
    <s v="N/A"/>
    <m/>
    <m/>
    <m/>
    <m/>
    <b v="0"/>
    <n v="116"/>
    <n v="149"/>
    <m/>
    <b v="0"/>
    <m/>
    <m/>
    <m/>
    <b v="0"/>
    <n v="4226896.3430000003"/>
    <m/>
    <n v="4226896.3430000003"/>
    <b v="1"/>
    <n v="3055700"/>
    <n v="-0.2770818699965456"/>
    <n v="0"/>
    <b v="0"/>
    <n v="0"/>
    <b v="0"/>
    <b v="1"/>
  </r>
  <r>
    <s v="C"/>
    <s v="A"/>
    <n v="20160101"/>
    <x v="2"/>
    <n v="52"/>
    <s v="2016"/>
    <n v="616"/>
    <s v="POL"/>
    <x v="3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7"/>
    <n v="2"/>
    <m/>
    <b v="0"/>
    <n v="-1"/>
    <s v="N/A"/>
    <m/>
    <n v="-1"/>
    <s v="N/A"/>
    <m/>
    <m/>
    <m/>
    <m/>
    <b v="0"/>
    <n v="2"/>
    <n v="2"/>
    <m/>
    <b v="0"/>
    <m/>
    <m/>
    <m/>
    <b v="0"/>
    <n v="79584"/>
    <m/>
    <n v="79584"/>
    <b v="1"/>
    <n v="78279"/>
    <n v="-1.639776839565743E-2"/>
    <n v="0"/>
    <b v="0"/>
    <n v="0"/>
    <b v="1"/>
    <b v="0"/>
  </r>
  <r>
    <s v="C"/>
    <s v="A"/>
    <n v="20160101"/>
    <x v="2"/>
    <n v="52"/>
    <s v="2016"/>
    <n v="757"/>
    <s v="CHE"/>
    <x v="1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8"/>
    <n v="6638"/>
    <m/>
    <b v="0"/>
    <n v="8"/>
    <s v="kg"/>
    <n v="7294"/>
    <n v="-1"/>
    <s v="N/A"/>
    <m/>
    <m/>
    <m/>
    <m/>
    <b v="0"/>
    <n v="7294"/>
    <n v="6638"/>
    <m/>
    <b v="0"/>
    <n v="0"/>
    <m/>
    <m/>
    <b v="0"/>
    <n v="270646104.97600001"/>
    <n v="0"/>
    <n v="270646104.97600001"/>
    <b v="1"/>
    <n v="264199274"/>
    <n v="-2.3820150585842303E-2"/>
    <n v="0"/>
    <b v="0"/>
    <n v="0"/>
    <b v="0"/>
    <b v="1"/>
  </r>
  <r>
    <s v="C"/>
    <s v="A"/>
    <n v="20160101"/>
    <x v="2"/>
    <n v="52"/>
    <s v="2016"/>
    <n v="784"/>
    <s v="ARE"/>
    <x v="2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 "/>
    <n v="0"/>
    <s v="TOTAL MOT"/>
    <n v="8"/>
    <s v="kg"/>
    <n v="8"/>
    <s v="kg"/>
    <m/>
    <m/>
    <x v="9"/>
    <n v="2746"/>
    <m/>
    <b v="0"/>
    <n v="8"/>
    <s v="kg"/>
    <n v="5394.42"/>
    <n v="-1"/>
    <s v="N/A"/>
    <m/>
    <m/>
    <m/>
    <m/>
    <b v="0"/>
    <n v="5394.42"/>
    <n v="2746"/>
    <m/>
    <b v="0"/>
    <m/>
    <m/>
    <m/>
    <b v="0"/>
    <n v="153104784.84400001"/>
    <m/>
    <n v="153104784.84400001"/>
    <b v="1"/>
    <n v="55433766"/>
    <n v="-0.63793577022114611"/>
    <n v="0"/>
    <b v="0"/>
    <n v="0"/>
    <b v="0"/>
    <b v="1"/>
  </r>
  <r>
    <s v="C"/>
    <s v="A"/>
    <n v="20160101"/>
    <x v="2"/>
    <n v="52"/>
    <s v="2016"/>
    <n v="792"/>
    <s v="TUR"/>
    <x v="4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10"/>
    <m/>
    <m/>
    <b v="0"/>
    <n v="15"/>
    <s v="g"/>
    <n v="8052"/>
    <m/>
    <m/>
    <m/>
    <m/>
    <m/>
    <m/>
    <b v="0"/>
    <n v="8"/>
    <m/>
    <m/>
    <b v="0"/>
    <n v="0"/>
    <m/>
    <m/>
    <b v="0"/>
    <n v="318362"/>
    <n v="281738"/>
    <n v="318362"/>
    <b v="1"/>
    <n v="0"/>
    <n v="-1"/>
    <n v="0"/>
    <b v="0"/>
    <n v="0"/>
    <b v="0"/>
    <b v="1"/>
  </r>
  <r>
    <s v="C"/>
    <s v="A"/>
    <n v="20170101"/>
    <x v="3"/>
    <n v="52"/>
    <s v="2017"/>
    <n v="380"/>
    <s v="ITA"/>
    <x v="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1"/>
    <n v="199"/>
    <m/>
    <b v="0"/>
    <n v="-1"/>
    <s v="N/A"/>
    <n v="0"/>
    <n v="8"/>
    <s v="kg"/>
    <m/>
    <m/>
    <n v="199"/>
    <m/>
    <b v="0"/>
    <n v="151"/>
    <n v="199"/>
    <m/>
    <b v="0"/>
    <n v="0"/>
    <m/>
    <m/>
    <b v="0"/>
    <n v="5031300.9380000001"/>
    <m/>
    <n v="5031300.9380000001"/>
    <b v="1"/>
    <n v="3541986.0750000002"/>
    <n v="-0.29600989512506082"/>
    <n v="0"/>
    <b v="0"/>
    <n v="0"/>
    <b v="0"/>
    <b v="1"/>
  </r>
  <r>
    <s v="C"/>
    <s v="A"/>
    <n v="20170101"/>
    <x v="3"/>
    <n v="52"/>
    <s v="2017"/>
    <n v="724"/>
    <s v="ESP"/>
    <x v="5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2"/>
    <n v="2"/>
    <m/>
    <b v="0"/>
    <n v="15"/>
    <s v="g"/>
    <n v="812.6"/>
    <n v="8"/>
    <s v="kg"/>
    <m/>
    <m/>
    <n v="2"/>
    <m/>
    <b v="0"/>
    <m/>
    <n v="2"/>
    <m/>
    <b v="0"/>
    <n v="0"/>
    <m/>
    <m/>
    <b v="0"/>
    <n v="18697.835999999999"/>
    <m/>
    <n v="18697.835999999999"/>
    <b v="1"/>
    <n v="18379.483"/>
    <n v="-1.7026194902982295E-2"/>
    <n v="0"/>
    <b v="0"/>
    <n v="0"/>
    <b v="0"/>
    <b v="1"/>
  </r>
  <r>
    <s v="C"/>
    <s v="A"/>
    <n v="20170101"/>
    <x v="3"/>
    <n v="52"/>
    <s v="2017"/>
    <n v="757"/>
    <s v="CHE"/>
    <x v="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3"/>
    <n v="7265"/>
    <m/>
    <b v="0"/>
    <n v="8"/>
    <s v="kg"/>
    <n v="7443"/>
    <n v="8"/>
    <s v="kg"/>
    <m/>
    <m/>
    <n v="7265"/>
    <m/>
    <b v="0"/>
    <n v="7443"/>
    <n v="7265"/>
    <m/>
    <b v="0"/>
    <n v="0"/>
    <m/>
    <m/>
    <b v="0"/>
    <n v="277019288.92799997"/>
    <n v="0"/>
    <n v="277019288.92799997"/>
    <b v="1"/>
    <n v="289590890.42900002"/>
    <n v="4.5381682805010426E-2"/>
    <n v="0"/>
    <b v="0"/>
    <n v="0"/>
    <b v="0"/>
    <b v="1"/>
  </r>
  <r>
    <s v="C"/>
    <s v="A"/>
    <n v="20170101"/>
    <x v="3"/>
    <n v="52"/>
    <s v="2017"/>
    <n v="784"/>
    <s v="ARE"/>
    <x v="2"/>
    <s v="M"/>
    <s v="Import"/>
    <n v="686"/>
    <s v="SEN"/>
    <x v="0"/>
    <s v="H4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4"/>
    <n v="4192"/>
    <m/>
    <b v="0"/>
    <n v="8"/>
    <s v="kg"/>
    <n v="5413"/>
    <n v="8"/>
    <s v="kg"/>
    <m/>
    <m/>
    <n v="4192"/>
    <m/>
    <b v="0"/>
    <n v="5413"/>
    <n v="4192"/>
    <m/>
    <b v="0"/>
    <n v="0"/>
    <m/>
    <m/>
    <b v="0"/>
    <n v="158224409.09299999"/>
    <n v="0"/>
    <n v="158224409.09299999"/>
    <b v="1"/>
    <n v="83437576.736000001"/>
    <n v="-0.4726630536066172"/>
    <n v="0"/>
    <b v="0"/>
    <n v="0"/>
    <b v="0"/>
    <b v="1"/>
  </r>
  <r>
    <s v="C"/>
    <s v="A"/>
    <n v="20170101"/>
    <x v="3"/>
    <n v="52"/>
    <s v="2017"/>
    <n v="792"/>
    <s v="TUR"/>
    <x v="4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15"/>
    <m/>
    <m/>
    <b v="0"/>
    <n v="15"/>
    <s v="g"/>
    <n v="6131"/>
    <m/>
    <m/>
    <m/>
    <m/>
    <m/>
    <m/>
    <b v="0"/>
    <n v="7"/>
    <m/>
    <m/>
    <b v="0"/>
    <n v="0"/>
    <m/>
    <m/>
    <b v="0"/>
    <n v="235899"/>
    <n v="208808"/>
    <n v="235899"/>
    <b v="1"/>
    <n v="0"/>
    <n v="-1"/>
    <n v="0"/>
    <b v="0"/>
    <n v="0"/>
    <b v="0"/>
    <b v="1"/>
  </r>
  <r>
    <s v="C"/>
    <s v="A"/>
    <n v="20180101"/>
    <x v="4"/>
    <n v="52"/>
    <s v="2018"/>
    <n v="56"/>
    <s v="BEL"/>
    <x v="6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6"/>
    <n v="16"/>
    <m/>
    <b v="0"/>
    <n v="15"/>
    <s v="g"/>
    <n v="18100"/>
    <n v="8"/>
    <s v="kg"/>
    <m/>
    <m/>
    <n v="16"/>
    <m/>
    <b v="0"/>
    <n v="18.100000000000001"/>
    <n v="16"/>
    <m/>
    <b v="0"/>
    <n v="0"/>
    <m/>
    <m/>
    <b v="0"/>
    <n v="686736.95900000003"/>
    <n v="0"/>
    <n v="686736.95900000003"/>
    <b v="1"/>
    <n v="289550.19799999997"/>
    <n v="-0.5783681157606082"/>
    <n v="0"/>
    <b v="0"/>
    <n v="0"/>
    <b v="0"/>
    <b v="1"/>
  </r>
  <r>
    <s v="C"/>
    <s v="A"/>
    <n v="20180101"/>
    <x v="4"/>
    <n v="52"/>
    <s v="2018"/>
    <n v="372"/>
    <s v="IRL"/>
    <x v="7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17"/>
    <m/>
    <m/>
    <b v="0"/>
    <n v="15"/>
    <s v="g"/>
    <n v="2"/>
    <m/>
    <m/>
    <m/>
    <m/>
    <m/>
    <m/>
    <b v="0"/>
    <n v="2E-3"/>
    <m/>
    <m/>
    <b v="0"/>
    <n v="0"/>
    <m/>
    <m/>
    <b v="0"/>
    <n v="94.475999999999999"/>
    <n v="0"/>
    <n v="94.475999999999999"/>
    <b v="1"/>
    <n v="0"/>
    <n v="-1"/>
    <n v="0"/>
    <b v="0"/>
    <n v="0"/>
    <b v="0"/>
    <b v="1"/>
  </r>
  <r>
    <s v="C"/>
    <s v="A"/>
    <n v="20180101"/>
    <x v="4"/>
    <n v="52"/>
    <s v="2018"/>
    <n v="380"/>
    <s v="ITA"/>
    <x v="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8"/>
    <n v="213"/>
    <m/>
    <b v="0"/>
    <n v="-1"/>
    <s v="N/A"/>
    <n v="0"/>
    <n v="8"/>
    <s v="kg"/>
    <m/>
    <m/>
    <n v="213"/>
    <m/>
    <b v="0"/>
    <n v="196"/>
    <n v="213"/>
    <m/>
    <b v="0"/>
    <n v="0"/>
    <m/>
    <m/>
    <b v="0"/>
    <n v="6362173.5599999996"/>
    <m/>
    <n v="6362173.5599999996"/>
    <b v="1"/>
    <n v="4211711.2350000003"/>
    <n v="-0.33800749142090358"/>
    <n v="0"/>
    <b v="0"/>
    <n v="0"/>
    <b v="0"/>
    <b v="1"/>
  </r>
  <r>
    <s v="C"/>
    <s v="A"/>
    <n v="20180101"/>
    <x v="4"/>
    <n v="52"/>
    <s v="2018"/>
    <n v="392"/>
    <s v="JPN"/>
    <x v="8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19"/>
    <n v="3"/>
    <m/>
    <b v="0"/>
    <n v="15"/>
    <s v="g"/>
    <n v="3498"/>
    <n v="8"/>
    <s v="kg"/>
    <m/>
    <m/>
    <n v="3"/>
    <m/>
    <b v="0"/>
    <n v="3.4980000000000002"/>
    <n v="3"/>
    <m/>
    <b v="0"/>
    <n v="0"/>
    <m/>
    <m/>
    <b v="0"/>
    <n v="123289.04399999999"/>
    <n v="0"/>
    <n v="123289.04399999999"/>
    <b v="1"/>
    <n v="97629.391000000003"/>
    <n v="-0.20812597914215303"/>
    <n v="0"/>
    <b v="0"/>
    <n v="0"/>
    <b v="0"/>
    <b v="1"/>
  </r>
  <r>
    <s v="C"/>
    <s v="A"/>
    <n v="20180101"/>
    <x v="4"/>
    <n v="52"/>
    <s v="2018"/>
    <n v="724"/>
    <s v="ESP"/>
    <x v="5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0"/>
    <n v="3"/>
    <m/>
    <b v="0"/>
    <n v="15"/>
    <s v="g"/>
    <n v="2800"/>
    <n v="8"/>
    <s v="kg"/>
    <m/>
    <m/>
    <n v="3"/>
    <m/>
    <b v="0"/>
    <n v="2.8"/>
    <n v="3"/>
    <m/>
    <b v="0"/>
    <n v="0"/>
    <m/>
    <m/>
    <b v="0"/>
    <n v="115793.16800000001"/>
    <m/>
    <n v="115793.16800000001"/>
    <b v="1"/>
    <n v="59926.824000000001"/>
    <n v="-0.48246666849982034"/>
    <n v="0"/>
    <b v="0"/>
    <n v="0"/>
    <b v="0"/>
    <b v="1"/>
  </r>
  <r>
    <s v="C"/>
    <s v="A"/>
    <n v="20180101"/>
    <x v="4"/>
    <n v="52"/>
    <s v="2018"/>
    <n v="757"/>
    <s v="CHE"/>
    <x v="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1"/>
    <n v="12446"/>
    <m/>
    <b v="0"/>
    <n v="8"/>
    <s v="kg"/>
    <n v="13436"/>
    <n v="8"/>
    <s v="kg"/>
    <m/>
    <m/>
    <n v="12446"/>
    <m/>
    <b v="0"/>
    <n v="13436"/>
    <n v="12446"/>
    <m/>
    <b v="0"/>
    <n v="0"/>
    <m/>
    <m/>
    <b v="0"/>
    <n v="500809858.685"/>
    <n v="0"/>
    <n v="500809858.685"/>
    <b v="1"/>
    <n v="512503505.18400002"/>
    <n v="2.3349473450272162E-2"/>
    <n v="0"/>
    <b v="0"/>
    <n v="0"/>
    <b v="0"/>
    <b v="1"/>
  </r>
  <r>
    <s v="C"/>
    <s v="A"/>
    <n v="20180101"/>
    <x v="4"/>
    <n v="52"/>
    <s v="2018"/>
    <n v="784"/>
    <s v="ARE"/>
    <x v="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2"/>
    <n v="2209"/>
    <m/>
    <b v="0"/>
    <n v="8"/>
    <s v="kg"/>
    <n v="4819.79"/>
    <n v="8"/>
    <s v="kg"/>
    <m/>
    <m/>
    <n v="2209"/>
    <m/>
    <b v="0"/>
    <n v="4819.79"/>
    <n v="2209"/>
    <m/>
    <b v="0"/>
    <n v="0"/>
    <m/>
    <m/>
    <b v="0"/>
    <n v="167269387.57699999"/>
    <n v="0"/>
    <n v="167269387.57699999"/>
    <b v="1"/>
    <n v="46106326.458999999"/>
    <n v="-0.72435884935744366"/>
    <n v="0"/>
    <b v="0"/>
    <n v="0"/>
    <b v="0"/>
    <b v="1"/>
  </r>
  <r>
    <s v="C"/>
    <s v="A"/>
    <n v="20180101"/>
    <x v="4"/>
    <n v="52"/>
    <s v="2018"/>
    <n v="792"/>
    <s v="TUR"/>
    <x v="4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23"/>
    <m/>
    <m/>
    <b v="0"/>
    <n v="15"/>
    <s v="g"/>
    <n v="15640"/>
    <m/>
    <m/>
    <m/>
    <m/>
    <m/>
    <m/>
    <b v="0"/>
    <n v="16"/>
    <m/>
    <m/>
    <b v="0"/>
    <n v="0"/>
    <m/>
    <m/>
    <b v="0"/>
    <n v="541291"/>
    <n v="522902"/>
    <n v="541291"/>
    <b v="1"/>
    <n v="0"/>
    <n v="-1"/>
    <n v="0"/>
    <b v="0"/>
    <n v="0"/>
    <b v="0"/>
    <b v="1"/>
  </r>
  <r>
    <s v="C"/>
    <s v="A"/>
    <n v="20180101"/>
    <x v="4"/>
    <n v="52"/>
    <s v="2018"/>
    <n v="842"/>
    <s v="USA"/>
    <x v="9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24"/>
    <m/>
    <m/>
    <b v="0"/>
    <n v="-1"/>
    <s v="N/A"/>
    <n v="0"/>
    <m/>
    <m/>
    <m/>
    <m/>
    <m/>
    <m/>
    <b v="0"/>
    <n v="20.033999999999999"/>
    <m/>
    <m/>
    <b v="0"/>
    <n v="0"/>
    <m/>
    <m/>
    <b v="0"/>
    <n v="801860"/>
    <n v="0"/>
    <n v="801860"/>
    <b v="1"/>
    <n v="0"/>
    <n v="-1"/>
    <n v="0"/>
    <b v="0"/>
    <n v="0"/>
    <b v="0"/>
    <b v="1"/>
  </r>
  <r>
    <s v="C"/>
    <s v="A"/>
    <n v="20190101"/>
    <x v="5"/>
    <n v="52"/>
    <s v="2019"/>
    <n v="380"/>
    <s v="ITA"/>
    <x v="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5"/>
    <n v="211"/>
    <m/>
    <b v="0"/>
    <n v="-1"/>
    <s v="N/A"/>
    <n v="0"/>
    <n v="8"/>
    <s v="kg"/>
    <m/>
    <m/>
    <n v="211"/>
    <m/>
    <b v="0"/>
    <n v="168"/>
    <n v="211"/>
    <m/>
    <b v="0"/>
    <n v="0"/>
    <n v="0"/>
    <m/>
    <b v="0"/>
    <n v="6102623.5410000002"/>
    <m/>
    <n v="6102623.5410000002"/>
    <b v="1"/>
    <n v="3972481.0189999999"/>
    <n v="-0.34905356813980148"/>
    <n v="0"/>
    <b v="0"/>
    <n v="0"/>
    <b v="0"/>
    <b v="1"/>
  </r>
  <r>
    <s v="C"/>
    <s v="A"/>
    <n v="20190101"/>
    <x v="5"/>
    <n v="52"/>
    <s v="2019"/>
    <n v="524"/>
    <s v="NPL"/>
    <x v="1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26"/>
    <m/>
    <m/>
    <b v="1"/>
    <n v="-1"/>
    <s v="N/A"/>
    <n v="0"/>
    <m/>
    <m/>
    <m/>
    <m/>
    <m/>
    <m/>
    <b v="0"/>
    <n v="1.0999999999999999E-2"/>
    <m/>
    <m/>
    <b v="1"/>
    <n v="0"/>
    <m/>
    <m/>
    <b v="0"/>
    <n v="446.18"/>
    <n v="0"/>
    <n v="446.18"/>
    <b v="1"/>
    <n v="0"/>
    <n v="-1"/>
    <n v="0"/>
    <b v="0"/>
    <n v="6"/>
    <b v="0"/>
    <b v="1"/>
  </r>
  <r>
    <s v="C"/>
    <s v="A"/>
    <n v="20190101"/>
    <x v="5"/>
    <n v="52"/>
    <s v="2019"/>
    <n v="562"/>
    <s v="NER"/>
    <x v="1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27"/>
    <m/>
    <m/>
    <b v="0"/>
    <n v="8"/>
    <s v="kg"/>
    <n v="1"/>
    <m/>
    <m/>
    <m/>
    <m/>
    <m/>
    <m/>
    <b v="0"/>
    <n v="1"/>
    <m/>
    <m/>
    <b v="0"/>
    <n v="0"/>
    <m/>
    <m/>
    <b v="0"/>
    <n v="313.60000000000002"/>
    <m/>
    <n v="313.60000000000002"/>
    <b v="1"/>
    <n v="0"/>
    <n v="-1"/>
    <n v="0"/>
    <b v="0"/>
    <n v="0"/>
    <b v="0"/>
    <b v="1"/>
  </r>
  <r>
    <s v="C"/>
    <s v="A"/>
    <n v="20190101"/>
    <x v="5"/>
    <n v="52"/>
    <s v="2019"/>
    <n v="757"/>
    <s v="CHE"/>
    <x v="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8"/>
    <n v="13134"/>
    <m/>
    <b v="0"/>
    <n v="8"/>
    <s v="kg"/>
    <n v="14569"/>
    <n v="8"/>
    <s v="kg"/>
    <m/>
    <m/>
    <n v="13134"/>
    <m/>
    <b v="0"/>
    <n v="14569"/>
    <n v="13134"/>
    <m/>
    <b v="0"/>
    <n v="0"/>
    <n v="0"/>
    <m/>
    <b v="0"/>
    <n v="590114985.82500005"/>
    <n v="0"/>
    <n v="590114985.82500005"/>
    <b v="1"/>
    <n v="583153453.59800005"/>
    <n v="-1.1796908050500599E-2"/>
    <n v="0"/>
    <b v="0"/>
    <n v="0"/>
    <b v="0"/>
    <b v="1"/>
  </r>
  <r>
    <s v="C"/>
    <s v="A"/>
    <n v="20190101"/>
    <x v="5"/>
    <n v="52"/>
    <s v="2019"/>
    <n v="784"/>
    <s v="ARE"/>
    <x v="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29"/>
    <n v="2721"/>
    <m/>
    <b v="0"/>
    <n v="8"/>
    <s v="kg"/>
    <n v="4159.21"/>
    <n v="8"/>
    <s v="kg"/>
    <m/>
    <m/>
    <n v="2721"/>
    <m/>
    <b v="0"/>
    <n v="4159.21"/>
    <n v="2721"/>
    <m/>
    <b v="0"/>
    <n v="0"/>
    <n v="0"/>
    <m/>
    <b v="0"/>
    <n v="167462983.729"/>
    <n v="0"/>
    <n v="167462983.729"/>
    <b v="1"/>
    <n v="54471704.689999998"/>
    <n v="-0.6747239092661228"/>
    <n v="0"/>
    <b v="0"/>
    <n v="0"/>
    <b v="0"/>
    <b v="1"/>
  </r>
  <r>
    <s v="C"/>
    <s v="A"/>
    <n v="20190101"/>
    <x v="5"/>
    <n v="52"/>
    <s v="2019"/>
    <n v="792"/>
    <s v="TUR"/>
    <x v="4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30"/>
    <m/>
    <m/>
    <b v="0"/>
    <n v="15"/>
    <s v="g"/>
    <n v="43218"/>
    <m/>
    <m/>
    <m/>
    <m/>
    <m/>
    <m/>
    <b v="0"/>
    <n v="44"/>
    <m/>
    <m/>
    <b v="0"/>
    <n v="0"/>
    <m/>
    <m/>
    <b v="0"/>
    <n v="1525810"/>
    <n v="1524114"/>
    <n v="1525810"/>
    <b v="1"/>
    <n v="0"/>
    <n v="-1"/>
    <n v="0"/>
    <b v="0"/>
    <n v="0"/>
    <b v="0"/>
    <b v="1"/>
  </r>
  <r>
    <s v="C"/>
    <s v="A"/>
    <n v="20200101"/>
    <x v="6"/>
    <n v="52"/>
    <s v="2020"/>
    <n v="36"/>
    <s v="AUS"/>
    <x v="1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1"/>
    <n v="3980"/>
    <m/>
    <b v="1"/>
    <n v="-1"/>
    <s v="N/A"/>
    <n v="0"/>
    <n v="8"/>
    <s v="kg"/>
    <m/>
    <m/>
    <n v="3980"/>
    <m/>
    <b v="0"/>
    <n v="3634.4569999999999"/>
    <n v="3980"/>
    <m/>
    <b v="1"/>
    <n v="3279.1"/>
    <n v="0"/>
    <m/>
    <b v="0"/>
    <n v="194991546.08899999"/>
    <n v="194452415.92699999"/>
    <n v="194991546.08899999"/>
    <b v="1"/>
    <n v="212750667.588"/>
    <n v="9.107636641279937E-2"/>
    <n v="0"/>
    <b v="0"/>
    <n v="6"/>
    <b v="0"/>
    <b v="1"/>
  </r>
  <r>
    <s v="C"/>
    <s v="A"/>
    <n v="20200101"/>
    <x v="6"/>
    <n v="52"/>
    <s v="2020"/>
    <n v="380"/>
    <s v="ITA"/>
    <x v="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2"/>
    <n v="81"/>
    <m/>
    <b v="0"/>
    <n v="-1"/>
    <s v="N/A"/>
    <n v="0"/>
    <n v="8"/>
    <s v="kg"/>
    <m/>
    <m/>
    <n v="81"/>
    <m/>
    <b v="0"/>
    <n v="78"/>
    <n v="81"/>
    <m/>
    <b v="0"/>
    <n v="0"/>
    <n v="0"/>
    <m/>
    <b v="0"/>
    <n v="3560493.3480000002"/>
    <m/>
    <n v="3560493.3480000002"/>
    <b v="1"/>
    <n v="1696984.7690000001"/>
    <n v="-0.52338493485650517"/>
    <n v="0"/>
    <b v="0"/>
    <n v="0"/>
    <b v="0"/>
    <b v="1"/>
  </r>
  <r>
    <s v="C"/>
    <s v="A"/>
    <n v="20200101"/>
    <x v="6"/>
    <n v="52"/>
    <s v="2020"/>
    <n v="757"/>
    <s v="CHE"/>
    <x v="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3"/>
    <n v="8497"/>
    <m/>
    <b v="0"/>
    <n v="8"/>
    <s v="kg"/>
    <n v="9512"/>
    <n v="8"/>
    <s v="kg"/>
    <m/>
    <m/>
    <n v="8497"/>
    <m/>
    <b v="0"/>
    <n v="9512"/>
    <n v="8497"/>
    <m/>
    <b v="0"/>
    <n v="0"/>
    <n v="0"/>
    <m/>
    <b v="0"/>
    <n v="485160797.29100001"/>
    <n v="0"/>
    <n v="485160797.29100001"/>
    <b v="1"/>
    <n v="478771211.00599998"/>
    <n v="-1.3170038306222764E-2"/>
    <n v="0"/>
    <b v="0"/>
    <n v="0"/>
    <b v="0"/>
    <b v="1"/>
  </r>
  <r>
    <s v="C"/>
    <s v="A"/>
    <n v="20200101"/>
    <x v="6"/>
    <n v="52"/>
    <s v="2020"/>
    <n v="784"/>
    <s v="ARE"/>
    <x v="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4"/>
    <n v="2032"/>
    <m/>
    <b v="0"/>
    <n v="8"/>
    <s v="kg"/>
    <n v="2118.87"/>
    <n v="8"/>
    <s v="kg"/>
    <m/>
    <m/>
    <n v="2032"/>
    <m/>
    <b v="0"/>
    <n v="2118.87"/>
    <n v="2032"/>
    <m/>
    <b v="0"/>
    <n v="0"/>
    <n v="0"/>
    <m/>
    <b v="0"/>
    <n v="104357473.52599999"/>
    <n v="0"/>
    <n v="104357473.52599999"/>
    <b v="1"/>
    <n v="41201020.204000004"/>
    <n v="-0.60519339140828254"/>
    <n v="0"/>
    <b v="0"/>
    <n v="0"/>
    <b v="0"/>
    <b v="1"/>
  </r>
  <r>
    <s v="C"/>
    <s v="A"/>
    <n v="20200101"/>
    <x v="6"/>
    <n v="52"/>
    <s v="2020"/>
    <n v="792"/>
    <s v="TUR"/>
    <x v="4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5"/>
    <n v="4"/>
    <m/>
    <b v="0"/>
    <n v="15"/>
    <s v="g"/>
    <n v="42487"/>
    <n v="8"/>
    <s v="kg"/>
    <m/>
    <m/>
    <n v="4"/>
    <m/>
    <b v="0"/>
    <n v="42"/>
    <n v="4"/>
    <m/>
    <b v="0"/>
    <n v="0"/>
    <n v="0"/>
    <m/>
    <b v="0"/>
    <n v="1765487"/>
    <n v="1763539"/>
    <n v="1765487"/>
    <b v="1"/>
    <n v="69427.692999999999"/>
    <n v="-0.96067504716828844"/>
    <n v="0"/>
    <b v="0"/>
    <n v="0"/>
    <b v="0"/>
    <b v="1"/>
  </r>
  <r>
    <s v="C"/>
    <s v="A"/>
    <n v="20210101"/>
    <x v="7"/>
    <n v="52"/>
    <s v="2021"/>
    <n v="36"/>
    <s v="AUS"/>
    <x v="1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6"/>
    <n v="4003"/>
    <m/>
    <b v="1"/>
    <n v="-1"/>
    <s v="N/A"/>
    <n v="0"/>
    <n v="8"/>
    <s v="kg"/>
    <m/>
    <m/>
    <n v="4003"/>
    <m/>
    <b v="0"/>
    <n v="3884.3809999999999"/>
    <n v="4003"/>
    <m/>
    <b v="1"/>
    <n v="4600.33"/>
    <n v="0"/>
    <m/>
    <b v="0"/>
    <n v="219808451.24000001"/>
    <n v="219391552.43099999"/>
    <n v="219808451.24000001"/>
    <b v="1"/>
    <n v="213315372.09999999"/>
    <n v="-2.9539715617715179E-2"/>
    <n v="0"/>
    <b v="0"/>
    <n v="6"/>
    <b v="0"/>
    <b v="1"/>
  </r>
  <r>
    <s v="C"/>
    <s v="A"/>
    <n v="20210101"/>
    <x v="7"/>
    <n v="52"/>
    <s v="2021"/>
    <n v="380"/>
    <s v="ITA"/>
    <x v="0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7"/>
    <n v="14"/>
    <m/>
    <b v="0"/>
    <n v="15"/>
    <s v="g"/>
    <n v="27384"/>
    <n v="8"/>
    <s v="kg"/>
    <m/>
    <m/>
    <n v="14"/>
    <m/>
    <b v="0"/>
    <n v="28"/>
    <n v="14"/>
    <m/>
    <b v="0"/>
    <n v="0"/>
    <n v="0"/>
    <m/>
    <b v="0"/>
    <n v="1297177.531"/>
    <m/>
    <n v="1297177.531"/>
    <b v="1"/>
    <n v="289249.435"/>
    <n v="-0.77701630803224264"/>
    <n v="0"/>
    <b v="0"/>
    <n v="0"/>
    <b v="0"/>
    <b v="1"/>
  </r>
  <r>
    <s v="C"/>
    <s v="A"/>
    <n v="20210101"/>
    <x v="7"/>
    <n v="52"/>
    <s v="2021"/>
    <n v="724"/>
    <s v="ESP"/>
    <x v="5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38"/>
    <m/>
    <m/>
    <b v="0"/>
    <n v="15"/>
    <s v="g"/>
    <n v="998"/>
    <m/>
    <m/>
    <m/>
    <m/>
    <m/>
    <m/>
    <b v="0"/>
    <n v="0.998"/>
    <m/>
    <m/>
    <b v="0"/>
    <n v="0"/>
    <m/>
    <m/>
    <b v="0"/>
    <n v="47763.417999999998"/>
    <n v="0"/>
    <n v="47763.417999999998"/>
    <b v="1"/>
    <n v="0"/>
    <n v="-1"/>
    <n v="0"/>
    <b v="0"/>
    <n v="0"/>
    <b v="0"/>
    <b v="1"/>
  </r>
  <r>
    <s v="C"/>
    <s v="A"/>
    <n v="20210101"/>
    <x v="7"/>
    <n v="52"/>
    <s v="2021"/>
    <n v="757"/>
    <s v="CHE"/>
    <x v="1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39"/>
    <n v="12121"/>
    <m/>
    <b v="0"/>
    <n v="8"/>
    <s v="kg"/>
    <n v="13581"/>
    <n v="8"/>
    <s v="kg"/>
    <m/>
    <m/>
    <n v="12121"/>
    <m/>
    <b v="0"/>
    <n v="13581"/>
    <n v="12121"/>
    <m/>
    <b v="0"/>
    <n v="0"/>
    <n v="0"/>
    <m/>
    <b v="0"/>
    <n v="710234464.13499999"/>
    <n v="0"/>
    <n v="710234464.13499999"/>
    <b v="1"/>
    <n v="703332965.41400003"/>
    <n v="-9.7172118075196101E-3"/>
    <n v="0"/>
    <b v="0"/>
    <n v="0"/>
    <b v="0"/>
    <b v="1"/>
  </r>
  <r>
    <s v="C"/>
    <s v="A"/>
    <n v="20210101"/>
    <x v="7"/>
    <n v="52"/>
    <s v="2021"/>
    <n v="784"/>
    <s v="ARE"/>
    <x v="2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0"/>
    <n v="2680"/>
    <m/>
    <b v="0"/>
    <n v="8"/>
    <s v="kg"/>
    <n v="2625.9"/>
    <n v="8"/>
    <s v="kg"/>
    <m/>
    <m/>
    <n v="2680"/>
    <m/>
    <b v="0"/>
    <n v="2625.9"/>
    <n v="2680"/>
    <m/>
    <b v="0"/>
    <n v="0"/>
    <n v="0"/>
    <m/>
    <b v="0"/>
    <n v="144258311.833"/>
    <n v="0"/>
    <n v="144258311.833"/>
    <b v="1"/>
    <n v="56454810.920000002"/>
    <n v="-0.60865470971714508"/>
    <n v="0"/>
    <b v="0"/>
    <n v="0"/>
    <b v="0"/>
    <b v="1"/>
  </r>
  <r>
    <s v="C"/>
    <s v="A"/>
    <n v="20210101"/>
    <x v="7"/>
    <n v="52"/>
    <s v="2021"/>
    <n v="792"/>
    <s v="TUR"/>
    <x v="4"/>
    <s v="M"/>
    <s v="Import"/>
    <n v="686"/>
    <s v="SEN"/>
    <x v="0"/>
    <s v="H5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41"/>
    <m/>
    <m/>
    <b v="0"/>
    <n v="15"/>
    <s v="g"/>
    <n v="7450"/>
    <m/>
    <m/>
    <m/>
    <m/>
    <m/>
    <m/>
    <b v="0"/>
    <n v="7"/>
    <m/>
    <m/>
    <b v="0"/>
    <n v="0"/>
    <m/>
    <m/>
    <b v="0"/>
    <n v="332900"/>
    <n v="332537"/>
    <n v="332900"/>
    <b v="1"/>
    <n v="0"/>
    <n v="-1"/>
    <n v="0"/>
    <b v="0"/>
    <n v="0"/>
    <b v="0"/>
    <b v="1"/>
  </r>
  <r>
    <s v="C"/>
    <s v="A"/>
    <n v="20220101"/>
    <x v="8"/>
    <n v="52"/>
    <s v="2022"/>
    <n v="36"/>
    <s v="AUS"/>
    <x v="1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2"/>
    <n v="3791"/>
    <m/>
    <b v="1"/>
    <n v="-1"/>
    <s v="N/A"/>
    <n v="0"/>
    <n v="8"/>
    <s v="kg"/>
    <m/>
    <m/>
    <n v="3791"/>
    <m/>
    <b v="0"/>
    <n v="3660.4029999999998"/>
    <n v="3791"/>
    <m/>
    <b v="1"/>
    <n v="4089.05"/>
    <n v="0"/>
    <m/>
    <b v="0"/>
    <n v="206548068.21599999"/>
    <n v="206107771.31799999"/>
    <n v="206548068.21599999"/>
    <b v="1"/>
    <n v="219061845.338"/>
    <n v="6.0585302153073561E-2"/>
    <n v="0"/>
    <b v="0"/>
    <n v="6"/>
    <b v="0"/>
    <b v="1"/>
  </r>
  <r>
    <s v="C"/>
    <s v="A"/>
    <n v="20220101"/>
    <x v="8"/>
    <n v="52"/>
    <s v="2022"/>
    <n v="380"/>
    <s v="ITA"/>
    <x v="0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3"/>
    <n v="27"/>
    <m/>
    <b v="0"/>
    <n v="15"/>
    <s v="g"/>
    <n v="32394"/>
    <n v="8"/>
    <s v="kg"/>
    <m/>
    <m/>
    <n v="27"/>
    <m/>
    <b v="0"/>
    <n v="33"/>
    <n v="27"/>
    <m/>
    <b v="0"/>
    <n v="0"/>
    <n v="0"/>
    <m/>
    <b v="0"/>
    <n v="1541344.121"/>
    <m/>
    <n v="1541344.121"/>
    <b v="1"/>
    <n v="472363.16700000002"/>
    <n v="-0.69353815247075512"/>
    <n v="0"/>
    <b v="0"/>
    <n v="0"/>
    <b v="0"/>
    <b v="1"/>
  </r>
  <r>
    <s v="C"/>
    <s v="A"/>
    <n v="20220101"/>
    <x v="8"/>
    <n v="52"/>
    <s v="2022"/>
    <n v="757"/>
    <s v="CHE"/>
    <x v="1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4"/>
    <n v="11200"/>
    <m/>
    <b v="0"/>
    <n v="8"/>
    <s v="kg"/>
    <n v="12081"/>
    <n v="8"/>
    <s v="kg"/>
    <m/>
    <m/>
    <n v="11200"/>
    <m/>
    <b v="0"/>
    <n v="12081"/>
    <n v="11200"/>
    <m/>
    <b v="0"/>
    <n v="0"/>
    <n v="0"/>
    <m/>
    <b v="0"/>
    <n v="631954371.199"/>
    <m/>
    <n v="631954371.199"/>
    <b v="1"/>
    <n v="648129946.38999999"/>
    <n v="2.5596112517285441E-2"/>
    <n v="0"/>
    <b v="0"/>
    <n v="0"/>
    <b v="0"/>
    <b v="1"/>
  </r>
  <r>
    <s v="C"/>
    <s v="A"/>
    <n v="20220101"/>
    <x v="8"/>
    <n v="52"/>
    <s v="2022"/>
    <n v="784"/>
    <s v="ARE"/>
    <x v="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5"/>
    <n v="3287"/>
    <m/>
    <b v="0"/>
    <n v="8"/>
    <s v="kg"/>
    <n v="3215.52"/>
    <n v="8"/>
    <s v="kg"/>
    <m/>
    <m/>
    <n v="3287"/>
    <m/>
    <b v="0"/>
    <n v="3215.52"/>
    <n v="3287"/>
    <m/>
    <b v="0"/>
    <n v="0"/>
    <n v="0"/>
    <m/>
    <b v="0"/>
    <n v="171934926.44400001"/>
    <m/>
    <n v="171934926.44400001"/>
    <b v="1"/>
    <n v="62711461.711999997"/>
    <n v="-0.63526048482984976"/>
    <n v="0"/>
    <b v="0"/>
    <n v="0"/>
    <b v="0"/>
    <b v="1"/>
  </r>
  <r>
    <s v="C"/>
    <s v="A"/>
    <n v="20230101"/>
    <x v="9"/>
    <n v="52"/>
    <s v="2023"/>
    <n v="36"/>
    <s v="AUS"/>
    <x v="1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6"/>
    <n v="2683"/>
    <m/>
    <b v="1"/>
    <n v="-1"/>
    <s v="N/A"/>
    <n v="0"/>
    <n v="8"/>
    <s v="kg"/>
    <m/>
    <m/>
    <n v="2683"/>
    <m/>
    <b v="0"/>
    <m/>
    <n v="2683"/>
    <m/>
    <b v="0"/>
    <n v="4228"/>
    <n v="0"/>
    <m/>
    <b v="0"/>
    <n v="230374640.12099999"/>
    <n v="229615460.164"/>
    <n v="230374640.12099999"/>
    <b v="1"/>
    <n v="167770585.40799999"/>
    <n v="-0.27174889857719753"/>
    <n v="0"/>
    <b v="0"/>
    <n v="2"/>
    <b v="0"/>
    <b v="1"/>
  </r>
  <r>
    <s v="C"/>
    <s v="A"/>
    <n v="20230101"/>
    <x v="9"/>
    <n v="52"/>
    <s v="2023"/>
    <n v="380"/>
    <s v="ITA"/>
    <x v="0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7"/>
    <n v="53"/>
    <m/>
    <b v="0"/>
    <n v="15"/>
    <s v="g"/>
    <n v="28239"/>
    <n v="8"/>
    <s v="kg"/>
    <m/>
    <m/>
    <n v="53"/>
    <m/>
    <b v="0"/>
    <n v="28"/>
    <n v="53"/>
    <m/>
    <b v="0"/>
    <n v="0"/>
    <n v="0"/>
    <m/>
    <b v="0"/>
    <n v="1335454.328"/>
    <m/>
    <n v="1335454.328"/>
    <b v="1"/>
    <n v="1004493.015"/>
    <n v="-0.24782675533026532"/>
    <n v="0"/>
    <b v="0"/>
    <n v="0"/>
    <b v="0"/>
    <b v="1"/>
  </r>
  <r>
    <s v="C"/>
    <s v="A"/>
    <n v="20230101"/>
    <x v="9"/>
    <n v="52"/>
    <s v="2023"/>
    <n v="466"/>
    <s v="MLI"/>
    <x v="13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48"/>
    <m/>
    <m/>
    <b v="0"/>
    <n v="8"/>
    <s v="kg"/>
    <n v="6.6109999999999998"/>
    <m/>
    <m/>
    <m/>
    <m/>
    <m/>
    <m/>
    <b v="0"/>
    <n v="6.6109999999999998"/>
    <m/>
    <m/>
    <b v="0"/>
    <n v="0"/>
    <m/>
    <m/>
    <b v="0"/>
    <n v="337980.12400000001"/>
    <m/>
    <n v="337980.12400000001"/>
    <b v="1"/>
    <n v="0"/>
    <n v="-1"/>
    <n v="0"/>
    <b v="0"/>
    <n v="0"/>
    <b v="0"/>
    <b v="1"/>
  </r>
  <r>
    <s v="C"/>
    <s v="A"/>
    <n v="20230101"/>
    <x v="9"/>
    <n v="52"/>
    <s v="2023"/>
    <n v="757"/>
    <s v="CHE"/>
    <x v="1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49"/>
    <n v="9949"/>
    <m/>
    <b v="0"/>
    <n v="8"/>
    <s v="kg"/>
    <n v="10566"/>
    <n v="8"/>
    <s v="kg"/>
    <m/>
    <m/>
    <n v="9949"/>
    <m/>
    <b v="0"/>
    <n v="10566"/>
    <n v="9949"/>
    <m/>
    <b v="0"/>
    <n v="0"/>
    <n v="0"/>
    <m/>
    <b v="0"/>
    <n v="593906011.35000002"/>
    <m/>
    <n v="593906011.35000002"/>
    <b v="1"/>
    <n v="622824592.23699999"/>
    <n v="4.869218417450516E-2"/>
    <n v="0"/>
    <b v="0"/>
    <n v="0"/>
    <b v="0"/>
    <b v="1"/>
  </r>
  <r>
    <s v="C"/>
    <s v="A"/>
    <n v="20230101"/>
    <x v="9"/>
    <n v="52"/>
    <s v="2023"/>
    <n v="784"/>
    <s v="ARE"/>
    <x v="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50"/>
    <n v="4287"/>
    <m/>
    <b v="0"/>
    <n v="8"/>
    <s v="kg"/>
    <n v="4014.64"/>
    <n v="8"/>
    <s v="kg"/>
    <m/>
    <m/>
    <n v="4287"/>
    <m/>
    <b v="0"/>
    <n v="4014.64"/>
    <n v="4287"/>
    <m/>
    <b v="0"/>
    <n v="0"/>
    <n v="0"/>
    <m/>
    <b v="0"/>
    <n v="238406106.84299999"/>
    <m/>
    <n v="238406106.84299999"/>
    <b v="1"/>
    <n v="82918571.925999999"/>
    <n v="-0.65219610762485536"/>
    <n v="0"/>
    <b v="0"/>
    <n v="0"/>
    <b v="0"/>
    <b v="1"/>
  </r>
  <r>
    <s v="C"/>
    <s v="A"/>
    <n v="20230101"/>
    <x v="9"/>
    <n v="52"/>
    <s v="2023"/>
    <n v="792"/>
    <s v="TUR"/>
    <x v="4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51"/>
    <n v="9"/>
    <m/>
    <b v="0"/>
    <n v="8"/>
    <s v="kg"/>
    <n v="34.648000000000003"/>
    <n v="8"/>
    <s v="kg"/>
    <m/>
    <m/>
    <n v="9"/>
    <m/>
    <b v="0"/>
    <n v="35"/>
    <n v="9"/>
    <m/>
    <b v="0"/>
    <n v="0"/>
    <n v="0"/>
    <m/>
    <b v="0"/>
    <n v="1695971"/>
    <n v="1694377"/>
    <n v="1695971"/>
    <b v="1"/>
    <n v="176649.51800000001"/>
    <n v="-0.89584166356618122"/>
    <n v="0"/>
    <b v="0"/>
    <n v="0"/>
    <b v="0"/>
    <b v="1"/>
  </r>
  <r>
    <s v="C"/>
    <s v="A"/>
    <n v="20240101"/>
    <x v="10"/>
    <n v="52"/>
    <s v="2024"/>
    <n v="36"/>
    <s v="AUS"/>
    <x v="1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52"/>
    <n v="1660"/>
    <m/>
    <b v="1"/>
    <n v="-1"/>
    <s v="N/A"/>
    <n v="0"/>
    <n v="8"/>
    <s v="kg"/>
    <m/>
    <m/>
    <n v="1660"/>
    <m/>
    <b v="0"/>
    <n v="3042.6289999999999"/>
    <n v="1660"/>
    <m/>
    <b v="1"/>
    <n v="3.117"/>
    <n v="0"/>
    <m/>
    <b v="0"/>
    <n v="201071815.89399999"/>
    <n v="200467702.66499999"/>
    <n v="201071815.89399999"/>
    <b v="1"/>
    <n v="139181355.19999999"/>
    <n v="-0.30780276399665629"/>
    <n v="0"/>
    <b v="0"/>
    <n v="6"/>
    <b v="0"/>
    <b v="1"/>
  </r>
  <r>
    <s v="C"/>
    <s v="A"/>
    <n v="20240101"/>
    <x v="10"/>
    <n v="52"/>
    <s v="2024"/>
    <n v="156"/>
    <s v="CHN"/>
    <x v="14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53"/>
    <m/>
    <m/>
    <b v="0"/>
    <n v="15"/>
    <s v="g"/>
    <n v="10012"/>
    <m/>
    <m/>
    <m/>
    <m/>
    <m/>
    <m/>
    <b v="0"/>
    <n v="10.012"/>
    <m/>
    <m/>
    <b v="0"/>
    <n v="0"/>
    <m/>
    <m/>
    <b v="0"/>
    <n v="819980"/>
    <m/>
    <n v="819980"/>
    <b v="1"/>
    <n v="0"/>
    <n v="-1"/>
    <n v="0"/>
    <b v="0"/>
    <n v="0"/>
    <b v="0"/>
    <b v="1"/>
  </r>
  <r>
    <s v="C"/>
    <s v="A"/>
    <n v="20240101"/>
    <x v="10"/>
    <n v="52"/>
    <s v="2024"/>
    <n v="380"/>
    <s v="ITA"/>
    <x v="0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54"/>
    <n v="52"/>
    <m/>
    <b v="0"/>
    <n v="8"/>
    <s v="kg"/>
    <n v="10.696999999999999"/>
    <n v="8"/>
    <s v="kg"/>
    <m/>
    <m/>
    <n v="52"/>
    <m/>
    <b v="0"/>
    <n v="12"/>
    <n v="52"/>
    <m/>
    <b v="0"/>
    <n v="0"/>
    <n v="0"/>
    <m/>
    <b v="0"/>
    <n v="676674.71200000006"/>
    <m/>
    <n v="676674.71200000006"/>
    <b v="1"/>
    <n v="1000287.572"/>
    <n v="0.47823991980359382"/>
    <n v="0"/>
    <b v="0"/>
    <n v="0"/>
    <b v="0"/>
    <b v="1"/>
  </r>
  <r>
    <s v="C"/>
    <s v="A"/>
    <n v="20240101"/>
    <x v="10"/>
    <n v="52"/>
    <s v="2024"/>
    <n v="757"/>
    <s v="CHE"/>
    <x v="1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n v="8"/>
    <s v="kg"/>
    <m/>
    <m/>
    <x v="55"/>
    <n v="9549"/>
    <m/>
    <b v="0"/>
    <n v="8"/>
    <s v="kg"/>
    <n v="8103"/>
    <n v="8"/>
    <s v="kg"/>
    <m/>
    <m/>
    <n v="9549"/>
    <m/>
    <b v="0"/>
    <n v="8103"/>
    <n v="9549"/>
    <m/>
    <b v="0"/>
    <n v="0"/>
    <n v="0"/>
    <m/>
    <b v="0"/>
    <n v="548487309.28999996"/>
    <m/>
    <n v="548487309.28999996"/>
    <b v="1"/>
    <n v="724559741.37"/>
    <n v="0.32101459614064809"/>
    <n v="0"/>
    <b v="0"/>
    <n v="0"/>
    <b v="0"/>
    <b v="1"/>
  </r>
  <r>
    <s v="C"/>
    <s v="A"/>
    <n v="20240101"/>
    <x v="10"/>
    <n v="52"/>
    <s v="2024"/>
    <n v="764"/>
    <s v="THA"/>
    <x v="15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56"/>
    <m/>
    <m/>
    <b v="0"/>
    <n v="8"/>
    <s v="kg"/>
    <n v="20"/>
    <m/>
    <m/>
    <m/>
    <m/>
    <m/>
    <m/>
    <b v="0"/>
    <n v="20"/>
    <m/>
    <m/>
    <b v="0"/>
    <n v="0"/>
    <m/>
    <m/>
    <b v="0"/>
    <n v="1764637.62"/>
    <m/>
    <n v="1764637.62"/>
    <b v="1"/>
    <n v="0"/>
    <n v="-1"/>
    <n v="0"/>
    <b v="0"/>
    <n v="0"/>
    <b v="0"/>
    <b v="1"/>
  </r>
  <r>
    <s v="C"/>
    <s v="A"/>
    <n v="20240101"/>
    <x v="10"/>
    <n v="52"/>
    <s v="2024"/>
    <n v="792"/>
    <s v="TUR"/>
    <x v="4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57"/>
    <m/>
    <m/>
    <b v="0"/>
    <n v="15"/>
    <s v="g"/>
    <n v="1999"/>
    <m/>
    <m/>
    <m/>
    <m/>
    <m/>
    <m/>
    <b v="0"/>
    <n v="2"/>
    <m/>
    <m/>
    <b v="0"/>
    <n v="0"/>
    <m/>
    <m/>
    <b v="0"/>
    <n v="99765"/>
    <n v="99675"/>
    <n v="99765"/>
    <b v="1"/>
    <n v="0"/>
    <n v="-1"/>
    <n v="0"/>
    <b v="0"/>
    <n v="0"/>
    <b v="0"/>
    <b v="1"/>
  </r>
  <r>
    <s v="C"/>
    <s v="A"/>
    <n v="20250101"/>
    <x v="11"/>
    <n v="52"/>
    <s v="2025"/>
    <n v="36"/>
    <s v="AUS"/>
    <x v="12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58"/>
    <m/>
    <m/>
    <b v="1"/>
    <n v="-1"/>
    <s v="N/A"/>
    <n v="0"/>
    <m/>
    <m/>
    <m/>
    <m/>
    <m/>
    <m/>
    <b v="0"/>
    <n v="3556.0329999999999"/>
    <m/>
    <m/>
    <b v="1"/>
    <n v="3.4329999999999998"/>
    <m/>
    <m/>
    <b v="0"/>
    <n v="329735619.51700002"/>
    <n v="328821987.85399997"/>
    <n v="329735619.51700002"/>
    <b v="0"/>
    <n v="0"/>
    <n v="-1"/>
    <n v="0"/>
    <b v="0"/>
    <n v="6"/>
    <b v="0"/>
    <b v="1"/>
  </r>
  <r>
    <s v="C"/>
    <s v="A"/>
    <n v="20250101"/>
    <x v="11"/>
    <n v="52"/>
    <s v="2025"/>
    <n v="380"/>
    <s v="ITA"/>
    <x v="0"/>
    <s v="M"/>
    <s v="Import"/>
    <n v="686"/>
    <s v="SEN"/>
    <x v="0"/>
    <s v="H6"/>
    <s v="HS"/>
    <b v="1"/>
    <s v="7108"/>
    <s v="Gold (including gold plated with platinum) unwrought or in semi-manufactured forms, or in powder form"/>
    <n v="4"/>
    <b v="0"/>
    <s v="C00"/>
    <s v="TOTAL CPC"/>
    <s v="0"/>
    <n v="0"/>
    <s v="TOTAL MOT"/>
    <n v="8"/>
    <s v="kg"/>
    <m/>
    <m/>
    <m/>
    <m/>
    <x v="59"/>
    <m/>
    <m/>
    <b v="0"/>
    <n v="15"/>
    <s v="g"/>
    <n v="769145"/>
    <m/>
    <m/>
    <m/>
    <m/>
    <m/>
    <m/>
    <b v="0"/>
    <n v="771"/>
    <m/>
    <m/>
    <b v="0"/>
    <n v="0"/>
    <m/>
    <m/>
    <b v="0"/>
    <n v="88775184.427000001"/>
    <m/>
    <n v="88775184.427000001"/>
    <b v="0"/>
    <n v="0"/>
    <n v="-1"/>
    <n v="0"/>
    <b v="0"/>
    <n v="0"/>
    <b v="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D8452-BADA-40F7-ADC8-602099C6F18D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A3:R17" firstHeaderRow="1" firstDataRow="2" firstDataCol="1" rowPageCount="1" colPageCount="1"/>
  <pivotFields count="65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axis="axisCol" showAll="0">
      <items count="17">
        <item x="12"/>
        <item x="6"/>
        <item x="14"/>
        <item x="7"/>
        <item x="0"/>
        <item x="8"/>
        <item x="13"/>
        <item x="10"/>
        <item x="11"/>
        <item x="3"/>
        <item x="5"/>
        <item x="1"/>
        <item x="15"/>
        <item x="4"/>
        <item x="2"/>
        <item x="9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1">
        <item x="17"/>
        <item x="26"/>
        <item x="12"/>
        <item x="38"/>
        <item x="27"/>
        <item x="57"/>
        <item x="7"/>
        <item x="20"/>
        <item x="19"/>
        <item x="15"/>
        <item x="48"/>
        <item x="41"/>
        <item x="10"/>
        <item x="53"/>
        <item x="54"/>
        <item x="23"/>
        <item x="16"/>
        <item x="56"/>
        <item x="24"/>
        <item x="37"/>
        <item x="47"/>
        <item x="43"/>
        <item x="51"/>
        <item x="35"/>
        <item x="30"/>
        <item x="0"/>
        <item x="32"/>
        <item x="3"/>
        <item x="6"/>
        <item x="11"/>
        <item x="25"/>
        <item x="18"/>
        <item x="59"/>
        <item x="34"/>
        <item x="40"/>
        <item x="52"/>
        <item x="45"/>
        <item x="58"/>
        <item x="31"/>
        <item x="42"/>
        <item x="46"/>
        <item x="36"/>
        <item x="50"/>
        <item x="29"/>
        <item x="5"/>
        <item x="22"/>
        <item x="2"/>
        <item x="9"/>
        <item x="14"/>
        <item x="4"/>
        <item x="8"/>
        <item x="13"/>
        <item x="1"/>
        <item x="55"/>
        <item x="33"/>
        <item x="49"/>
        <item x="44"/>
        <item x="21"/>
        <item x="39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13" item="0" hier="-1"/>
  </pageFields>
  <dataFields count="1">
    <dataField name="Somme de qty" fld="32" baseField="0" baseItem="0"/>
  </dataFields>
  <chartFormats count="16"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6E301-2539-4261-B59E-0842E52F0A7F}" name="Tableau1" displayName="Tableau1" ref="A1:BM61" totalsRowShown="0">
  <autoFilter ref="A1:BM61" xr:uid="{4736E301-2539-4261-B59E-0842E52F0A7F}"/>
  <tableColumns count="65">
    <tableColumn id="1" xr3:uid="{6AB0C2DB-2F2F-41BC-96A5-EE8491C75E59}" name="typeCode"/>
    <tableColumn id="2" xr3:uid="{AA7C7F94-68A0-4482-A062-922C3ADB8E4C}" name="freqCode"/>
    <tableColumn id="3" xr3:uid="{5E670A8D-6871-49A0-835F-22CE12FE3874}" name="refPeriodId"/>
    <tableColumn id="4" xr3:uid="{A8BE88F8-427C-4B11-8DE0-664E96BAD808}" name="refYear"/>
    <tableColumn id="5" xr3:uid="{B0B71B4C-9BFB-48F5-810C-2372F1787DC4}" name="refMonth"/>
    <tableColumn id="6" xr3:uid="{E6EEDABA-A2C3-41AA-9CA3-2222562CDE11}" name="period"/>
    <tableColumn id="7" xr3:uid="{0CDC2F82-D8FC-4E55-B211-9FD531BAA19A}" name="reporterCode"/>
    <tableColumn id="8" xr3:uid="{FD3A468F-3CE7-4DD7-9B61-91EA0E52B30B}" name="reporterISO"/>
    <tableColumn id="9" xr3:uid="{5BB51D92-F7EA-4C17-819E-73F1BAAF607C}" name="reporterDesc"/>
    <tableColumn id="10" xr3:uid="{FD26C7E7-8290-4DF6-BC29-E42338ADF173}" name="flowCode"/>
    <tableColumn id="11" xr3:uid="{AE64274F-5E04-4F56-844D-B73999CB9CF9}" name="flowDesc"/>
    <tableColumn id="12" xr3:uid="{AEAED47F-B024-4041-9604-50F666FEAE89}" name="partnerCode"/>
    <tableColumn id="13" xr3:uid="{9606EF19-661D-4A78-8C8D-C7A3E9741CC6}" name="partnerISO"/>
    <tableColumn id="14" xr3:uid="{9DCCEB35-F031-4090-B02F-34654319A98C}" name="partnerDesc"/>
    <tableColumn id="15" xr3:uid="{DCC14362-A816-4BBE-9EA7-D28614C12C99}" name="classificationCode"/>
    <tableColumn id="16" xr3:uid="{FACE9A30-CA6E-424B-9F4D-75D26C9AFF26}" name="classificationSearchCode"/>
    <tableColumn id="17" xr3:uid="{DE3705C2-7DFD-4A82-A036-A07DEFBA8D74}" name="isOriginalClassification"/>
    <tableColumn id="18" xr3:uid="{A9C74699-2D11-4BBE-B819-97FF19DA2F82}" name="cmdCode"/>
    <tableColumn id="19" xr3:uid="{9CAD6338-3644-4D9C-836F-45BDD942AC4D}" name="cmdDesc"/>
    <tableColumn id="20" xr3:uid="{868E04F6-0F04-4AEF-B08F-4E14E317B3BD}" name="aggrLevel"/>
    <tableColumn id="21" xr3:uid="{F02CB322-B57B-496E-AF9B-B600D6DCCEC4}" name="isLeaf"/>
    <tableColumn id="22" xr3:uid="{D2346778-8977-462E-B3B7-81FC65C697DE}" name="customsCode"/>
    <tableColumn id="23" xr3:uid="{458BC0BE-697E-4B42-A48D-07641ED9AD0A}" name="customsDesc"/>
    <tableColumn id="24" xr3:uid="{CCB7E779-F5BC-4007-AC37-E544C178E372}" name="mosCode"/>
    <tableColumn id="25" xr3:uid="{070BB10F-EC60-49E8-B9F4-CABB2B7613B1}" name="motCode"/>
    <tableColumn id="26" xr3:uid="{ACA1A14A-2DBA-4CEE-9D31-59D8AF66CFD3}" name="motDesc"/>
    <tableColumn id="27" xr3:uid="{C11A41EA-50D4-44F5-B242-5CC9732C093E}" name="qtyUnitCode"/>
    <tableColumn id="28" xr3:uid="{DB77420A-A5ED-4E44-A5B1-96682FDC7011}" name="qtyUnitAbbr"/>
    <tableColumn id="29" xr3:uid="{CCCADC82-9105-4D65-8FA8-57AF61CF2BCB}" name="mirrorQtyUnitCode"/>
    <tableColumn id="30" xr3:uid="{E964F733-2436-488B-94C7-452652BDC2A7}" name="mirrorQtyUnitAbbr"/>
    <tableColumn id="31" xr3:uid="{C5256335-FBB9-4297-8044-BFF4B9765C39}" name="mirror2QtyUnitCode"/>
    <tableColumn id="32" xr3:uid="{B307E336-A397-4541-94E3-FE54F34361D9}" name="mirror2QtyUnitAbbr"/>
    <tableColumn id="33" xr3:uid="{5B468962-7770-4D44-AFE2-5644B71EAE6E}" name="qty"/>
    <tableColumn id="34" xr3:uid="{828FAAA7-F19E-4D47-97FA-D2EECEE28C74}" name="mirrorQty"/>
    <tableColumn id="35" xr3:uid="{C66E1953-3E8A-4AE5-AA83-C23882357B93}" name="mirror2Qty"/>
    <tableColumn id="36" xr3:uid="{F8757D7B-DE7C-4D1F-8ABE-6D4B3FD6E75B}" name="isQtyEstimated"/>
    <tableColumn id="37" xr3:uid="{C2B4791B-833D-4718-9C1F-A660B6AE881C}" name="altQtyUnitCode"/>
    <tableColumn id="38" xr3:uid="{8525E53F-3068-4510-B423-CED4DF6DC577}" name="altQtyUnitAbbr"/>
    <tableColumn id="39" xr3:uid="{60C37225-F821-4111-8277-15F338096487}" name="altQty"/>
    <tableColumn id="40" xr3:uid="{31FFEC3E-7087-4A77-91D8-BE74C05D1A23}" name="mirrorAltQtyUnitCode"/>
    <tableColumn id="41" xr3:uid="{D73C0848-E147-4B2A-9D76-0C5503AC5DF8}" name="mirrorAltQtyUnitAbbr"/>
    <tableColumn id="42" xr3:uid="{07718F2F-51EE-4901-8AB0-AB77DE914039}" name="mirror2AltQtyUnitCode"/>
    <tableColumn id="43" xr3:uid="{7B1829F3-CE9D-4791-B0CC-B6C1F60F4C36}" name="mirror2AltQtyUnitAbbr"/>
    <tableColumn id="44" xr3:uid="{9AE488F4-24D6-4D22-9098-39BCC3A746F9}" name="mirrorAltQty"/>
    <tableColumn id="45" xr3:uid="{0DEDFA0B-EB58-476C-BC22-AE7AE34CD664}" name="mirror2AltQty"/>
    <tableColumn id="46" xr3:uid="{50A2A694-D7E5-4F12-9D31-AC4B1E62CAEF}" name="isAltQtyEstimated"/>
    <tableColumn id="47" xr3:uid="{004CC878-3700-4AAD-86E2-0E6EAD9C6E47}" name="netWgt"/>
    <tableColumn id="48" xr3:uid="{98EF55A0-EBD2-44BF-A617-CBD8A5585891}" name="mirrorNetWgt"/>
    <tableColumn id="49" xr3:uid="{C465AD34-58F3-4FC1-935F-359E1FEE9DB9}" name="mirror2NetWgt"/>
    <tableColumn id="50" xr3:uid="{BD66C5BC-B5D5-4ED0-B102-8FAC5D510C97}" name="isNetWgtEstimated"/>
    <tableColumn id="51" xr3:uid="{2F3937DE-ED53-433F-BB95-AC1BA0540133}" name="grossWgt"/>
    <tableColumn id="52" xr3:uid="{968066A3-32E2-4C5C-816A-4A37249ED55A}" name="mirrorGrossWgt"/>
    <tableColumn id="53" xr3:uid="{58837FFE-3695-4701-B51F-247D7A5CE053}" name="mirror2GrossWgt"/>
    <tableColumn id="54" xr3:uid="{54B670E7-2FAA-4978-A033-877A7A177BB0}" name="isGrossWgtEstimated"/>
    <tableColumn id="55" xr3:uid="{E0DA8463-22DA-4F04-A125-A47DBDCCDE9D}" name="cifvalue"/>
    <tableColumn id="56" xr3:uid="{6AEFAA1F-5B44-4532-9E81-CB30FE672679}" name="fobvalue"/>
    <tableColumn id="57" xr3:uid="{E0822217-96FE-4E44-A366-3FE92177915D}" name="primaryValue"/>
    <tableColumn id="58" xr3:uid="{CF2FDCDD-B062-4B94-8020-585296A05CA5}" name="isExtendedPartnerCode"/>
    <tableColumn id="59" xr3:uid="{E25A39C0-75F2-480A-8DD6-3B7E04278969}" name="mirrorPrimaryValue"/>
    <tableColumn id="60" xr3:uid="{D887086A-8449-4E98-960A-8A3E0B719C63}" name="primaryValueDisc"/>
    <tableColumn id="61" xr3:uid="{59CCDB50-554B-4BC6-8D0F-5290054C876A}" name="mirror2PrimaryValue"/>
    <tableColumn id="62" xr3:uid="{BE107646-A757-47E7-80C0-522A78CD7C9B}" name="isExtendedPartner2Code"/>
    <tableColumn id="63" xr3:uid="{09A7AA98-D6D2-4B23-8617-266A2BA292F5}" name="legacyEstimationFlag"/>
    <tableColumn id="64" xr3:uid="{1D441D8A-EE71-460E-AD50-CEBFE84ED052}" name="isReported"/>
    <tableColumn id="65" xr3:uid="{A8E4DB2B-B806-42C8-BB5F-6922C7AA1A62}" name="isAggreg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472B-2FD0-48FA-BC66-5FB7D56D7660}">
  <dimension ref="A1"/>
  <sheetViews>
    <sheetView workbookViewId="0">
      <selection sqref="A1:A1048576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E5E3-F1E8-4B5F-B3F9-F52EDA813742}">
  <dimension ref="A1:R17"/>
  <sheetViews>
    <sheetView topLeftCell="C1" workbookViewId="0">
      <selection activeCell="A3" sqref="A3:R17"/>
    </sheetView>
  </sheetViews>
  <sheetFormatPr baseColWidth="10" defaultRowHeight="15.75" x14ac:dyDescent="0.25"/>
  <cols>
    <col min="1" max="1" width="19.125" bestFit="1" customWidth="1"/>
    <col min="2" max="2" width="21.5" bestFit="1" customWidth="1"/>
    <col min="3" max="3" width="7.5" bestFit="1" customWidth="1"/>
    <col min="4" max="4" width="6.875" bestFit="1" customWidth="1"/>
    <col min="5" max="5" width="6.5" bestFit="1" customWidth="1"/>
    <col min="6" max="6" width="8.875" bestFit="1" customWidth="1"/>
    <col min="7" max="9" width="5.875" bestFit="1" customWidth="1"/>
    <col min="10" max="10" width="5.25" bestFit="1" customWidth="1"/>
    <col min="11" max="11" width="6.375" bestFit="1" customWidth="1"/>
    <col min="12" max="12" width="5.875" bestFit="1" customWidth="1"/>
    <col min="13" max="13" width="10.125" bestFit="1" customWidth="1"/>
    <col min="14" max="15" width="7.875" bestFit="1" customWidth="1"/>
    <col min="16" max="16" width="18.25" bestFit="1" customWidth="1"/>
    <col min="17" max="17" width="6.875" bestFit="1" customWidth="1"/>
    <col min="18" max="18" width="11.625" bestFit="1" customWidth="1"/>
  </cols>
  <sheetData>
    <row r="1" spans="1:18" x14ac:dyDescent="0.25">
      <c r="A1" s="5" t="s">
        <v>13</v>
      </c>
      <c r="B1" t="s">
        <v>73</v>
      </c>
    </row>
    <row r="3" spans="1:18" x14ac:dyDescent="0.25">
      <c r="A3" s="5" t="s">
        <v>189</v>
      </c>
      <c r="B3" s="5" t="s">
        <v>186</v>
      </c>
    </row>
    <row r="4" spans="1:18" x14ac:dyDescent="0.25">
      <c r="A4" s="5" t="s">
        <v>188</v>
      </c>
      <c r="B4" t="s">
        <v>115</v>
      </c>
      <c r="C4" t="s">
        <v>102</v>
      </c>
      <c r="D4" t="s">
        <v>124</v>
      </c>
      <c r="E4" t="s">
        <v>104</v>
      </c>
      <c r="F4" t="s">
        <v>69</v>
      </c>
      <c r="G4" t="s">
        <v>106</v>
      </c>
      <c r="H4" t="s">
        <v>121</v>
      </c>
      <c r="I4" t="s">
        <v>110</v>
      </c>
      <c r="J4" t="s">
        <v>112</v>
      </c>
      <c r="K4" t="s">
        <v>93</v>
      </c>
      <c r="L4" t="s">
        <v>99</v>
      </c>
      <c r="M4" t="s">
        <v>85</v>
      </c>
      <c r="N4" t="s">
        <v>126</v>
      </c>
      <c r="O4" t="s">
        <v>95</v>
      </c>
      <c r="P4" t="s">
        <v>87</v>
      </c>
      <c r="Q4" t="s">
        <v>107</v>
      </c>
      <c r="R4" t="s">
        <v>187</v>
      </c>
    </row>
    <row r="5" spans="1:18" x14ac:dyDescent="0.25">
      <c r="A5" s="6">
        <v>2014</v>
      </c>
      <c r="F5">
        <v>63</v>
      </c>
      <c r="M5">
        <v>7789</v>
      </c>
      <c r="P5">
        <v>5235.57</v>
      </c>
      <c r="R5">
        <v>13087.57</v>
      </c>
    </row>
    <row r="6" spans="1:18" x14ac:dyDescent="0.25">
      <c r="A6" s="6">
        <v>2015</v>
      </c>
      <c r="F6">
        <v>81</v>
      </c>
      <c r="M6">
        <v>6374</v>
      </c>
      <c r="P6">
        <v>4658.66</v>
      </c>
      <c r="R6">
        <v>11113.66</v>
      </c>
    </row>
    <row r="7" spans="1:18" x14ac:dyDescent="0.25">
      <c r="A7" s="6">
        <v>2016</v>
      </c>
      <c r="F7">
        <v>116</v>
      </c>
      <c r="K7">
        <v>2</v>
      </c>
      <c r="M7">
        <v>7294</v>
      </c>
      <c r="O7">
        <v>8.0519999999999996</v>
      </c>
      <c r="P7">
        <v>5394.42</v>
      </c>
      <c r="R7">
        <v>12814.472</v>
      </c>
    </row>
    <row r="8" spans="1:18" x14ac:dyDescent="0.25">
      <c r="A8" s="6">
        <v>2017</v>
      </c>
      <c r="F8">
        <v>147.637</v>
      </c>
      <c r="L8">
        <v>0.81299999999999994</v>
      </c>
      <c r="M8">
        <v>7443</v>
      </c>
      <c r="O8">
        <v>6.1310000000000002</v>
      </c>
      <c r="P8">
        <v>5413</v>
      </c>
      <c r="R8">
        <v>13010.581</v>
      </c>
    </row>
    <row r="9" spans="1:18" x14ac:dyDescent="0.25">
      <c r="A9" s="6">
        <v>2018</v>
      </c>
      <c r="C9">
        <v>18.100000000000001</v>
      </c>
      <c r="E9">
        <v>2E-3</v>
      </c>
      <c r="F9">
        <v>194.50299999999999</v>
      </c>
      <c r="G9">
        <v>3.4980000000000002</v>
      </c>
      <c r="L9">
        <v>2.8</v>
      </c>
      <c r="M9">
        <v>13436</v>
      </c>
      <c r="O9">
        <v>15.64</v>
      </c>
      <c r="P9">
        <v>4819.79</v>
      </c>
      <c r="Q9">
        <v>20.033999999999999</v>
      </c>
      <c r="R9">
        <v>18510.366999999998</v>
      </c>
    </row>
    <row r="10" spans="1:18" x14ac:dyDescent="0.25">
      <c r="A10" s="6">
        <v>2019</v>
      </c>
      <c r="F10">
        <v>165.702</v>
      </c>
      <c r="I10">
        <v>1.0999999999999999E-2</v>
      </c>
      <c r="J10">
        <v>1</v>
      </c>
      <c r="M10">
        <v>14569</v>
      </c>
      <c r="O10">
        <v>43.218000000000004</v>
      </c>
      <c r="P10">
        <v>4159.21</v>
      </c>
      <c r="R10">
        <v>18938.141</v>
      </c>
    </row>
    <row r="11" spans="1:18" x14ac:dyDescent="0.25">
      <c r="A11" s="6">
        <v>2020</v>
      </c>
      <c r="B11">
        <v>3634.4569999999999</v>
      </c>
      <c r="F11">
        <v>77.575999999999993</v>
      </c>
      <c r="M11">
        <v>9512</v>
      </c>
      <c r="O11">
        <v>42.487000000000002</v>
      </c>
      <c r="P11">
        <v>2118.87</v>
      </c>
      <c r="R11">
        <v>15385.39</v>
      </c>
    </row>
    <row r="12" spans="1:18" x14ac:dyDescent="0.25">
      <c r="A12" s="6">
        <v>2021</v>
      </c>
      <c r="B12">
        <v>3884.3809999999999</v>
      </c>
      <c r="F12">
        <v>27.384</v>
      </c>
      <c r="L12">
        <v>0.998</v>
      </c>
      <c r="M12">
        <v>13581</v>
      </c>
      <c r="O12">
        <v>7.45</v>
      </c>
      <c r="P12">
        <v>2625.9</v>
      </c>
      <c r="R12">
        <v>20127.113000000001</v>
      </c>
    </row>
    <row r="13" spans="1:18" x14ac:dyDescent="0.25">
      <c r="A13" s="6">
        <v>2022</v>
      </c>
      <c r="B13">
        <v>3660.4029999999998</v>
      </c>
      <c r="F13">
        <v>32.393999999999998</v>
      </c>
      <c r="M13">
        <v>12081</v>
      </c>
      <c r="P13">
        <v>3215.52</v>
      </c>
      <c r="R13">
        <v>18989.316999999999</v>
      </c>
    </row>
    <row r="14" spans="1:18" x14ac:dyDescent="0.25">
      <c r="A14" s="6">
        <v>2023</v>
      </c>
      <c r="B14">
        <v>3797.2040000000002</v>
      </c>
      <c r="F14">
        <v>28.239000000000001</v>
      </c>
      <c r="H14">
        <v>6.6109999999999998</v>
      </c>
      <c r="M14">
        <v>10566</v>
      </c>
      <c r="O14">
        <v>34.648000000000003</v>
      </c>
      <c r="P14">
        <v>4014.64</v>
      </c>
      <c r="R14">
        <v>18447.342000000001</v>
      </c>
    </row>
    <row r="15" spans="1:18" x14ac:dyDescent="0.25">
      <c r="A15" s="6">
        <v>2024</v>
      </c>
      <c r="B15">
        <v>3042.6289999999999</v>
      </c>
      <c r="D15">
        <v>10.012</v>
      </c>
      <c r="F15">
        <v>10.696999999999999</v>
      </c>
      <c r="M15">
        <v>8103</v>
      </c>
      <c r="N15">
        <v>20</v>
      </c>
      <c r="O15">
        <v>1.9990000000000001</v>
      </c>
      <c r="R15">
        <v>11188.337</v>
      </c>
    </row>
    <row r="16" spans="1:18" x14ac:dyDescent="0.25">
      <c r="A16" s="6">
        <v>2025</v>
      </c>
      <c r="B16">
        <v>3556.0329999999999</v>
      </c>
      <c r="F16">
        <v>769.14499999999998</v>
      </c>
      <c r="R16">
        <v>4325.1779999999999</v>
      </c>
    </row>
    <row r="17" spans="1:18" x14ac:dyDescent="0.25">
      <c r="A17" s="6" t="s">
        <v>187</v>
      </c>
      <c r="B17">
        <v>21575.107</v>
      </c>
      <c r="C17">
        <v>18.100000000000001</v>
      </c>
      <c r="D17">
        <v>10.012</v>
      </c>
      <c r="E17">
        <v>2E-3</v>
      </c>
      <c r="F17">
        <v>1713.277</v>
      </c>
      <c r="G17">
        <v>3.4980000000000002</v>
      </c>
      <c r="H17">
        <v>6.6109999999999998</v>
      </c>
      <c r="I17">
        <v>1.0999999999999999E-2</v>
      </c>
      <c r="J17">
        <v>1</v>
      </c>
      <c r="K17">
        <v>2</v>
      </c>
      <c r="L17">
        <v>4.6109999999999998</v>
      </c>
      <c r="M17">
        <v>110748</v>
      </c>
      <c r="N17">
        <v>20</v>
      </c>
      <c r="O17">
        <v>159.625</v>
      </c>
      <c r="P17">
        <v>41655.579999999994</v>
      </c>
      <c r="Q17">
        <v>20.033999999999999</v>
      </c>
      <c r="R17">
        <v>175937.46799999999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1"/>
  <sheetViews>
    <sheetView tabSelected="1" topLeftCell="BL40" workbookViewId="0">
      <selection activeCell="BL44" sqref="BL44"/>
    </sheetView>
  </sheetViews>
  <sheetFormatPr baseColWidth="10" defaultRowHeight="15.75" x14ac:dyDescent="0.25"/>
  <cols>
    <col min="3" max="3" width="12.375" customWidth="1"/>
    <col min="7" max="7" width="14.25" customWidth="1"/>
    <col min="8" max="8" width="12.875" customWidth="1"/>
    <col min="9" max="9" width="13.875" customWidth="1"/>
    <col min="12" max="12" width="13.5" customWidth="1"/>
    <col min="13" max="13" width="12.125" customWidth="1"/>
    <col min="14" max="14" width="13.125" customWidth="1"/>
    <col min="15" max="15" width="17.875" customWidth="1"/>
    <col min="16" max="16" width="23.625" customWidth="1"/>
    <col min="17" max="17" width="21.75" customWidth="1"/>
    <col min="22" max="22" width="14" customWidth="1"/>
    <col min="23" max="23" width="13.625" customWidth="1"/>
    <col min="27" max="28" width="13.5" customWidth="1"/>
    <col min="29" max="30" width="19.25" customWidth="1"/>
    <col min="31" max="32" width="20.25" customWidth="1"/>
    <col min="34" max="34" width="11.375" customWidth="1"/>
    <col min="35" max="35" width="12.375" customWidth="1"/>
    <col min="36" max="36" width="15.625" customWidth="1"/>
    <col min="37" max="38" width="16" customWidth="1"/>
    <col min="40" max="41" width="21.75" customWidth="1"/>
    <col min="42" max="43" width="22.75" customWidth="1"/>
    <col min="44" max="44" width="13.875" customWidth="1"/>
    <col min="45" max="45" width="14.875" customWidth="1"/>
    <col min="46" max="46" width="18.125" customWidth="1"/>
    <col min="48" max="48" width="15" customWidth="1"/>
    <col min="49" max="49" width="16" customWidth="1"/>
    <col min="50" max="50" width="19.25" customWidth="1"/>
    <col min="52" max="52" width="16.5" customWidth="1"/>
    <col min="53" max="53" width="17.5" customWidth="1"/>
    <col min="54" max="54" width="20.75" customWidth="1"/>
    <col min="57" max="57" width="14.25" customWidth="1"/>
    <col min="58" max="58" width="22.75" customWidth="1"/>
    <col min="59" max="59" width="19.75" customWidth="1"/>
    <col min="60" max="60" width="17.625" customWidth="1"/>
    <col min="61" max="61" width="20.75" customWidth="1"/>
    <col min="62" max="62" width="23.75" customWidth="1"/>
    <col min="63" max="63" width="20.625" customWidth="1"/>
    <col min="64" max="64" width="12" customWidth="1"/>
    <col min="65" max="65" width="12.7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t="s">
        <v>66</v>
      </c>
      <c r="C2">
        <v>20140101</v>
      </c>
      <c r="D2">
        <v>2014</v>
      </c>
      <c r="E2">
        <v>52</v>
      </c>
      <c r="F2" t="s">
        <v>67</v>
      </c>
      <c r="G2">
        <v>380</v>
      </c>
      <c r="H2" t="s">
        <v>68</v>
      </c>
      <c r="I2" t="s">
        <v>69</v>
      </c>
      <c r="J2" t="s">
        <v>70</v>
      </c>
      <c r="K2" t="s">
        <v>71</v>
      </c>
      <c r="L2">
        <v>686</v>
      </c>
      <c r="M2" t="s">
        <v>72</v>
      </c>
      <c r="N2" t="s">
        <v>73</v>
      </c>
      <c r="O2" t="s">
        <v>74</v>
      </c>
      <c r="P2" t="s">
        <v>75</v>
      </c>
      <c r="Q2" t="b">
        <v>1</v>
      </c>
      <c r="R2" t="s">
        <v>76</v>
      </c>
      <c r="S2" t="s">
        <v>77</v>
      </c>
      <c r="T2">
        <v>4</v>
      </c>
      <c r="U2" t="b">
        <v>0</v>
      </c>
      <c r="V2" t="s">
        <v>78</v>
      </c>
      <c r="W2" t="s">
        <v>79</v>
      </c>
      <c r="X2" t="s">
        <v>80</v>
      </c>
      <c r="Y2">
        <v>0</v>
      </c>
      <c r="Z2" t="s">
        <v>81</v>
      </c>
      <c r="AA2">
        <v>8</v>
      </c>
      <c r="AB2" t="s">
        <v>82</v>
      </c>
      <c r="AC2">
        <v>8</v>
      </c>
      <c r="AD2" t="s">
        <v>82</v>
      </c>
      <c r="AG2">
        <v>63</v>
      </c>
      <c r="AH2">
        <v>75</v>
      </c>
      <c r="AJ2" t="b">
        <v>0</v>
      </c>
      <c r="AK2">
        <v>-1</v>
      </c>
      <c r="AL2" t="s">
        <v>83</v>
      </c>
      <c r="AN2">
        <v>-1</v>
      </c>
      <c r="AO2" t="s">
        <v>83</v>
      </c>
      <c r="AT2" t="b">
        <v>1</v>
      </c>
      <c r="AU2">
        <v>63</v>
      </c>
      <c r="AV2">
        <v>75</v>
      </c>
      <c r="AX2" t="b">
        <v>0</v>
      </c>
      <c r="BB2" t="b">
        <v>0</v>
      </c>
      <c r="BC2">
        <v>2048560</v>
      </c>
      <c r="BE2">
        <v>2048560</v>
      </c>
      <c r="BF2" t="b">
        <v>1</v>
      </c>
      <c r="BG2">
        <v>1762549</v>
      </c>
      <c r="BH2">
        <v>-0.13961563244425357</v>
      </c>
      <c r="BI2">
        <v>0</v>
      </c>
      <c r="BJ2" t="b">
        <v>0</v>
      </c>
      <c r="BK2">
        <v>0</v>
      </c>
      <c r="BL2" t="b">
        <v>0</v>
      </c>
      <c r="BM2" t="b">
        <v>0</v>
      </c>
    </row>
    <row r="3" spans="1:65" x14ac:dyDescent="0.25">
      <c r="A3" t="s">
        <v>65</v>
      </c>
      <c r="B3" t="s">
        <v>66</v>
      </c>
      <c r="C3">
        <v>20140101</v>
      </c>
      <c r="D3">
        <v>2014</v>
      </c>
      <c r="E3">
        <v>52</v>
      </c>
      <c r="F3" t="s">
        <v>67</v>
      </c>
      <c r="G3">
        <v>757</v>
      </c>
      <c r="H3" t="s">
        <v>84</v>
      </c>
      <c r="I3" t="s">
        <v>85</v>
      </c>
      <c r="J3" t="s">
        <v>70</v>
      </c>
      <c r="K3" t="s">
        <v>71</v>
      </c>
      <c r="L3">
        <v>686</v>
      </c>
      <c r="M3" t="s">
        <v>72</v>
      </c>
      <c r="N3" t="s">
        <v>73</v>
      </c>
      <c r="O3" t="s">
        <v>74</v>
      </c>
      <c r="P3" t="s">
        <v>75</v>
      </c>
      <c r="Q3" t="b">
        <v>1</v>
      </c>
      <c r="R3" t="s">
        <v>76</v>
      </c>
      <c r="S3" t="s">
        <v>77</v>
      </c>
      <c r="T3">
        <v>4</v>
      </c>
      <c r="U3" t="b">
        <v>0</v>
      </c>
      <c r="V3" t="s">
        <v>78</v>
      </c>
      <c r="W3" t="s">
        <v>79</v>
      </c>
      <c r="X3" t="s">
        <v>80</v>
      </c>
      <c r="Y3">
        <v>0</v>
      </c>
      <c r="Z3" t="s">
        <v>81</v>
      </c>
      <c r="AA3">
        <v>8</v>
      </c>
      <c r="AB3" t="s">
        <v>82</v>
      </c>
      <c r="AC3">
        <v>8</v>
      </c>
      <c r="AD3" t="s">
        <v>82</v>
      </c>
      <c r="AG3">
        <v>7789</v>
      </c>
      <c r="AH3">
        <v>6572</v>
      </c>
      <c r="AJ3" t="b">
        <v>0</v>
      </c>
      <c r="AK3">
        <v>8</v>
      </c>
      <c r="AL3" t="s">
        <v>82</v>
      </c>
      <c r="AM3">
        <v>7789</v>
      </c>
      <c r="AN3">
        <v>-1</v>
      </c>
      <c r="AO3" t="s">
        <v>83</v>
      </c>
      <c r="AT3" t="b">
        <v>0</v>
      </c>
      <c r="AU3">
        <v>7789</v>
      </c>
      <c r="AV3">
        <v>6572</v>
      </c>
      <c r="AX3" t="b">
        <v>0</v>
      </c>
      <c r="AY3">
        <v>0</v>
      </c>
      <c r="BB3" t="b">
        <v>0</v>
      </c>
      <c r="BC3">
        <v>271006543.37199998</v>
      </c>
      <c r="BD3">
        <v>0</v>
      </c>
      <c r="BE3">
        <v>271006543.37199998</v>
      </c>
      <c r="BF3" t="b">
        <v>1</v>
      </c>
      <c r="BG3">
        <v>255134940</v>
      </c>
      <c r="BH3">
        <v>-5.8565388032766674E-2</v>
      </c>
      <c r="BI3">
        <v>0</v>
      </c>
      <c r="BJ3" t="b">
        <v>0</v>
      </c>
      <c r="BK3">
        <v>0</v>
      </c>
      <c r="BL3" t="b">
        <v>0</v>
      </c>
      <c r="BM3" t="b">
        <v>1</v>
      </c>
    </row>
    <row r="4" spans="1:65" x14ac:dyDescent="0.25">
      <c r="A4" t="s">
        <v>65</v>
      </c>
      <c r="B4" t="s">
        <v>66</v>
      </c>
      <c r="C4">
        <v>20140101</v>
      </c>
      <c r="D4">
        <v>2014</v>
      </c>
      <c r="E4">
        <v>52</v>
      </c>
      <c r="F4" t="s">
        <v>67</v>
      </c>
      <c r="G4">
        <v>784</v>
      </c>
      <c r="H4" t="s">
        <v>86</v>
      </c>
      <c r="I4" t="s">
        <v>87</v>
      </c>
      <c r="J4" t="s">
        <v>70</v>
      </c>
      <c r="K4" t="s">
        <v>71</v>
      </c>
      <c r="L4">
        <v>686</v>
      </c>
      <c r="M4" t="s">
        <v>72</v>
      </c>
      <c r="N4" t="s">
        <v>73</v>
      </c>
      <c r="O4" t="s">
        <v>74</v>
      </c>
      <c r="P4" t="s">
        <v>75</v>
      </c>
      <c r="Q4" t="b">
        <v>1</v>
      </c>
      <c r="R4" t="s">
        <v>76</v>
      </c>
      <c r="S4" t="s">
        <v>77</v>
      </c>
      <c r="T4">
        <v>4</v>
      </c>
      <c r="U4" t="b">
        <v>0</v>
      </c>
      <c r="V4" t="s">
        <v>78</v>
      </c>
      <c r="W4" t="s">
        <v>79</v>
      </c>
      <c r="X4" t="s">
        <v>88</v>
      </c>
      <c r="Y4">
        <v>0</v>
      </c>
      <c r="Z4" t="s">
        <v>81</v>
      </c>
      <c r="AA4">
        <v>8</v>
      </c>
      <c r="AB4" t="s">
        <v>82</v>
      </c>
      <c r="AC4">
        <v>8</v>
      </c>
      <c r="AD4" t="s">
        <v>82</v>
      </c>
      <c r="AG4">
        <v>5235.57</v>
      </c>
      <c r="AH4">
        <v>3452</v>
      </c>
      <c r="AJ4" t="b">
        <v>0</v>
      </c>
      <c r="AK4">
        <v>8</v>
      </c>
      <c r="AL4" t="s">
        <v>82</v>
      </c>
      <c r="AM4">
        <v>5235.57</v>
      </c>
      <c r="AN4">
        <v>-1</v>
      </c>
      <c r="AO4" t="s">
        <v>83</v>
      </c>
      <c r="AT4" t="b">
        <v>0</v>
      </c>
      <c r="AU4">
        <v>5235.57</v>
      </c>
      <c r="AV4">
        <v>3452</v>
      </c>
      <c r="AX4" t="b">
        <v>0</v>
      </c>
      <c r="BB4" t="b">
        <v>0</v>
      </c>
      <c r="BC4">
        <v>153775097.31200001</v>
      </c>
      <c r="BE4">
        <v>153775097.31200001</v>
      </c>
      <c r="BF4" t="b">
        <v>1</v>
      </c>
      <c r="BG4">
        <v>87648240</v>
      </c>
      <c r="BH4">
        <v>-0.43002318624993463</v>
      </c>
      <c r="BI4">
        <v>0</v>
      </c>
      <c r="BJ4" t="b">
        <v>0</v>
      </c>
      <c r="BK4">
        <v>0</v>
      </c>
      <c r="BL4" t="b">
        <v>0</v>
      </c>
      <c r="BM4" t="b">
        <v>1</v>
      </c>
    </row>
    <row r="5" spans="1:65" x14ac:dyDescent="0.25">
      <c r="A5" t="s">
        <v>65</v>
      </c>
      <c r="B5" t="s">
        <v>66</v>
      </c>
      <c r="C5">
        <v>20150101</v>
      </c>
      <c r="D5">
        <v>2015</v>
      </c>
      <c r="E5">
        <v>52</v>
      </c>
      <c r="F5" t="s">
        <v>89</v>
      </c>
      <c r="G5">
        <v>380</v>
      </c>
      <c r="H5" t="s">
        <v>68</v>
      </c>
      <c r="I5" t="s">
        <v>69</v>
      </c>
      <c r="J5" t="s">
        <v>70</v>
      </c>
      <c r="K5" t="s">
        <v>71</v>
      </c>
      <c r="L5">
        <v>686</v>
      </c>
      <c r="M5" t="s">
        <v>72</v>
      </c>
      <c r="N5" t="s">
        <v>73</v>
      </c>
      <c r="O5" t="s">
        <v>74</v>
      </c>
      <c r="P5" t="s">
        <v>75</v>
      </c>
      <c r="Q5" t="b">
        <v>1</v>
      </c>
      <c r="R5" t="s">
        <v>76</v>
      </c>
      <c r="S5" t="s">
        <v>77</v>
      </c>
      <c r="T5">
        <v>4</v>
      </c>
      <c r="U5" t="b">
        <v>0</v>
      </c>
      <c r="V5" t="s">
        <v>78</v>
      </c>
      <c r="W5" t="s">
        <v>79</v>
      </c>
      <c r="X5" t="s">
        <v>88</v>
      </c>
      <c r="Y5">
        <v>0</v>
      </c>
      <c r="Z5" t="s">
        <v>81</v>
      </c>
      <c r="AA5">
        <v>8</v>
      </c>
      <c r="AB5" t="s">
        <v>82</v>
      </c>
      <c r="AC5">
        <v>8</v>
      </c>
      <c r="AD5" t="s">
        <v>82</v>
      </c>
      <c r="AG5">
        <v>81</v>
      </c>
      <c r="AH5">
        <v>117</v>
      </c>
      <c r="AJ5" t="b">
        <v>0</v>
      </c>
      <c r="AK5">
        <v>15</v>
      </c>
      <c r="AL5" t="s">
        <v>90</v>
      </c>
      <c r="AM5">
        <v>79761</v>
      </c>
      <c r="AN5">
        <v>-1</v>
      </c>
      <c r="AO5" t="s">
        <v>83</v>
      </c>
      <c r="AT5" t="b">
        <v>0</v>
      </c>
      <c r="AU5">
        <v>81</v>
      </c>
      <c r="AV5">
        <v>117</v>
      </c>
      <c r="AX5" t="b">
        <v>0</v>
      </c>
      <c r="BB5" t="b">
        <v>0</v>
      </c>
      <c r="BC5">
        <v>2595853.5920000002</v>
      </c>
      <c r="BE5">
        <v>2595853.5920000002</v>
      </c>
      <c r="BF5" t="b">
        <v>1</v>
      </c>
      <c r="BG5">
        <v>1866997</v>
      </c>
      <c r="BH5">
        <v>-0.2807772342193019</v>
      </c>
      <c r="BI5">
        <v>0</v>
      </c>
      <c r="BJ5" t="b">
        <v>0</v>
      </c>
      <c r="BK5">
        <v>0</v>
      </c>
      <c r="BL5" t="b">
        <v>0</v>
      </c>
      <c r="BM5" t="b">
        <v>1</v>
      </c>
    </row>
    <row r="6" spans="1:65" x14ac:dyDescent="0.25">
      <c r="A6" t="s">
        <v>65</v>
      </c>
      <c r="B6" t="s">
        <v>66</v>
      </c>
      <c r="C6">
        <v>20150101</v>
      </c>
      <c r="D6">
        <v>2015</v>
      </c>
      <c r="E6">
        <v>52</v>
      </c>
      <c r="F6" t="s">
        <v>89</v>
      </c>
      <c r="G6">
        <v>757</v>
      </c>
      <c r="H6" t="s">
        <v>84</v>
      </c>
      <c r="I6" t="s">
        <v>85</v>
      </c>
      <c r="J6" t="s">
        <v>70</v>
      </c>
      <c r="K6" t="s">
        <v>71</v>
      </c>
      <c r="L6">
        <v>686</v>
      </c>
      <c r="M6" t="s">
        <v>72</v>
      </c>
      <c r="N6" t="s">
        <v>73</v>
      </c>
      <c r="O6" t="s">
        <v>74</v>
      </c>
      <c r="P6" t="s">
        <v>75</v>
      </c>
      <c r="Q6" t="b">
        <v>1</v>
      </c>
      <c r="R6" t="s">
        <v>76</v>
      </c>
      <c r="S6" t="s">
        <v>77</v>
      </c>
      <c r="T6">
        <v>4</v>
      </c>
      <c r="U6" t="b">
        <v>0</v>
      </c>
      <c r="V6" t="s">
        <v>78</v>
      </c>
      <c r="W6" t="s">
        <v>79</v>
      </c>
      <c r="X6" t="s">
        <v>80</v>
      </c>
      <c r="Y6">
        <v>0</v>
      </c>
      <c r="Z6" t="s">
        <v>81</v>
      </c>
      <c r="AA6">
        <v>8</v>
      </c>
      <c r="AB6" t="s">
        <v>82</v>
      </c>
      <c r="AC6">
        <v>8</v>
      </c>
      <c r="AD6" t="s">
        <v>82</v>
      </c>
      <c r="AG6">
        <v>6374</v>
      </c>
      <c r="AH6">
        <v>5743</v>
      </c>
      <c r="AJ6" t="b">
        <v>0</v>
      </c>
      <c r="AK6">
        <v>8</v>
      </c>
      <c r="AL6" t="s">
        <v>82</v>
      </c>
      <c r="AM6">
        <v>6374</v>
      </c>
      <c r="AN6">
        <v>-1</v>
      </c>
      <c r="AO6" t="s">
        <v>83</v>
      </c>
      <c r="AT6" t="b">
        <v>0</v>
      </c>
      <c r="AU6">
        <v>6374</v>
      </c>
      <c r="AV6">
        <v>5743</v>
      </c>
      <c r="AX6" t="b">
        <v>0</v>
      </c>
      <c r="AY6">
        <v>0</v>
      </c>
      <c r="BB6" t="b">
        <v>0</v>
      </c>
      <c r="BC6">
        <v>219145334.37099999</v>
      </c>
      <c r="BD6">
        <v>0</v>
      </c>
      <c r="BE6">
        <v>219145334.37099999</v>
      </c>
      <c r="BF6" t="b">
        <v>1</v>
      </c>
      <c r="BG6">
        <v>212688412</v>
      </c>
      <c r="BH6">
        <v>-2.9464110607387184E-2</v>
      </c>
      <c r="BI6">
        <v>0</v>
      </c>
      <c r="BJ6" t="b">
        <v>0</v>
      </c>
      <c r="BK6">
        <v>0</v>
      </c>
      <c r="BL6" t="b">
        <v>0</v>
      </c>
      <c r="BM6" t="b">
        <v>1</v>
      </c>
    </row>
    <row r="7" spans="1:65" x14ac:dyDescent="0.25">
      <c r="A7" t="s">
        <v>65</v>
      </c>
      <c r="B7" t="s">
        <v>66</v>
      </c>
      <c r="C7">
        <v>20150101</v>
      </c>
      <c r="D7">
        <v>2015</v>
      </c>
      <c r="E7">
        <v>52</v>
      </c>
      <c r="F7" t="s">
        <v>89</v>
      </c>
      <c r="G7">
        <v>784</v>
      </c>
      <c r="H7" t="s">
        <v>86</v>
      </c>
      <c r="I7" t="s">
        <v>87</v>
      </c>
      <c r="J7" t="s">
        <v>70</v>
      </c>
      <c r="K7" t="s">
        <v>71</v>
      </c>
      <c r="L7">
        <v>686</v>
      </c>
      <c r="M7" t="s">
        <v>72</v>
      </c>
      <c r="N7" t="s">
        <v>73</v>
      </c>
      <c r="O7" t="s">
        <v>74</v>
      </c>
      <c r="P7" t="s">
        <v>75</v>
      </c>
      <c r="Q7" t="b">
        <v>1</v>
      </c>
      <c r="R7" t="s">
        <v>76</v>
      </c>
      <c r="S7" t="s">
        <v>77</v>
      </c>
      <c r="T7">
        <v>4</v>
      </c>
      <c r="U7" t="b">
        <v>0</v>
      </c>
      <c r="V7" t="s">
        <v>78</v>
      </c>
      <c r="W7" t="s">
        <v>79</v>
      </c>
      <c r="X7" t="s">
        <v>88</v>
      </c>
      <c r="Y7">
        <v>0</v>
      </c>
      <c r="Z7" t="s">
        <v>81</v>
      </c>
      <c r="AA7">
        <v>8</v>
      </c>
      <c r="AB7" t="s">
        <v>82</v>
      </c>
      <c r="AC7">
        <v>8</v>
      </c>
      <c r="AD7" t="s">
        <v>82</v>
      </c>
      <c r="AG7">
        <v>4658.66</v>
      </c>
      <c r="AH7">
        <v>1936</v>
      </c>
      <c r="AJ7" t="b">
        <v>0</v>
      </c>
      <c r="AK7">
        <v>8</v>
      </c>
      <c r="AL7" t="s">
        <v>82</v>
      </c>
      <c r="AM7">
        <v>4658.66</v>
      </c>
      <c r="AN7">
        <v>-1</v>
      </c>
      <c r="AO7" t="s">
        <v>83</v>
      </c>
      <c r="AT7" t="b">
        <v>0</v>
      </c>
      <c r="AU7">
        <v>4658.66</v>
      </c>
      <c r="AV7">
        <v>1936</v>
      </c>
      <c r="AX7" t="b">
        <v>0</v>
      </c>
      <c r="BB7" t="b">
        <v>0</v>
      </c>
      <c r="BC7">
        <v>123230254.083</v>
      </c>
      <c r="BE7">
        <v>123230254.083</v>
      </c>
      <c r="BF7" t="b">
        <v>1</v>
      </c>
      <c r="BG7">
        <v>39375352</v>
      </c>
      <c r="BH7">
        <v>-0.68047333592707449</v>
      </c>
      <c r="BI7">
        <v>0</v>
      </c>
      <c r="BJ7" t="b">
        <v>0</v>
      </c>
      <c r="BK7">
        <v>0</v>
      </c>
      <c r="BL7" t="b">
        <v>0</v>
      </c>
      <c r="BM7" t="b">
        <v>1</v>
      </c>
    </row>
    <row r="8" spans="1:65" x14ac:dyDescent="0.25">
      <c r="A8" t="s">
        <v>65</v>
      </c>
      <c r="B8" t="s">
        <v>66</v>
      </c>
      <c r="C8">
        <v>20160101</v>
      </c>
      <c r="D8">
        <v>2016</v>
      </c>
      <c r="E8">
        <v>52</v>
      </c>
      <c r="F8" t="s">
        <v>91</v>
      </c>
      <c r="G8">
        <v>380</v>
      </c>
      <c r="H8" t="s">
        <v>68</v>
      </c>
      <c r="I8" t="s">
        <v>69</v>
      </c>
      <c r="J8" t="s">
        <v>70</v>
      </c>
      <c r="K8" t="s">
        <v>71</v>
      </c>
      <c r="L8">
        <v>686</v>
      </c>
      <c r="M8" t="s">
        <v>72</v>
      </c>
      <c r="N8" t="s">
        <v>73</v>
      </c>
      <c r="O8" t="s">
        <v>74</v>
      </c>
      <c r="P8" t="s">
        <v>75</v>
      </c>
      <c r="Q8" t="b">
        <v>1</v>
      </c>
      <c r="R8" t="s">
        <v>76</v>
      </c>
      <c r="S8" t="s">
        <v>77</v>
      </c>
      <c r="T8">
        <v>4</v>
      </c>
      <c r="U8" t="b">
        <v>0</v>
      </c>
      <c r="V8" t="s">
        <v>78</v>
      </c>
      <c r="W8" t="s">
        <v>79</v>
      </c>
      <c r="X8" t="s">
        <v>88</v>
      </c>
      <c r="Y8">
        <v>0</v>
      </c>
      <c r="Z8" t="s">
        <v>81</v>
      </c>
      <c r="AA8">
        <v>8</v>
      </c>
      <c r="AB8" t="s">
        <v>82</v>
      </c>
      <c r="AC8">
        <v>8</v>
      </c>
      <c r="AD8" t="s">
        <v>82</v>
      </c>
      <c r="AG8">
        <v>116</v>
      </c>
      <c r="AH8">
        <v>149</v>
      </c>
      <c r="AJ8" t="b">
        <v>0</v>
      </c>
      <c r="AK8">
        <v>15</v>
      </c>
      <c r="AL8" t="s">
        <v>90</v>
      </c>
      <c r="AM8">
        <v>112612</v>
      </c>
      <c r="AN8">
        <v>-1</v>
      </c>
      <c r="AO8" t="s">
        <v>83</v>
      </c>
      <c r="AT8" t="b">
        <v>0</v>
      </c>
      <c r="AU8">
        <v>116</v>
      </c>
      <c r="AV8">
        <v>149</v>
      </c>
      <c r="AX8" t="b">
        <v>0</v>
      </c>
      <c r="BB8" t="b">
        <v>0</v>
      </c>
      <c r="BC8">
        <v>4226896.3430000003</v>
      </c>
      <c r="BE8">
        <v>4226896.3430000003</v>
      </c>
      <c r="BF8" t="b">
        <v>1</v>
      </c>
      <c r="BG8">
        <v>3055700</v>
      </c>
      <c r="BH8">
        <v>-0.2770818699965456</v>
      </c>
      <c r="BI8">
        <v>0</v>
      </c>
      <c r="BJ8" t="b">
        <v>0</v>
      </c>
      <c r="BK8">
        <v>0</v>
      </c>
      <c r="BL8" t="b">
        <v>0</v>
      </c>
      <c r="BM8" t="b">
        <v>1</v>
      </c>
    </row>
    <row r="9" spans="1:65" x14ac:dyDescent="0.25">
      <c r="A9" t="s">
        <v>65</v>
      </c>
      <c r="B9" t="s">
        <v>66</v>
      </c>
      <c r="C9">
        <v>20160101</v>
      </c>
      <c r="D9">
        <v>2016</v>
      </c>
      <c r="E9">
        <v>52</v>
      </c>
      <c r="F9" t="s">
        <v>91</v>
      </c>
      <c r="G9">
        <v>616</v>
      </c>
      <c r="H9" t="s">
        <v>92</v>
      </c>
      <c r="I9" t="s">
        <v>93</v>
      </c>
      <c r="J9" t="s">
        <v>70</v>
      </c>
      <c r="K9" t="s">
        <v>71</v>
      </c>
      <c r="L9">
        <v>686</v>
      </c>
      <c r="M9" t="s">
        <v>72</v>
      </c>
      <c r="N9" t="s">
        <v>73</v>
      </c>
      <c r="O9" t="s">
        <v>74</v>
      </c>
      <c r="P9" t="s">
        <v>75</v>
      </c>
      <c r="Q9" t="b">
        <v>1</v>
      </c>
      <c r="R9" t="s">
        <v>76</v>
      </c>
      <c r="S9" t="s">
        <v>77</v>
      </c>
      <c r="T9">
        <v>4</v>
      </c>
      <c r="U9" t="b">
        <v>0</v>
      </c>
      <c r="V9" t="s">
        <v>78</v>
      </c>
      <c r="W9" t="s">
        <v>79</v>
      </c>
      <c r="X9" t="s">
        <v>80</v>
      </c>
      <c r="Y9">
        <v>0</v>
      </c>
      <c r="Z9" t="s">
        <v>81</v>
      </c>
      <c r="AA9">
        <v>8</v>
      </c>
      <c r="AB9" t="s">
        <v>82</v>
      </c>
      <c r="AC9">
        <v>8</v>
      </c>
      <c r="AD9" t="s">
        <v>82</v>
      </c>
      <c r="AG9">
        <v>2</v>
      </c>
      <c r="AH9">
        <v>2</v>
      </c>
      <c r="AJ9" t="b">
        <v>0</v>
      </c>
      <c r="AK9">
        <v>-1</v>
      </c>
      <c r="AL9" t="s">
        <v>83</v>
      </c>
      <c r="AN9">
        <v>-1</v>
      </c>
      <c r="AO9" t="s">
        <v>83</v>
      </c>
      <c r="AT9" t="b">
        <v>0</v>
      </c>
      <c r="AU9">
        <v>2</v>
      </c>
      <c r="AV9">
        <v>2</v>
      </c>
      <c r="AX9" t="b">
        <v>0</v>
      </c>
      <c r="BB9" t="b">
        <v>0</v>
      </c>
      <c r="BC9">
        <v>79584</v>
      </c>
      <c r="BE9">
        <v>79584</v>
      </c>
      <c r="BF9" t="b">
        <v>1</v>
      </c>
      <c r="BG9">
        <v>78279</v>
      </c>
      <c r="BH9">
        <v>-1.639776839565743E-2</v>
      </c>
      <c r="BI9">
        <v>0</v>
      </c>
      <c r="BJ9" t="b">
        <v>0</v>
      </c>
      <c r="BK9">
        <v>0</v>
      </c>
      <c r="BL9" t="b">
        <v>1</v>
      </c>
      <c r="BM9" t="b">
        <v>0</v>
      </c>
    </row>
    <row r="10" spans="1:65" x14ac:dyDescent="0.25">
      <c r="A10" t="s">
        <v>65</v>
      </c>
      <c r="B10" t="s">
        <v>66</v>
      </c>
      <c r="C10">
        <v>20160101</v>
      </c>
      <c r="D10">
        <v>2016</v>
      </c>
      <c r="E10">
        <v>52</v>
      </c>
      <c r="F10" t="s">
        <v>91</v>
      </c>
      <c r="G10">
        <v>757</v>
      </c>
      <c r="H10" t="s">
        <v>84</v>
      </c>
      <c r="I10" t="s">
        <v>85</v>
      </c>
      <c r="J10" t="s">
        <v>70</v>
      </c>
      <c r="K10" t="s">
        <v>71</v>
      </c>
      <c r="L10">
        <v>686</v>
      </c>
      <c r="M10" t="s">
        <v>72</v>
      </c>
      <c r="N10" t="s">
        <v>73</v>
      </c>
      <c r="O10" t="s">
        <v>74</v>
      </c>
      <c r="P10" t="s">
        <v>75</v>
      </c>
      <c r="Q10" t="b">
        <v>1</v>
      </c>
      <c r="R10" t="s">
        <v>76</v>
      </c>
      <c r="S10" t="s">
        <v>77</v>
      </c>
      <c r="T10">
        <v>4</v>
      </c>
      <c r="U10" t="b">
        <v>0</v>
      </c>
      <c r="V10" t="s">
        <v>78</v>
      </c>
      <c r="W10" t="s">
        <v>79</v>
      </c>
      <c r="X10" t="s">
        <v>80</v>
      </c>
      <c r="Y10">
        <v>0</v>
      </c>
      <c r="Z10" t="s">
        <v>81</v>
      </c>
      <c r="AA10">
        <v>8</v>
      </c>
      <c r="AB10" t="s">
        <v>82</v>
      </c>
      <c r="AC10">
        <v>8</v>
      </c>
      <c r="AD10" t="s">
        <v>82</v>
      </c>
      <c r="AG10">
        <v>7294</v>
      </c>
      <c r="AH10">
        <v>6638</v>
      </c>
      <c r="AJ10" t="b">
        <v>0</v>
      </c>
      <c r="AK10">
        <v>8</v>
      </c>
      <c r="AL10" t="s">
        <v>82</v>
      </c>
      <c r="AM10">
        <v>7294</v>
      </c>
      <c r="AN10">
        <v>-1</v>
      </c>
      <c r="AO10" t="s">
        <v>83</v>
      </c>
      <c r="AT10" t="b">
        <v>0</v>
      </c>
      <c r="AU10">
        <v>7294</v>
      </c>
      <c r="AV10">
        <v>6638</v>
      </c>
      <c r="AX10" t="b">
        <v>0</v>
      </c>
      <c r="AY10">
        <v>0</v>
      </c>
      <c r="BB10" t="b">
        <v>0</v>
      </c>
      <c r="BC10">
        <v>270646104.97600001</v>
      </c>
      <c r="BD10">
        <v>0</v>
      </c>
      <c r="BE10">
        <v>270646104.97600001</v>
      </c>
      <c r="BF10" t="b">
        <v>1</v>
      </c>
      <c r="BG10">
        <v>264199274</v>
      </c>
      <c r="BH10">
        <v>-2.3820150585842303E-2</v>
      </c>
      <c r="BI10">
        <v>0</v>
      </c>
      <c r="BJ10" t="b">
        <v>0</v>
      </c>
      <c r="BK10">
        <v>0</v>
      </c>
      <c r="BL10" t="b">
        <v>0</v>
      </c>
      <c r="BM10" t="b">
        <v>1</v>
      </c>
    </row>
    <row r="11" spans="1:65" x14ac:dyDescent="0.25">
      <c r="A11" t="s">
        <v>65</v>
      </c>
      <c r="B11" t="s">
        <v>66</v>
      </c>
      <c r="C11">
        <v>20160101</v>
      </c>
      <c r="D11">
        <v>2016</v>
      </c>
      <c r="E11">
        <v>52</v>
      </c>
      <c r="F11" t="s">
        <v>91</v>
      </c>
      <c r="G11">
        <v>784</v>
      </c>
      <c r="H11" t="s">
        <v>86</v>
      </c>
      <c r="I11" t="s">
        <v>87</v>
      </c>
      <c r="J11" t="s">
        <v>70</v>
      </c>
      <c r="K11" t="s">
        <v>71</v>
      </c>
      <c r="L11">
        <v>686</v>
      </c>
      <c r="M11" t="s">
        <v>72</v>
      </c>
      <c r="N11" t="s">
        <v>73</v>
      </c>
      <c r="O11" t="s">
        <v>74</v>
      </c>
      <c r="P11" t="s">
        <v>75</v>
      </c>
      <c r="Q11" t="b">
        <v>1</v>
      </c>
      <c r="R11" t="s">
        <v>76</v>
      </c>
      <c r="S11" t="s">
        <v>77</v>
      </c>
      <c r="T11">
        <v>4</v>
      </c>
      <c r="U11" t="b">
        <v>0</v>
      </c>
      <c r="V11" t="s">
        <v>78</v>
      </c>
      <c r="W11" t="s">
        <v>79</v>
      </c>
      <c r="X11" t="s">
        <v>88</v>
      </c>
      <c r="Y11">
        <v>0</v>
      </c>
      <c r="Z11" t="s">
        <v>81</v>
      </c>
      <c r="AA11">
        <v>8</v>
      </c>
      <c r="AB11" t="s">
        <v>82</v>
      </c>
      <c r="AC11">
        <v>8</v>
      </c>
      <c r="AD11" t="s">
        <v>82</v>
      </c>
      <c r="AG11">
        <v>5394.42</v>
      </c>
      <c r="AH11">
        <v>2746</v>
      </c>
      <c r="AJ11" t="b">
        <v>0</v>
      </c>
      <c r="AK11">
        <v>8</v>
      </c>
      <c r="AL11" t="s">
        <v>82</v>
      </c>
      <c r="AM11">
        <v>5394.42</v>
      </c>
      <c r="AN11">
        <v>-1</v>
      </c>
      <c r="AO11" t="s">
        <v>83</v>
      </c>
      <c r="AT11" t="b">
        <v>0</v>
      </c>
      <c r="AU11">
        <v>5394.42</v>
      </c>
      <c r="AV11">
        <v>2746</v>
      </c>
      <c r="AX11" t="b">
        <v>0</v>
      </c>
      <c r="BB11" t="b">
        <v>0</v>
      </c>
      <c r="BC11">
        <v>153104784.84400001</v>
      </c>
      <c r="BE11">
        <v>153104784.84400001</v>
      </c>
      <c r="BF11" t="b">
        <v>1</v>
      </c>
      <c r="BG11">
        <v>55433766</v>
      </c>
      <c r="BH11">
        <v>-0.63793577022114611</v>
      </c>
      <c r="BI11">
        <v>0</v>
      </c>
      <c r="BJ11" t="b">
        <v>0</v>
      </c>
      <c r="BK11">
        <v>0</v>
      </c>
      <c r="BL11" t="b">
        <v>0</v>
      </c>
      <c r="BM11" t="b">
        <v>1</v>
      </c>
    </row>
    <row r="12" spans="1:65" x14ac:dyDescent="0.25">
      <c r="A12" t="s">
        <v>65</v>
      </c>
      <c r="B12" t="s">
        <v>66</v>
      </c>
      <c r="C12">
        <v>20160101</v>
      </c>
      <c r="D12">
        <v>2016</v>
      </c>
      <c r="E12">
        <v>52</v>
      </c>
      <c r="F12" t="s">
        <v>91</v>
      </c>
      <c r="G12">
        <v>792</v>
      </c>
      <c r="H12" t="s">
        <v>94</v>
      </c>
      <c r="I12" t="s">
        <v>95</v>
      </c>
      <c r="J12" t="s">
        <v>70</v>
      </c>
      <c r="K12" t="s">
        <v>71</v>
      </c>
      <c r="L12">
        <v>686</v>
      </c>
      <c r="M12" t="s">
        <v>72</v>
      </c>
      <c r="N12" t="s">
        <v>73</v>
      </c>
      <c r="O12" t="s">
        <v>74</v>
      </c>
      <c r="P12" t="s">
        <v>75</v>
      </c>
      <c r="Q12" t="b">
        <v>1</v>
      </c>
      <c r="R12" t="s">
        <v>76</v>
      </c>
      <c r="S12" t="s">
        <v>77</v>
      </c>
      <c r="T12">
        <v>4</v>
      </c>
      <c r="U12" t="b">
        <v>0</v>
      </c>
      <c r="V12" t="s">
        <v>78</v>
      </c>
      <c r="W12" t="s">
        <v>79</v>
      </c>
      <c r="X12" t="s">
        <v>80</v>
      </c>
      <c r="Y12">
        <v>0</v>
      </c>
      <c r="Z12" t="s">
        <v>81</v>
      </c>
      <c r="AA12">
        <v>8</v>
      </c>
      <c r="AB12" t="s">
        <v>82</v>
      </c>
      <c r="AG12">
        <v>8.0519999999999996</v>
      </c>
      <c r="AJ12" t="b">
        <v>0</v>
      </c>
      <c r="AK12">
        <v>15</v>
      </c>
      <c r="AL12" t="s">
        <v>90</v>
      </c>
      <c r="AM12">
        <v>8052</v>
      </c>
      <c r="AT12" t="b">
        <v>0</v>
      </c>
      <c r="AU12">
        <v>8</v>
      </c>
      <c r="AX12" t="b">
        <v>0</v>
      </c>
      <c r="AY12">
        <v>0</v>
      </c>
      <c r="BB12" t="b">
        <v>0</v>
      </c>
      <c r="BC12">
        <v>318362</v>
      </c>
      <c r="BD12">
        <v>281738</v>
      </c>
      <c r="BE12">
        <v>318362</v>
      </c>
      <c r="BF12" t="b">
        <v>1</v>
      </c>
      <c r="BG12">
        <v>0</v>
      </c>
      <c r="BH12">
        <v>-1</v>
      </c>
      <c r="BI12">
        <v>0</v>
      </c>
      <c r="BJ12" t="b">
        <v>0</v>
      </c>
      <c r="BK12">
        <v>0</v>
      </c>
      <c r="BL12" t="b">
        <v>0</v>
      </c>
      <c r="BM12" t="b">
        <v>1</v>
      </c>
    </row>
    <row r="13" spans="1:65" x14ac:dyDescent="0.25">
      <c r="A13" t="s">
        <v>65</v>
      </c>
      <c r="B13" t="s">
        <v>66</v>
      </c>
      <c r="C13">
        <v>20170101</v>
      </c>
      <c r="D13">
        <v>2017</v>
      </c>
      <c r="E13">
        <v>52</v>
      </c>
      <c r="F13" t="s">
        <v>96</v>
      </c>
      <c r="G13">
        <v>380</v>
      </c>
      <c r="H13" t="s">
        <v>68</v>
      </c>
      <c r="I13" t="s">
        <v>69</v>
      </c>
      <c r="J13" t="s">
        <v>70</v>
      </c>
      <c r="K13" t="s">
        <v>71</v>
      </c>
      <c r="L13">
        <v>686</v>
      </c>
      <c r="M13" t="s">
        <v>72</v>
      </c>
      <c r="N13" t="s">
        <v>73</v>
      </c>
      <c r="O13" t="s">
        <v>97</v>
      </c>
      <c r="P13" t="s">
        <v>75</v>
      </c>
      <c r="Q13" t="b">
        <v>1</v>
      </c>
      <c r="R13" t="s">
        <v>76</v>
      </c>
      <c r="S13" t="s">
        <v>77</v>
      </c>
      <c r="T13">
        <v>4</v>
      </c>
      <c r="U13" t="b">
        <v>0</v>
      </c>
      <c r="V13" t="s">
        <v>78</v>
      </c>
      <c r="W13" t="s">
        <v>79</v>
      </c>
      <c r="X13" t="s">
        <v>80</v>
      </c>
      <c r="Y13">
        <v>0</v>
      </c>
      <c r="Z13" t="s">
        <v>81</v>
      </c>
      <c r="AA13">
        <v>8</v>
      </c>
      <c r="AB13" t="s">
        <v>82</v>
      </c>
      <c r="AC13">
        <v>8</v>
      </c>
      <c r="AD13" t="s">
        <v>82</v>
      </c>
      <c r="AG13">
        <v>147.637</v>
      </c>
      <c r="AH13">
        <v>199</v>
      </c>
      <c r="AJ13" t="b">
        <v>0</v>
      </c>
      <c r="AK13">
        <v>-1</v>
      </c>
      <c r="AL13" t="s">
        <v>83</v>
      </c>
      <c r="AM13">
        <v>0</v>
      </c>
      <c r="AN13">
        <v>8</v>
      </c>
      <c r="AO13" t="s">
        <v>82</v>
      </c>
      <c r="AR13">
        <v>199</v>
      </c>
      <c r="AT13" t="b">
        <v>0</v>
      </c>
      <c r="AU13">
        <v>151</v>
      </c>
      <c r="AV13">
        <v>199</v>
      </c>
      <c r="AX13" t="b">
        <v>0</v>
      </c>
      <c r="AY13">
        <v>0</v>
      </c>
      <c r="BB13" t="b">
        <v>0</v>
      </c>
      <c r="BC13">
        <v>5031300.9380000001</v>
      </c>
      <c r="BE13">
        <v>5031300.9380000001</v>
      </c>
      <c r="BF13" t="b">
        <v>1</v>
      </c>
      <c r="BG13">
        <v>3541986.0750000002</v>
      </c>
      <c r="BH13">
        <v>-0.29600989512506082</v>
      </c>
      <c r="BI13">
        <v>0</v>
      </c>
      <c r="BJ13" t="b">
        <v>0</v>
      </c>
      <c r="BK13">
        <v>0</v>
      </c>
      <c r="BL13" t="b">
        <v>0</v>
      </c>
      <c r="BM13" t="b">
        <v>1</v>
      </c>
    </row>
    <row r="14" spans="1:65" x14ac:dyDescent="0.25">
      <c r="A14" t="s">
        <v>65</v>
      </c>
      <c r="B14" t="s">
        <v>66</v>
      </c>
      <c r="C14">
        <v>20170101</v>
      </c>
      <c r="D14">
        <v>2017</v>
      </c>
      <c r="E14">
        <v>52</v>
      </c>
      <c r="F14" t="s">
        <v>96</v>
      </c>
      <c r="G14">
        <v>724</v>
      </c>
      <c r="H14" t="s">
        <v>98</v>
      </c>
      <c r="I14" t="s">
        <v>99</v>
      </c>
      <c r="J14" t="s">
        <v>70</v>
      </c>
      <c r="K14" t="s">
        <v>71</v>
      </c>
      <c r="L14">
        <v>686</v>
      </c>
      <c r="M14" t="s">
        <v>72</v>
      </c>
      <c r="N14" t="s">
        <v>73</v>
      </c>
      <c r="O14" t="s">
        <v>97</v>
      </c>
      <c r="P14" t="s">
        <v>75</v>
      </c>
      <c r="Q14" t="b">
        <v>1</v>
      </c>
      <c r="R14" t="s">
        <v>76</v>
      </c>
      <c r="S14" t="s">
        <v>77</v>
      </c>
      <c r="T14">
        <v>4</v>
      </c>
      <c r="U14" t="b">
        <v>0</v>
      </c>
      <c r="V14" t="s">
        <v>78</v>
      </c>
      <c r="W14" t="s">
        <v>79</v>
      </c>
      <c r="X14" t="s">
        <v>80</v>
      </c>
      <c r="Y14">
        <v>0</v>
      </c>
      <c r="Z14" t="s">
        <v>81</v>
      </c>
      <c r="AA14">
        <v>8</v>
      </c>
      <c r="AB14" t="s">
        <v>82</v>
      </c>
      <c r="AC14">
        <v>8</v>
      </c>
      <c r="AD14" t="s">
        <v>82</v>
      </c>
      <c r="AG14">
        <v>0.81299999999999994</v>
      </c>
      <c r="AH14">
        <v>2</v>
      </c>
      <c r="AJ14" t="b">
        <v>0</v>
      </c>
      <c r="AK14">
        <v>15</v>
      </c>
      <c r="AL14" t="s">
        <v>90</v>
      </c>
      <c r="AM14">
        <v>812.6</v>
      </c>
      <c r="AN14">
        <v>8</v>
      </c>
      <c r="AO14" t="s">
        <v>82</v>
      </c>
      <c r="AR14">
        <v>2</v>
      </c>
      <c r="AT14" t="b">
        <v>0</v>
      </c>
      <c r="AV14">
        <v>2</v>
      </c>
      <c r="AX14" t="b">
        <v>0</v>
      </c>
      <c r="AY14">
        <v>0</v>
      </c>
      <c r="BB14" t="b">
        <v>0</v>
      </c>
      <c r="BC14">
        <v>18697.835999999999</v>
      </c>
      <c r="BE14">
        <v>18697.835999999999</v>
      </c>
      <c r="BF14" t="b">
        <v>1</v>
      </c>
      <c r="BG14">
        <v>18379.483</v>
      </c>
      <c r="BH14">
        <v>-1.7026194902982295E-2</v>
      </c>
      <c r="BI14">
        <v>0</v>
      </c>
      <c r="BJ14" t="b">
        <v>0</v>
      </c>
      <c r="BK14">
        <v>0</v>
      </c>
      <c r="BL14" t="b">
        <v>0</v>
      </c>
      <c r="BM14" t="b">
        <v>1</v>
      </c>
    </row>
    <row r="15" spans="1:65" x14ac:dyDescent="0.25">
      <c r="A15" t="s">
        <v>65</v>
      </c>
      <c r="B15" t="s">
        <v>66</v>
      </c>
      <c r="C15">
        <v>20170101</v>
      </c>
      <c r="D15">
        <v>2017</v>
      </c>
      <c r="E15">
        <v>52</v>
      </c>
      <c r="F15" t="s">
        <v>96</v>
      </c>
      <c r="G15">
        <v>757</v>
      </c>
      <c r="H15" t="s">
        <v>84</v>
      </c>
      <c r="I15" t="s">
        <v>85</v>
      </c>
      <c r="J15" t="s">
        <v>70</v>
      </c>
      <c r="K15" t="s">
        <v>71</v>
      </c>
      <c r="L15">
        <v>686</v>
      </c>
      <c r="M15" t="s">
        <v>72</v>
      </c>
      <c r="N15" t="s">
        <v>73</v>
      </c>
      <c r="O15" t="s">
        <v>97</v>
      </c>
      <c r="P15" t="s">
        <v>75</v>
      </c>
      <c r="Q15" t="b">
        <v>1</v>
      </c>
      <c r="R15" t="s">
        <v>76</v>
      </c>
      <c r="S15" t="s">
        <v>77</v>
      </c>
      <c r="T15">
        <v>4</v>
      </c>
      <c r="U15" t="b">
        <v>0</v>
      </c>
      <c r="V15" t="s">
        <v>78</v>
      </c>
      <c r="W15" t="s">
        <v>79</v>
      </c>
      <c r="X15" t="s">
        <v>80</v>
      </c>
      <c r="Y15">
        <v>0</v>
      </c>
      <c r="Z15" t="s">
        <v>81</v>
      </c>
      <c r="AA15">
        <v>8</v>
      </c>
      <c r="AB15" t="s">
        <v>82</v>
      </c>
      <c r="AC15">
        <v>8</v>
      </c>
      <c r="AD15" t="s">
        <v>82</v>
      </c>
      <c r="AG15">
        <v>7443</v>
      </c>
      <c r="AH15">
        <v>7265</v>
      </c>
      <c r="AJ15" t="b">
        <v>0</v>
      </c>
      <c r="AK15">
        <v>8</v>
      </c>
      <c r="AL15" t="s">
        <v>82</v>
      </c>
      <c r="AM15">
        <v>7443</v>
      </c>
      <c r="AN15">
        <v>8</v>
      </c>
      <c r="AO15" t="s">
        <v>82</v>
      </c>
      <c r="AR15">
        <v>7265</v>
      </c>
      <c r="AT15" t="b">
        <v>0</v>
      </c>
      <c r="AU15">
        <v>7443</v>
      </c>
      <c r="AV15">
        <v>7265</v>
      </c>
      <c r="AX15" t="b">
        <v>0</v>
      </c>
      <c r="AY15">
        <v>0</v>
      </c>
      <c r="BB15" t="b">
        <v>0</v>
      </c>
      <c r="BC15">
        <v>277019288.92799997</v>
      </c>
      <c r="BD15">
        <v>0</v>
      </c>
      <c r="BE15">
        <v>277019288.92799997</v>
      </c>
      <c r="BF15" t="b">
        <v>1</v>
      </c>
      <c r="BG15">
        <v>289590890.42900002</v>
      </c>
      <c r="BH15">
        <v>4.5381682805010426E-2</v>
      </c>
      <c r="BI15">
        <v>0</v>
      </c>
      <c r="BJ15" t="b">
        <v>0</v>
      </c>
      <c r="BK15">
        <v>0</v>
      </c>
      <c r="BL15" t="b">
        <v>0</v>
      </c>
      <c r="BM15" t="b">
        <v>1</v>
      </c>
    </row>
    <row r="16" spans="1:65" x14ac:dyDescent="0.25">
      <c r="A16" t="s">
        <v>65</v>
      </c>
      <c r="B16" t="s">
        <v>66</v>
      </c>
      <c r="C16">
        <v>20170101</v>
      </c>
      <c r="D16">
        <v>2017</v>
      </c>
      <c r="E16">
        <v>52</v>
      </c>
      <c r="F16" t="s">
        <v>96</v>
      </c>
      <c r="G16">
        <v>784</v>
      </c>
      <c r="H16" t="s">
        <v>86</v>
      </c>
      <c r="I16" t="s">
        <v>87</v>
      </c>
      <c r="J16" t="s">
        <v>70</v>
      </c>
      <c r="K16" t="s">
        <v>71</v>
      </c>
      <c r="L16">
        <v>686</v>
      </c>
      <c r="M16" t="s">
        <v>72</v>
      </c>
      <c r="N16" t="s">
        <v>73</v>
      </c>
      <c r="O16" t="s">
        <v>74</v>
      </c>
      <c r="P16" t="s">
        <v>75</v>
      </c>
      <c r="Q16" t="b">
        <v>1</v>
      </c>
      <c r="R16" t="s">
        <v>76</v>
      </c>
      <c r="S16" t="s">
        <v>77</v>
      </c>
      <c r="T16">
        <v>4</v>
      </c>
      <c r="U16" t="b">
        <v>0</v>
      </c>
      <c r="V16" t="s">
        <v>78</v>
      </c>
      <c r="W16" t="s">
        <v>79</v>
      </c>
      <c r="X16" t="s">
        <v>80</v>
      </c>
      <c r="Y16">
        <v>0</v>
      </c>
      <c r="Z16" t="s">
        <v>81</v>
      </c>
      <c r="AA16">
        <v>8</v>
      </c>
      <c r="AB16" t="s">
        <v>82</v>
      </c>
      <c r="AC16">
        <v>8</v>
      </c>
      <c r="AD16" t="s">
        <v>82</v>
      </c>
      <c r="AG16">
        <v>5413</v>
      </c>
      <c r="AH16">
        <v>4192</v>
      </c>
      <c r="AJ16" t="b">
        <v>0</v>
      </c>
      <c r="AK16">
        <v>8</v>
      </c>
      <c r="AL16" t="s">
        <v>82</v>
      </c>
      <c r="AM16">
        <v>5413</v>
      </c>
      <c r="AN16">
        <v>8</v>
      </c>
      <c r="AO16" t="s">
        <v>82</v>
      </c>
      <c r="AR16">
        <v>4192</v>
      </c>
      <c r="AT16" t="b">
        <v>0</v>
      </c>
      <c r="AU16">
        <v>5413</v>
      </c>
      <c r="AV16">
        <v>4192</v>
      </c>
      <c r="AX16" t="b">
        <v>0</v>
      </c>
      <c r="AY16">
        <v>0</v>
      </c>
      <c r="BB16" t="b">
        <v>0</v>
      </c>
      <c r="BC16">
        <v>158224409.09299999</v>
      </c>
      <c r="BD16">
        <v>0</v>
      </c>
      <c r="BE16">
        <v>158224409.09299999</v>
      </c>
      <c r="BF16" t="b">
        <v>1</v>
      </c>
      <c r="BG16">
        <v>83437576.736000001</v>
      </c>
      <c r="BH16">
        <v>-0.4726630536066172</v>
      </c>
      <c r="BI16">
        <v>0</v>
      </c>
      <c r="BJ16" t="b">
        <v>0</v>
      </c>
      <c r="BK16">
        <v>0</v>
      </c>
      <c r="BL16" t="b">
        <v>0</v>
      </c>
      <c r="BM16" t="b">
        <v>1</v>
      </c>
    </row>
    <row r="17" spans="1:65" x14ac:dyDescent="0.25">
      <c r="A17" t="s">
        <v>65</v>
      </c>
      <c r="B17" t="s">
        <v>66</v>
      </c>
      <c r="C17">
        <v>20170101</v>
      </c>
      <c r="D17">
        <v>2017</v>
      </c>
      <c r="E17">
        <v>52</v>
      </c>
      <c r="F17" t="s">
        <v>96</v>
      </c>
      <c r="G17">
        <v>792</v>
      </c>
      <c r="H17" t="s">
        <v>94</v>
      </c>
      <c r="I17" t="s">
        <v>95</v>
      </c>
      <c r="J17" t="s">
        <v>70</v>
      </c>
      <c r="K17" t="s">
        <v>71</v>
      </c>
      <c r="L17">
        <v>686</v>
      </c>
      <c r="M17" t="s">
        <v>72</v>
      </c>
      <c r="N17" t="s">
        <v>73</v>
      </c>
      <c r="O17" t="s">
        <v>97</v>
      </c>
      <c r="P17" t="s">
        <v>75</v>
      </c>
      <c r="Q17" t="b">
        <v>1</v>
      </c>
      <c r="R17" t="s">
        <v>76</v>
      </c>
      <c r="S17" t="s">
        <v>77</v>
      </c>
      <c r="T17">
        <v>4</v>
      </c>
      <c r="U17" t="b">
        <v>0</v>
      </c>
      <c r="V17" t="s">
        <v>78</v>
      </c>
      <c r="W17" t="s">
        <v>79</v>
      </c>
      <c r="X17" t="s">
        <v>80</v>
      </c>
      <c r="Y17">
        <v>0</v>
      </c>
      <c r="Z17" t="s">
        <v>81</v>
      </c>
      <c r="AA17">
        <v>8</v>
      </c>
      <c r="AB17" t="s">
        <v>82</v>
      </c>
      <c r="AG17">
        <v>6.1310000000000002</v>
      </c>
      <c r="AJ17" t="b">
        <v>0</v>
      </c>
      <c r="AK17">
        <v>15</v>
      </c>
      <c r="AL17" t="s">
        <v>90</v>
      </c>
      <c r="AM17">
        <v>6131</v>
      </c>
      <c r="AT17" t="b">
        <v>0</v>
      </c>
      <c r="AU17">
        <v>7</v>
      </c>
      <c r="AX17" t="b">
        <v>0</v>
      </c>
      <c r="AY17">
        <v>0</v>
      </c>
      <c r="BB17" t="b">
        <v>0</v>
      </c>
      <c r="BC17">
        <v>235899</v>
      </c>
      <c r="BD17">
        <v>208808</v>
      </c>
      <c r="BE17">
        <v>235899</v>
      </c>
      <c r="BF17" t="b">
        <v>1</v>
      </c>
      <c r="BG17">
        <v>0</v>
      </c>
      <c r="BH17">
        <v>-1</v>
      </c>
      <c r="BI17">
        <v>0</v>
      </c>
      <c r="BJ17" t="b">
        <v>0</v>
      </c>
      <c r="BK17">
        <v>0</v>
      </c>
      <c r="BL17" t="b">
        <v>0</v>
      </c>
      <c r="BM17" t="b">
        <v>1</v>
      </c>
    </row>
    <row r="18" spans="1:65" x14ac:dyDescent="0.25">
      <c r="A18" t="s">
        <v>65</v>
      </c>
      <c r="B18" t="s">
        <v>66</v>
      </c>
      <c r="C18">
        <v>20180101</v>
      </c>
      <c r="D18">
        <v>2018</v>
      </c>
      <c r="E18">
        <v>52</v>
      </c>
      <c r="F18" t="s">
        <v>100</v>
      </c>
      <c r="G18">
        <v>56</v>
      </c>
      <c r="H18" t="s">
        <v>101</v>
      </c>
      <c r="I18" t="s">
        <v>102</v>
      </c>
      <c r="J18" t="s">
        <v>70</v>
      </c>
      <c r="K18" t="s">
        <v>71</v>
      </c>
      <c r="L18">
        <v>686</v>
      </c>
      <c r="M18" t="s">
        <v>72</v>
      </c>
      <c r="N18" t="s">
        <v>73</v>
      </c>
      <c r="O18" t="s">
        <v>97</v>
      </c>
      <c r="P18" t="s">
        <v>75</v>
      </c>
      <c r="Q18" t="b">
        <v>1</v>
      </c>
      <c r="R18" t="s">
        <v>76</v>
      </c>
      <c r="S18" t="s">
        <v>77</v>
      </c>
      <c r="T18">
        <v>4</v>
      </c>
      <c r="U18" t="b">
        <v>0</v>
      </c>
      <c r="V18" t="s">
        <v>78</v>
      </c>
      <c r="W18" t="s">
        <v>79</v>
      </c>
      <c r="X18" t="s">
        <v>80</v>
      </c>
      <c r="Y18">
        <v>0</v>
      </c>
      <c r="Z18" t="s">
        <v>81</v>
      </c>
      <c r="AA18">
        <v>8</v>
      </c>
      <c r="AB18" t="s">
        <v>82</v>
      </c>
      <c r="AC18">
        <v>8</v>
      </c>
      <c r="AD18" t="s">
        <v>82</v>
      </c>
      <c r="AG18">
        <v>18.100000000000001</v>
      </c>
      <c r="AH18">
        <v>16</v>
      </c>
      <c r="AJ18" t="b">
        <v>0</v>
      </c>
      <c r="AK18">
        <v>15</v>
      </c>
      <c r="AL18" t="s">
        <v>90</v>
      </c>
      <c r="AM18">
        <v>18100</v>
      </c>
      <c r="AN18">
        <v>8</v>
      </c>
      <c r="AO18" t="s">
        <v>82</v>
      </c>
      <c r="AR18">
        <v>16</v>
      </c>
      <c r="AT18" t="b">
        <v>0</v>
      </c>
      <c r="AU18">
        <v>18.100000000000001</v>
      </c>
      <c r="AV18">
        <v>16</v>
      </c>
      <c r="AX18" t="b">
        <v>0</v>
      </c>
      <c r="AY18">
        <v>0</v>
      </c>
      <c r="BB18" t="b">
        <v>0</v>
      </c>
      <c r="BC18">
        <v>686736.95900000003</v>
      </c>
      <c r="BD18">
        <v>0</v>
      </c>
      <c r="BE18">
        <v>686736.95900000003</v>
      </c>
      <c r="BF18" t="b">
        <v>1</v>
      </c>
      <c r="BG18">
        <v>289550.19799999997</v>
      </c>
      <c r="BH18">
        <v>-0.5783681157606082</v>
      </c>
      <c r="BI18">
        <v>0</v>
      </c>
      <c r="BJ18" t="b">
        <v>0</v>
      </c>
      <c r="BK18">
        <v>0</v>
      </c>
      <c r="BL18" t="b">
        <v>0</v>
      </c>
      <c r="BM18" t="b">
        <v>1</v>
      </c>
    </row>
    <row r="19" spans="1:65" x14ac:dyDescent="0.25">
      <c r="A19" t="s">
        <v>65</v>
      </c>
      <c r="B19" t="s">
        <v>66</v>
      </c>
      <c r="C19">
        <v>20180101</v>
      </c>
      <c r="D19">
        <v>2018</v>
      </c>
      <c r="E19">
        <v>52</v>
      </c>
      <c r="F19" t="s">
        <v>100</v>
      </c>
      <c r="G19">
        <v>372</v>
      </c>
      <c r="H19" t="s">
        <v>103</v>
      </c>
      <c r="I19" t="s">
        <v>104</v>
      </c>
      <c r="J19" t="s">
        <v>70</v>
      </c>
      <c r="K19" t="s">
        <v>71</v>
      </c>
      <c r="L19">
        <v>686</v>
      </c>
      <c r="M19" t="s">
        <v>72</v>
      </c>
      <c r="N19" t="s">
        <v>73</v>
      </c>
      <c r="O19" t="s">
        <v>97</v>
      </c>
      <c r="P19" t="s">
        <v>75</v>
      </c>
      <c r="Q19" t="b">
        <v>1</v>
      </c>
      <c r="R19" t="s">
        <v>76</v>
      </c>
      <c r="S19" t="s">
        <v>77</v>
      </c>
      <c r="T19">
        <v>4</v>
      </c>
      <c r="U19" t="b">
        <v>0</v>
      </c>
      <c r="V19" t="s">
        <v>78</v>
      </c>
      <c r="W19" t="s">
        <v>79</v>
      </c>
      <c r="X19" t="s">
        <v>80</v>
      </c>
      <c r="Y19">
        <v>0</v>
      </c>
      <c r="Z19" t="s">
        <v>81</v>
      </c>
      <c r="AA19">
        <v>8</v>
      </c>
      <c r="AB19" t="s">
        <v>82</v>
      </c>
      <c r="AG19">
        <v>2E-3</v>
      </c>
      <c r="AJ19" t="b">
        <v>0</v>
      </c>
      <c r="AK19">
        <v>15</v>
      </c>
      <c r="AL19" t="s">
        <v>90</v>
      </c>
      <c r="AM19">
        <v>2</v>
      </c>
      <c r="AT19" t="b">
        <v>0</v>
      </c>
      <c r="AU19">
        <v>2E-3</v>
      </c>
      <c r="AX19" t="b">
        <v>0</v>
      </c>
      <c r="AY19">
        <v>0</v>
      </c>
      <c r="BB19" t="b">
        <v>0</v>
      </c>
      <c r="BC19">
        <v>94.475999999999999</v>
      </c>
      <c r="BD19">
        <v>0</v>
      </c>
      <c r="BE19">
        <v>94.475999999999999</v>
      </c>
      <c r="BF19" t="b">
        <v>1</v>
      </c>
      <c r="BG19">
        <v>0</v>
      </c>
      <c r="BH19">
        <v>-1</v>
      </c>
      <c r="BI19">
        <v>0</v>
      </c>
      <c r="BJ19" t="b">
        <v>0</v>
      </c>
      <c r="BK19">
        <v>0</v>
      </c>
      <c r="BL19" t="b">
        <v>0</v>
      </c>
      <c r="BM19" t="b">
        <v>1</v>
      </c>
    </row>
    <row r="20" spans="1:65" x14ac:dyDescent="0.25">
      <c r="A20" t="s">
        <v>65</v>
      </c>
      <c r="B20" t="s">
        <v>66</v>
      </c>
      <c r="C20">
        <v>20180101</v>
      </c>
      <c r="D20">
        <v>2018</v>
      </c>
      <c r="E20">
        <v>52</v>
      </c>
      <c r="F20" t="s">
        <v>100</v>
      </c>
      <c r="G20">
        <v>380</v>
      </c>
      <c r="H20" t="s">
        <v>68</v>
      </c>
      <c r="I20" t="s">
        <v>69</v>
      </c>
      <c r="J20" t="s">
        <v>70</v>
      </c>
      <c r="K20" t="s">
        <v>71</v>
      </c>
      <c r="L20">
        <v>686</v>
      </c>
      <c r="M20" t="s">
        <v>72</v>
      </c>
      <c r="N20" t="s">
        <v>73</v>
      </c>
      <c r="O20" t="s">
        <v>97</v>
      </c>
      <c r="P20" t="s">
        <v>75</v>
      </c>
      <c r="Q20" t="b">
        <v>1</v>
      </c>
      <c r="R20" t="s">
        <v>76</v>
      </c>
      <c r="S20" t="s">
        <v>77</v>
      </c>
      <c r="T20">
        <v>4</v>
      </c>
      <c r="U20" t="b">
        <v>0</v>
      </c>
      <c r="V20" t="s">
        <v>78</v>
      </c>
      <c r="W20" t="s">
        <v>79</v>
      </c>
      <c r="X20" t="s">
        <v>80</v>
      </c>
      <c r="Y20">
        <v>0</v>
      </c>
      <c r="Z20" t="s">
        <v>81</v>
      </c>
      <c r="AA20">
        <v>8</v>
      </c>
      <c r="AB20" t="s">
        <v>82</v>
      </c>
      <c r="AC20">
        <v>8</v>
      </c>
      <c r="AD20" t="s">
        <v>82</v>
      </c>
      <c r="AG20">
        <v>194.50299999999999</v>
      </c>
      <c r="AH20">
        <v>213</v>
      </c>
      <c r="AJ20" t="b">
        <v>0</v>
      </c>
      <c r="AK20">
        <v>-1</v>
      </c>
      <c r="AL20" t="s">
        <v>83</v>
      </c>
      <c r="AM20">
        <v>0</v>
      </c>
      <c r="AN20">
        <v>8</v>
      </c>
      <c r="AO20" t="s">
        <v>82</v>
      </c>
      <c r="AR20">
        <v>213</v>
      </c>
      <c r="AT20" t="b">
        <v>0</v>
      </c>
      <c r="AU20">
        <v>196</v>
      </c>
      <c r="AV20">
        <v>213</v>
      </c>
      <c r="AX20" t="b">
        <v>0</v>
      </c>
      <c r="AY20">
        <v>0</v>
      </c>
      <c r="BB20" t="b">
        <v>0</v>
      </c>
      <c r="BC20">
        <v>6362173.5599999996</v>
      </c>
      <c r="BE20">
        <v>6362173.5599999996</v>
      </c>
      <c r="BF20" t="b">
        <v>1</v>
      </c>
      <c r="BG20">
        <v>4211711.2350000003</v>
      </c>
      <c r="BH20">
        <v>-0.33800749142090358</v>
      </c>
      <c r="BI20">
        <v>0</v>
      </c>
      <c r="BJ20" t="b">
        <v>0</v>
      </c>
      <c r="BK20">
        <v>0</v>
      </c>
      <c r="BL20" t="b">
        <v>0</v>
      </c>
      <c r="BM20" t="b">
        <v>1</v>
      </c>
    </row>
    <row r="21" spans="1:65" x14ac:dyDescent="0.25">
      <c r="A21" t="s">
        <v>65</v>
      </c>
      <c r="B21" t="s">
        <v>66</v>
      </c>
      <c r="C21">
        <v>20180101</v>
      </c>
      <c r="D21">
        <v>2018</v>
      </c>
      <c r="E21">
        <v>52</v>
      </c>
      <c r="F21" t="s">
        <v>100</v>
      </c>
      <c r="G21">
        <v>392</v>
      </c>
      <c r="H21" t="s">
        <v>105</v>
      </c>
      <c r="I21" t="s">
        <v>106</v>
      </c>
      <c r="J21" t="s">
        <v>70</v>
      </c>
      <c r="K21" t="s">
        <v>71</v>
      </c>
      <c r="L21">
        <v>686</v>
      </c>
      <c r="M21" t="s">
        <v>72</v>
      </c>
      <c r="N21" t="s">
        <v>73</v>
      </c>
      <c r="O21" t="s">
        <v>97</v>
      </c>
      <c r="P21" t="s">
        <v>75</v>
      </c>
      <c r="Q21" t="b">
        <v>1</v>
      </c>
      <c r="R21" t="s">
        <v>76</v>
      </c>
      <c r="S21" t="s">
        <v>77</v>
      </c>
      <c r="T21">
        <v>4</v>
      </c>
      <c r="U21" t="b">
        <v>0</v>
      </c>
      <c r="V21" t="s">
        <v>78</v>
      </c>
      <c r="W21" t="s">
        <v>79</v>
      </c>
      <c r="X21" t="s">
        <v>80</v>
      </c>
      <c r="Y21">
        <v>0</v>
      </c>
      <c r="Z21" t="s">
        <v>81</v>
      </c>
      <c r="AA21">
        <v>8</v>
      </c>
      <c r="AB21" t="s">
        <v>82</v>
      </c>
      <c r="AC21">
        <v>8</v>
      </c>
      <c r="AD21" t="s">
        <v>82</v>
      </c>
      <c r="AG21">
        <v>3.4980000000000002</v>
      </c>
      <c r="AH21">
        <v>3</v>
      </c>
      <c r="AJ21" t="b">
        <v>0</v>
      </c>
      <c r="AK21">
        <v>15</v>
      </c>
      <c r="AL21" t="s">
        <v>90</v>
      </c>
      <c r="AM21">
        <v>3498</v>
      </c>
      <c r="AN21">
        <v>8</v>
      </c>
      <c r="AO21" t="s">
        <v>82</v>
      </c>
      <c r="AR21">
        <v>3</v>
      </c>
      <c r="AT21" t="b">
        <v>0</v>
      </c>
      <c r="AU21">
        <v>3.4980000000000002</v>
      </c>
      <c r="AV21">
        <v>3</v>
      </c>
      <c r="AX21" t="b">
        <v>0</v>
      </c>
      <c r="AY21">
        <v>0</v>
      </c>
      <c r="BB21" t="b">
        <v>0</v>
      </c>
      <c r="BC21">
        <v>123289.04399999999</v>
      </c>
      <c r="BD21">
        <v>0</v>
      </c>
      <c r="BE21">
        <v>123289.04399999999</v>
      </c>
      <c r="BF21" t="b">
        <v>1</v>
      </c>
      <c r="BG21">
        <v>97629.391000000003</v>
      </c>
      <c r="BH21">
        <v>-0.20812597914215303</v>
      </c>
      <c r="BI21">
        <v>0</v>
      </c>
      <c r="BJ21" t="b">
        <v>0</v>
      </c>
      <c r="BK21">
        <v>0</v>
      </c>
      <c r="BL21" t="b">
        <v>0</v>
      </c>
      <c r="BM21" t="b">
        <v>1</v>
      </c>
    </row>
    <row r="22" spans="1:65" x14ac:dyDescent="0.25">
      <c r="A22" t="s">
        <v>65</v>
      </c>
      <c r="B22" t="s">
        <v>66</v>
      </c>
      <c r="C22">
        <v>20180101</v>
      </c>
      <c r="D22">
        <v>2018</v>
      </c>
      <c r="E22">
        <v>52</v>
      </c>
      <c r="F22" t="s">
        <v>100</v>
      </c>
      <c r="G22">
        <v>724</v>
      </c>
      <c r="H22" t="s">
        <v>98</v>
      </c>
      <c r="I22" t="s">
        <v>99</v>
      </c>
      <c r="J22" t="s">
        <v>70</v>
      </c>
      <c r="K22" t="s">
        <v>71</v>
      </c>
      <c r="L22">
        <v>686</v>
      </c>
      <c r="M22" t="s">
        <v>72</v>
      </c>
      <c r="N22" t="s">
        <v>73</v>
      </c>
      <c r="O22" t="s">
        <v>97</v>
      </c>
      <c r="P22" t="s">
        <v>75</v>
      </c>
      <c r="Q22" t="b">
        <v>1</v>
      </c>
      <c r="R22" t="s">
        <v>76</v>
      </c>
      <c r="S22" t="s">
        <v>77</v>
      </c>
      <c r="T22">
        <v>4</v>
      </c>
      <c r="U22" t="b">
        <v>0</v>
      </c>
      <c r="V22" t="s">
        <v>78</v>
      </c>
      <c r="W22" t="s">
        <v>79</v>
      </c>
      <c r="X22" t="s">
        <v>80</v>
      </c>
      <c r="Y22">
        <v>0</v>
      </c>
      <c r="Z22" t="s">
        <v>81</v>
      </c>
      <c r="AA22">
        <v>8</v>
      </c>
      <c r="AB22" t="s">
        <v>82</v>
      </c>
      <c r="AC22">
        <v>8</v>
      </c>
      <c r="AD22" t="s">
        <v>82</v>
      </c>
      <c r="AG22">
        <v>2.8</v>
      </c>
      <c r="AH22">
        <v>3</v>
      </c>
      <c r="AJ22" t="b">
        <v>0</v>
      </c>
      <c r="AK22">
        <v>15</v>
      </c>
      <c r="AL22" t="s">
        <v>90</v>
      </c>
      <c r="AM22">
        <v>2800</v>
      </c>
      <c r="AN22">
        <v>8</v>
      </c>
      <c r="AO22" t="s">
        <v>82</v>
      </c>
      <c r="AR22">
        <v>3</v>
      </c>
      <c r="AT22" t="b">
        <v>0</v>
      </c>
      <c r="AU22">
        <v>2.8</v>
      </c>
      <c r="AV22">
        <v>3</v>
      </c>
      <c r="AX22" t="b">
        <v>0</v>
      </c>
      <c r="AY22">
        <v>0</v>
      </c>
      <c r="BB22" t="b">
        <v>0</v>
      </c>
      <c r="BC22">
        <v>115793.16800000001</v>
      </c>
      <c r="BE22">
        <v>115793.16800000001</v>
      </c>
      <c r="BF22" t="b">
        <v>1</v>
      </c>
      <c r="BG22">
        <v>59926.824000000001</v>
      </c>
      <c r="BH22">
        <v>-0.48246666849982034</v>
      </c>
      <c r="BI22">
        <v>0</v>
      </c>
      <c r="BJ22" t="b">
        <v>0</v>
      </c>
      <c r="BK22">
        <v>0</v>
      </c>
      <c r="BL22" t="b">
        <v>0</v>
      </c>
      <c r="BM22" t="b">
        <v>1</v>
      </c>
    </row>
    <row r="23" spans="1:65" x14ac:dyDescent="0.25">
      <c r="A23" t="s">
        <v>65</v>
      </c>
      <c r="B23" t="s">
        <v>66</v>
      </c>
      <c r="C23">
        <v>20180101</v>
      </c>
      <c r="D23">
        <v>2018</v>
      </c>
      <c r="E23">
        <v>52</v>
      </c>
      <c r="F23" t="s">
        <v>100</v>
      </c>
      <c r="G23">
        <v>757</v>
      </c>
      <c r="H23" t="s">
        <v>84</v>
      </c>
      <c r="I23" t="s">
        <v>85</v>
      </c>
      <c r="J23" t="s">
        <v>70</v>
      </c>
      <c r="K23" t="s">
        <v>71</v>
      </c>
      <c r="L23">
        <v>686</v>
      </c>
      <c r="M23" t="s">
        <v>72</v>
      </c>
      <c r="N23" t="s">
        <v>73</v>
      </c>
      <c r="O23" t="s">
        <v>97</v>
      </c>
      <c r="P23" t="s">
        <v>75</v>
      </c>
      <c r="Q23" t="b">
        <v>1</v>
      </c>
      <c r="R23" t="s">
        <v>76</v>
      </c>
      <c r="S23" t="s">
        <v>77</v>
      </c>
      <c r="T23">
        <v>4</v>
      </c>
      <c r="U23" t="b">
        <v>0</v>
      </c>
      <c r="V23" t="s">
        <v>78</v>
      </c>
      <c r="W23" t="s">
        <v>79</v>
      </c>
      <c r="X23" t="s">
        <v>80</v>
      </c>
      <c r="Y23">
        <v>0</v>
      </c>
      <c r="Z23" t="s">
        <v>81</v>
      </c>
      <c r="AA23">
        <v>8</v>
      </c>
      <c r="AB23" t="s">
        <v>82</v>
      </c>
      <c r="AC23">
        <v>8</v>
      </c>
      <c r="AD23" t="s">
        <v>82</v>
      </c>
      <c r="AG23">
        <v>13436</v>
      </c>
      <c r="AH23">
        <v>12446</v>
      </c>
      <c r="AJ23" t="b">
        <v>0</v>
      </c>
      <c r="AK23">
        <v>8</v>
      </c>
      <c r="AL23" t="s">
        <v>82</v>
      </c>
      <c r="AM23">
        <v>13436</v>
      </c>
      <c r="AN23">
        <v>8</v>
      </c>
      <c r="AO23" t="s">
        <v>82</v>
      </c>
      <c r="AR23">
        <v>12446</v>
      </c>
      <c r="AT23" t="b">
        <v>0</v>
      </c>
      <c r="AU23">
        <v>13436</v>
      </c>
      <c r="AV23">
        <v>12446</v>
      </c>
      <c r="AX23" t="b">
        <v>0</v>
      </c>
      <c r="AY23">
        <v>0</v>
      </c>
      <c r="BB23" t="b">
        <v>0</v>
      </c>
      <c r="BC23">
        <v>500809858.685</v>
      </c>
      <c r="BD23">
        <v>0</v>
      </c>
      <c r="BE23">
        <v>500809858.685</v>
      </c>
      <c r="BF23" t="b">
        <v>1</v>
      </c>
      <c r="BG23">
        <v>512503505.18400002</v>
      </c>
      <c r="BH23">
        <v>2.3349473450272162E-2</v>
      </c>
      <c r="BI23">
        <v>0</v>
      </c>
      <c r="BJ23" t="b">
        <v>0</v>
      </c>
      <c r="BK23">
        <v>0</v>
      </c>
      <c r="BL23" t="b">
        <v>0</v>
      </c>
      <c r="BM23" t="b">
        <v>1</v>
      </c>
    </row>
    <row r="24" spans="1:65" x14ac:dyDescent="0.25">
      <c r="A24" t="s">
        <v>65</v>
      </c>
      <c r="B24" t="s">
        <v>66</v>
      </c>
      <c r="C24">
        <v>20180101</v>
      </c>
      <c r="D24">
        <v>2018</v>
      </c>
      <c r="E24">
        <v>52</v>
      </c>
      <c r="F24" t="s">
        <v>100</v>
      </c>
      <c r="G24">
        <v>784</v>
      </c>
      <c r="H24" t="s">
        <v>86</v>
      </c>
      <c r="I24" t="s">
        <v>87</v>
      </c>
      <c r="J24" t="s">
        <v>70</v>
      </c>
      <c r="K24" t="s">
        <v>71</v>
      </c>
      <c r="L24">
        <v>686</v>
      </c>
      <c r="M24" t="s">
        <v>72</v>
      </c>
      <c r="N24" t="s">
        <v>73</v>
      </c>
      <c r="O24" t="s">
        <v>97</v>
      </c>
      <c r="P24" t="s">
        <v>75</v>
      </c>
      <c r="Q24" t="b">
        <v>1</v>
      </c>
      <c r="R24" t="s">
        <v>76</v>
      </c>
      <c r="S24" t="s">
        <v>77</v>
      </c>
      <c r="T24">
        <v>4</v>
      </c>
      <c r="U24" t="b">
        <v>0</v>
      </c>
      <c r="V24" t="s">
        <v>78</v>
      </c>
      <c r="W24" t="s">
        <v>79</v>
      </c>
      <c r="X24" t="s">
        <v>80</v>
      </c>
      <c r="Y24">
        <v>0</v>
      </c>
      <c r="Z24" t="s">
        <v>81</v>
      </c>
      <c r="AA24">
        <v>8</v>
      </c>
      <c r="AB24" t="s">
        <v>82</v>
      </c>
      <c r="AC24">
        <v>8</v>
      </c>
      <c r="AD24" t="s">
        <v>82</v>
      </c>
      <c r="AG24">
        <v>4819.79</v>
      </c>
      <c r="AH24">
        <v>2209</v>
      </c>
      <c r="AJ24" t="b">
        <v>0</v>
      </c>
      <c r="AK24">
        <v>8</v>
      </c>
      <c r="AL24" t="s">
        <v>82</v>
      </c>
      <c r="AM24">
        <v>4819.79</v>
      </c>
      <c r="AN24">
        <v>8</v>
      </c>
      <c r="AO24" t="s">
        <v>82</v>
      </c>
      <c r="AR24">
        <v>2209</v>
      </c>
      <c r="AT24" t="b">
        <v>0</v>
      </c>
      <c r="AU24">
        <v>4819.79</v>
      </c>
      <c r="AV24">
        <v>2209</v>
      </c>
      <c r="AX24" t="b">
        <v>0</v>
      </c>
      <c r="AY24">
        <v>0</v>
      </c>
      <c r="BB24" t="b">
        <v>0</v>
      </c>
      <c r="BC24">
        <v>167269387.57699999</v>
      </c>
      <c r="BD24">
        <v>0</v>
      </c>
      <c r="BE24">
        <v>167269387.57699999</v>
      </c>
      <c r="BF24" t="b">
        <v>1</v>
      </c>
      <c r="BG24">
        <v>46106326.458999999</v>
      </c>
      <c r="BH24">
        <v>-0.72435884935744366</v>
      </c>
      <c r="BI24">
        <v>0</v>
      </c>
      <c r="BJ24" t="b">
        <v>0</v>
      </c>
      <c r="BK24">
        <v>0</v>
      </c>
      <c r="BL24" t="b">
        <v>0</v>
      </c>
      <c r="BM24" t="b">
        <v>1</v>
      </c>
    </row>
    <row r="25" spans="1:65" x14ac:dyDescent="0.25">
      <c r="A25" t="s">
        <v>65</v>
      </c>
      <c r="B25" t="s">
        <v>66</v>
      </c>
      <c r="C25">
        <v>20180101</v>
      </c>
      <c r="D25">
        <v>2018</v>
      </c>
      <c r="E25">
        <v>52</v>
      </c>
      <c r="F25" t="s">
        <v>100</v>
      </c>
      <c r="G25">
        <v>792</v>
      </c>
      <c r="H25" t="s">
        <v>94</v>
      </c>
      <c r="I25" t="s">
        <v>95</v>
      </c>
      <c r="J25" t="s">
        <v>70</v>
      </c>
      <c r="K25" t="s">
        <v>71</v>
      </c>
      <c r="L25">
        <v>686</v>
      </c>
      <c r="M25" t="s">
        <v>72</v>
      </c>
      <c r="N25" t="s">
        <v>73</v>
      </c>
      <c r="O25" t="s">
        <v>97</v>
      </c>
      <c r="P25" t="s">
        <v>75</v>
      </c>
      <c r="Q25" t="b">
        <v>1</v>
      </c>
      <c r="R25" t="s">
        <v>76</v>
      </c>
      <c r="S25" t="s">
        <v>77</v>
      </c>
      <c r="T25">
        <v>4</v>
      </c>
      <c r="U25" t="b">
        <v>0</v>
      </c>
      <c r="V25" t="s">
        <v>78</v>
      </c>
      <c r="W25" t="s">
        <v>79</v>
      </c>
      <c r="X25" t="s">
        <v>80</v>
      </c>
      <c r="Y25">
        <v>0</v>
      </c>
      <c r="Z25" t="s">
        <v>81</v>
      </c>
      <c r="AA25">
        <v>8</v>
      </c>
      <c r="AB25" t="s">
        <v>82</v>
      </c>
      <c r="AG25">
        <v>15.64</v>
      </c>
      <c r="AJ25" t="b">
        <v>0</v>
      </c>
      <c r="AK25">
        <v>15</v>
      </c>
      <c r="AL25" t="s">
        <v>90</v>
      </c>
      <c r="AM25">
        <v>15640</v>
      </c>
      <c r="AT25" t="b">
        <v>0</v>
      </c>
      <c r="AU25">
        <v>16</v>
      </c>
      <c r="AX25" t="b">
        <v>0</v>
      </c>
      <c r="AY25">
        <v>0</v>
      </c>
      <c r="BB25" t="b">
        <v>0</v>
      </c>
      <c r="BC25">
        <v>541291</v>
      </c>
      <c r="BD25">
        <v>522902</v>
      </c>
      <c r="BE25">
        <v>541291</v>
      </c>
      <c r="BF25" t="b">
        <v>1</v>
      </c>
      <c r="BG25">
        <v>0</v>
      </c>
      <c r="BH25">
        <v>-1</v>
      </c>
      <c r="BI25">
        <v>0</v>
      </c>
      <c r="BJ25" t="b">
        <v>0</v>
      </c>
      <c r="BK25">
        <v>0</v>
      </c>
      <c r="BL25" t="b">
        <v>0</v>
      </c>
      <c r="BM25" t="b">
        <v>1</v>
      </c>
    </row>
    <row r="26" spans="1:65" x14ac:dyDescent="0.25">
      <c r="A26" t="s">
        <v>65</v>
      </c>
      <c r="B26" t="s">
        <v>66</v>
      </c>
      <c r="C26">
        <v>20180101</v>
      </c>
      <c r="D26">
        <v>2018</v>
      </c>
      <c r="E26">
        <v>52</v>
      </c>
      <c r="F26" t="s">
        <v>100</v>
      </c>
      <c r="G26">
        <v>842</v>
      </c>
      <c r="H26" t="s">
        <v>107</v>
      </c>
      <c r="I26" t="s">
        <v>107</v>
      </c>
      <c r="J26" t="s">
        <v>70</v>
      </c>
      <c r="K26" t="s">
        <v>71</v>
      </c>
      <c r="L26">
        <v>686</v>
      </c>
      <c r="M26" t="s">
        <v>72</v>
      </c>
      <c r="N26" t="s">
        <v>73</v>
      </c>
      <c r="O26" t="s">
        <v>97</v>
      </c>
      <c r="P26" t="s">
        <v>75</v>
      </c>
      <c r="Q26" t="b">
        <v>1</v>
      </c>
      <c r="R26" t="s">
        <v>76</v>
      </c>
      <c r="S26" t="s">
        <v>77</v>
      </c>
      <c r="T26">
        <v>4</v>
      </c>
      <c r="U26" t="b">
        <v>0</v>
      </c>
      <c r="V26" t="s">
        <v>78</v>
      </c>
      <c r="W26" t="s">
        <v>79</v>
      </c>
      <c r="X26" t="s">
        <v>80</v>
      </c>
      <c r="Y26">
        <v>0</v>
      </c>
      <c r="Z26" t="s">
        <v>81</v>
      </c>
      <c r="AA26">
        <v>8</v>
      </c>
      <c r="AB26" t="s">
        <v>82</v>
      </c>
      <c r="AG26">
        <v>20.033999999999999</v>
      </c>
      <c r="AJ26" t="b">
        <v>0</v>
      </c>
      <c r="AK26">
        <v>-1</v>
      </c>
      <c r="AL26" t="s">
        <v>83</v>
      </c>
      <c r="AM26">
        <v>0</v>
      </c>
      <c r="AT26" t="b">
        <v>0</v>
      </c>
      <c r="AU26">
        <v>20.033999999999999</v>
      </c>
      <c r="AX26" t="b">
        <v>0</v>
      </c>
      <c r="AY26">
        <v>0</v>
      </c>
      <c r="BB26" t="b">
        <v>0</v>
      </c>
      <c r="BC26">
        <v>801860</v>
      </c>
      <c r="BD26">
        <v>0</v>
      </c>
      <c r="BE26">
        <v>801860</v>
      </c>
      <c r="BF26" t="b">
        <v>1</v>
      </c>
      <c r="BG26">
        <v>0</v>
      </c>
      <c r="BH26">
        <v>-1</v>
      </c>
      <c r="BI26">
        <v>0</v>
      </c>
      <c r="BJ26" t="b">
        <v>0</v>
      </c>
      <c r="BK26">
        <v>0</v>
      </c>
      <c r="BL26" t="b">
        <v>0</v>
      </c>
      <c r="BM26" t="b">
        <v>1</v>
      </c>
    </row>
    <row r="27" spans="1:65" x14ac:dyDescent="0.25">
      <c r="A27" t="s">
        <v>65</v>
      </c>
      <c r="B27" t="s">
        <v>66</v>
      </c>
      <c r="C27">
        <v>20190101</v>
      </c>
      <c r="D27">
        <v>2019</v>
      </c>
      <c r="E27">
        <v>52</v>
      </c>
      <c r="F27" t="s">
        <v>108</v>
      </c>
      <c r="G27">
        <v>380</v>
      </c>
      <c r="H27" t="s">
        <v>68</v>
      </c>
      <c r="I27" t="s">
        <v>69</v>
      </c>
      <c r="J27" t="s">
        <v>70</v>
      </c>
      <c r="K27" t="s">
        <v>71</v>
      </c>
      <c r="L27">
        <v>686</v>
      </c>
      <c r="M27" t="s">
        <v>72</v>
      </c>
      <c r="N27" t="s">
        <v>73</v>
      </c>
      <c r="O27" t="s">
        <v>97</v>
      </c>
      <c r="P27" t="s">
        <v>75</v>
      </c>
      <c r="Q27" t="b">
        <v>1</v>
      </c>
      <c r="R27" t="s">
        <v>76</v>
      </c>
      <c r="S27" t="s">
        <v>77</v>
      </c>
      <c r="T27">
        <v>4</v>
      </c>
      <c r="U27" t="b">
        <v>0</v>
      </c>
      <c r="V27" t="s">
        <v>78</v>
      </c>
      <c r="W27" t="s">
        <v>79</v>
      </c>
      <c r="X27" t="s">
        <v>80</v>
      </c>
      <c r="Y27">
        <v>0</v>
      </c>
      <c r="Z27" t="s">
        <v>81</v>
      </c>
      <c r="AA27">
        <v>8</v>
      </c>
      <c r="AB27" t="s">
        <v>82</v>
      </c>
      <c r="AC27">
        <v>8</v>
      </c>
      <c r="AD27" t="s">
        <v>82</v>
      </c>
      <c r="AG27">
        <v>165.702</v>
      </c>
      <c r="AH27">
        <v>211</v>
      </c>
      <c r="AJ27" t="b">
        <v>0</v>
      </c>
      <c r="AK27">
        <v>-1</v>
      </c>
      <c r="AL27" t="s">
        <v>83</v>
      </c>
      <c r="AM27">
        <v>0</v>
      </c>
      <c r="AN27">
        <v>8</v>
      </c>
      <c r="AO27" t="s">
        <v>82</v>
      </c>
      <c r="AR27">
        <v>211</v>
      </c>
      <c r="AT27" t="b">
        <v>0</v>
      </c>
      <c r="AU27">
        <v>168</v>
      </c>
      <c r="AV27">
        <v>211</v>
      </c>
      <c r="AX27" t="b">
        <v>0</v>
      </c>
      <c r="AY27">
        <v>0</v>
      </c>
      <c r="AZ27">
        <v>0</v>
      </c>
      <c r="BB27" t="b">
        <v>0</v>
      </c>
      <c r="BC27">
        <v>6102623.5410000002</v>
      </c>
      <c r="BE27">
        <v>6102623.5410000002</v>
      </c>
      <c r="BF27" t="b">
        <v>1</v>
      </c>
      <c r="BG27">
        <v>3972481.0189999999</v>
      </c>
      <c r="BH27">
        <v>-0.34905356813980148</v>
      </c>
      <c r="BI27">
        <v>0</v>
      </c>
      <c r="BJ27" t="b">
        <v>0</v>
      </c>
      <c r="BK27">
        <v>0</v>
      </c>
      <c r="BL27" t="b">
        <v>0</v>
      </c>
      <c r="BM27" t="b">
        <v>1</v>
      </c>
    </row>
    <row r="28" spans="1:65" x14ac:dyDescent="0.25">
      <c r="A28" t="s">
        <v>65</v>
      </c>
      <c r="B28" t="s">
        <v>66</v>
      </c>
      <c r="C28">
        <v>20190101</v>
      </c>
      <c r="D28">
        <v>2019</v>
      </c>
      <c r="E28">
        <v>52</v>
      </c>
      <c r="F28" t="s">
        <v>108</v>
      </c>
      <c r="G28">
        <v>524</v>
      </c>
      <c r="H28" t="s">
        <v>109</v>
      </c>
      <c r="I28" t="s">
        <v>110</v>
      </c>
      <c r="J28" t="s">
        <v>70</v>
      </c>
      <c r="K28" t="s">
        <v>71</v>
      </c>
      <c r="L28">
        <v>686</v>
      </c>
      <c r="M28" t="s">
        <v>72</v>
      </c>
      <c r="N28" t="s">
        <v>73</v>
      </c>
      <c r="O28" t="s">
        <v>97</v>
      </c>
      <c r="P28" t="s">
        <v>75</v>
      </c>
      <c r="Q28" t="b">
        <v>1</v>
      </c>
      <c r="R28" t="s">
        <v>76</v>
      </c>
      <c r="S28" t="s">
        <v>77</v>
      </c>
      <c r="T28">
        <v>4</v>
      </c>
      <c r="U28" t="b">
        <v>0</v>
      </c>
      <c r="V28" t="s">
        <v>78</v>
      </c>
      <c r="W28" t="s">
        <v>79</v>
      </c>
      <c r="X28" t="s">
        <v>80</v>
      </c>
      <c r="Y28">
        <v>0</v>
      </c>
      <c r="Z28" t="s">
        <v>81</v>
      </c>
      <c r="AA28">
        <v>8</v>
      </c>
      <c r="AB28" t="s">
        <v>82</v>
      </c>
      <c r="AG28">
        <v>1.0999999999999999E-2</v>
      </c>
      <c r="AJ28" t="b">
        <v>1</v>
      </c>
      <c r="AK28">
        <v>-1</v>
      </c>
      <c r="AL28" t="s">
        <v>83</v>
      </c>
      <c r="AM28">
        <v>0</v>
      </c>
      <c r="AT28" t="b">
        <v>0</v>
      </c>
      <c r="AU28">
        <v>1.0999999999999999E-2</v>
      </c>
      <c r="AX28" t="b">
        <v>1</v>
      </c>
      <c r="AY28">
        <v>0</v>
      </c>
      <c r="BB28" t="b">
        <v>0</v>
      </c>
      <c r="BC28">
        <v>446.18</v>
      </c>
      <c r="BD28">
        <v>0</v>
      </c>
      <c r="BE28">
        <v>446.18</v>
      </c>
      <c r="BF28" t="b">
        <v>1</v>
      </c>
      <c r="BG28">
        <v>0</v>
      </c>
      <c r="BH28">
        <v>-1</v>
      </c>
      <c r="BI28">
        <v>0</v>
      </c>
      <c r="BJ28" t="b">
        <v>0</v>
      </c>
      <c r="BK28">
        <v>6</v>
      </c>
      <c r="BL28" t="b">
        <v>0</v>
      </c>
      <c r="BM28" t="b">
        <v>1</v>
      </c>
    </row>
    <row r="29" spans="1:65" x14ac:dyDescent="0.25">
      <c r="A29" t="s">
        <v>65</v>
      </c>
      <c r="B29" t="s">
        <v>66</v>
      </c>
      <c r="C29">
        <v>20190101</v>
      </c>
      <c r="D29">
        <v>2019</v>
      </c>
      <c r="E29">
        <v>52</v>
      </c>
      <c r="F29" t="s">
        <v>108</v>
      </c>
      <c r="G29">
        <v>562</v>
      </c>
      <c r="H29" t="s">
        <v>111</v>
      </c>
      <c r="I29" t="s">
        <v>112</v>
      </c>
      <c r="J29" t="s">
        <v>70</v>
      </c>
      <c r="K29" t="s">
        <v>71</v>
      </c>
      <c r="L29">
        <v>686</v>
      </c>
      <c r="M29" t="s">
        <v>72</v>
      </c>
      <c r="N29" t="s">
        <v>73</v>
      </c>
      <c r="O29" t="s">
        <v>97</v>
      </c>
      <c r="P29" t="s">
        <v>75</v>
      </c>
      <c r="Q29" t="b">
        <v>1</v>
      </c>
      <c r="R29" t="s">
        <v>76</v>
      </c>
      <c r="S29" t="s">
        <v>77</v>
      </c>
      <c r="T29">
        <v>4</v>
      </c>
      <c r="U29" t="b">
        <v>0</v>
      </c>
      <c r="V29" t="s">
        <v>78</v>
      </c>
      <c r="W29" t="s">
        <v>79</v>
      </c>
      <c r="X29" t="s">
        <v>80</v>
      </c>
      <c r="Y29">
        <v>0</v>
      </c>
      <c r="Z29" t="s">
        <v>81</v>
      </c>
      <c r="AA29">
        <v>8</v>
      </c>
      <c r="AB29" t="s">
        <v>82</v>
      </c>
      <c r="AG29">
        <v>1</v>
      </c>
      <c r="AJ29" t="b">
        <v>0</v>
      </c>
      <c r="AK29">
        <v>8</v>
      </c>
      <c r="AL29" t="s">
        <v>82</v>
      </c>
      <c r="AM29">
        <v>1</v>
      </c>
      <c r="AT29" t="b">
        <v>0</v>
      </c>
      <c r="AU29">
        <v>1</v>
      </c>
      <c r="AX29" t="b">
        <v>0</v>
      </c>
      <c r="AY29">
        <v>0</v>
      </c>
      <c r="BB29" t="b">
        <v>0</v>
      </c>
      <c r="BC29">
        <v>313.60000000000002</v>
      </c>
      <c r="BE29">
        <v>313.60000000000002</v>
      </c>
      <c r="BF29" t="b">
        <v>1</v>
      </c>
      <c r="BG29">
        <v>0</v>
      </c>
      <c r="BH29">
        <v>-1</v>
      </c>
      <c r="BI29">
        <v>0</v>
      </c>
      <c r="BJ29" t="b">
        <v>0</v>
      </c>
      <c r="BK29">
        <v>0</v>
      </c>
      <c r="BL29" t="b">
        <v>0</v>
      </c>
      <c r="BM29" t="b">
        <v>1</v>
      </c>
    </row>
    <row r="30" spans="1:65" x14ac:dyDescent="0.25">
      <c r="A30" t="s">
        <v>65</v>
      </c>
      <c r="B30" t="s">
        <v>66</v>
      </c>
      <c r="C30">
        <v>20190101</v>
      </c>
      <c r="D30">
        <v>2019</v>
      </c>
      <c r="E30">
        <v>52</v>
      </c>
      <c r="F30" t="s">
        <v>108</v>
      </c>
      <c r="G30">
        <v>757</v>
      </c>
      <c r="H30" t="s">
        <v>84</v>
      </c>
      <c r="I30" t="s">
        <v>85</v>
      </c>
      <c r="J30" t="s">
        <v>70</v>
      </c>
      <c r="K30" t="s">
        <v>71</v>
      </c>
      <c r="L30">
        <v>686</v>
      </c>
      <c r="M30" t="s">
        <v>72</v>
      </c>
      <c r="N30" t="s">
        <v>73</v>
      </c>
      <c r="O30" t="s">
        <v>97</v>
      </c>
      <c r="P30" t="s">
        <v>75</v>
      </c>
      <c r="Q30" t="b">
        <v>1</v>
      </c>
      <c r="R30" t="s">
        <v>76</v>
      </c>
      <c r="S30" t="s">
        <v>77</v>
      </c>
      <c r="T30">
        <v>4</v>
      </c>
      <c r="U30" t="b">
        <v>0</v>
      </c>
      <c r="V30" t="s">
        <v>78</v>
      </c>
      <c r="W30" t="s">
        <v>79</v>
      </c>
      <c r="X30" t="s">
        <v>80</v>
      </c>
      <c r="Y30">
        <v>0</v>
      </c>
      <c r="Z30" t="s">
        <v>81</v>
      </c>
      <c r="AA30">
        <v>8</v>
      </c>
      <c r="AB30" t="s">
        <v>82</v>
      </c>
      <c r="AC30">
        <v>8</v>
      </c>
      <c r="AD30" t="s">
        <v>82</v>
      </c>
      <c r="AG30">
        <v>14569</v>
      </c>
      <c r="AH30">
        <v>13134</v>
      </c>
      <c r="AJ30" t="b">
        <v>0</v>
      </c>
      <c r="AK30">
        <v>8</v>
      </c>
      <c r="AL30" t="s">
        <v>82</v>
      </c>
      <c r="AM30">
        <v>14569</v>
      </c>
      <c r="AN30">
        <v>8</v>
      </c>
      <c r="AO30" t="s">
        <v>82</v>
      </c>
      <c r="AR30">
        <v>13134</v>
      </c>
      <c r="AT30" t="b">
        <v>0</v>
      </c>
      <c r="AU30">
        <v>14569</v>
      </c>
      <c r="AV30">
        <v>13134</v>
      </c>
      <c r="AX30" t="b">
        <v>0</v>
      </c>
      <c r="AY30">
        <v>0</v>
      </c>
      <c r="AZ30">
        <v>0</v>
      </c>
      <c r="BB30" t="b">
        <v>0</v>
      </c>
      <c r="BC30">
        <v>590114985.82500005</v>
      </c>
      <c r="BD30">
        <v>0</v>
      </c>
      <c r="BE30">
        <v>590114985.82500005</v>
      </c>
      <c r="BF30" t="b">
        <v>1</v>
      </c>
      <c r="BG30">
        <v>583153453.59800005</v>
      </c>
      <c r="BH30">
        <v>-1.1796908050500599E-2</v>
      </c>
      <c r="BI30">
        <v>0</v>
      </c>
      <c r="BJ30" t="b">
        <v>0</v>
      </c>
      <c r="BK30">
        <v>0</v>
      </c>
      <c r="BL30" t="b">
        <v>0</v>
      </c>
      <c r="BM30" t="b">
        <v>1</v>
      </c>
    </row>
    <row r="31" spans="1:65" x14ac:dyDescent="0.25">
      <c r="A31" t="s">
        <v>65</v>
      </c>
      <c r="B31" t="s">
        <v>66</v>
      </c>
      <c r="C31">
        <v>20190101</v>
      </c>
      <c r="D31">
        <v>2019</v>
      </c>
      <c r="E31">
        <v>52</v>
      </c>
      <c r="F31" t="s">
        <v>108</v>
      </c>
      <c r="G31">
        <v>784</v>
      </c>
      <c r="H31" t="s">
        <v>86</v>
      </c>
      <c r="I31" t="s">
        <v>87</v>
      </c>
      <c r="J31" t="s">
        <v>70</v>
      </c>
      <c r="K31" t="s">
        <v>71</v>
      </c>
      <c r="L31">
        <v>686</v>
      </c>
      <c r="M31" t="s">
        <v>72</v>
      </c>
      <c r="N31" t="s">
        <v>73</v>
      </c>
      <c r="O31" t="s">
        <v>97</v>
      </c>
      <c r="P31" t="s">
        <v>75</v>
      </c>
      <c r="Q31" t="b">
        <v>1</v>
      </c>
      <c r="R31" t="s">
        <v>76</v>
      </c>
      <c r="S31" t="s">
        <v>77</v>
      </c>
      <c r="T31">
        <v>4</v>
      </c>
      <c r="U31" t="b">
        <v>0</v>
      </c>
      <c r="V31" t="s">
        <v>78</v>
      </c>
      <c r="W31" t="s">
        <v>79</v>
      </c>
      <c r="X31" t="s">
        <v>80</v>
      </c>
      <c r="Y31">
        <v>0</v>
      </c>
      <c r="Z31" t="s">
        <v>81</v>
      </c>
      <c r="AA31">
        <v>8</v>
      </c>
      <c r="AB31" t="s">
        <v>82</v>
      </c>
      <c r="AC31">
        <v>8</v>
      </c>
      <c r="AD31" t="s">
        <v>82</v>
      </c>
      <c r="AG31">
        <v>4159.21</v>
      </c>
      <c r="AH31">
        <v>2721</v>
      </c>
      <c r="AJ31" t="b">
        <v>0</v>
      </c>
      <c r="AK31">
        <v>8</v>
      </c>
      <c r="AL31" t="s">
        <v>82</v>
      </c>
      <c r="AM31">
        <v>4159.21</v>
      </c>
      <c r="AN31">
        <v>8</v>
      </c>
      <c r="AO31" t="s">
        <v>82</v>
      </c>
      <c r="AR31">
        <v>2721</v>
      </c>
      <c r="AT31" t="b">
        <v>0</v>
      </c>
      <c r="AU31">
        <v>4159.21</v>
      </c>
      <c r="AV31">
        <v>2721</v>
      </c>
      <c r="AX31" t="b">
        <v>0</v>
      </c>
      <c r="AY31">
        <v>0</v>
      </c>
      <c r="AZ31">
        <v>0</v>
      </c>
      <c r="BB31" t="b">
        <v>0</v>
      </c>
      <c r="BC31">
        <v>167462983.729</v>
      </c>
      <c r="BD31">
        <v>0</v>
      </c>
      <c r="BE31">
        <v>167462983.729</v>
      </c>
      <c r="BF31" t="b">
        <v>1</v>
      </c>
      <c r="BG31">
        <v>54471704.689999998</v>
      </c>
      <c r="BH31">
        <v>-0.6747239092661228</v>
      </c>
      <c r="BI31">
        <v>0</v>
      </c>
      <c r="BJ31" t="b">
        <v>0</v>
      </c>
      <c r="BK31">
        <v>0</v>
      </c>
      <c r="BL31" t="b">
        <v>0</v>
      </c>
      <c r="BM31" t="b">
        <v>1</v>
      </c>
    </row>
    <row r="32" spans="1:65" x14ac:dyDescent="0.25">
      <c r="A32" t="s">
        <v>65</v>
      </c>
      <c r="B32" t="s">
        <v>66</v>
      </c>
      <c r="C32">
        <v>20190101</v>
      </c>
      <c r="D32">
        <v>2019</v>
      </c>
      <c r="E32">
        <v>52</v>
      </c>
      <c r="F32" t="s">
        <v>108</v>
      </c>
      <c r="G32">
        <v>792</v>
      </c>
      <c r="H32" t="s">
        <v>94</v>
      </c>
      <c r="I32" t="s">
        <v>95</v>
      </c>
      <c r="J32" t="s">
        <v>70</v>
      </c>
      <c r="K32" t="s">
        <v>71</v>
      </c>
      <c r="L32">
        <v>686</v>
      </c>
      <c r="M32" t="s">
        <v>72</v>
      </c>
      <c r="N32" t="s">
        <v>73</v>
      </c>
      <c r="O32" t="s">
        <v>97</v>
      </c>
      <c r="P32" t="s">
        <v>75</v>
      </c>
      <c r="Q32" t="b">
        <v>1</v>
      </c>
      <c r="R32" t="s">
        <v>76</v>
      </c>
      <c r="S32" t="s">
        <v>77</v>
      </c>
      <c r="T32">
        <v>4</v>
      </c>
      <c r="U32" t="b">
        <v>0</v>
      </c>
      <c r="V32" t="s">
        <v>78</v>
      </c>
      <c r="W32" t="s">
        <v>79</v>
      </c>
      <c r="X32" t="s">
        <v>80</v>
      </c>
      <c r="Y32">
        <v>0</v>
      </c>
      <c r="Z32" t="s">
        <v>81</v>
      </c>
      <c r="AA32">
        <v>8</v>
      </c>
      <c r="AB32" t="s">
        <v>82</v>
      </c>
      <c r="AG32">
        <v>43.218000000000004</v>
      </c>
      <c r="AJ32" t="b">
        <v>0</v>
      </c>
      <c r="AK32">
        <v>15</v>
      </c>
      <c r="AL32" t="s">
        <v>90</v>
      </c>
      <c r="AM32">
        <v>43218</v>
      </c>
      <c r="AT32" t="b">
        <v>0</v>
      </c>
      <c r="AU32">
        <v>44</v>
      </c>
      <c r="AX32" t="b">
        <v>0</v>
      </c>
      <c r="AY32">
        <v>0</v>
      </c>
      <c r="BB32" t="b">
        <v>0</v>
      </c>
      <c r="BC32">
        <v>1525810</v>
      </c>
      <c r="BD32">
        <v>1524114</v>
      </c>
      <c r="BE32">
        <v>1525810</v>
      </c>
      <c r="BF32" t="b">
        <v>1</v>
      </c>
      <c r="BG32">
        <v>0</v>
      </c>
      <c r="BH32">
        <v>-1</v>
      </c>
      <c r="BI32">
        <v>0</v>
      </c>
      <c r="BJ32" t="b">
        <v>0</v>
      </c>
      <c r="BK32">
        <v>0</v>
      </c>
      <c r="BL32" t="b">
        <v>0</v>
      </c>
      <c r="BM32" t="b">
        <v>1</v>
      </c>
    </row>
    <row r="33" spans="1:65" x14ac:dyDescent="0.25">
      <c r="A33" t="s">
        <v>65</v>
      </c>
      <c r="B33" t="s">
        <v>66</v>
      </c>
      <c r="C33">
        <v>20200101</v>
      </c>
      <c r="D33">
        <v>2020</v>
      </c>
      <c r="E33">
        <v>52</v>
      </c>
      <c r="F33" t="s">
        <v>113</v>
      </c>
      <c r="G33">
        <v>36</v>
      </c>
      <c r="H33" t="s">
        <v>114</v>
      </c>
      <c r="I33" t="s">
        <v>115</v>
      </c>
      <c r="J33" t="s">
        <v>70</v>
      </c>
      <c r="K33" t="s">
        <v>71</v>
      </c>
      <c r="L33">
        <v>686</v>
      </c>
      <c r="M33" t="s">
        <v>72</v>
      </c>
      <c r="N33" t="s">
        <v>73</v>
      </c>
      <c r="O33" t="s">
        <v>97</v>
      </c>
      <c r="P33" t="s">
        <v>75</v>
      </c>
      <c r="Q33" t="b">
        <v>1</v>
      </c>
      <c r="R33" t="s">
        <v>76</v>
      </c>
      <c r="S33" t="s">
        <v>77</v>
      </c>
      <c r="T33">
        <v>4</v>
      </c>
      <c r="U33" t="b">
        <v>0</v>
      </c>
      <c r="V33" t="s">
        <v>78</v>
      </c>
      <c r="W33" t="s">
        <v>79</v>
      </c>
      <c r="X33" t="s">
        <v>80</v>
      </c>
      <c r="Y33">
        <v>0</v>
      </c>
      <c r="Z33" t="s">
        <v>81</v>
      </c>
      <c r="AA33">
        <v>8</v>
      </c>
      <c r="AB33" t="s">
        <v>82</v>
      </c>
      <c r="AC33">
        <v>8</v>
      </c>
      <c r="AD33" t="s">
        <v>82</v>
      </c>
      <c r="AG33">
        <v>3634.4569999999999</v>
      </c>
      <c r="AH33">
        <v>3980</v>
      </c>
      <c r="AJ33" t="b">
        <v>1</v>
      </c>
      <c r="AK33">
        <v>-1</v>
      </c>
      <c r="AL33" t="s">
        <v>83</v>
      </c>
      <c r="AM33">
        <v>0</v>
      </c>
      <c r="AN33">
        <v>8</v>
      </c>
      <c r="AO33" t="s">
        <v>82</v>
      </c>
      <c r="AR33">
        <v>3980</v>
      </c>
      <c r="AT33" t="b">
        <v>0</v>
      </c>
      <c r="AU33">
        <v>3634.4569999999999</v>
      </c>
      <c r="AV33">
        <v>3980</v>
      </c>
      <c r="AX33" t="b">
        <v>1</v>
      </c>
      <c r="AY33">
        <v>3279.1</v>
      </c>
      <c r="AZ33">
        <v>0</v>
      </c>
      <c r="BB33" t="b">
        <v>0</v>
      </c>
      <c r="BC33">
        <v>194991546.08899999</v>
      </c>
      <c r="BD33">
        <v>194452415.92699999</v>
      </c>
      <c r="BE33">
        <v>194991546.08899999</v>
      </c>
      <c r="BF33" t="b">
        <v>1</v>
      </c>
      <c r="BG33">
        <v>212750667.588</v>
      </c>
      <c r="BH33">
        <v>9.107636641279937E-2</v>
      </c>
      <c r="BI33">
        <v>0</v>
      </c>
      <c r="BJ33" t="b">
        <v>0</v>
      </c>
      <c r="BK33">
        <v>6</v>
      </c>
      <c r="BL33" t="b">
        <v>0</v>
      </c>
      <c r="BM33" t="b">
        <v>1</v>
      </c>
    </row>
    <row r="34" spans="1:65" x14ac:dyDescent="0.25">
      <c r="A34" t="s">
        <v>65</v>
      </c>
      <c r="B34" t="s">
        <v>66</v>
      </c>
      <c r="C34">
        <v>20200101</v>
      </c>
      <c r="D34">
        <v>2020</v>
      </c>
      <c r="E34">
        <v>52</v>
      </c>
      <c r="F34" t="s">
        <v>113</v>
      </c>
      <c r="G34">
        <v>380</v>
      </c>
      <c r="H34" t="s">
        <v>68</v>
      </c>
      <c r="I34" t="s">
        <v>69</v>
      </c>
      <c r="J34" t="s">
        <v>70</v>
      </c>
      <c r="K34" t="s">
        <v>71</v>
      </c>
      <c r="L34">
        <v>686</v>
      </c>
      <c r="M34" t="s">
        <v>72</v>
      </c>
      <c r="N34" t="s">
        <v>73</v>
      </c>
      <c r="O34" t="s">
        <v>97</v>
      </c>
      <c r="P34" t="s">
        <v>75</v>
      </c>
      <c r="Q34" t="b">
        <v>1</v>
      </c>
      <c r="R34" t="s">
        <v>76</v>
      </c>
      <c r="S34" t="s">
        <v>77</v>
      </c>
      <c r="T34">
        <v>4</v>
      </c>
      <c r="U34" t="b">
        <v>0</v>
      </c>
      <c r="V34" t="s">
        <v>78</v>
      </c>
      <c r="W34" t="s">
        <v>79</v>
      </c>
      <c r="X34" t="s">
        <v>80</v>
      </c>
      <c r="Y34">
        <v>0</v>
      </c>
      <c r="Z34" t="s">
        <v>81</v>
      </c>
      <c r="AA34">
        <v>8</v>
      </c>
      <c r="AB34" t="s">
        <v>82</v>
      </c>
      <c r="AC34">
        <v>8</v>
      </c>
      <c r="AD34" t="s">
        <v>82</v>
      </c>
      <c r="AG34">
        <v>77.575999999999993</v>
      </c>
      <c r="AH34">
        <v>81</v>
      </c>
      <c r="AJ34" t="b">
        <v>0</v>
      </c>
      <c r="AK34">
        <v>-1</v>
      </c>
      <c r="AL34" t="s">
        <v>83</v>
      </c>
      <c r="AM34">
        <v>0</v>
      </c>
      <c r="AN34">
        <v>8</v>
      </c>
      <c r="AO34" t="s">
        <v>82</v>
      </c>
      <c r="AR34">
        <v>81</v>
      </c>
      <c r="AT34" t="b">
        <v>0</v>
      </c>
      <c r="AU34">
        <v>78</v>
      </c>
      <c r="AV34">
        <v>81</v>
      </c>
      <c r="AX34" t="b">
        <v>0</v>
      </c>
      <c r="AY34">
        <v>0</v>
      </c>
      <c r="AZ34">
        <v>0</v>
      </c>
      <c r="BB34" t="b">
        <v>0</v>
      </c>
      <c r="BC34">
        <v>3560493.3480000002</v>
      </c>
      <c r="BE34">
        <v>3560493.3480000002</v>
      </c>
      <c r="BF34" t="b">
        <v>1</v>
      </c>
      <c r="BG34">
        <v>1696984.7690000001</v>
      </c>
      <c r="BH34">
        <v>-0.52338493485650517</v>
      </c>
      <c r="BI34">
        <v>0</v>
      </c>
      <c r="BJ34" t="b">
        <v>0</v>
      </c>
      <c r="BK34">
        <v>0</v>
      </c>
      <c r="BL34" t="b">
        <v>0</v>
      </c>
      <c r="BM34" t="b">
        <v>1</v>
      </c>
    </row>
    <row r="35" spans="1:65" x14ac:dyDescent="0.25">
      <c r="A35" t="s">
        <v>65</v>
      </c>
      <c r="B35" t="s">
        <v>66</v>
      </c>
      <c r="C35">
        <v>20200101</v>
      </c>
      <c r="D35">
        <v>2020</v>
      </c>
      <c r="E35">
        <v>52</v>
      </c>
      <c r="F35" t="s">
        <v>113</v>
      </c>
      <c r="G35">
        <v>757</v>
      </c>
      <c r="H35" t="s">
        <v>84</v>
      </c>
      <c r="I35" t="s">
        <v>85</v>
      </c>
      <c r="J35" t="s">
        <v>70</v>
      </c>
      <c r="K35" t="s">
        <v>71</v>
      </c>
      <c r="L35">
        <v>686</v>
      </c>
      <c r="M35" t="s">
        <v>72</v>
      </c>
      <c r="N35" t="s">
        <v>73</v>
      </c>
      <c r="O35" t="s">
        <v>97</v>
      </c>
      <c r="P35" t="s">
        <v>75</v>
      </c>
      <c r="Q35" t="b">
        <v>1</v>
      </c>
      <c r="R35" t="s">
        <v>76</v>
      </c>
      <c r="S35" t="s">
        <v>77</v>
      </c>
      <c r="T35">
        <v>4</v>
      </c>
      <c r="U35" t="b">
        <v>0</v>
      </c>
      <c r="V35" t="s">
        <v>78</v>
      </c>
      <c r="W35" t="s">
        <v>79</v>
      </c>
      <c r="X35" t="s">
        <v>80</v>
      </c>
      <c r="Y35">
        <v>0</v>
      </c>
      <c r="Z35" t="s">
        <v>81</v>
      </c>
      <c r="AA35">
        <v>8</v>
      </c>
      <c r="AB35" t="s">
        <v>82</v>
      </c>
      <c r="AC35">
        <v>8</v>
      </c>
      <c r="AD35" t="s">
        <v>82</v>
      </c>
      <c r="AG35">
        <v>9512</v>
      </c>
      <c r="AH35">
        <v>8497</v>
      </c>
      <c r="AJ35" t="b">
        <v>0</v>
      </c>
      <c r="AK35">
        <v>8</v>
      </c>
      <c r="AL35" t="s">
        <v>82</v>
      </c>
      <c r="AM35">
        <v>9512</v>
      </c>
      <c r="AN35">
        <v>8</v>
      </c>
      <c r="AO35" t="s">
        <v>82</v>
      </c>
      <c r="AR35">
        <v>8497</v>
      </c>
      <c r="AT35" t="b">
        <v>0</v>
      </c>
      <c r="AU35">
        <v>9512</v>
      </c>
      <c r="AV35">
        <v>8497</v>
      </c>
      <c r="AX35" t="b">
        <v>0</v>
      </c>
      <c r="AY35">
        <v>0</v>
      </c>
      <c r="AZ35">
        <v>0</v>
      </c>
      <c r="BB35" t="b">
        <v>0</v>
      </c>
      <c r="BC35">
        <v>485160797.29100001</v>
      </c>
      <c r="BD35">
        <v>0</v>
      </c>
      <c r="BE35">
        <v>485160797.29100001</v>
      </c>
      <c r="BF35" t="b">
        <v>1</v>
      </c>
      <c r="BG35">
        <v>478771211.00599998</v>
      </c>
      <c r="BH35">
        <v>-1.3170038306222764E-2</v>
      </c>
      <c r="BI35">
        <v>0</v>
      </c>
      <c r="BJ35" t="b">
        <v>0</v>
      </c>
      <c r="BK35">
        <v>0</v>
      </c>
      <c r="BL35" t="b">
        <v>0</v>
      </c>
      <c r="BM35" t="b">
        <v>1</v>
      </c>
    </row>
    <row r="36" spans="1:65" x14ac:dyDescent="0.25">
      <c r="A36" t="s">
        <v>65</v>
      </c>
      <c r="B36" t="s">
        <v>66</v>
      </c>
      <c r="C36">
        <v>20200101</v>
      </c>
      <c r="D36">
        <v>2020</v>
      </c>
      <c r="E36">
        <v>52</v>
      </c>
      <c r="F36" t="s">
        <v>113</v>
      </c>
      <c r="G36">
        <v>784</v>
      </c>
      <c r="H36" t="s">
        <v>86</v>
      </c>
      <c r="I36" t="s">
        <v>87</v>
      </c>
      <c r="J36" t="s">
        <v>70</v>
      </c>
      <c r="K36" t="s">
        <v>71</v>
      </c>
      <c r="L36">
        <v>686</v>
      </c>
      <c r="M36" t="s">
        <v>72</v>
      </c>
      <c r="N36" t="s">
        <v>73</v>
      </c>
      <c r="O36" t="s">
        <v>97</v>
      </c>
      <c r="P36" t="s">
        <v>75</v>
      </c>
      <c r="Q36" t="b">
        <v>1</v>
      </c>
      <c r="R36" t="s">
        <v>76</v>
      </c>
      <c r="S36" t="s">
        <v>77</v>
      </c>
      <c r="T36">
        <v>4</v>
      </c>
      <c r="U36" t="b">
        <v>0</v>
      </c>
      <c r="V36" t="s">
        <v>78</v>
      </c>
      <c r="W36" t="s">
        <v>79</v>
      </c>
      <c r="X36" t="s">
        <v>80</v>
      </c>
      <c r="Y36">
        <v>0</v>
      </c>
      <c r="Z36" t="s">
        <v>81</v>
      </c>
      <c r="AA36">
        <v>8</v>
      </c>
      <c r="AB36" t="s">
        <v>82</v>
      </c>
      <c r="AC36">
        <v>8</v>
      </c>
      <c r="AD36" t="s">
        <v>82</v>
      </c>
      <c r="AG36">
        <v>2118.87</v>
      </c>
      <c r="AH36">
        <v>2032</v>
      </c>
      <c r="AJ36" t="b">
        <v>0</v>
      </c>
      <c r="AK36">
        <v>8</v>
      </c>
      <c r="AL36" t="s">
        <v>82</v>
      </c>
      <c r="AM36">
        <v>2118.87</v>
      </c>
      <c r="AN36">
        <v>8</v>
      </c>
      <c r="AO36" t="s">
        <v>82</v>
      </c>
      <c r="AR36">
        <v>2032</v>
      </c>
      <c r="AT36" t="b">
        <v>0</v>
      </c>
      <c r="AU36">
        <v>2118.87</v>
      </c>
      <c r="AV36">
        <v>2032</v>
      </c>
      <c r="AX36" t="b">
        <v>0</v>
      </c>
      <c r="AY36">
        <v>0</v>
      </c>
      <c r="AZ36">
        <v>0</v>
      </c>
      <c r="BB36" t="b">
        <v>0</v>
      </c>
      <c r="BC36">
        <v>104357473.52599999</v>
      </c>
      <c r="BD36">
        <v>0</v>
      </c>
      <c r="BE36">
        <v>104357473.52599999</v>
      </c>
      <c r="BF36" t="b">
        <v>1</v>
      </c>
      <c r="BG36">
        <v>41201020.204000004</v>
      </c>
      <c r="BH36">
        <v>-0.60519339140828254</v>
      </c>
      <c r="BI36">
        <v>0</v>
      </c>
      <c r="BJ36" t="b">
        <v>0</v>
      </c>
      <c r="BK36">
        <v>0</v>
      </c>
      <c r="BL36" t="b">
        <v>0</v>
      </c>
      <c r="BM36" t="b">
        <v>1</v>
      </c>
    </row>
    <row r="37" spans="1:65" x14ac:dyDescent="0.25">
      <c r="A37" t="s">
        <v>65</v>
      </c>
      <c r="B37" t="s">
        <v>66</v>
      </c>
      <c r="C37">
        <v>20200101</v>
      </c>
      <c r="D37">
        <v>2020</v>
      </c>
      <c r="E37">
        <v>52</v>
      </c>
      <c r="F37" t="s">
        <v>113</v>
      </c>
      <c r="G37">
        <v>792</v>
      </c>
      <c r="H37" t="s">
        <v>94</v>
      </c>
      <c r="I37" t="s">
        <v>95</v>
      </c>
      <c r="J37" t="s">
        <v>70</v>
      </c>
      <c r="K37" t="s">
        <v>71</v>
      </c>
      <c r="L37">
        <v>686</v>
      </c>
      <c r="M37" t="s">
        <v>72</v>
      </c>
      <c r="N37" t="s">
        <v>73</v>
      </c>
      <c r="O37" t="s">
        <v>97</v>
      </c>
      <c r="P37" t="s">
        <v>75</v>
      </c>
      <c r="Q37" t="b">
        <v>1</v>
      </c>
      <c r="R37" t="s">
        <v>76</v>
      </c>
      <c r="S37" t="s">
        <v>77</v>
      </c>
      <c r="T37">
        <v>4</v>
      </c>
      <c r="U37" t="b">
        <v>0</v>
      </c>
      <c r="V37" t="s">
        <v>78</v>
      </c>
      <c r="W37" t="s">
        <v>79</v>
      </c>
      <c r="X37" t="s">
        <v>80</v>
      </c>
      <c r="Y37">
        <v>0</v>
      </c>
      <c r="Z37" t="s">
        <v>81</v>
      </c>
      <c r="AA37">
        <v>8</v>
      </c>
      <c r="AB37" t="s">
        <v>82</v>
      </c>
      <c r="AC37">
        <v>8</v>
      </c>
      <c r="AD37" t="s">
        <v>82</v>
      </c>
      <c r="AG37">
        <v>42.487000000000002</v>
      </c>
      <c r="AH37">
        <v>4</v>
      </c>
      <c r="AJ37" t="b">
        <v>0</v>
      </c>
      <c r="AK37">
        <v>15</v>
      </c>
      <c r="AL37" t="s">
        <v>90</v>
      </c>
      <c r="AM37">
        <v>42487</v>
      </c>
      <c r="AN37">
        <v>8</v>
      </c>
      <c r="AO37" t="s">
        <v>82</v>
      </c>
      <c r="AR37">
        <v>4</v>
      </c>
      <c r="AT37" t="b">
        <v>0</v>
      </c>
      <c r="AU37">
        <v>42</v>
      </c>
      <c r="AV37">
        <v>4</v>
      </c>
      <c r="AX37" t="b">
        <v>0</v>
      </c>
      <c r="AY37">
        <v>0</v>
      </c>
      <c r="AZ37">
        <v>0</v>
      </c>
      <c r="BB37" t="b">
        <v>0</v>
      </c>
      <c r="BC37">
        <v>1765487</v>
      </c>
      <c r="BD37">
        <v>1763539</v>
      </c>
      <c r="BE37">
        <v>1765487</v>
      </c>
      <c r="BF37" t="b">
        <v>1</v>
      </c>
      <c r="BG37">
        <v>69427.692999999999</v>
      </c>
      <c r="BH37">
        <v>-0.96067504716828844</v>
      </c>
      <c r="BI37">
        <v>0</v>
      </c>
      <c r="BJ37" t="b">
        <v>0</v>
      </c>
      <c r="BK37">
        <v>0</v>
      </c>
      <c r="BL37" t="b">
        <v>0</v>
      </c>
      <c r="BM37" t="b">
        <v>1</v>
      </c>
    </row>
    <row r="38" spans="1:65" x14ac:dyDescent="0.25">
      <c r="A38" t="s">
        <v>65</v>
      </c>
      <c r="B38" t="s">
        <v>66</v>
      </c>
      <c r="C38">
        <v>20210101</v>
      </c>
      <c r="D38">
        <v>2021</v>
      </c>
      <c r="E38">
        <v>52</v>
      </c>
      <c r="F38" t="s">
        <v>116</v>
      </c>
      <c r="G38">
        <v>36</v>
      </c>
      <c r="H38" t="s">
        <v>114</v>
      </c>
      <c r="I38" t="s">
        <v>115</v>
      </c>
      <c r="J38" t="s">
        <v>70</v>
      </c>
      <c r="K38" t="s">
        <v>71</v>
      </c>
      <c r="L38">
        <v>686</v>
      </c>
      <c r="M38" t="s">
        <v>72</v>
      </c>
      <c r="N38" t="s">
        <v>73</v>
      </c>
      <c r="O38" t="s">
        <v>97</v>
      </c>
      <c r="P38" t="s">
        <v>75</v>
      </c>
      <c r="Q38" t="b">
        <v>1</v>
      </c>
      <c r="R38" t="s">
        <v>76</v>
      </c>
      <c r="S38" t="s">
        <v>77</v>
      </c>
      <c r="T38">
        <v>4</v>
      </c>
      <c r="U38" t="b">
        <v>0</v>
      </c>
      <c r="V38" t="s">
        <v>78</v>
      </c>
      <c r="W38" t="s">
        <v>79</v>
      </c>
      <c r="X38" t="s">
        <v>80</v>
      </c>
      <c r="Y38">
        <v>0</v>
      </c>
      <c r="Z38" t="s">
        <v>81</v>
      </c>
      <c r="AA38">
        <v>8</v>
      </c>
      <c r="AB38" t="s">
        <v>82</v>
      </c>
      <c r="AC38">
        <v>8</v>
      </c>
      <c r="AD38" t="s">
        <v>82</v>
      </c>
      <c r="AG38">
        <v>3884.3809999999999</v>
      </c>
      <c r="AH38">
        <v>4003</v>
      </c>
      <c r="AJ38" t="b">
        <v>1</v>
      </c>
      <c r="AK38">
        <v>-1</v>
      </c>
      <c r="AL38" t="s">
        <v>83</v>
      </c>
      <c r="AM38">
        <v>0</v>
      </c>
      <c r="AN38">
        <v>8</v>
      </c>
      <c r="AO38" t="s">
        <v>82</v>
      </c>
      <c r="AR38">
        <v>4003</v>
      </c>
      <c r="AT38" t="b">
        <v>0</v>
      </c>
      <c r="AU38">
        <v>3884.3809999999999</v>
      </c>
      <c r="AV38">
        <v>4003</v>
      </c>
      <c r="AX38" t="b">
        <v>1</v>
      </c>
      <c r="AY38">
        <v>4600.33</v>
      </c>
      <c r="AZ38">
        <v>0</v>
      </c>
      <c r="BB38" t="b">
        <v>0</v>
      </c>
      <c r="BC38">
        <v>219808451.24000001</v>
      </c>
      <c r="BD38">
        <v>219391552.43099999</v>
      </c>
      <c r="BE38">
        <v>219808451.24000001</v>
      </c>
      <c r="BF38" t="b">
        <v>1</v>
      </c>
      <c r="BG38">
        <v>213315372.09999999</v>
      </c>
      <c r="BH38">
        <v>-2.9539715617715179E-2</v>
      </c>
      <c r="BI38">
        <v>0</v>
      </c>
      <c r="BJ38" t="b">
        <v>0</v>
      </c>
      <c r="BK38">
        <v>6</v>
      </c>
      <c r="BL38" t="b">
        <v>0</v>
      </c>
      <c r="BM38" t="b">
        <v>1</v>
      </c>
    </row>
    <row r="39" spans="1:65" x14ac:dyDescent="0.25">
      <c r="A39" t="s">
        <v>65</v>
      </c>
      <c r="B39" t="s">
        <v>66</v>
      </c>
      <c r="C39">
        <v>20210101</v>
      </c>
      <c r="D39">
        <v>2021</v>
      </c>
      <c r="E39">
        <v>52</v>
      </c>
      <c r="F39" t="s">
        <v>116</v>
      </c>
      <c r="G39">
        <v>380</v>
      </c>
      <c r="H39" t="s">
        <v>68</v>
      </c>
      <c r="I39" t="s">
        <v>69</v>
      </c>
      <c r="J39" t="s">
        <v>70</v>
      </c>
      <c r="K39" t="s">
        <v>71</v>
      </c>
      <c r="L39">
        <v>686</v>
      </c>
      <c r="M39" t="s">
        <v>72</v>
      </c>
      <c r="N39" t="s">
        <v>73</v>
      </c>
      <c r="O39" t="s">
        <v>97</v>
      </c>
      <c r="P39" t="s">
        <v>75</v>
      </c>
      <c r="Q39" t="b">
        <v>1</v>
      </c>
      <c r="R39" t="s">
        <v>76</v>
      </c>
      <c r="S39" t="s">
        <v>77</v>
      </c>
      <c r="T39">
        <v>4</v>
      </c>
      <c r="U39" t="b">
        <v>0</v>
      </c>
      <c r="V39" t="s">
        <v>78</v>
      </c>
      <c r="W39" t="s">
        <v>79</v>
      </c>
      <c r="X39" t="s">
        <v>80</v>
      </c>
      <c r="Y39">
        <v>0</v>
      </c>
      <c r="Z39" t="s">
        <v>81</v>
      </c>
      <c r="AA39">
        <v>8</v>
      </c>
      <c r="AB39" t="s">
        <v>82</v>
      </c>
      <c r="AC39">
        <v>8</v>
      </c>
      <c r="AD39" t="s">
        <v>82</v>
      </c>
      <c r="AG39">
        <v>27.384</v>
      </c>
      <c r="AH39">
        <v>14</v>
      </c>
      <c r="AJ39" t="b">
        <v>0</v>
      </c>
      <c r="AK39">
        <v>15</v>
      </c>
      <c r="AL39" t="s">
        <v>90</v>
      </c>
      <c r="AM39">
        <v>27384</v>
      </c>
      <c r="AN39">
        <v>8</v>
      </c>
      <c r="AO39" t="s">
        <v>82</v>
      </c>
      <c r="AR39">
        <v>14</v>
      </c>
      <c r="AT39" t="b">
        <v>0</v>
      </c>
      <c r="AU39">
        <v>28</v>
      </c>
      <c r="AV39">
        <v>14</v>
      </c>
      <c r="AX39" t="b">
        <v>0</v>
      </c>
      <c r="AY39">
        <v>0</v>
      </c>
      <c r="AZ39">
        <v>0</v>
      </c>
      <c r="BB39" t="b">
        <v>0</v>
      </c>
      <c r="BC39">
        <v>1297177.531</v>
      </c>
      <c r="BE39">
        <v>1297177.531</v>
      </c>
      <c r="BF39" t="b">
        <v>1</v>
      </c>
      <c r="BG39">
        <v>289249.435</v>
      </c>
      <c r="BH39">
        <v>-0.77701630803224264</v>
      </c>
      <c r="BI39">
        <v>0</v>
      </c>
      <c r="BJ39" t="b">
        <v>0</v>
      </c>
      <c r="BK39">
        <v>0</v>
      </c>
      <c r="BL39" t="b">
        <v>0</v>
      </c>
      <c r="BM39" t="b">
        <v>1</v>
      </c>
    </row>
    <row r="40" spans="1:65" x14ac:dyDescent="0.25">
      <c r="A40" t="s">
        <v>65</v>
      </c>
      <c r="B40" t="s">
        <v>66</v>
      </c>
      <c r="C40">
        <v>20210101</v>
      </c>
      <c r="D40">
        <v>2021</v>
      </c>
      <c r="E40">
        <v>52</v>
      </c>
      <c r="F40" t="s">
        <v>116</v>
      </c>
      <c r="G40">
        <v>724</v>
      </c>
      <c r="H40" t="s">
        <v>98</v>
      </c>
      <c r="I40" t="s">
        <v>99</v>
      </c>
      <c r="J40" t="s">
        <v>70</v>
      </c>
      <c r="K40" t="s">
        <v>71</v>
      </c>
      <c r="L40">
        <v>686</v>
      </c>
      <c r="M40" t="s">
        <v>72</v>
      </c>
      <c r="N40" t="s">
        <v>73</v>
      </c>
      <c r="O40" t="s">
        <v>97</v>
      </c>
      <c r="P40" t="s">
        <v>75</v>
      </c>
      <c r="Q40" t="b">
        <v>1</v>
      </c>
      <c r="R40" t="s">
        <v>76</v>
      </c>
      <c r="S40" t="s">
        <v>77</v>
      </c>
      <c r="T40">
        <v>4</v>
      </c>
      <c r="U40" t="b">
        <v>0</v>
      </c>
      <c r="V40" t="s">
        <v>78</v>
      </c>
      <c r="W40" t="s">
        <v>79</v>
      </c>
      <c r="X40" t="s">
        <v>80</v>
      </c>
      <c r="Y40">
        <v>0</v>
      </c>
      <c r="Z40" t="s">
        <v>81</v>
      </c>
      <c r="AA40">
        <v>8</v>
      </c>
      <c r="AB40" t="s">
        <v>82</v>
      </c>
      <c r="AG40">
        <v>0.998</v>
      </c>
      <c r="AJ40" t="b">
        <v>0</v>
      </c>
      <c r="AK40">
        <v>15</v>
      </c>
      <c r="AL40" t="s">
        <v>90</v>
      </c>
      <c r="AM40">
        <v>998</v>
      </c>
      <c r="AT40" t="b">
        <v>0</v>
      </c>
      <c r="AU40">
        <v>0.998</v>
      </c>
      <c r="AX40" t="b">
        <v>0</v>
      </c>
      <c r="AY40">
        <v>0</v>
      </c>
      <c r="BB40" t="b">
        <v>0</v>
      </c>
      <c r="BC40">
        <v>47763.417999999998</v>
      </c>
      <c r="BD40">
        <v>0</v>
      </c>
      <c r="BE40">
        <v>47763.417999999998</v>
      </c>
      <c r="BF40" t="b">
        <v>1</v>
      </c>
      <c r="BG40">
        <v>0</v>
      </c>
      <c r="BH40">
        <v>-1</v>
      </c>
      <c r="BI40">
        <v>0</v>
      </c>
      <c r="BJ40" t="b">
        <v>0</v>
      </c>
      <c r="BK40">
        <v>0</v>
      </c>
      <c r="BL40" t="b">
        <v>0</v>
      </c>
      <c r="BM40" t="b">
        <v>1</v>
      </c>
    </row>
    <row r="41" spans="1:65" x14ac:dyDescent="0.25">
      <c r="A41" t="s">
        <v>65</v>
      </c>
      <c r="B41" t="s">
        <v>66</v>
      </c>
      <c r="C41">
        <v>20210101</v>
      </c>
      <c r="D41">
        <v>2021</v>
      </c>
      <c r="E41">
        <v>52</v>
      </c>
      <c r="F41" t="s">
        <v>116</v>
      </c>
      <c r="G41">
        <v>757</v>
      </c>
      <c r="H41" t="s">
        <v>84</v>
      </c>
      <c r="I41" t="s">
        <v>85</v>
      </c>
      <c r="J41" t="s">
        <v>70</v>
      </c>
      <c r="K41" t="s">
        <v>71</v>
      </c>
      <c r="L41">
        <v>686</v>
      </c>
      <c r="M41" t="s">
        <v>72</v>
      </c>
      <c r="N41" t="s">
        <v>73</v>
      </c>
      <c r="O41" t="s">
        <v>97</v>
      </c>
      <c r="P41" t="s">
        <v>75</v>
      </c>
      <c r="Q41" t="b">
        <v>1</v>
      </c>
      <c r="R41" t="s">
        <v>76</v>
      </c>
      <c r="S41" t="s">
        <v>77</v>
      </c>
      <c r="T41">
        <v>4</v>
      </c>
      <c r="U41" t="b">
        <v>0</v>
      </c>
      <c r="V41" t="s">
        <v>78</v>
      </c>
      <c r="W41" t="s">
        <v>79</v>
      </c>
      <c r="X41" t="s">
        <v>80</v>
      </c>
      <c r="Y41">
        <v>0</v>
      </c>
      <c r="Z41" t="s">
        <v>81</v>
      </c>
      <c r="AA41">
        <v>8</v>
      </c>
      <c r="AB41" t="s">
        <v>82</v>
      </c>
      <c r="AC41">
        <v>8</v>
      </c>
      <c r="AD41" t="s">
        <v>82</v>
      </c>
      <c r="AG41">
        <v>13581</v>
      </c>
      <c r="AH41">
        <v>12121</v>
      </c>
      <c r="AJ41" t="b">
        <v>0</v>
      </c>
      <c r="AK41">
        <v>8</v>
      </c>
      <c r="AL41" t="s">
        <v>82</v>
      </c>
      <c r="AM41">
        <v>13581</v>
      </c>
      <c r="AN41">
        <v>8</v>
      </c>
      <c r="AO41" t="s">
        <v>82</v>
      </c>
      <c r="AR41">
        <v>12121</v>
      </c>
      <c r="AT41" t="b">
        <v>0</v>
      </c>
      <c r="AU41">
        <v>13581</v>
      </c>
      <c r="AV41">
        <v>12121</v>
      </c>
      <c r="AX41" t="b">
        <v>0</v>
      </c>
      <c r="AY41">
        <v>0</v>
      </c>
      <c r="AZ41">
        <v>0</v>
      </c>
      <c r="BB41" t="b">
        <v>0</v>
      </c>
      <c r="BC41">
        <v>710234464.13499999</v>
      </c>
      <c r="BD41">
        <v>0</v>
      </c>
      <c r="BE41">
        <v>710234464.13499999</v>
      </c>
      <c r="BF41" t="b">
        <v>1</v>
      </c>
      <c r="BG41">
        <v>703332965.41400003</v>
      </c>
      <c r="BH41">
        <v>-9.7172118075196101E-3</v>
      </c>
      <c r="BI41">
        <v>0</v>
      </c>
      <c r="BJ41" t="b">
        <v>0</v>
      </c>
      <c r="BK41">
        <v>0</v>
      </c>
      <c r="BL41" t="b">
        <v>0</v>
      </c>
      <c r="BM41" t="b">
        <v>1</v>
      </c>
    </row>
    <row r="42" spans="1:65" x14ac:dyDescent="0.25">
      <c r="A42" t="s">
        <v>65</v>
      </c>
      <c r="B42" t="s">
        <v>66</v>
      </c>
      <c r="C42">
        <v>20210101</v>
      </c>
      <c r="D42">
        <v>2021</v>
      </c>
      <c r="E42">
        <v>52</v>
      </c>
      <c r="F42" t="s">
        <v>116</v>
      </c>
      <c r="G42">
        <v>784</v>
      </c>
      <c r="H42" t="s">
        <v>86</v>
      </c>
      <c r="I42" t="s">
        <v>87</v>
      </c>
      <c r="J42" t="s">
        <v>70</v>
      </c>
      <c r="K42" t="s">
        <v>71</v>
      </c>
      <c r="L42">
        <v>686</v>
      </c>
      <c r="M42" t="s">
        <v>72</v>
      </c>
      <c r="N42" t="s">
        <v>73</v>
      </c>
      <c r="O42" t="s">
        <v>97</v>
      </c>
      <c r="P42" t="s">
        <v>75</v>
      </c>
      <c r="Q42" t="b">
        <v>1</v>
      </c>
      <c r="R42" t="s">
        <v>76</v>
      </c>
      <c r="S42" t="s">
        <v>77</v>
      </c>
      <c r="T42">
        <v>4</v>
      </c>
      <c r="U42" t="b">
        <v>0</v>
      </c>
      <c r="V42" t="s">
        <v>78</v>
      </c>
      <c r="W42" t="s">
        <v>79</v>
      </c>
      <c r="X42" t="s">
        <v>80</v>
      </c>
      <c r="Y42">
        <v>0</v>
      </c>
      <c r="Z42" t="s">
        <v>81</v>
      </c>
      <c r="AA42">
        <v>8</v>
      </c>
      <c r="AB42" t="s">
        <v>82</v>
      </c>
      <c r="AC42">
        <v>8</v>
      </c>
      <c r="AD42" t="s">
        <v>82</v>
      </c>
      <c r="AG42">
        <v>2625.9</v>
      </c>
      <c r="AH42">
        <v>2680</v>
      </c>
      <c r="AJ42" t="b">
        <v>0</v>
      </c>
      <c r="AK42">
        <v>8</v>
      </c>
      <c r="AL42" t="s">
        <v>82</v>
      </c>
      <c r="AM42">
        <v>2625.9</v>
      </c>
      <c r="AN42">
        <v>8</v>
      </c>
      <c r="AO42" t="s">
        <v>82</v>
      </c>
      <c r="AR42">
        <v>2680</v>
      </c>
      <c r="AT42" t="b">
        <v>0</v>
      </c>
      <c r="AU42">
        <v>2625.9</v>
      </c>
      <c r="AV42">
        <v>2680</v>
      </c>
      <c r="AX42" t="b">
        <v>0</v>
      </c>
      <c r="AY42">
        <v>0</v>
      </c>
      <c r="AZ42">
        <v>0</v>
      </c>
      <c r="BB42" t="b">
        <v>0</v>
      </c>
      <c r="BC42">
        <v>144258311.833</v>
      </c>
      <c r="BD42">
        <v>0</v>
      </c>
      <c r="BE42">
        <v>144258311.833</v>
      </c>
      <c r="BF42" t="b">
        <v>1</v>
      </c>
      <c r="BG42">
        <v>56454810.920000002</v>
      </c>
      <c r="BH42">
        <v>-0.60865470971714508</v>
      </c>
      <c r="BI42">
        <v>0</v>
      </c>
      <c r="BJ42" t="b">
        <v>0</v>
      </c>
      <c r="BK42">
        <v>0</v>
      </c>
      <c r="BL42" t="b">
        <v>0</v>
      </c>
      <c r="BM42" t="b">
        <v>1</v>
      </c>
    </row>
    <row r="43" spans="1:65" x14ac:dyDescent="0.25">
      <c r="A43" t="s">
        <v>65</v>
      </c>
      <c r="B43" t="s">
        <v>66</v>
      </c>
      <c r="C43">
        <v>20210101</v>
      </c>
      <c r="D43">
        <v>2021</v>
      </c>
      <c r="E43">
        <v>52</v>
      </c>
      <c r="F43" t="s">
        <v>116</v>
      </c>
      <c r="G43">
        <v>792</v>
      </c>
      <c r="H43" t="s">
        <v>94</v>
      </c>
      <c r="I43" t="s">
        <v>95</v>
      </c>
      <c r="J43" t="s">
        <v>70</v>
      </c>
      <c r="K43" t="s">
        <v>71</v>
      </c>
      <c r="L43">
        <v>686</v>
      </c>
      <c r="M43" t="s">
        <v>72</v>
      </c>
      <c r="N43" t="s">
        <v>73</v>
      </c>
      <c r="O43" t="s">
        <v>97</v>
      </c>
      <c r="P43" t="s">
        <v>75</v>
      </c>
      <c r="Q43" t="b">
        <v>1</v>
      </c>
      <c r="R43" t="s">
        <v>76</v>
      </c>
      <c r="S43" t="s">
        <v>77</v>
      </c>
      <c r="T43">
        <v>4</v>
      </c>
      <c r="U43" t="b">
        <v>0</v>
      </c>
      <c r="V43" t="s">
        <v>78</v>
      </c>
      <c r="W43" t="s">
        <v>79</v>
      </c>
      <c r="X43" t="s">
        <v>80</v>
      </c>
      <c r="Y43">
        <v>0</v>
      </c>
      <c r="Z43" t="s">
        <v>81</v>
      </c>
      <c r="AA43">
        <v>8</v>
      </c>
      <c r="AB43" t="s">
        <v>82</v>
      </c>
      <c r="AG43">
        <v>7.45</v>
      </c>
      <c r="AJ43" t="b">
        <v>0</v>
      </c>
      <c r="AK43">
        <v>15</v>
      </c>
      <c r="AL43" t="s">
        <v>90</v>
      </c>
      <c r="AM43">
        <v>7450</v>
      </c>
      <c r="AT43" t="b">
        <v>0</v>
      </c>
      <c r="AU43">
        <v>7</v>
      </c>
      <c r="AX43" t="b">
        <v>0</v>
      </c>
      <c r="AY43">
        <v>0</v>
      </c>
      <c r="BB43" t="b">
        <v>0</v>
      </c>
      <c r="BC43">
        <v>332900</v>
      </c>
      <c r="BD43">
        <v>332537</v>
      </c>
      <c r="BE43">
        <v>332900</v>
      </c>
      <c r="BF43" t="b">
        <v>1</v>
      </c>
      <c r="BG43">
        <v>0</v>
      </c>
      <c r="BH43">
        <v>-1</v>
      </c>
      <c r="BI43">
        <v>0</v>
      </c>
      <c r="BJ43" t="b">
        <v>0</v>
      </c>
      <c r="BK43">
        <v>0</v>
      </c>
      <c r="BL43" t="b">
        <v>0</v>
      </c>
      <c r="BM43" t="b">
        <v>1</v>
      </c>
    </row>
    <row r="44" spans="1:65" x14ac:dyDescent="0.25">
      <c r="A44" t="s">
        <v>65</v>
      </c>
      <c r="B44" t="s">
        <v>66</v>
      </c>
      <c r="C44">
        <v>20220101</v>
      </c>
      <c r="D44">
        <v>2022</v>
      </c>
      <c r="E44">
        <v>52</v>
      </c>
      <c r="F44" t="s">
        <v>117</v>
      </c>
      <c r="G44">
        <v>36</v>
      </c>
      <c r="H44" t="s">
        <v>114</v>
      </c>
      <c r="I44" t="s">
        <v>115</v>
      </c>
      <c r="J44" t="s">
        <v>70</v>
      </c>
      <c r="K44" t="s">
        <v>71</v>
      </c>
      <c r="L44">
        <v>686</v>
      </c>
      <c r="M44" t="s">
        <v>72</v>
      </c>
      <c r="N44" t="s">
        <v>73</v>
      </c>
      <c r="O44" t="s">
        <v>118</v>
      </c>
      <c r="P44" t="s">
        <v>75</v>
      </c>
      <c r="Q44" t="b">
        <v>1</v>
      </c>
      <c r="R44" t="s">
        <v>76</v>
      </c>
      <c r="S44" t="s">
        <v>77</v>
      </c>
      <c r="T44">
        <v>4</v>
      </c>
      <c r="U44" t="b">
        <v>0</v>
      </c>
      <c r="V44" t="s">
        <v>78</v>
      </c>
      <c r="W44" t="s">
        <v>79</v>
      </c>
      <c r="X44" t="s">
        <v>80</v>
      </c>
      <c r="Y44">
        <v>0</v>
      </c>
      <c r="Z44" t="s">
        <v>81</v>
      </c>
      <c r="AA44">
        <v>8</v>
      </c>
      <c r="AB44" t="s">
        <v>82</v>
      </c>
      <c r="AC44">
        <v>8</v>
      </c>
      <c r="AD44" t="s">
        <v>82</v>
      </c>
      <c r="AG44">
        <v>3660.4029999999998</v>
      </c>
      <c r="AH44">
        <v>3791</v>
      </c>
      <c r="AJ44" t="b">
        <v>1</v>
      </c>
      <c r="AK44">
        <v>-1</v>
      </c>
      <c r="AL44" t="s">
        <v>83</v>
      </c>
      <c r="AM44">
        <v>0</v>
      </c>
      <c r="AN44">
        <v>8</v>
      </c>
      <c r="AO44" t="s">
        <v>82</v>
      </c>
      <c r="AR44">
        <v>3791</v>
      </c>
      <c r="AT44" t="b">
        <v>0</v>
      </c>
      <c r="AU44">
        <v>3660.4029999999998</v>
      </c>
      <c r="AV44">
        <v>3791</v>
      </c>
      <c r="AX44" t="b">
        <v>1</v>
      </c>
      <c r="AY44">
        <v>4089.05</v>
      </c>
      <c r="AZ44">
        <v>0</v>
      </c>
      <c r="BB44" t="b">
        <v>0</v>
      </c>
      <c r="BC44">
        <v>206548068.21599999</v>
      </c>
      <c r="BD44">
        <v>206107771.31799999</v>
      </c>
      <c r="BE44">
        <v>206548068.21599999</v>
      </c>
      <c r="BF44" t="b">
        <v>1</v>
      </c>
      <c r="BG44">
        <v>219061845.338</v>
      </c>
      <c r="BH44">
        <v>6.0585302153073561E-2</v>
      </c>
      <c r="BI44">
        <v>0</v>
      </c>
      <c r="BJ44" t="b">
        <v>0</v>
      </c>
      <c r="BK44">
        <v>6</v>
      </c>
      <c r="BL44" t="b">
        <v>0</v>
      </c>
      <c r="BM44" t="b">
        <v>1</v>
      </c>
    </row>
    <row r="45" spans="1:65" x14ac:dyDescent="0.25">
      <c r="A45" t="s">
        <v>65</v>
      </c>
      <c r="B45" t="s">
        <v>66</v>
      </c>
      <c r="C45">
        <v>20220101</v>
      </c>
      <c r="D45">
        <v>2022</v>
      </c>
      <c r="E45">
        <v>52</v>
      </c>
      <c r="F45" t="s">
        <v>117</v>
      </c>
      <c r="G45">
        <v>380</v>
      </c>
      <c r="H45" t="s">
        <v>68</v>
      </c>
      <c r="I45" t="s">
        <v>69</v>
      </c>
      <c r="J45" t="s">
        <v>70</v>
      </c>
      <c r="K45" t="s">
        <v>71</v>
      </c>
      <c r="L45">
        <v>686</v>
      </c>
      <c r="M45" t="s">
        <v>72</v>
      </c>
      <c r="N45" t="s">
        <v>73</v>
      </c>
      <c r="O45" t="s">
        <v>118</v>
      </c>
      <c r="P45" t="s">
        <v>75</v>
      </c>
      <c r="Q45" t="b">
        <v>1</v>
      </c>
      <c r="R45" t="s">
        <v>76</v>
      </c>
      <c r="S45" t="s">
        <v>77</v>
      </c>
      <c r="T45">
        <v>4</v>
      </c>
      <c r="U45" t="b">
        <v>0</v>
      </c>
      <c r="V45" t="s">
        <v>78</v>
      </c>
      <c r="W45" t="s">
        <v>79</v>
      </c>
      <c r="X45" t="s">
        <v>80</v>
      </c>
      <c r="Y45">
        <v>0</v>
      </c>
      <c r="Z45" t="s">
        <v>81</v>
      </c>
      <c r="AA45">
        <v>8</v>
      </c>
      <c r="AB45" t="s">
        <v>82</v>
      </c>
      <c r="AC45">
        <v>8</v>
      </c>
      <c r="AD45" t="s">
        <v>82</v>
      </c>
      <c r="AG45">
        <v>32.393999999999998</v>
      </c>
      <c r="AH45">
        <v>27</v>
      </c>
      <c r="AJ45" t="b">
        <v>0</v>
      </c>
      <c r="AK45">
        <v>15</v>
      </c>
      <c r="AL45" t="s">
        <v>90</v>
      </c>
      <c r="AM45">
        <v>32394</v>
      </c>
      <c r="AN45">
        <v>8</v>
      </c>
      <c r="AO45" t="s">
        <v>82</v>
      </c>
      <c r="AR45">
        <v>27</v>
      </c>
      <c r="AT45" t="b">
        <v>0</v>
      </c>
      <c r="AU45">
        <v>33</v>
      </c>
      <c r="AV45">
        <v>27</v>
      </c>
      <c r="AX45" t="b">
        <v>0</v>
      </c>
      <c r="AY45">
        <v>0</v>
      </c>
      <c r="AZ45">
        <v>0</v>
      </c>
      <c r="BB45" t="b">
        <v>0</v>
      </c>
      <c r="BC45">
        <v>1541344.121</v>
      </c>
      <c r="BE45">
        <v>1541344.121</v>
      </c>
      <c r="BF45" t="b">
        <v>1</v>
      </c>
      <c r="BG45">
        <v>472363.16700000002</v>
      </c>
      <c r="BH45">
        <v>-0.69353815247075512</v>
      </c>
      <c r="BI45">
        <v>0</v>
      </c>
      <c r="BJ45" t="b">
        <v>0</v>
      </c>
      <c r="BK45">
        <v>0</v>
      </c>
      <c r="BL45" t="b">
        <v>0</v>
      </c>
      <c r="BM45" t="b">
        <v>1</v>
      </c>
    </row>
    <row r="46" spans="1:65" x14ac:dyDescent="0.25">
      <c r="A46" t="s">
        <v>65</v>
      </c>
      <c r="B46" t="s">
        <v>66</v>
      </c>
      <c r="C46">
        <v>20220101</v>
      </c>
      <c r="D46">
        <v>2022</v>
      </c>
      <c r="E46">
        <v>52</v>
      </c>
      <c r="F46" t="s">
        <v>117</v>
      </c>
      <c r="G46">
        <v>757</v>
      </c>
      <c r="H46" t="s">
        <v>84</v>
      </c>
      <c r="I46" t="s">
        <v>85</v>
      </c>
      <c r="J46" t="s">
        <v>70</v>
      </c>
      <c r="K46" t="s">
        <v>71</v>
      </c>
      <c r="L46">
        <v>686</v>
      </c>
      <c r="M46" t="s">
        <v>72</v>
      </c>
      <c r="N46" t="s">
        <v>73</v>
      </c>
      <c r="O46" t="s">
        <v>118</v>
      </c>
      <c r="P46" t="s">
        <v>75</v>
      </c>
      <c r="Q46" t="b">
        <v>1</v>
      </c>
      <c r="R46" t="s">
        <v>76</v>
      </c>
      <c r="S46" t="s">
        <v>77</v>
      </c>
      <c r="T46">
        <v>4</v>
      </c>
      <c r="U46" t="b">
        <v>0</v>
      </c>
      <c r="V46" t="s">
        <v>78</v>
      </c>
      <c r="W46" t="s">
        <v>79</v>
      </c>
      <c r="X46" t="s">
        <v>80</v>
      </c>
      <c r="Y46">
        <v>0</v>
      </c>
      <c r="Z46" t="s">
        <v>81</v>
      </c>
      <c r="AA46">
        <v>8</v>
      </c>
      <c r="AB46" t="s">
        <v>82</v>
      </c>
      <c r="AC46">
        <v>8</v>
      </c>
      <c r="AD46" t="s">
        <v>82</v>
      </c>
      <c r="AG46">
        <v>12081</v>
      </c>
      <c r="AH46">
        <v>11200</v>
      </c>
      <c r="AJ46" t="b">
        <v>0</v>
      </c>
      <c r="AK46">
        <v>8</v>
      </c>
      <c r="AL46" t="s">
        <v>82</v>
      </c>
      <c r="AM46">
        <v>12081</v>
      </c>
      <c r="AN46">
        <v>8</v>
      </c>
      <c r="AO46" t="s">
        <v>82</v>
      </c>
      <c r="AR46">
        <v>11200</v>
      </c>
      <c r="AT46" t="b">
        <v>0</v>
      </c>
      <c r="AU46">
        <v>12081</v>
      </c>
      <c r="AV46">
        <v>11200</v>
      </c>
      <c r="AX46" t="b">
        <v>0</v>
      </c>
      <c r="AY46">
        <v>0</v>
      </c>
      <c r="AZ46">
        <v>0</v>
      </c>
      <c r="BB46" t="b">
        <v>0</v>
      </c>
      <c r="BC46">
        <v>631954371.199</v>
      </c>
      <c r="BE46">
        <v>631954371.199</v>
      </c>
      <c r="BF46" t="b">
        <v>1</v>
      </c>
      <c r="BG46">
        <v>648129946.38999999</v>
      </c>
      <c r="BH46">
        <v>2.5596112517285441E-2</v>
      </c>
      <c r="BI46">
        <v>0</v>
      </c>
      <c r="BJ46" t="b">
        <v>0</v>
      </c>
      <c r="BK46">
        <v>0</v>
      </c>
      <c r="BL46" t="b">
        <v>0</v>
      </c>
      <c r="BM46" t="b">
        <v>1</v>
      </c>
    </row>
    <row r="47" spans="1:65" x14ac:dyDescent="0.25">
      <c r="A47" t="s">
        <v>65</v>
      </c>
      <c r="B47" t="s">
        <v>66</v>
      </c>
      <c r="C47">
        <v>20220101</v>
      </c>
      <c r="D47">
        <v>2022</v>
      </c>
      <c r="E47">
        <v>52</v>
      </c>
      <c r="F47" t="s">
        <v>117</v>
      </c>
      <c r="G47">
        <v>784</v>
      </c>
      <c r="H47" t="s">
        <v>86</v>
      </c>
      <c r="I47" t="s">
        <v>87</v>
      </c>
      <c r="J47" t="s">
        <v>70</v>
      </c>
      <c r="K47" t="s">
        <v>71</v>
      </c>
      <c r="L47">
        <v>686</v>
      </c>
      <c r="M47" t="s">
        <v>72</v>
      </c>
      <c r="N47" t="s">
        <v>73</v>
      </c>
      <c r="O47" t="s">
        <v>118</v>
      </c>
      <c r="P47" t="s">
        <v>75</v>
      </c>
      <c r="Q47" t="b">
        <v>1</v>
      </c>
      <c r="R47" t="s">
        <v>76</v>
      </c>
      <c r="S47" t="s">
        <v>77</v>
      </c>
      <c r="T47">
        <v>4</v>
      </c>
      <c r="U47" t="b">
        <v>0</v>
      </c>
      <c r="V47" t="s">
        <v>78</v>
      </c>
      <c r="W47" t="s">
        <v>79</v>
      </c>
      <c r="X47" t="s">
        <v>80</v>
      </c>
      <c r="Y47">
        <v>0</v>
      </c>
      <c r="Z47" t="s">
        <v>81</v>
      </c>
      <c r="AA47">
        <v>8</v>
      </c>
      <c r="AB47" t="s">
        <v>82</v>
      </c>
      <c r="AC47">
        <v>8</v>
      </c>
      <c r="AD47" t="s">
        <v>82</v>
      </c>
      <c r="AG47">
        <v>3215.52</v>
      </c>
      <c r="AH47">
        <v>3287</v>
      </c>
      <c r="AJ47" t="b">
        <v>0</v>
      </c>
      <c r="AK47">
        <v>8</v>
      </c>
      <c r="AL47" t="s">
        <v>82</v>
      </c>
      <c r="AM47">
        <v>3215.52</v>
      </c>
      <c r="AN47">
        <v>8</v>
      </c>
      <c r="AO47" t="s">
        <v>82</v>
      </c>
      <c r="AR47">
        <v>3287</v>
      </c>
      <c r="AT47" t="b">
        <v>0</v>
      </c>
      <c r="AU47">
        <v>3215.52</v>
      </c>
      <c r="AV47">
        <v>3287</v>
      </c>
      <c r="AX47" t="b">
        <v>0</v>
      </c>
      <c r="AY47">
        <v>0</v>
      </c>
      <c r="AZ47">
        <v>0</v>
      </c>
      <c r="BB47" t="b">
        <v>0</v>
      </c>
      <c r="BC47">
        <v>171934926.44400001</v>
      </c>
      <c r="BE47">
        <v>171934926.44400001</v>
      </c>
      <c r="BF47" t="b">
        <v>1</v>
      </c>
      <c r="BG47">
        <v>62711461.711999997</v>
      </c>
      <c r="BH47">
        <v>-0.63526048482984976</v>
      </c>
      <c r="BI47">
        <v>0</v>
      </c>
      <c r="BJ47" t="b">
        <v>0</v>
      </c>
      <c r="BK47">
        <v>0</v>
      </c>
      <c r="BL47" t="b">
        <v>0</v>
      </c>
      <c r="BM47" t="b">
        <v>1</v>
      </c>
    </row>
    <row r="48" spans="1:65" x14ac:dyDescent="0.25">
      <c r="A48" t="s">
        <v>65</v>
      </c>
      <c r="B48" t="s">
        <v>66</v>
      </c>
      <c r="C48">
        <v>20230101</v>
      </c>
      <c r="D48">
        <v>2023</v>
      </c>
      <c r="E48">
        <v>52</v>
      </c>
      <c r="F48" t="s">
        <v>119</v>
      </c>
      <c r="G48">
        <v>36</v>
      </c>
      <c r="H48" t="s">
        <v>114</v>
      </c>
      <c r="I48" t="s">
        <v>115</v>
      </c>
      <c r="J48" t="s">
        <v>70</v>
      </c>
      <c r="K48" t="s">
        <v>71</v>
      </c>
      <c r="L48">
        <v>686</v>
      </c>
      <c r="M48" t="s">
        <v>72</v>
      </c>
      <c r="N48" t="s">
        <v>73</v>
      </c>
      <c r="O48" t="s">
        <v>118</v>
      </c>
      <c r="P48" t="s">
        <v>75</v>
      </c>
      <c r="Q48" t="b">
        <v>1</v>
      </c>
      <c r="R48" t="s">
        <v>76</v>
      </c>
      <c r="S48" t="s">
        <v>77</v>
      </c>
      <c r="T48">
        <v>4</v>
      </c>
      <c r="U48" t="b">
        <v>0</v>
      </c>
      <c r="V48" t="s">
        <v>78</v>
      </c>
      <c r="W48" t="s">
        <v>79</v>
      </c>
      <c r="X48" t="s">
        <v>80</v>
      </c>
      <c r="Y48">
        <v>0</v>
      </c>
      <c r="Z48" t="s">
        <v>81</v>
      </c>
      <c r="AA48">
        <v>8</v>
      </c>
      <c r="AB48" t="s">
        <v>82</v>
      </c>
      <c r="AC48">
        <v>8</v>
      </c>
      <c r="AD48" t="s">
        <v>82</v>
      </c>
      <c r="AG48">
        <v>3797.2040000000002</v>
      </c>
      <c r="AH48">
        <v>2683</v>
      </c>
      <c r="AJ48" t="b">
        <v>1</v>
      </c>
      <c r="AK48">
        <v>-1</v>
      </c>
      <c r="AL48" t="s">
        <v>83</v>
      </c>
      <c r="AM48">
        <v>0</v>
      </c>
      <c r="AN48">
        <v>8</v>
      </c>
      <c r="AO48" t="s">
        <v>82</v>
      </c>
      <c r="AR48">
        <v>2683</v>
      </c>
      <c r="AT48" t="b">
        <v>0</v>
      </c>
      <c r="AV48">
        <v>2683</v>
      </c>
      <c r="AX48" t="b">
        <v>0</v>
      </c>
      <c r="AY48">
        <v>4228</v>
      </c>
      <c r="AZ48">
        <v>0</v>
      </c>
      <c r="BB48" t="b">
        <v>0</v>
      </c>
      <c r="BC48">
        <v>230374640.12099999</v>
      </c>
      <c r="BD48">
        <v>229615460.164</v>
      </c>
      <c r="BE48">
        <v>230374640.12099999</v>
      </c>
      <c r="BF48" t="b">
        <v>1</v>
      </c>
      <c r="BG48">
        <v>167770585.40799999</v>
      </c>
      <c r="BH48">
        <v>-0.27174889857719753</v>
      </c>
      <c r="BI48">
        <v>0</v>
      </c>
      <c r="BJ48" t="b">
        <v>0</v>
      </c>
      <c r="BK48">
        <v>2</v>
      </c>
      <c r="BL48" t="b">
        <v>0</v>
      </c>
      <c r="BM48" t="b">
        <v>1</v>
      </c>
    </row>
    <row r="49" spans="1:65" x14ac:dyDescent="0.25">
      <c r="A49" t="s">
        <v>65</v>
      </c>
      <c r="B49" t="s">
        <v>66</v>
      </c>
      <c r="C49">
        <v>20230101</v>
      </c>
      <c r="D49">
        <v>2023</v>
      </c>
      <c r="E49">
        <v>52</v>
      </c>
      <c r="F49" t="s">
        <v>119</v>
      </c>
      <c r="G49">
        <v>380</v>
      </c>
      <c r="H49" t="s">
        <v>68</v>
      </c>
      <c r="I49" t="s">
        <v>69</v>
      </c>
      <c r="J49" t="s">
        <v>70</v>
      </c>
      <c r="K49" t="s">
        <v>71</v>
      </c>
      <c r="L49">
        <v>686</v>
      </c>
      <c r="M49" t="s">
        <v>72</v>
      </c>
      <c r="N49" t="s">
        <v>73</v>
      </c>
      <c r="O49" t="s">
        <v>118</v>
      </c>
      <c r="P49" t="s">
        <v>75</v>
      </c>
      <c r="Q49" t="b">
        <v>1</v>
      </c>
      <c r="R49" t="s">
        <v>76</v>
      </c>
      <c r="S49" t="s">
        <v>77</v>
      </c>
      <c r="T49">
        <v>4</v>
      </c>
      <c r="U49" t="b">
        <v>0</v>
      </c>
      <c r="V49" t="s">
        <v>78</v>
      </c>
      <c r="W49" t="s">
        <v>79</v>
      </c>
      <c r="X49" t="s">
        <v>80</v>
      </c>
      <c r="Y49">
        <v>0</v>
      </c>
      <c r="Z49" t="s">
        <v>81</v>
      </c>
      <c r="AA49">
        <v>8</v>
      </c>
      <c r="AB49" t="s">
        <v>82</v>
      </c>
      <c r="AC49">
        <v>8</v>
      </c>
      <c r="AD49" t="s">
        <v>82</v>
      </c>
      <c r="AG49">
        <v>28.239000000000001</v>
      </c>
      <c r="AH49">
        <v>53</v>
      </c>
      <c r="AJ49" t="b">
        <v>0</v>
      </c>
      <c r="AK49">
        <v>15</v>
      </c>
      <c r="AL49" t="s">
        <v>90</v>
      </c>
      <c r="AM49">
        <v>28239</v>
      </c>
      <c r="AN49">
        <v>8</v>
      </c>
      <c r="AO49" t="s">
        <v>82</v>
      </c>
      <c r="AR49">
        <v>53</v>
      </c>
      <c r="AT49" t="b">
        <v>0</v>
      </c>
      <c r="AU49">
        <v>28</v>
      </c>
      <c r="AV49">
        <v>53</v>
      </c>
      <c r="AX49" t="b">
        <v>0</v>
      </c>
      <c r="AY49">
        <v>0</v>
      </c>
      <c r="AZ49">
        <v>0</v>
      </c>
      <c r="BB49" t="b">
        <v>0</v>
      </c>
      <c r="BC49">
        <v>1335454.328</v>
      </c>
      <c r="BE49">
        <v>1335454.328</v>
      </c>
      <c r="BF49" t="b">
        <v>1</v>
      </c>
      <c r="BG49">
        <v>1004493.015</v>
      </c>
      <c r="BH49">
        <v>-0.24782675533026532</v>
      </c>
      <c r="BI49">
        <v>0</v>
      </c>
      <c r="BJ49" t="b">
        <v>0</v>
      </c>
      <c r="BK49">
        <v>0</v>
      </c>
      <c r="BL49" t="b">
        <v>0</v>
      </c>
      <c r="BM49" t="b">
        <v>1</v>
      </c>
    </row>
    <row r="50" spans="1:65" x14ac:dyDescent="0.25">
      <c r="A50" t="s">
        <v>65</v>
      </c>
      <c r="B50" t="s">
        <v>66</v>
      </c>
      <c r="C50">
        <v>20230101</v>
      </c>
      <c r="D50">
        <v>2023</v>
      </c>
      <c r="E50">
        <v>52</v>
      </c>
      <c r="F50" t="s">
        <v>119</v>
      </c>
      <c r="G50">
        <v>466</v>
      </c>
      <c r="H50" t="s">
        <v>120</v>
      </c>
      <c r="I50" t="s">
        <v>121</v>
      </c>
      <c r="J50" t="s">
        <v>70</v>
      </c>
      <c r="K50" t="s">
        <v>71</v>
      </c>
      <c r="L50">
        <v>686</v>
      </c>
      <c r="M50" t="s">
        <v>72</v>
      </c>
      <c r="N50" t="s">
        <v>73</v>
      </c>
      <c r="O50" t="s">
        <v>118</v>
      </c>
      <c r="P50" t="s">
        <v>75</v>
      </c>
      <c r="Q50" t="b">
        <v>1</v>
      </c>
      <c r="R50" t="s">
        <v>76</v>
      </c>
      <c r="S50" t="s">
        <v>77</v>
      </c>
      <c r="T50">
        <v>4</v>
      </c>
      <c r="U50" t="b">
        <v>0</v>
      </c>
      <c r="V50" t="s">
        <v>78</v>
      </c>
      <c r="W50" t="s">
        <v>79</v>
      </c>
      <c r="X50" t="s">
        <v>80</v>
      </c>
      <c r="Y50">
        <v>0</v>
      </c>
      <c r="Z50" t="s">
        <v>81</v>
      </c>
      <c r="AA50">
        <v>8</v>
      </c>
      <c r="AB50" t="s">
        <v>82</v>
      </c>
      <c r="AG50">
        <v>6.6109999999999998</v>
      </c>
      <c r="AJ50" t="b">
        <v>0</v>
      </c>
      <c r="AK50">
        <v>8</v>
      </c>
      <c r="AL50" t="s">
        <v>82</v>
      </c>
      <c r="AM50">
        <v>6.6109999999999998</v>
      </c>
      <c r="AT50" t="b">
        <v>0</v>
      </c>
      <c r="AU50">
        <v>6.6109999999999998</v>
      </c>
      <c r="AX50" t="b">
        <v>0</v>
      </c>
      <c r="AY50">
        <v>0</v>
      </c>
      <c r="BB50" t="b">
        <v>0</v>
      </c>
      <c r="BC50">
        <v>337980.12400000001</v>
      </c>
      <c r="BE50">
        <v>337980.12400000001</v>
      </c>
      <c r="BF50" t="b">
        <v>1</v>
      </c>
      <c r="BG50">
        <v>0</v>
      </c>
      <c r="BH50">
        <v>-1</v>
      </c>
      <c r="BI50">
        <v>0</v>
      </c>
      <c r="BJ50" t="b">
        <v>0</v>
      </c>
      <c r="BK50">
        <v>0</v>
      </c>
      <c r="BL50" t="b">
        <v>0</v>
      </c>
      <c r="BM50" t="b">
        <v>1</v>
      </c>
    </row>
    <row r="51" spans="1:65" x14ac:dyDescent="0.25">
      <c r="A51" t="s">
        <v>65</v>
      </c>
      <c r="B51" t="s">
        <v>66</v>
      </c>
      <c r="C51">
        <v>20230101</v>
      </c>
      <c r="D51">
        <v>2023</v>
      </c>
      <c r="E51">
        <v>52</v>
      </c>
      <c r="F51" t="s">
        <v>119</v>
      </c>
      <c r="G51">
        <v>757</v>
      </c>
      <c r="H51" t="s">
        <v>84</v>
      </c>
      <c r="I51" t="s">
        <v>85</v>
      </c>
      <c r="J51" t="s">
        <v>70</v>
      </c>
      <c r="K51" t="s">
        <v>71</v>
      </c>
      <c r="L51">
        <v>686</v>
      </c>
      <c r="M51" t="s">
        <v>72</v>
      </c>
      <c r="N51" t="s">
        <v>73</v>
      </c>
      <c r="O51" t="s">
        <v>118</v>
      </c>
      <c r="P51" t="s">
        <v>75</v>
      </c>
      <c r="Q51" t="b">
        <v>1</v>
      </c>
      <c r="R51" t="s">
        <v>76</v>
      </c>
      <c r="S51" t="s">
        <v>77</v>
      </c>
      <c r="T51">
        <v>4</v>
      </c>
      <c r="U51" t="b">
        <v>0</v>
      </c>
      <c r="V51" t="s">
        <v>78</v>
      </c>
      <c r="W51" t="s">
        <v>79</v>
      </c>
      <c r="X51" t="s">
        <v>80</v>
      </c>
      <c r="Y51">
        <v>0</v>
      </c>
      <c r="Z51" t="s">
        <v>81</v>
      </c>
      <c r="AA51">
        <v>8</v>
      </c>
      <c r="AB51" t="s">
        <v>82</v>
      </c>
      <c r="AC51">
        <v>8</v>
      </c>
      <c r="AD51" t="s">
        <v>82</v>
      </c>
      <c r="AG51">
        <v>10566</v>
      </c>
      <c r="AH51">
        <v>9949</v>
      </c>
      <c r="AJ51" t="b">
        <v>0</v>
      </c>
      <c r="AK51">
        <v>8</v>
      </c>
      <c r="AL51" t="s">
        <v>82</v>
      </c>
      <c r="AM51">
        <v>10566</v>
      </c>
      <c r="AN51">
        <v>8</v>
      </c>
      <c r="AO51" t="s">
        <v>82</v>
      </c>
      <c r="AR51">
        <v>9949</v>
      </c>
      <c r="AT51" t="b">
        <v>0</v>
      </c>
      <c r="AU51">
        <v>10566</v>
      </c>
      <c r="AV51">
        <v>9949</v>
      </c>
      <c r="AX51" t="b">
        <v>0</v>
      </c>
      <c r="AY51">
        <v>0</v>
      </c>
      <c r="AZ51">
        <v>0</v>
      </c>
      <c r="BB51" t="b">
        <v>0</v>
      </c>
      <c r="BC51">
        <v>593906011.35000002</v>
      </c>
      <c r="BE51">
        <v>593906011.35000002</v>
      </c>
      <c r="BF51" t="b">
        <v>1</v>
      </c>
      <c r="BG51">
        <v>622824592.23699999</v>
      </c>
      <c r="BH51">
        <v>4.869218417450516E-2</v>
      </c>
      <c r="BI51">
        <v>0</v>
      </c>
      <c r="BJ51" t="b">
        <v>0</v>
      </c>
      <c r="BK51">
        <v>0</v>
      </c>
      <c r="BL51" t="b">
        <v>0</v>
      </c>
      <c r="BM51" t="b">
        <v>1</v>
      </c>
    </row>
    <row r="52" spans="1:65" x14ac:dyDescent="0.25">
      <c r="A52" t="s">
        <v>65</v>
      </c>
      <c r="B52" t="s">
        <v>66</v>
      </c>
      <c r="C52">
        <v>20230101</v>
      </c>
      <c r="D52">
        <v>2023</v>
      </c>
      <c r="E52">
        <v>52</v>
      </c>
      <c r="F52" t="s">
        <v>119</v>
      </c>
      <c r="G52">
        <v>784</v>
      </c>
      <c r="H52" t="s">
        <v>86</v>
      </c>
      <c r="I52" t="s">
        <v>87</v>
      </c>
      <c r="J52" t="s">
        <v>70</v>
      </c>
      <c r="K52" t="s">
        <v>71</v>
      </c>
      <c r="L52">
        <v>686</v>
      </c>
      <c r="M52" t="s">
        <v>72</v>
      </c>
      <c r="N52" t="s">
        <v>73</v>
      </c>
      <c r="O52" t="s">
        <v>118</v>
      </c>
      <c r="P52" t="s">
        <v>75</v>
      </c>
      <c r="Q52" t="b">
        <v>1</v>
      </c>
      <c r="R52" t="s">
        <v>76</v>
      </c>
      <c r="S52" t="s">
        <v>77</v>
      </c>
      <c r="T52">
        <v>4</v>
      </c>
      <c r="U52" t="b">
        <v>0</v>
      </c>
      <c r="V52" t="s">
        <v>78</v>
      </c>
      <c r="W52" t="s">
        <v>79</v>
      </c>
      <c r="X52" t="s">
        <v>80</v>
      </c>
      <c r="Y52">
        <v>0</v>
      </c>
      <c r="Z52" t="s">
        <v>81</v>
      </c>
      <c r="AA52">
        <v>8</v>
      </c>
      <c r="AB52" t="s">
        <v>82</v>
      </c>
      <c r="AC52">
        <v>8</v>
      </c>
      <c r="AD52" t="s">
        <v>82</v>
      </c>
      <c r="AG52">
        <v>4014.64</v>
      </c>
      <c r="AH52">
        <v>4287</v>
      </c>
      <c r="AJ52" t="b">
        <v>0</v>
      </c>
      <c r="AK52">
        <v>8</v>
      </c>
      <c r="AL52" t="s">
        <v>82</v>
      </c>
      <c r="AM52">
        <v>4014.64</v>
      </c>
      <c r="AN52">
        <v>8</v>
      </c>
      <c r="AO52" t="s">
        <v>82</v>
      </c>
      <c r="AR52">
        <v>4287</v>
      </c>
      <c r="AT52" t="b">
        <v>0</v>
      </c>
      <c r="AU52">
        <v>4014.64</v>
      </c>
      <c r="AV52">
        <v>4287</v>
      </c>
      <c r="AX52" t="b">
        <v>0</v>
      </c>
      <c r="AY52">
        <v>0</v>
      </c>
      <c r="AZ52">
        <v>0</v>
      </c>
      <c r="BB52" t="b">
        <v>0</v>
      </c>
      <c r="BC52">
        <v>238406106.84299999</v>
      </c>
      <c r="BE52">
        <v>238406106.84299999</v>
      </c>
      <c r="BF52" t="b">
        <v>1</v>
      </c>
      <c r="BG52">
        <v>82918571.925999999</v>
      </c>
      <c r="BH52">
        <v>-0.65219610762485536</v>
      </c>
      <c r="BI52">
        <v>0</v>
      </c>
      <c r="BJ52" t="b">
        <v>0</v>
      </c>
      <c r="BK52">
        <v>0</v>
      </c>
      <c r="BL52" t="b">
        <v>0</v>
      </c>
      <c r="BM52" t="b">
        <v>1</v>
      </c>
    </row>
    <row r="53" spans="1:65" x14ac:dyDescent="0.25">
      <c r="A53" t="s">
        <v>65</v>
      </c>
      <c r="B53" t="s">
        <v>66</v>
      </c>
      <c r="C53">
        <v>20230101</v>
      </c>
      <c r="D53">
        <v>2023</v>
      </c>
      <c r="E53">
        <v>52</v>
      </c>
      <c r="F53" t="s">
        <v>119</v>
      </c>
      <c r="G53">
        <v>792</v>
      </c>
      <c r="H53" t="s">
        <v>94</v>
      </c>
      <c r="I53" t="s">
        <v>95</v>
      </c>
      <c r="J53" t="s">
        <v>70</v>
      </c>
      <c r="K53" t="s">
        <v>71</v>
      </c>
      <c r="L53">
        <v>686</v>
      </c>
      <c r="M53" t="s">
        <v>72</v>
      </c>
      <c r="N53" t="s">
        <v>73</v>
      </c>
      <c r="O53" t="s">
        <v>118</v>
      </c>
      <c r="P53" t="s">
        <v>75</v>
      </c>
      <c r="Q53" t="b">
        <v>1</v>
      </c>
      <c r="R53" t="s">
        <v>76</v>
      </c>
      <c r="S53" t="s">
        <v>77</v>
      </c>
      <c r="T53">
        <v>4</v>
      </c>
      <c r="U53" t="b">
        <v>0</v>
      </c>
      <c r="V53" t="s">
        <v>78</v>
      </c>
      <c r="W53" t="s">
        <v>79</v>
      </c>
      <c r="X53" t="s">
        <v>80</v>
      </c>
      <c r="Y53">
        <v>0</v>
      </c>
      <c r="Z53" t="s">
        <v>81</v>
      </c>
      <c r="AA53">
        <v>8</v>
      </c>
      <c r="AB53" t="s">
        <v>82</v>
      </c>
      <c r="AC53">
        <v>8</v>
      </c>
      <c r="AD53" t="s">
        <v>82</v>
      </c>
      <c r="AG53">
        <v>34.648000000000003</v>
      </c>
      <c r="AH53">
        <v>9</v>
      </c>
      <c r="AJ53" t="b">
        <v>0</v>
      </c>
      <c r="AK53">
        <v>8</v>
      </c>
      <c r="AL53" t="s">
        <v>82</v>
      </c>
      <c r="AM53">
        <v>34.648000000000003</v>
      </c>
      <c r="AN53">
        <v>8</v>
      </c>
      <c r="AO53" t="s">
        <v>82</v>
      </c>
      <c r="AR53">
        <v>9</v>
      </c>
      <c r="AT53" t="b">
        <v>0</v>
      </c>
      <c r="AU53">
        <v>35</v>
      </c>
      <c r="AV53">
        <v>9</v>
      </c>
      <c r="AX53" t="b">
        <v>0</v>
      </c>
      <c r="AY53">
        <v>0</v>
      </c>
      <c r="AZ53">
        <v>0</v>
      </c>
      <c r="BB53" t="b">
        <v>0</v>
      </c>
      <c r="BC53">
        <v>1695971</v>
      </c>
      <c r="BD53">
        <v>1694377</v>
      </c>
      <c r="BE53">
        <v>1695971</v>
      </c>
      <c r="BF53" t="b">
        <v>1</v>
      </c>
      <c r="BG53">
        <v>176649.51800000001</v>
      </c>
      <c r="BH53">
        <v>-0.89584166356618122</v>
      </c>
      <c r="BI53">
        <v>0</v>
      </c>
      <c r="BJ53" t="b">
        <v>0</v>
      </c>
      <c r="BK53">
        <v>0</v>
      </c>
      <c r="BL53" t="b">
        <v>0</v>
      </c>
      <c r="BM53" t="b">
        <v>1</v>
      </c>
    </row>
    <row r="54" spans="1:65" x14ac:dyDescent="0.25">
      <c r="A54" t="s">
        <v>65</v>
      </c>
      <c r="B54" t="s">
        <v>66</v>
      </c>
      <c r="C54">
        <v>20240101</v>
      </c>
      <c r="D54">
        <v>2024</v>
      </c>
      <c r="E54">
        <v>52</v>
      </c>
      <c r="F54" t="s">
        <v>122</v>
      </c>
      <c r="G54">
        <v>36</v>
      </c>
      <c r="H54" t="s">
        <v>114</v>
      </c>
      <c r="I54" t="s">
        <v>115</v>
      </c>
      <c r="J54" t="s">
        <v>70</v>
      </c>
      <c r="K54" t="s">
        <v>71</v>
      </c>
      <c r="L54">
        <v>686</v>
      </c>
      <c r="M54" t="s">
        <v>72</v>
      </c>
      <c r="N54" t="s">
        <v>73</v>
      </c>
      <c r="O54" t="s">
        <v>118</v>
      </c>
      <c r="P54" t="s">
        <v>75</v>
      </c>
      <c r="Q54" t="b">
        <v>1</v>
      </c>
      <c r="R54" t="s">
        <v>76</v>
      </c>
      <c r="S54" t="s">
        <v>77</v>
      </c>
      <c r="T54">
        <v>4</v>
      </c>
      <c r="U54" t="b">
        <v>0</v>
      </c>
      <c r="V54" t="s">
        <v>78</v>
      </c>
      <c r="W54" t="s">
        <v>79</v>
      </c>
      <c r="X54" t="s">
        <v>80</v>
      </c>
      <c r="Y54">
        <v>0</v>
      </c>
      <c r="Z54" t="s">
        <v>81</v>
      </c>
      <c r="AA54">
        <v>8</v>
      </c>
      <c r="AB54" t="s">
        <v>82</v>
      </c>
      <c r="AC54">
        <v>8</v>
      </c>
      <c r="AD54" t="s">
        <v>82</v>
      </c>
      <c r="AG54">
        <v>3042.6289999999999</v>
      </c>
      <c r="AH54">
        <v>1660</v>
      </c>
      <c r="AJ54" t="b">
        <v>1</v>
      </c>
      <c r="AK54">
        <v>-1</v>
      </c>
      <c r="AL54" t="s">
        <v>83</v>
      </c>
      <c r="AM54">
        <v>0</v>
      </c>
      <c r="AN54">
        <v>8</v>
      </c>
      <c r="AO54" t="s">
        <v>82</v>
      </c>
      <c r="AR54">
        <v>1660</v>
      </c>
      <c r="AT54" t="b">
        <v>0</v>
      </c>
      <c r="AU54">
        <v>3042.6289999999999</v>
      </c>
      <c r="AV54">
        <v>1660</v>
      </c>
      <c r="AX54" t="b">
        <v>1</v>
      </c>
      <c r="AY54">
        <v>3.117</v>
      </c>
      <c r="AZ54">
        <v>0</v>
      </c>
      <c r="BB54" t="b">
        <v>0</v>
      </c>
      <c r="BC54">
        <v>201071815.89399999</v>
      </c>
      <c r="BD54">
        <v>200467702.66499999</v>
      </c>
      <c r="BE54">
        <v>201071815.89399999</v>
      </c>
      <c r="BF54" t="b">
        <v>1</v>
      </c>
      <c r="BG54">
        <v>139181355.19999999</v>
      </c>
      <c r="BH54">
        <v>-0.30780276399665629</v>
      </c>
      <c r="BI54">
        <v>0</v>
      </c>
      <c r="BJ54" t="b">
        <v>0</v>
      </c>
      <c r="BK54">
        <v>6</v>
      </c>
      <c r="BL54" t="b">
        <v>0</v>
      </c>
      <c r="BM54" t="b">
        <v>1</v>
      </c>
    </row>
    <row r="55" spans="1:65" x14ac:dyDescent="0.25">
      <c r="A55" t="s">
        <v>65</v>
      </c>
      <c r="B55" t="s">
        <v>66</v>
      </c>
      <c r="C55">
        <v>20240101</v>
      </c>
      <c r="D55">
        <v>2024</v>
      </c>
      <c r="E55">
        <v>52</v>
      </c>
      <c r="F55" t="s">
        <v>122</v>
      </c>
      <c r="G55">
        <v>156</v>
      </c>
      <c r="H55" t="s">
        <v>123</v>
      </c>
      <c r="I55" t="s">
        <v>124</v>
      </c>
      <c r="J55" t="s">
        <v>70</v>
      </c>
      <c r="K55" t="s">
        <v>71</v>
      </c>
      <c r="L55">
        <v>686</v>
      </c>
      <c r="M55" t="s">
        <v>72</v>
      </c>
      <c r="N55" t="s">
        <v>73</v>
      </c>
      <c r="O55" t="s">
        <v>118</v>
      </c>
      <c r="P55" t="s">
        <v>75</v>
      </c>
      <c r="Q55" t="b">
        <v>1</v>
      </c>
      <c r="R55" t="s">
        <v>76</v>
      </c>
      <c r="S55" t="s">
        <v>77</v>
      </c>
      <c r="T55">
        <v>4</v>
      </c>
      <c r="U55" t="b">
        <v>0</v>
      </c>
      <c r="V55" t="s">
        <v>78</v>
      </c>
      <c r="W55" t="s">
        <v>79</v>
      </c>
      <c r="X55" t="s">
        <v>80</v>
      </c>
      <c r="Y55">
        <v>0</v>
      </c>
      <c r="Z55" t="s">
        <v>81</v>
      </c>
      <c r="AA55">
        <v>8</v>
      </c>
      <c r="AB55" t="s">
        <v>82</v>
      </c>
      <c r="AG55">
        <v>10.012</v>
      </c>
      <c r="AJ55" t="b">
        <v>0</v>
      </c>
      <c r="AK55">
        <v>15</v>
      </c>
      <c r="AL55" t="s">
        <v>90</v>
      </c>
      <c r="AM55">
        <v>10012</v>
      </c>
      <c r="AT55" t="b">
        <v>0</v>
      </c>
      <c r="AU55">
        <v>10.012</v>
      </c>
      <c r="AX55" t="b">
        <v>0</v>
      </c>
      <c r="AY55">
        <v>0</v>
      </c>
      <c r="BB55" t="b">
        <v>0</v>
      </c>
      <c r="BC55">
        <v>819980</v>
      </c>
      <c r="BE55">
        <v>819980</v>
      </c>
      <c r="BF55" t="b">
        <v>1</v>
      </c>
      <c r="BG55">
        <v>0</v>
      </c>
      <c r="BH55">
        <v>-1</v>
      </c>
      <c r="BI55">
        <v>0</v>
      </c>
      <c r="BJ55" t="b">
        <v>0</v>
      </c>
      <c r="BK55">
        <v>0</v>
      </c>
      <c r="BL55" t="b">
        <v>0</v>
      </c>
      <c r="BM55" t="b">
        <v>1</v>
      </c>
    </row>
    <row r="56" spans="1:65" x14ac:dyDescent="0.25">
      <c r="A56" t="s">
        <v>65</v>
      </c>
      <c r="B56" t="s">
        <v>66</v>
      </c>
      <c r="C56">
        <v>20240101</v>
      </c>
      <c r="D56">
        <v>2024</v>
      </c>
      <c r="E56">
        <v>52</v>
      </c>
      <c r="F56" t="s">
        <v>122</v>
      </c>
      <c r="G56">
        <v>380</v>
      </c>
      <c r="H56" t="s">
        <v>68</v>
      </c>
      <c r="I56" t="s">
        <v>69</v>
      </c>
      <c r="J56" t="s">
        <v>70</v>
      </c>
      <c r="K56" t="s">
        <v>71</v>
      </c>
      <c r="L56">
        <v>686</v>
      </c>
      <c r="M56" t="s">
        <v>72</v>
      </c>
      <c r="N56" t="s">
        <v>73</v>
      </c>
      <c r="O56" t="s">
        <v>118</v>
      </c>
      <c r="P56" t="s">
        <v>75</v>
      </c>
      <c r="Q56" t="b">
        <v>1</v>
      </c>
      <c r="R56" t="s">
        <v>76</v>
      </c>
      <c r="S56" t="s">
        <v>77</v>
      </c>
      <c r="T56">
        <v>4</v>
      </c>
      <c r="U56" t="b">
        <v>0</v>
      </c>
      <c r="V56" t="s">
        <v>78</v>
      </c>
      <c r="W56" t="s">
        <v>79</v>
      </c>
      <c r="X56" t="s">
        <v>80</v>
      </c>
      <c r="Y56">
        <v>0</v>
      </c>
      <c r="Z56" t="s">
        <v>81</v>
      </c>
      <c r="AA56">
        <v>8</v>
      </c>
      <c r="AB56" t="s">
        <v>82</v>
      </c>
      <c r="AC56">
        <v>8</v>
      </c>
      <c r="AD56" t="s">
        <v>82</v>
      </c>
      <c r="AG56">
        <v>10.696999999999999</v>
      </c>
      <c r="AH56">
        <v>52</v>
      </c>
      <c r="AJ56" t="b">
        <v>0</v>
      </c>
      <c r="AK56">
        <v>8</v>
      </c>
      <c r="AL56" t="s">
        <v>82</v>
      </c>
      <c r="AM56">
        <v>10.696999999999999</v>
      </c>
      <c r="AN56">
        <v>8</v>
      </c>
      <c r="AO56" t="s">
        <v>82</v>
      </c>
      <c r="AR56">
        <v>52</v>
      </c>
      <c r="AT56" t="b">
        <v>0</v>
      </c>
      <c r="AU56">
        <v>12</v>
      </c>
      <c r="AV56">
        <v>52</v>
      </c>
      <c r="AX56" t="b">
        <v>0</v>
      </c>
      <c r="AY56">
        <v>0</v>
      </c>
      <c r="AZ56">
        <v>0</v>
      </c>
      <c r="BB56" t="b">
        <v>0</v>
      </c>
      <c r="BC56">
        <v>676674.71200000006</v>
      </c>
      <c r="BE56">
        <v>676674.71200000006</v>
      </c>
      <c r="BF56" t="b">
        <v>1</v>
      </c>
      <c r="BG56">
        <v>1000287.572</v>
      </c>
      <c r="BH56">
        <v>0.47823991980359382</v>
      </c>
      <c r="BI56">
        <v>0</v>
      </c>
      <c r="BJ56" t="b">
        <v>0</v>
      </c>
      <c r="BK56">
        <v>0</v>
      </c>
      <c r="BL56" t="b">
        <v>0</v>
      </c>
      <c r="BM56" t="b">
        <v>1</v>
      </c>
    </row>
    <row r="57" spans="1:65" x14ac:dyDescent="0.25">
      <c r="A57" t="s">
        <v>65</v>
      </c>
      <c r="B57" t="s">
        <v>66</v>
      </c>
      <c r="C57">
        <v>20240101</v>
      </c>
      <c r="D57">
        <v>2024</v>
      </c>
      <c r="E57">
        <v>52</v>
      </c>
      <c r="F57" t="s">
        <v>122</v>
      </c>
      <c r="G57">
        <v>757</v>
      </c>
      <c r="H57" t="s">
        <v>84</v>
      </c>
      <c r="I57" t="s">
        <v>85</v>
      </c>
      <c r="J57" t="s">
        <v>70</v>
      </c>
      <c r="K57" t="s">
        <v>71</v>
      </c>
      <c r="L57">
        <v>686</v>
      </c>
      <c r="M57" t="s">
        <v>72</v>
      </c>
      <c r="N57" t="s">
        <v>73</v>
      </c>
      <c r="O57" t="s">
        <v>118</v>
      </c>
      <c r="P57" t="s">
        <v>75</v>
      </c>
      <c r="Q57" t="b">
        <v>1</v>
      </c>
      <c r="R57" t="s">
        <v>76</v>
      </c>
      <c r="S57" t="s">
        <v>77</v>
      </c>
      <c r="T57">
        <v>4</v>
      </c>
      <c r="U57" t="b">
        <v>0</v>
      </c>
      <c r="V57" t="s">
        <v>78</v>
      </c>
      <c r="W57" t="s">
        <v>79</v>
      </c>
      <c r="X57" t="s">
        <v>80</v>
      </c>
      <c r="Y57">
        <v>0</v>
      </c>
      <c r="Z57" t="s">
        <v>81</v>
      </c>
      <c r="AA57">
        <v>8</v>
      </c>
      <c r="AB57" t="s">
        <v>82</v>
      </c>
      <c r="AC57">
        <v>8</v>
      </c>
      <c r="AD57" t="s">
        <v>82</v>
      </c>
      <c r="AG57">
        <v>8103</v>
      </c>
      <c r="AH57">
        <v>9549</v>
      </c>
      <c r="AJ57" t="b">
        <v>0</v>
      </c>
      <c r="AK57">
        <v>8</v>
      </c>
      <c r="AL57" t="s">
        <v>82</v>
      </c>
      <c r="AM57">
        <v>8103</v>
      </c>
      <c r="AN57">
        <v>8</v>
      </c>
      <c r="AO57" t="s">
        <v>82</v>
      </c>
      <c r="AR57">
        <v>9549</v>
      </c>
      <c r="AT57" t="b">
        <v>0</v>
      </c>
      <c r="AU57">
        <v>8103</v>
      </c>
      <c r="AV57">
        <v>9549</v>
      </c>
      <c r="AX57" t="b">
        <v>0</v>
      </c>
      <c r="AY57">
        <v>0</v>
      </c>
      <c r="AZ57">
        <v>0</v>
      </c>
      <c r="BB57" t="b">
        <v>0</v>
      </c>
      <c r="BC57">
        <v>548487309.28999996</v>
      </c>
      <c r="BE57">
        <v>548487309.28999996</v>
      </c>
      <c r="BF57" t="b">
        <v>1</v>
      </c>
      <c r="BG57">
        <v>724559741.37</v>
      </c>
      <c r="BH57">
        <v>0.32101459614064809</v>
      </c>
      <c r="BI57">
        <v>0</v>
      </c>
      <c r="BJ57" t="b">
        <v>0</v>
      </c>
      <c r="BK57">
        <v>0</v>
      </c>
      <c r="BL57" t="b">
        <v>0</v>
      </c>
      <c r="BM57" t="b">
        <v>1</v>
      </c>
    </row>
    <row r="58" spans="1:65" x14ac:dyDescent="0.25">
      <c r="A58" t="s">
        <v>65</v>
      </c>
      <c r="B58" t="s">
        <v>66</v>
      </c>
      <c r="C58">
        <v>20240101</v>
      </c>
      <c r="D58">
        <v>2024</v>
      </c>
      <c r="E58">
        <v>52</v>
      </c>
      <c r="F58" t="s">
        <v>122</v>
      </c>
      <c r="G58">
        <v>764</v>
      </c>
      <c r="H58" t="s">
        <v>125</v>
      </c>
      <c r="I58" t="s">
        <v>126</v>
      </c>
      <c r="J58" t="s">
        <v>70</v>
      </c>
      <c r="K58" t="s">
        <v>71</v>
      </c>
      <c r="L58">
        <v>686</v>
      </c>
      <c r="M58" t="s">
        <v>72</v>
      </c>
      <c r="N58" t="s">
        <v>73</v>
      </c>
      <c r="O58" t="s">
        <v>118</v>
      </c>
      <c r="P58" t="s">
        <v>75</v>
      </c>
      <c r="Q58" t="b">
        <v>1</v>
      </c>
      <c r="R58" t="s">
        <v>76</v>
      </c>
      <c r="S58" t="s">
        <v>77</v>
      </c>
      <c r="T58">
        <v>4</v>
      </c>
      <c r="U58" t="b">
        <v>0</v>
      </c>
      <c r="V58" t="s">
        <v>78</v>
      </c>
      <c r="W58" t="s">
        <v>79</v>
      </c>
      <c r="X58" t="s">
        <v>80</v>
      </c>
      <c r="Y58">
        <v>0</v>
      </c>
      <c r="Z58" t="s">
        <v>81</v>
      </c>
      <c r="AA58">
        <v>8</v>
      </c>
      <c r="AB58" t="s">
        <v>82</v>
      </c>
      <c r="AG58">
        <v>20</v>
      </c>
      <c r="AJ58" t="b">
        <v>0</v>
      </c>
      <c r="AK58">
        <v>8</v>
      </c>
      <c r="AL58" t="s">
        <v>82</v>
      </c>
      <c r="AM58">
        <v>20</v>
      </c>
      <c r="AT58" t="b">
        <v>0</v>
      </c>
      <c r="AU58">
        <v>20</v>
      </c>
      <c r="AX58" t="b">
        <v>0</v>
      </c>
      <c r="AY58">
        <v>0</v>
      </c>
      <c r="BB58" t="b">
        <v>0</v>
      </c>
      <c r="BC58">
        <v>1764637.62</v>
      </c>
      <c r="BE58">
        <v>1764637.62</v>
      </c>
      <c r="BF58" t="b">
        <v>1</v>
      </c>
      <c r="BG58">
        <v>0</v>
      </c>
      <c r="BH58">
        <v>-1</v>
      </c>
      <c r="BI58">
        <v>0</v>
      </c>
      <c r="BJ58" t="b">
        <v>0</v>
      </c>
      <c r="BK58">
        <v>0</v>
      </c>
      <c r="BL58" t="b">
        <v>0</v>
      </c>
      <c r="BM58" t="b">
        <v>1</v>
      </c>
    </row>
    <row r="59" spans="1:65" x14ac:dyDescent="0.25">
      <c r="A59" t="s">
        <v>65</v>
      </c>
      <c r="B59" t="s">
        <v>66</v>
      </c>
      <c r="C59">
        <v>20240101</v>
      </c>
      <c r="D59">
        <v>2024</v>
      </c>
      <c r="E59">
        <v>52</v>
      </c>
      <c r="F59" t="s">
        <v>122</v>
      </c>
      <c r="G59">
        <v>792</v>
      </c>
      <c r="H59" t="s">
        <v>94</v>
      </c>
      <c r="I59" t="s">
        <v>95</v>
      </c>
      <c r="J59" t="s">
        <v>70</v>
      </c>
      <c r="K59" t="s">
        <v>71</v>
      </c>
      <c r="L59">
        <v>686</v>
      </c>
      <c r="M59" t="s">
        <v>72</v>
      </c>
      <c r="N59" t="s">
        <v>73</v>
      </c>
      <c r="O59" t="s">
        <v>118</v>
      </c>
      <c r="P59" t="s">
        <v>75</v>
      </c>
      <c r="Q59" t="b">
        <v>1</v>
      </c>
      <c r="R59" t="s">
        <v>76</v>
      </c>
      <c r="S59" t="s">
        <v>77</v>
      </c>
      <c r="T59">
        <v>4</v>
      </c>
      <c r="U59" t="b">
        <v>0</v>
      </c>
      <c r="V59" t="s">
        <v>78</v>
      </c>
      <c r="W59" t="s">
        <v>79</v>
      </c>
      <c r="X59" t="s">
        <v>80</v>
      </c>
      <c r="Y59">
        <v>0</v>
      </c>
      <c r="Z59" t="s">
        <v>81</v>
      </c>
      <c r="AA59">
        <v>8</v>
      </c>
      <c r="AB59" t="s">
        <v>82</v>
      </c>
      <c r="AG59">
        <v>1.9990000000000001</v>
      </c>
      <c r="AJ59" t="b">
        <v>0</v>
      </c>
      <c r="AK59">
        <v>15</v>
      </c>
      <c r="AL59" t="s">
        <v>90</v>
      </c>
      <c r="AM59">
        <v>1999</v>
      </c>
      <c r="AT59" t="b">
        <v>0</v>
      </c>
      <c r="AU59">
        <v>2</v>
      </c>
      <c r="AX59" t="b">
        <v>0</v>
      </c>
      <c r="AY59">
        <v>0</v>
      </c>
      <c r="BB59" t="b">
        <v>0</v>
      </c>
      <c r="BC59">
        <v>99765</v>
      </c>
      <c r="BD59">
        <v>99675</v>
      </c>
      <c r="BE59">
        <v>99765</v>
      </c>
      <c r="BF59" t="b">
        <v>1</v>
      </c>
      <c r="BG59">
        <v>0</v>
      </c>
      <c r="BH59">
        <v>-1</v>
      </c>
      <c r="BI59">
        <v>0</v>
      </c>
      <c r="BJ59" t="b">
        <v>0</v>
      </c>
      <c r="BK59">
        <v>0</v>
      </c>
      <c r="BL59" t="b">
        <v>0</v>
      </c>
      <c r="BM59" t="b">
        <v>1</v>
      </c>
    </row>
    <row r="60" spans="1:65" x14ac:dyDescent="0.25">
      <c r="A60" t="s">
        <v>65</v>
      </c>
      <c r="B60" t="s">
        <v>66</v>
      </c>
      <c r="C60">
        <v>20250101</v>
      </c>
      <c r="D60">
        <v>2025</v>
      </c>
      <c r="E60">
        <v>52</v>
      </c>
      <c r="F60" t="s">
        <v>127</v>
      </c>
      <c r="G60">
        <v>36</v>
      </c>
      <c r="H60" t="s">
        <v>114</v>
      </c>
      <c r="I60" t="s">
        <v>115</v>
      </c>
      <c r="J60" t="s">
        <v>70</v>
      </c>
      <c r="K60" t="s">
        <v>71</v>
      </c>
      <c r="L60">
        <v>686</v>
      </c>
      <c r="M60" t="s">
        <v>72</v>
      </c>
      <c r="N60" t="s">
        <v>73</v>
      </c>
      <c r="O60" t="s">
        <v>118</v>
      </c>
      <c r="P60" t="s">
        <v>75</v>
      </c>
      <c r="Q60" t="b">
        <v>1</v>
      </c>
      <c r="R60" t="s">
        <v>76</v>
      </c>
      <c r="S60" t="s">
        <v>77</v>
      </c>
      <c r="T60">
        <v>4</v>
      </c>
      <c r="U60" t="b">
        <v>0</v>
      </c>
      <c r="V60" t="s">
        <v>78</v>
      </c>
      <c r="W60" t="s">
        <v>79</v>
      </c>
      <c r="X60" t="s">
        <v>80</v>
      </c>
      <c r="Y60">
        <v>0</v>
      </c>
      <c r="Z60" t="s">
        <v>81</v>
      </c>
      <c r="AA60">
        <v>8</v>
      </c>
      <c r="AB60" t="s">
        <v>82</v>
      </c>
      <c r="AG60">
        <v>3556.0329999999999</v>
      </c>
      <c r="AJ60" t="b">
        <v>1</v>
      </c>
      <c r="AK60">
        <v>-1</v>
      </c>
      <c r="AL60" t="s">
        <v>83</v>
      </c>
      <c r="AM60">
        <v>0</v>
      </c>
      <c r="AT60" t="b">
        <v>0</v>
      </c>
      <c r="AU60">
        <v>3556.0329999999999</v>
      </c>
      <c r="AX60" t="b">
        <v>1</v>
      </c>
      <c r="AY60">
        <v>3.4329999999999998</v>
      </c>
      <c r="BB60" t="b">
        <v>0</v>
      </c>
      <c r="BC60">
        <v>329735619.51700002</v>
      </c>
      <c r="BD60">
        <v>328821987.85399997</v>
      </c>
      <c r="BE60">
        <v>329735619.51700002</v>
      </c>
      <c r="BF60" t="b">
        <v>0</v>
      </c>
      <c r="BG60">
        <v>0</v>
      </c>
      <c r="BH60">
        <v>-1</v>
      </c>
      <c r="BI60">
        <v>0</v>
      </c>
      <c r="BJ60" t="b">
        <v>0</v>
      </c>
      <c r="BK60">
        <v>6</v>
      </c>
      <c r="BL60" t="b">
        <v>0</v>
      </c>
      <c r="BM60" t="b">
        <v>1</v>
      </c>
    </row>
    <row r="61" spans="1:65" x14ac:dyDescent="0.25">
      <c r="A61" t="s">
        <v>65</v>
      </c>
      <c r="B61" t="s">
        <v>66</v>
      </c>
      <c r="C61">
        <v>20250101</v>
      </c>
      <c r="D61">
        <v>2025</v>
      </c>
      <c r="E61">
        <v>52</v>
      </c>
      <c r="F61" t="s">
        <v>127</v>
      </c>
      <c r="G61">
        <v>380</v>
      </c>
      <c r="H61" t="s">
        <v>68</v>
      </c>
      <c r="I61" t="s">
        <v>69</v>
      </c>
      <c r="J61" t="s">
        <v>70</v>
      </c>
      <c r="K61" t="s">
        <v>71</v>
      </c>
      <c r="L61">
        <v>686</v>
      </c>
      <c r="M61" t="s">
        <v>72</v>
      </c>
      <c r="N61" t="s">
        <v>73</v>
      </c>
      <c r="O61" t="s">
        <v>118</v>
      </c>
      <c r="P61" t="s">
        <v>75</v>
      </c>
      <c r="Q61" t="b">
        <v>1</v>
      </c>
      <c r="R61" t="s">
        <v>76</v>
      </c>
      <c r="S61" t="s">
        <v>77</v>
      </c>
      <c r="T61">
        <v>4</v>
      </c>
      <c r="U61" t="b">
        <v>0</v>
      </c>
      <c r="V61" t="s">
        <v>78</v>
      </c>
      <c r="W61" t="s">
        <v>79</v>
      </c>
      <c r="X61" t="s">
        <v>80</v>
      </c>
      <c r="Y61">
        <v>0</v>
      </c>
      <c r="Z61" t="s">
        <v>81</v>
      </c>
      <c r="AA61">
        <v>8</v>
      </c>
      <c r="AB61" t="s">
        <v>82</v>
      </c>
      <c r="AG61">
        <v>769.14499999999998</v>
      </c>
      <c r="AJ61" t="b">
        <v>0</v>
      </c>
      <c r="AK61">
        <v>15</v>
      </c>
      <c r="AL61" t="s">
        <v>90</v>
      </c>
      <c r="AM61">
        <v>769145</v>
      </c>
      <c r="AT61" t="b">
        <v>0</v>
      </c>
      <c r="AU61">
        <v>771</v>
      </c>
      <c r="AX61" t="b">
        <v>0</v>
      </c>
      <c r="AY61">
        <v>0</v>
      </c>
      <c r="BB61" t="b">
        <v>0</v>
      </c>
      <c r="BC61">
        <v>88775184.427000001</v>
      </c>
      <c r="BE61">
        <v>88775184.427000001</v>
      </c>
      <c r="BF61" t="b">
        <v>0</v>
      </c>
      <c r="BG61">
        <v>0</v>
      </c>
      <c r="BH61">
        <v>-1</v>
      </c>
      <c r="BI61">
        <v>0</v>
      </c>
      <c r="BJ61" t="b">
        <v>0</v>
      </c>
      <c r="BK61">
        <v>0</v>
      </c>
      <c r="BL61" t="b">
        <v>0</v>
      </c>
      <c r="BM61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6"/>
  <sheetViews>
    <sheetView topLeftCell="A129" workbookViewId="0">
      <selection activeCell="B137" sqref="B137"/>
    </sheetView>
  </sheetViews>
  <sheetFormatPr baseColWidth="10" defaultRowHeight="15.75" x14ac:dyDescent="0.25"/>
  <sheetData>
    <row r="1" spans="1:1" ht="31.5" x14ac:dyDescent="0.25">
      <c r="A1" s="1" t="s">
        <v>128</v>
      </c>
    </row>
    <row r="2" spans="1:1" x14ac:dyDescent="0.25">
      <c r="A2" s="2"/>
    </row>
    <row r="3" spans="1:1" x14ac:dyDescent="0.25">
      <c r="A3" s="3" t="s">
        <v>129</v>
      </c>
    </row>
    <row r="4" spans="1:1" x14ac:dyDescent="0.25">
      <c r="A4" s="2"/>
    </row>
    <row r="5" spans="1:1" x14ac:dyDescent="0.25">
      <c r="A5" s="3" t="s">
        <v>130</v>
      </c>
    </row>
    <row r="6" spans="1:1" x14ac:dyDescent="0.25">
      <c r="A6" s="4"/>
    </row>
    <row r="7" spans="1:1" x14ac:dyDescent="0.25">
      <c r="A7" s="4" t="s">
        <v>131</v>
      </c>
    </row>
    <row r="8" spans="1:1" x14ac:dyDescent="0.25">
      <c r="A8" s="4"/>
    </row>
    <row r="9" spans="1:1" x14ac:dyDescent="0.25">
      <c r="A9" s="4" t="s">
        <v>132</v>
      </c>
    </row>
    <row r="10" spans="1:1" x14ac:dyDescent="0.25">
      <c r="A10" s="2"/>
    </row>
    <row r="11" spans="1:1" x14ac:dyDescent="0.25">
      <c r="A11" s="3" t="s">
        <v>133</v>
      </c>
    </row>
    <row r="12" spans="1:1" x14ac:dyDescent="0.25">
      <c r="A12" s="2"/>
    </row>
    <row r="13" spans="1:1" x14ac:dyDescent="0.25">
      <c r="A13" s="3" t="s">
        <v>134</v>
      </c>
    </row>
    <row r="17" spans="1:1" ht="31.5" x14ac:dyDescent="0.25">
      <c r="A17" s="1" t="s">
        <v>135</v>
      </c>
    </row>
    <row r="18" spans="1:1" x14ac:dyDescent="0.25">
      <c r="A18" s="2"/>
    </row>
    <row r="19" spans="1:1" x14ac:dyDescent="0.25">
      <c r="A19" s="3" t="s">
        <v>136</v>
      </c>
    </row>
    <row r="20" spans="1:1" x14ac:dyDescent="0.25">
      <c r="A20" s="2"/>
    </row>
    <row r="21" spans="1:1" x14ac:dyDescent="0.25">
      <c r="A21" s="3" t="s">
        <v>137</v>
      </c>
    </row>
    <row r="22" spans="1:1" x14ac:dyDescent="0.25">
      <c r="A22" s="2"/>
    </row>
    <row r="23" spans="1:1" x14ac:dyDescent="0.25">
      <c r="A23" s="3" t="s">
        <v>138</v>
      </c>
    </row>
    <row r="27" spans="1:1" ht="31.5" x14ac:dyDescent="0.25">
      <c r="A27" s="1" t="s">
        <v>139</v>
      </c>
    </row>
    <row r="28" spans="1:1" x14ac:dyDescent="0.25">
      <c r="A28" s="2"/>
    </row>
    <row r="29" spans="1:1" x14ac:dyDescent="0.25">
      <c r="A29" s="3" t="s">
        <v>140</v>
      </c>
    </row>
    <row r="30" spans="1:1" x14ac:dyDescent="0.25">
      <c r="A30" s="2"/>
    </row>
    <row r="31" spans="1:1" x14ac:dyDescent="0.25">
      <c r="A31" s="2"/>
    </row>
    <row r="32" spans="1:1" x14ac:dyDescent="0.25">
      <c r="A32" s="4"/>
    </row>
    <row r="33" spans="1:1" x14ac:dyDescent="0.25">
      <c r="A33" s="4" t="s">
        <v>141</v>
      </c>
    </row>
    <row r="34" spans="1:1" x14ac:dyDescent="0.25">
      <c r="A34" s="4"/>
    </row>
    <row r="35" spans="1:1" x14ac:dyDescent="0.25">
      <c r="A35" s="4" t="s">
        <v>142</v>
      </c>
    </row>
    <row r="36" spans="1:1" x14ac:dyDescent="0.25">
      <c r="A36" s="2"/>
    </row>
    <row r="37" spans="1:1" x14ac:dyDescent="0.25">
      <c r="A37" s="3" t="s">
        <v>143</v>
      </c>
    </row>
    <row r="41" spans="1:1" ht="31.5" x14ac:dyDescent="0.25">
      <c r="A41" s="1" t="s">
        <v>144</v>
      </c>
    </row>
    <row r="42" spans="1:1" x14ac:dyDescent="0.25">
      <c r="A42" s="2"/>
    </row>
    <row r="43" spans="1:1" x14ac:dyDescent="0.25">
      <c r="A43" s="3" t="s">
        <v>145</v>
      </c>
    </row>
    <row r="44" spans="1:1" x14ac:dyDescent="0.25">
      <c r="A44" s="2"/>
    </row>
    <row r="45" spans="1:1" x14ac:dyDescent="0.25">
      <c r="A45" s="3" t="s">
        <v>146</v>
      </c>
    </row>
    <row r="46" spans="1:1" x14ac:dyDescent="0.25">
      <c r="A46" s="2"/>
    </row>
    <row r="47" spans="1:1" x14ac:dyDescent="0.25">
      <c r="A47" s="3" t="s">
        <v>147</v>
      </c>
    </row>
    <row r="49" spans="1:1" x14ac:dyDescent="0.25">
      <c r="A49" t="s">
        <v>148</v>
      </c>
    </row>
    <row r="53" spans="1:1" ht="31.5" x14ac:dyDescent="0.25">
      <c r="A53" s="1" t="s">
        <v>149</v>
      </c>
    </row>
    <row r="54" spans="1:1" x14ac:dyDescent="0.25">
      <c r="A54" s="2"/>
    </row>
    <row r="55" spans="1:1" x14ac:dyDescent="0.25">
      <c r="A55" s="3" t="s">
        <v>150</v>
      </c>
    </row>
    <row r="56" spans="1:1" x14ac:dyDescent="0.25">
      <c r="A56" s="2"/>
    </row>
    <row r="57" spans="1:1" x14ac:dyDescent="0.25">
      <c r="A57" s="3" t="s">
        <v>151</v>
      </c>
    </row>
    <row r="58" spans="1:1" x14ac:dyDescent="0.25">
      <c r="A58" s="2"/>
    </row>
    <row r="59" spans="1:1" x14ac:dyDescent="0.25">
      <c r="A59" s="3" t="s">
        <v>152</v>
      </c>
    </row>
    <row r="60" spans="1:1" x14ac:dyDescent="0.25">
      <c r="A60" s="2"/>
    </row>
    <row r="61" spans="1:1" x14ac:dyDescent="0.25">
      <c r="A61" s="3" t="s">
        <v>153</v>
      </c>
    </row>
    <row r="62" spans="1:1" x14ac:dyDescent="0.25">
      <c r="A62" s="2"/>
    </row>
    <row r="63" spans="1:1" x14ac:dyDescent="0.25">
      <c r="A63" s="3" t="s">
        <v>154</v>
      </c>
    </row>
    <row r="64" spans="1:1" x14ac:dyDescent="0.25">
      <c r="A64" s="2"/>
    </row>
    <row r="65" spans="1:1" x14ac:dyDescent="0.25">
      <c r="A65" s="2"/>
    </row>
    <row r="66" spans="1:1" x14ac:dyDescent="0.25">
      <c r="A66" s="4"/>
    </row>
    <row r="67" spans="1:1" x14ac:dyDescent="0.25">
      <c r="A67" s="4" t="s">
        <v>155</v>
      </c>
    </row>
    <row r="68" spans="1:1" x14ac:dyDescent="0.25">
      <c r="A68" s="4"/>
    </row>
    <row r="69" spans="1:1" x14ac:dyDescent="0.25">
      <c r="A69" s="4" t="s">
        <v>156</v>
      </c>
    </row>
    <row r="73" spans="1:1" ht="31.5" x14ac:dyDescent="0.25">
      <c r="A73" s="1" t="s">
        <v>157</v>
      </c>
    </row>
    <row r="74" spans="1:1" x14ac:dyDescent="0.25">
      <c r="A74" s="2"/>
    </row>
    <row r="75" spans="1:1" x14ac:dyDescent="0.25">
      <c r="A75" s="3" t="s">
        <v>158</v>
      </c>
    </row>
    <row r="76" spans="1:1" x14ac:dyDescent="0.25">
      <c r="A76" s="2"/>
    </row>
    <row r="77" spans="1:1" x14ac:dyDescent="0.25">
      <c r="A77" s="3" t="s">
        <v>159</v>
      </c>
    </row>
    <row r="79" spans="1:1" x14ac:dyDescent="0.25">
      <c r="A79" t="s">
        <v>160</v>
      </c>
    </row>
    <row r="83" spans="1:1" ht="31.5" x14ac:dyDescent="0.25">
      <c r="A83" s="1" t="s">
        <v>161</v>
      </c>
    </row>
    <row r="84" spans="1:1" x14ac:dyDescent="0.25">
      <c r="A84" s="2"/>
    </row>
    <row r="85" spans="1:1" x14ac:dyDescent="0.25">
      <c r="A85" s="3" t="s">
        <v>162</v>
      </c>
    </row>
    <row r="86" spans="1:1" x14ac:dyDescent="0.25">
      <c r="A86" s="2"/>
    </row>
    <row r="87" spans="1:1" x14ac:dyDescent="0.25">
      <c r="A87" s="3" t="s">
        <v>163</v>
      </c>
    </row>
    <row r="88" spans="1:1" x14ac:dyDescent="0.25">
      <c r="A88" s="2"/>
    </row>
    <row r="89" spans="1:1" x14ac:dyDescent="0.25">
      <c r="A89" s="3" t="s">
        <v>164</v>
      </c>
    </row>
    <row r="90" spans="1:1" x14ac:dyDescent="0.25">
      <c r="A90" s="2"/>
    </row>
    <row r="91" spans="1:1" x14ac:dyDescent="0.25">
      <c r="A91" s="3" t="s">
        <v>165</v>
      </c>
    </row>
    <row r="92" spans="1:1" x14ac:dyDescent="0.25">
      <c r="A92" s="2"/>
    </row>
    <row r="93" spans="1:1" x14ac:dyDescent="0.25">
      <c r="A93" s="3" t="s">
        <v>166</v>
      </c>
    </row>
    <row r="97" spans="1:1" ht="31.5" x14ac:dyDescent="0.25">
      <c r="A97" s="1" t="s">
        <v>167</v>
      </c>
    </row>
    <row r="98" spans="1:1" x14ac:dyDescent="0.25">
      <c r="A98" s="2"/>
    </row>
    <row r="99" spans="1:1" x14ac:dyDescent="0.25">
      <c r="A99" s="3" t="s">
        <v>168</v>
      </c>
    </row>
    <row r="100" spans="1:1" x14ac:dyDescent="0.25">
      <c r="A100" s="2"/>
    </row>
    <row r="101" spans="1:1" x14ac:dyDescent="0.25">
      <c r="A101" s="3" t="s">
        <v>169</v>
      </c>
    </row>
    <row r="103" spans="1:1" x14ac:dyDescent="0.25">
      <c r="A103" t="s">
        <v>170</v>
      </c>
    </row>
    <row r="104" spans="1:1" x14ac:dyDescent="0.25">
      <c r="A104" s="2"/>
    </row>
    <row r="105" spans="1:1" x14ac:dyDescent="0.25">
      <c r="A105" s="2" t="s">
        <v>171</v>
      </c>
    </row>
    <row r="106" spans="1:1" x14ac:dyDescent="0.25">
      <c r="A106" s="2"/>
    </row>
    <row r="107" spans="1:1" x14ac:dyDescent="0.25">
      <c r="A107" s="2" t="s">
        <v>172</v>
      </c>
    </row>
    <row r="108" spans="1:1" x14ac:dyDescent="0.25">
      <c r="A108" s="2"/>
    </row>
    <row r="109" spans="1:1" x14ac:dyDescent="0.25">
      <c r="A109" s="3" t="s">
        <v>173</v>
      </c>
    </row>
    <row r="110" spans="1:1" x14ac:dyDescent="0.25">
      <c r="A110" s="2" t="s">
        <v>174</v>
      </c>
    </row>
    <row r="114" spans="1:1" ht="31.5" x14ac:dyDescent="0.25">
      <c r="A114" s="1" t="s">
        <v>175</v>
      </c>
    </row>
    <row r="115" spans="1:1" x14ac:dyDescent="0.25">
      <c r="A115" s="2"/>
    </row>
    <row r="116" spans="1:1" x14ac:dyDescent="0.25">
      <c r="A116" s="3" t="s">
        <v>176</v>
      </c>
    </row>
    <row r="117" spans="1:1" x14ac:dyDescent="0.25">
      <c r="A117" s="2"/>
    </row>
    <row r="118" spans="1:1" x14ac:dyDescent="0.25">
      <c r="A118" s="3" t="s">
        <v>177</v>
      </c>
    </row>
    <row r="120" spans="1:1" x14ac:dyDescent="0.25">
      <c r="A120" t="s">
        <v>178</v>
      </c>
    </row>
    <row r="121" spans="1:1" x14ac:dyDescent="0.25">
      <c r="A121" s="2"/>
    </row>
    <row r="122" spans="1:1" x14ac:dyDescent="0.25">
      <c r="A122" s="2" t="s">
        <v>179</v>
      </c>
    </row>
    <row r="123" spans="1:1" x14ac:dyDescent="0.25">
      <c r="A123" s="2"/>
    </row>
    <row r="124" spans="1:1" x14ac:dyDescent="0.25">
      <c r="A124" s="2" t="s">
        <v>180</v>
      </c>
    </row>
    <row r="128" spans="1:1" ht="31.5" x14ac:dyDescent="0.25">
      <c r="A128" s="1" t="s">
        <v>181</v>
      </c>
    </row>
    <row r="129" spans="1:1" x14ac:dyDescent="0.25">
      <c r="A129" s="2"/>
    </row>
    <row r="130" spans="1:1" x14ac:dyDescent="0.25">
      <c r="A130" s="3" t="s">
        <v>182</v>
      </c>
    </row>
    <row r="131" spans="1:1" x14ac:dyDescent="0.25">
      <c r="A131" s="2"/>
    </row>
    <row r="132" spans="1:1" x14ac:dyDescent="0.25">
      <c r="A132" s="3" t="s">
        <v>183</v>
      </c>
    </row>
    <row r="133" spans="1:1" x14ac:dyDescent="0.25">
      <c r="A133" s="2"/>
    </row>
    <row r="134" spans="1:1" x14ac:dyDescent="0.25">
      <c r="A134" s="3" t="s">
        <v>184</v>
      </c>
    </row>
    <row r="135" spans="1:1" x14ac:dyDescent="0.25">
      <c r="A135" s="2"/>
    </row>
    <row r="136" spans="1:1" x14ac:dyDescent="0.25">
      <c r="A136" s="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1</vt:i4>
      </vt:variant>
    </vt:vector>
  </HeadingPairs>
  <TitlesOfParts>
    <vt:vector size="5" baseType="lpstr">
      <vt:lpstr>Feuil2</vt:lpstr>
      <vt:lpstr>Feuil1</vt:lpstr>
      <vt:lpstr>Sheet1</vt:lpstr>
      <vt:lpstr>Sheet2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2026-05-05T16:35:54Z</dcterms:created>
  <dcterms:modified xsi:type="dcterms:W3CDTF">2026-05-05T17:13:21Z</dcterms:modified>
</cp:coreProperties>
</file>