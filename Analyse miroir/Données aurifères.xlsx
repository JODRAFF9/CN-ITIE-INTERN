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 de Production\"/>
    </mc:Choice>
  </mc:AlternateContent>
  <xr:revisionPtr revIDLastSave="0" documentId="13_ncr:1_{BC9D0521-064A-4D9B-A50F-76F751A4AB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 vf (2)" sheetId="5" r:id="rId1"/>
    <sheet name="Feuil1" sheetId="6" r:id="rId2"/>
    <sheet name="Or vf" sheetId="4" r:id="rId3"/>
    <sheet name="Or" sheetId="1" r:id="rId4"/>
    <sheet name="Zircon" sheetId="3" r:id="rId5"/>
  </sheets>
  <externalReferences>
    <externalReference r:id="rId6"/>
  </externalReferences>
  <definedNames>
    <definedName name="_xlnm._FilterDatabase" localSheetId="0" hidden="1">'Or vf (2)'!$B$2:$BS$18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1" i="5" l="1"/>
  <c r="F4" i="5" l="1"/>
  <c r="F5" i="5"/>
  <c r="F6" i="5"/>
  <c r="F7" i="5"/>
  <c r="F8" i="5"/>
  <c r="F9" i="5"/>
  <c r="F10" i="5"/>
  <c r="F11" i="5"/>
  <c r="F23" i="5" s="1"/>
  <c r="F12" i="5"/>
  <c r="F24" i="5" s="1"/>
  <c r="F13" i="5"/>
  <c r="F25" i="5" s="1"/>
  <c r="F14" i="5"/>
  <c r="F26" i="5" s="1"/>
  <c r="F15" i="5"/>
  <c r="F27" i="5" s="1"/>
  <c r="F16" i="5"/>
  <c r="F28" i="5" s="1"/>
  <c r="F17" i="5"/>
  <c r="F29" i="5" s="1"/>
  <c r="F3" i="5"/>
  <c r="E18" i="5" l="1"/>
  <c r="BP17" i="5" l="1"/>
  <c r="H17" i="5"/>
  <c r="BP16" i="5"/>
  <c r="BP15" i="5"/>
  <c r="BP14" i="5"/>
  <c r="BP13" i="5"/>
  <c r="BR13" i="5" s="1"/>
  <c r="BS13" i="5" s="1"/>
  <c r="BP12" i="5"/>
  <c r="BP11" i="5"/>
  <c r="I11" i="5"/>
  <c r="BP10" i="5"/>
  <c r="H10" i="5"/>
  <c r="BP9" i="5"/>
  <c r="BP8" i="5"/>
  <c r="BP7" i="5"/>
  <c r="BP6" i="5"/>
  <c r="BP5" i="5"/>
  <c r="BP4" i="5"/>
  <c r="BP3" i="5"/>
  <c r="F26" i="4"/>
  <c r="E26" i="4"/>
  <c r="BP25" i="4"/>
  <c r="G25" i="4"/>
  <c r="BP24" i="4"/>
  <c r="G24" i="4"/>
  <c r="BP23" i="4"/>
  <c r="G23" i="4"/>
  <c r="BP22" i="4"/>
  <c r="BP21" i="4"/>
  <c r="BP20" i="4"/>
  <c r="BP19" i="4"/>
  <c r="BP18" i="4"/>
  <c r="BP17" i="4"/>
  <c r="H17" i="4"/>
  <c r="BP16" i="4"/>
  <c r="G16" i="4"/>
  <c r="BP15" i="4"/>
  <c r="F29" i="4" s="1"/>
  <c r="G15" i="4"/>
  <c r="G26" i="4" s="1"/>
  <c r="BP14" i="4"/>
  <c r="BP13" i="4"/>
  <c r="BP12" i="4"/>
  <c r="BP11" i="4"/>
  <c r="BP10" i="4"/>
  <c r="BP9" i="4"/>
  <c r="BP8" i="4"/>
  <c r="BP7" i="4"/>
  <c r="BP6" i="4"/>
  <c r="BP5" i="4"/>
  <c r="BP4" i="4"/>
  <c r="BP3" i="4"/>
  <c r="BP4" i="1"/>
  <c r="BP5" i="1"/>
  <c r="BP6" i="1"/>
  <c r="BP7" i="1"/>
  <c r="BP3" i="1"/>
  <c r="BR11" i="5" l="1"/>
  <c r="BS11" i="5" s="1"/>
  <c r="BR15" i="5"/>
  <c r="BS15" i="5" s="1"/>
  <c r="BR12" i="5"/>
  <c r="BS12" i="5" s="1"/>
  <c r="BR14" i="5"/>
  <c r="BS14" i="5" s="1"/>
  <c r="BR16" i="5"/>
  <c r="BS16" i="5" s="1"/>
  <c r="BR17" i="5"/>
  <c r="BS17" i="5" s="1"/>
  <c r="BP18" i="5"/>
  <c r="BP8" i="1"/>
  <c r="BP9" i="1"/>
  <c r="BP10" i="1"/>
  <c r="BP11" i="1"/>
  <c r="BP12" i="1"/>
  <c r="BP13" i="1"/>
  <c r="BP14" i="1"/>
  <c r="BP16" i="1"/>
  <c r="BP17" i="1"/>
  <c r="BP18" i="1"/>
  <c r="BP19" i="1"/>
  <c r="BP20" i="1"/>
  <c r="BP21" i="1"/>
  <c r="BP22" i="1"/>
  <c r="BP23" i="1"/>
  <c r="BP24" i="1"/>
  <c r="BP25" i="1"/>
  <c r="BP15" i="1"/>
  <c r="F29" i="1" s="1"/>
  <c r="H17" i="1" l="1"/>
  <c r="C61" i="3"/>
  <c r="D61" i="3"/>
  <c r="E61" i="3"/>
  <c r="F61" i="3"/>
  <c r="G61" i="3"/>
  <c r="H61" i="3"/>
  <c r="I61" i="3"/>
  <c r="J61" i="3"/>
  <c r="K61" i="3"/>
  <c r="L61" i="3"/>
  <c r="C6" i="3"/>
  <c r="D41" i="3"/>
  <c r="D40" i="3"/>
  <c r="D38" i="3"/>
  <c r="D37" i="3"/>
  <c r="D36" i="3"/>
  <c r="D34" i="3"/>
  <c r="E41" i="3"/>
  <c r="E40" i="3"/>
  <c r="E39" i="3"/>
  <c r="E38" i="3"/>
  <c r="E37" i="3"/>
  <c r="E36" i="3"/>
  <c r="E34" i="3"/>
  <c r="E24" i="3"/>
  <c r="F24" i="3"/>
  <c r="J59" i="3" l="1"/>
  <c r="J52" i="3"/>
  <c r="I42" i="3" l="1"/>
  <c r="D15" i="3"/>
  <c r="E15" i="3"/>
  <c r="F15" i="3"/>
  <c r="G15" i="3"/>
  <c r="G44" i="3"/>
  <c r="G42" i="3" s="1"/>
  <c r="G43" i="3" s="1"/>
  <c r="F41" i="3"/>
  <c r="F40" i="3"/>
  <c r="F39" i="3"/>
  <c r="F38" i="3"/>
  <c r="F37" i="3"/>
  <c r="F36" i="3"/>
  <c r="F34" i="3"/>
  <c r="G41" i="3"/>
  <c r="G40" i="3"/>
  <c r="G39" i="3"/>
  <c r="G38" i="3"/>
  <c r="G37" i="3"/>
  <c r="G36" i="3"/>
  <c r="G34" i="3"/>
  <c r="G24" i="3"/>
  <c r="D52" i="3"/>
  <c r="E52" i="3"/>
  <c r="F52" i="3"/>
  <c r="F44" i="3"/>
  <c r="F42" i="3" s="1"/>
  <c r="D24" i="3"/>
  <c r="C44" i="3"/>
  <c r="C42" i="3"/>
  <c r="C40" i="3"/>
  <c r="C38" i="3"/>
  <c r="C37" i="3"/>
  <c r="C36" i="3"/>
  <c r="C34" i="3"/>
  <c r="C15" i="3"/>
  <c r="C24" i="3"/>
  <c r="G5" i="3" l="1"/>
  <c r="F5" i="3"/>
  <c r="E5" i="3"/>
  <c r="D5" i="3"/>
  <c r="D6" i="3"/>
  <c r="E6" i="3"/>
  <c r="F6" i="3"/>
  <c r="G6" i="3"/>
  <c r="D45" i="3" l="1"/>
  <c r="D49" i="3"/>
  <c r="D48" i="3"/>
  <c r="D47" i="3"/>
  <c r="D44" i="3"/>
  <c r="K54" i="3"/>
  <c r="K57" i="3" s="1"/>
  <c r="J54" i="3"/>
  <c r="J57" i="3" s="1"/>
  <c r="J58" i="3" s="1"/>
  <c r="I54" i="3"/>
  <c r="I57" i="3" s="1"/>
  <c r="H54" i="3"/>
  <c r="H57" i="3" s="1"/>
  <c r="M52" i="3"/>
  <c r="M54" i="3" s="1"/>
  <c r="M57" i="3" s="1"/>
  <c r="M58" i="3" s="1"/>
  <c r="M60" i="3" s="1"/>
  <c r="M63" i="3" s="1"/>
  <c r="M61" i="3" s="1"/>
  <c r="L52" i="3"/>
  <c r="L54" i="3" s="1"/>
  <c r="L57" i="3" s="1"/>
  <c r="H44" i="3"/>
  <c r="H42" i="3" s="1"/>
  <c r="H43" i="3" s="1"/>
  <c r="M42" i="3"/>
  <c r="L42" i="3"/>
  <c r="K42" i="3"/>
  <c r="J42" i="3"/>
  <c r="M41" i="3"/>
  <c r="L41" i="3"/>
  <c r="K41" i="3"/>
  <c r="J41" i="3"/>
  <c r="I41" i="3"/>
  <c r="H41" i="3"/>
  <c r="M40" i="3"/>
  <c r="L40" i="3"/>
  <c r="K40" i="3"/>
  <c r="J40" i="3"/>
  <c r="I40" i="3"/>
  <c r="H40" i="3"/>
  <c r="M39" i="3"/>
  <c r="L39" i="3"/>
  <c r="K39" i="3"/>
  <c r="J39" i="3"/>
  <c r="I39" i="3"/>
  <c r="H39" i="3"/>
  <c r="M38" i="3"/>
  <c r="L38" i="3"/>
  <c r="K38" i="3"/>
  <c r="J38" i="3"/>
  <c r="I38" i="3"/>
  <c r="H38" i="3"/>
  <c r="M37" i="3"/>
  <c r="L37" i="3"/>
  <c r="K37" i="3"/>
  <c r="J37" i="3"/>
  <c r="I37" i="3"/>
  <c r="H37" i="3"/>
  <c r="M36" i="3"/>
  <c r="L36" i="3"/>
  <c r="K36" i="3"/>
  <c r="J36" i="3"/>
  <c r="I36" i="3"/>
  <c r="H36" i="3"/>
  <c r="M35" i="3"/>
  <c r="L35" i="3"/>
  <c r="K35" i="3"/>
  <c r="J35" i="3"/>
  <c r="I35" i="3"/>
  <c r="H35" i="3"/>
  <c r="M34" i="3"/>
  <c r="M33" i="3" s="1"/>
  <c r="L34" i="3"/>
  <c r="K34" i="3"/>
  <c r="J34" i="3"/>
  <c r="I34" i="3"/>
  <c r="H34" i="3"/>
  <c r="M24" i="3"/>
  <c r="L24" i="3"/>
  <c r="K24" i="3"/>
  <c r="J24" i="3"/>
  <c r="I24" i="3"/>
  <c r="H24" i="3"/>
  <c r="M15" i="3"/>
  <c r="L15" i="3"/>
  <c r="K15" i="3"/>
  <c r="J15" i="3"/>
  <c r="I15" i="3"/>
  <c r="H15" i="3"/>
  <c r="M6" i="3"/>
  <c r="L6" i="3"/>
  <c r="K6" i="3"/>
  <c r="J6" i="3"/>
  <c r="I6" i="3"/>
  <c r="H6" i="3"/>
  <c r="M5" i="3"/>
  <c r="L5" i="3"/>
  <c r="K5" i="3"/>
  <c r="J5" i="3"/>
  <c r="I5" i="3"/>
  <c r="H5" i="3"/>
  <c r="L33" i="3" l="1"/>
  <c r="H33" i="3"/>
  <c r="D42" i="3"/>
  <c r="J33" i="3"/>
  <c r="J43" i="3"/>
  <c r="M43" i="3"/>
  <c r="I33" i="3"/>
  <c r="I43" i="3"/>
  <c r="K33" i="3"/>
  <c r="K43" i="3"/>
  <c r="L43" i="3"/>
  <c r="E26" i="1" l="1"/>
  <c r="F26" i="1"/>
  <c r="G25" i="1" l="1"/>
  <c r="G16" i="1" l="1"/>
  <c r="G15" i="1"/>
  <c r="G23" i="1"/>
  <c r="G24" i="1"/>
  <c r="G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Othman Marzouk</author>
  </authors>
  <commentList>
    <comment ref="C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Des vlaeurs différentes pour chaque catégorie sur la fiche, j'ai alors fais la somme)</t>
        </r>
      </text>
    </comment>
    <comment ref="C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Est- ce -que la réconcilliation a été faite</t>
        </r>
      </text>
    </comment>
    <comment ref="BO13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Othman Marzouk:</t>
        </r>
        <r>
          <rPr>
            <sz val="9"/>
            <color indexed="81"/>
            <rFont val="Tahoma"/>
            <family val="2"/>
          </rPr>
          <t xml:space="preserve">
droit d’enregistrement de conventions réglementées (contrat de cession) de SGO</t>
        </r>
      </text>
    </comment>
    <comment ref="C17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Est- ce -que la réconcilliation a été faite</t>
        </r>
      </text>
    </comment>
    <comment ref="AP2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Q2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R2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S2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T2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U2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V2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W2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X2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Othman Marzouk</author>
  </authors>
  <commentList>
    <comment ref="C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Des vlaeurs différentes pour chaque catégorie sur la fiche, j'ai alors fais la somme)</t>
        </r>
      </text>
    </comment>
    <comment ref="C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Est- ce -que la réconcilliation a été faite</t>
        </r>
      </text>
    </comment>
    <comment ref="BO13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Othman Marzouk:</t>
        </r>
        <r>
          <rPr>
            <sz val="9"/>
            <color indexed="81"/>
            <rFont val="Tahoma"/>
            <family val="2"/>
          </rPr>
          <t xml:space="preserve">
droit d’enregistrement de conventions réglementées (contrat de cession) de SGO</t>
        </r>
      </text>
    </comment>
    <comment ref="C1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Est- ce -que la réconcilliation a été faite</t>
        </r>
      </text>
    </comment>
    <comment ref="AP2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Q2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R2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S2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T2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U2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V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W2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X2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Fallou DIONE</author>
  </authors>
  <commentList>
    <comment ref="J4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+Frais de manutention portuaire</t>
        </r>
      </text>
    </comment>
    <comment ref="K4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+Frais de manutention portuaire</t>
        </r>
      </text>
    </comment>
    <comment ref="L44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+Frais de manutention portuaire</t>
        </r>
      </text>
    </comment>
  </commentList>
</comments>
</file>

<file path=xl/sharedStrings.xml><?xml version="1.0" encoding="utf-8"?>
<sst xmlns="http://schemas.openxmlformats.org/spreadsheetml/2006/main" count="362" uniqueCount="122">
  <si>
    <t>Société</t>
  </si>
  <si>
    <t>Redevance minière</t>
  </si>
  <si>
    <t>Exercice</t>
  </si>
  <si>
    <t>SGO</t>
  </si>
  <si>
    <t>PMC</t>
  </si>
  <si>
    <t>BOTO</t>
  </si>
  <si>
    <t>Frais supportés (FCFA) (Frais de traitement et transport)</t>
  </si>
  <si>
    <t>NA</t>
  </si>
  <si>
    <t>Production vendue (Tonne)</t>
  </si>
  <si>
    <t>Valeur marchande (FCFA)</t>
  </si>
  <si>
    <t>Redevance minière (FCFA)</t>
  </si>
  <si>
    <t>Quantité de sable utilisée (tonnes)</t>
  </si>
  <si>
    <t>Minerai extrait (HMC) (tonnes)</t>
  </si>
  <si>
    <t>TAUX</t>
  </si>
  <si>
    <t>Ilménite 54%</t>
  </si>
  <si>
    <t>Ilménite 56%</t>
  </si>
  <si>
    <t>Ilménite 58%</t>
  </si>
  <si>
    <t>Zircon Premium</t>
  </si>
  <si>
    <t>Zircon Standard</t>
  </si>
  <si>
    <t>Medium Grade Zircon</t>
  </si>
  <si>
    <t>Rutile</t>
  </si>
  <si>
    <t>Leucoxène</t>
  </si>
  <si>
    <t>EXPORTATION (tonnes)</t>
  </si>
  <si>
    <t>PRODUCTION (tonnes)</t>
  </si>
  <si>
    <t>RECETTES (fcfa)</t>
  </si>
  <si>
    <t>Droits taxes et frais sortie et Frais de manutention portuaire</t>
  </si>
  <si>
    <t>Frais de transport par voie terrestre</t>
  </si>
  <si>
    <t>Frais d'assurance</t>
  </si>
  <si>
    <t>Frais transport par voie maritime</t>
  </si>
  <si>
    <t>Frais d'entretien de voie et wagons yc amorts</t>
  </si>
  <si>
    <t>Frais d'analyse</t>
  </si>
  <si>
    <t>Refacturations SEFICS</t>
  </si>
  <si>
    <t>Frais déductibles (fcfa)</t>
  </si>
  <si>
    <t>Couts opérationnels de la mine</t>
  </si>
  <si>
    <t>Couts de production et couts logistique</t>
  </si>
  <si>
    <t>Couts d'infrastructure de la mine</t>
  </si>
  <si>
    <t>Couts opérationnels de la production</t>
  </si>
  <si>
    <t>Amortissement</t>
  </si>
  <si>
    <t>Couts financiers</t>
  </si>
  <si>
    <t>Couts totaux opérationnels</t>
  </si>
  <si>
    <t>Couts de production des produits vendus (cout majoré)</t>
  </si>
  <si>
    <t>Total revenu</t>
  </si>
  <si>
    <t xml:space="preserve"> Variation (CA-Cout majoré)</t>
  </si>
  <si>
    <t>Partage de production</t>
  </si>
  <si>
    <t xml:space="preserve"> </t>
  </si>
  <si>
    <t>Année</t>
  </si>
  <si>
    <t>PRIX (fcfa)</t>
  </si>
  <si>
    <t>(Ratio Frais déductibles/Exportations)</t>
  </si>
  <si>
    <t>TAXE (fcfa)</t>
  </si>
  <si>
    <t>Production (Tonne)</t>
  </si>
  <si>
    <t xml:space="preserve">Redevance minière </t>
  </si>
  <si>
    <t>Appui institutionnel</t>
  </si>
  <si>
    <t>Droits d'entrée fixes</t>
  </si>
  <si>
    <t>Bonus (DMG)</t>
  </si>
  <si>
    <t>Redevance superficiaire</t>
  </si>
  <si>
    <t>DGCPT</t>
  </si>
  <si>
    <t xml:space="preserve">Revenus issus de la commercialisation de la Part de la production de l'État </t>
  </si>
  <si>
    <t>Patente</t>
  </si>
  <si>
    <t>Contribution foncière des propriétés bâties (CFPB)</t>
  </si>
  <si>
    <t>Contribution foncière des propriétés non bâties (CFPNB)</t>
  </si>
  <si>
    <t xml:space="preserve">Appui institutionnel aux collectivités locales </t>
  </si>
  <si>
    <t xml:space="preserve">Impôt du minimum fiscal </t>
  </si>
  <si>
    <t xml:space="preserve">Dividendes versés à l'Etat </t>
  </si>
  <si>
    <t>Frais d'inscription d'une concession minière ou d'un permis d'exploitation</t>
  </si>
  <si>
    <t>Bonus (DGCPT)</t>
  </si>
  <si>
    <t xml:space="preserve">Contribution économique locale (CEL VA et CEL VL) </t>
  </si>
  <si>
    <t>DGID</t>
  </si>
  <si>
    <t>Taxe sur la valeur ajoutée reversée</t>
  </si>
  <si>
    <t>Retenues à la source sur salaires (IR, TRIMF et CFCE)</t>
  </si>
  <si>
    <t>Redressements fiscaux</t>
  </si>
  <si>
    <t>Impôt sur les sociétés</t>
  </si>
  <si>
    <t>Impôt sur les sociétés (bénéfices non pétroliers/miniers )</t>
  </si>
  <si>
    <t>Retenues à la source sur bénéfice non commercial</t>
  </si>
  <si>
    <t>Contribution spéciale sur les produits des mines et des carrières (CSMC)</t>
  </si>
  <si>
    <t>Retenue à la source sur sommes versées à des tiers</t>
  </si>
  <si>
    <t>Taxe sur la valeur ajoutée précomptée</t>
  </si>
  <si>
    <t>Impôt minimum forfaitaire</t>
  </si>
  <si>
    <t>Bonus (DGID)</t>
  </si>
  <si>
    <t xml:space="preserve">Surtaxe foncière </t>
  </si>
  <si>
    <t>Impôt sur le revenu des valeurs mobilières</t>
  </si>
  <si>
    <t>DGD</t>
  </si>
  <si>
    <t xml:space="preserve">Taxe sur la valeur ajoutée </t>
  </si>
  <si>
    <t xml:space="preserve">Prélèvement communautaire solidaire UEMOA </t>
  </si>
  <si>
    <t>Redevance statistique UEMOA</t>
  </si>
  <si>
    <t>Droits de douane</t>
  </si>
  <si>
    <t xml:space="preserve">Prélèvement communautaire CEDEAO </t>
  </si>
  <si>
    <t xml:space="preserve">Prélèvement pour le Conseil Sénégalais des Chargeurs (COSEC) </t>
  </si>
  <si>
    <t xml:space="preserve">Taxe d'enregistrement des véhicules </t>
  </si>
  <si>
    <t>Prélèvement PROMAD</t>
  </si>
  <si>
    <t>Amendes, pénalités et redressements douaniers</t>
  </si>
  <si>
    <t>DEEC</t>
  </si>
  <si>
    <t>Taxe superficiaire</t>
  </si>
  <si>
    <t>Taxe à la pollution</t>
  </si>
  <si>
    <t xml:space="preserve">Appui Institutionnel (DEEC) </t>
  </si>
  <si>
    <t>DEFCCS</t>
  </si>
  <si>
    <t>Taxes d'abattage</t>
  </si>
  <si>
    <t xml:space="preserve">Appui Institutionnel (Fonds d'appui au Mini. De l'Env) </t>
  </si>
  <si>
    <t>CSS</t>
  </si>
  <si>
    <t xml:space="preserve">Cotisations sociales (y compris les pénalités) </t>
  </si>
  <si>
    <t>IPRES</t>
  </si>
  <si>
    <t>Cotisations sociales (y compris les pénalités)(IPRES)</t>
  </si>
  <si>
    <t>CDC</t>
  </si>
  <si>
    <t xml:space="preserve">Garanties données par les entreprises extractives </t>
  </si>
  <si>
    <t>CNSCL</t>
  </si>
  <si>
    <t>Paiements effectués aux fournisseurs locaux et étrangers</t>
  </si>
  <si>
    <t>Autres</t>
  </si>
  <si>
    <t>Autres flux de paiements significatifs (&gt; 25 millions de  FCFA) (reconciliables)</t>
  </si>
  <si>
    <t xml:space="preserve">Frais d'inscription d'une concession minière ou d'un permis d'exploitation </t>
  </si>
  <si>
    <t>DMG</t>
  </si>
  <si>
    <t>Appui institutionnel/DGMG</t>
  </si>
  <si>
    <t>Redevance superficiaire/DGMG</t>
  </si>
  <si>
    <t>Patente (DGCPT)</t>
  </si>
  <si>
    <t>Dividendes versés à l'Etat (DGCPT)</t>
  </si>
  <si>
    <t>Impôt sur les sociétés (DGID)</t>
  </si>
  <si>
    <t>Taxe sur la valeur ajoutée (DGD)</t>
  </si>
  <si>
    <t>Taxe superficiaire (DEEC)</t>
  </si>
  <si>
    <t>Total</t>
  </si>
  <si>
    <t>Charges supportées (FCFA)</t>
  </si>
  <si>
    <t>Pu/T</t>
  </si>
  <si>
    <t>Paiments totaux  annuels du secteur extractif</t>
  </si>
  <si>
    <t>Total Revenues auriféres</t>
  </si>
  <si>
    <t>%Revenues auriféres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</si>
</sst>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\ _C_F_A_-;\-* #,##0\ _C_F_A_-;_-* &quot;-&quot;\ _C_F_A_-;_-@_-"/>
    <numFmt numFmtId="165" formatCode="_-* #,##0_-;\-* #,##0_-;_-* &quot;-&quot;??_-;_-@_-"/>
    <numFmt numFmtId="166" formatCode="_-* #,##0.00\ _C_F_A_-;\-* #,##0.00\ _C_F_A_-;_-* &quot;-&quot;\ _C_F_A_-;_-@_-"/>
    <numFmt numFmtId="167" formatCode="_-* #,##0\ _€_-;\-* #,##0\ _€_-;_-* &quot;-&quot;\ _€_-;_-@_-"/>
    <numFmt numFmtId="168" formatCode="_-* #,##0.00\ _€_-;\-* #,##0.00\ _€_-;_-* &quot;-&quot;??\ _€_-;_-@_-"/>
    <numFmt numFmtId="169" formatCode="_-* #,##0\ _€_-;\-* #,##0\ _€_-;_-* &quot;-&quot;??\ _€_-;_-@_-"/>
    <numFmt numFmtId="170" formatCode="#,##0_);\(&quot;&quot;#,##0\);_-* &quot;-&quot;??_-;_-@_-"/>
    <numFmt numFmtId="171" formatCode="#,##0_ ;[Red]\-#,##0\ "/>
    <numFmt numFmtId="172" formatCode="_ * #,##0_ ;_ * \-#,##0_ ;_ * &quot;-&quot;??_ ;_ @_ 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Arial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8"/>
      <name val="Trebuchet MS"/>
      <family val="2"/>
    </font>
    <font>
      <b/>
      <sz val="8"/>
      <name val="Trebuchet MS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8"/>
      <name val="Calibri Light"/>
      <family val="2"/>
      <scheme val="major"/>
    </font>
    <font>
      <sz val="11"/>
      <color rgb="FF000000"/>
      <name val="Calibri"/>
      <family val="2"/>
    </font>
    <font>
      <sz val="8"/>
      <name val="Kohinoor Devanagari"/>
      <family val="3"/>
    </font>
    <font>
      <sz val="8"/>
      <color rgb="FFFF0000"/>
      <name val="Calibri Light"/>
      <family val="2"/>
      <scheme val="major"/>
    </font>
    <font>
      <sz val="10"/>
      <color rgb="FFFF0000"/>
      <name val="Tahoma"/>
      <family val="2"/>
    </font>
    <font>
      <sz val="10.5"/>
      <color theme="1"/>
      <name val="Franklin Gothic Book"/>
      <family val="2"/>
    </font>
    <font>
      <sz val="8"/>
      <name val="Arial"/>
      <family val="2"/>
    </font>
    <font>
      <sz val="12"/>
      <color theme="1"/>
      <name val="Calibri"/>
      <family val="2"/>
    </font>
    <font>
      <sz val="10"/>
      <name val="Tahoma"/>
      <family val="2"/>
    </font>
    <font>
      <b/>
      <sz val="11"/>
      <color rgb="FFFF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9ECE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4E7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188FBB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" fillId="0" borderId="0"/>
    <xf numFmtId="164" fontId="1" fillId="0" borderId="0" applyFont="0" applyFill="0" applyBorder="0" applyAlignment="0" applyProtection="0"/>
    <xf numFmtId="0" fontId="9" fillId="0" borderId="0"/>
    <xf numFmtId="168" fontId="9" fillId="0" borderId="0" applyFont="0" applyFill="0" applyBorder="0" applyAlignment="0" applyProtection="0"/>
    <xf numFmtId="0" fontId="13" fillId="0" borderId="0"/>
    <xf numFmtId="0" fontId="15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vertical="center"/>
    </xf>
    <xf numFmtId="43" fontId="2" fillId="0" borderId="0" xfId="1" applyFont="1" applyAlignment="1">
      <alignment vertical="center"/>
    </xf>
    <xf numFmtId="165" fontId="2" fillId="0" borderId="0" xfId="1" applyNumberFormat="1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0" fillId="0" borderId="0" xfId="0"/>
    <xf numFmtId="166" fontId="2" fillId="0" borderId="0" xfId="0" applyNumberFormat="1" applyFont="1" applyAlignment="1">
      <alignment vertical="center"/>
    </xf>
    <xf numFmtId="166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0" xfId="0" applyAlignment="1">
      <alignment wrapText="1"/>
    </xf>
    <xf numFmtId="164" fontId="0" fillId="0" borderId="0" xfId="4" applyFont="1" applyAlignment="1">
      <alignment horizontal="left"/>
    </xf>
    <xf numFmtId="0" fontId="3" fillId="0" borderId="10" xfId="0" applyFont="1" applyBorder="1" applyAlignment="1">
      <alignment horizontal="center" vertical="center" wrapText="1"/>
    </xf>
    <xf numFmtId="164" fontId="3" fillId="0" borderId="5" xfId="4" applyFont="1" applyBorder="1" applyAlignment="1">
      <alignment vertical="center" wrapText="1"/>
    </xf>
    <xf numFmtId="164" fontId="8" fillId="0" borderId="5" xfId="4" applyFont="1" applyBorder="1" applyAlignment="1">
      <alignment horizontal="left" vertical="center" wrapText="1"/>
    </xf>
    <xf numFmtId="164" fontId="2" fillId="0" borderId="0" xfId="4" applyFont="1" applyBorder="1" applyAlignment="1">
      <alignment vertical="center"/>
    </xf>
    <xf numFmtId="164" fontId="2" fillId="0" borderId="6" xfId="4" applyFont="1" applyBorder="1" applyAlignment="1">
      <alignment vertical="center"/>
    </xf>
    <xf numFmtId="164" fontId="3" fillId="0" borderId="7" xfId="4" applyFont="1" applyBorder="1" applyAlignment="1">
      <alignment vertical="center" wrapText="1"/>
    </xf>
    <xf numFmtId="164" fontId="8" fillId="0" borderId="7" xfId="4" applyFont="1" applyBorder="1" applyAlignment="1">
      <alignment horizontal="left" vertical="center" wrapText="1"/>
    </xf>
    <xf numFmtId="10" fontId="2" fillId="0" borderId="7" xfId="4" applyNumberFormat="1" applyFont="1" applyBorder="1" applyAlignment="1">
      <alignment horizontal="center" vertical="center"/>
    </xf>
    <xf numFmtId="10" fontId="2" fillId="0" borderId="9" xfId="4" applyNumberFormat="1" applyFont="1" applyBorder="1" applyAlignment="1">
      <alignment horizontal="center" vertical="center"/>
    </xf>
    <xf numFmtId="164" fontId="0" fillId="0" borderId="0" xfId="0" applyNumberFormat="1"/>
    <xf numFmtId="164" fontId="2" fillId="0" borderId="9" xfId="4" applyFont="1" applyBorder="1" applyAlignment="1">
      <alignment vertical="center"/>
    </xf>
    <xf numFmtId="0" fontId="0" fillId="0" borderId="5" xfId="0" applyBorder="1" applyAlignment="1">
      <alignment vertical="center" wrapText="1"/>
    </xf>
    <xf numFmtId="164" fontId="3" fillId="0" borderId="5" xfId="4" applyFont="1" applyBorder="1" applyAlignment="1">
      <alignment horizontal="center" vertical="center" wrapText="1"/>
    </xf>
    <xf numFmtId="164" fontId="0" fillId="0" borderId="0" xfId="4" applyFont="1"/>
    <xf numFmtId="164" fontId="8" fillId="0" borderId="10" xfId="4" applyFont="1" applyBorder="1" applyAlignment="1">
      <alignment horizontal="left" vertical="center" wrapText="1"/>
    </xf>
    <xf numFmtId="164" fontId="8" fillId="0" borderId="0" xfId="4" applyFont="1" applyBorder="1" applyAlignment="1">
      <alignment horizontal="left" vertical="center" wrapText="1"/>
    </xf>
    <xf numFmtId="164" fontId="4" fillId="0" borderId="5" xfId="4" applyFont="1" applyBorder="1" applyAlignment="1">
      <alignment horizontal="left" vertical="center" wrapText="1"/>
    </xf>
    <xf numFmtId="164" fontId="4" fillId="0" borderId="7" xfId="4" applyFont="1" applyBorder="1" applyAlignment="1">
      <alignment horizontal="left" vertical="center" wrapText="1"/>
    </xf>
    <xf numFmtId="164" fontId="1" fillId="0" borderId="0" xfId="4" applyFont="1" applyAlignment="1">
      <alignment horizontal="left"/>
    </xf>
    <xf numFmtId="164" fontId="4" fillId="0" borderId="12" xfId="4" applyFont="1" applyBorder="1" applyAlignment="1">
      <alignment horizontal="left" vertical="center" wrapText="1"/>
    </xf>
    <xf numFmtId="164" fontId="4" fillId="0" borderId="4" xfId="4" applyFont="1" applyBorder="1" applyAlignment="1">
      <alignment horizontal="left" vertical="center" wrapText="1"/>
    </xf>
    <xf numFmtId="164" fontId="2" fillId="0" borderId="12" xfId="4" applyFont="1" applyBorder="1" applyAlignment="1">
      <alignment vertical="center"/>
    </xf>
    <xf numFmtId="10" fontId="2" fillId="0" borderId="4" xfId="4" applyNumberFormat="1" applyFont="1" applyBorder="1" applyAlignment="1">
      <alignment horizontal="center" vertical="center"/>
    </xf>
    <xf numFmtId="164" fontId="4" fillId="0" borderId="10" xfId="4" applyFont="1" applyBorder="1" applyAlignment="1">
      <alignment horizontal="left" vertical="center" wrapText="1"/>
    </xf>
    <xf numFmtId="164" fontId="4" fillId="0" borderId="3" xfId="4" applyFont="1" applyBorder="1" applyAlignment="1">
      <alignment horizontal="left" vertical="center" wrapText="1"/>
    </xf>
    <xf numFmtId="164" fontId="2" fillId="3" borderId="2" xfId="4" applyFont="1" applyFill="1" applyBorder="1" applyAlignment="1">
      <alignment vertical="center"/>
    </xf>
    <xf numFmtId="164" fontId="8" fillId="3" borderId="1" xfId="4" applyFont="1" applyFill="1" applyBorder="1" applyAlignment="1">
      <alignment horizontal="left" vertical="center" wrapText="1"/>
    </xf>
    <xf numFmtId="164" fontId="4" fillId="3" borderId="1" xfId="4" applyFont="1" applyFill="1" applyBorder="1" applyAlignment="1">
      <alignment horizontal="left" vertical="center" wrapText="1"/>
    </xf>
    <xf numFmtId="164" fontId="2" fillId="3" borderId="1" xfId="4" applyFont="1" applyFill="1" applyBorder="1" applyAlignment="1">
      <alignment vertical="center"/>
    </xf>
    <xf numFmtId="164" fontId="2" fillId="0" borderId="4" xfId="4" applyFont="1" applyBorder="1" applyAlignment="1">
      <alignment vertical="center"/>
    </xf>
    <xf numFmtId="164" fontId="8" fillId="0" borderId="8" xfId="4" applyFont="1" applyBorder="1" applyAlignment="1">
      <alignment horizontal="left" vertical="center" wrapText="1"/>
    </xf>
    <xf numFmtId="164" fontId="4" fillId="0" borderId="0" xfId="4" applyFont="1" applyBorder="1" applyAlignment="1">
      <alignment horizontal="left" vertical="center" wrapText="1"/>
    </xf>
    <xf numFmtId="164" fontId="4" fillId="0" borderId="8" xfId="4" applyFont="1" applyBorder="1" applyAlignment="1">
      <alignment horizontal="left" vertical="center" wrapText="1"/>
    </xf>
    <xf numFmtId="164" fontId="4" fillId="3" borderId="2" xfId="4" applyFont="1" applyFill="1" applyBorder="1" applyAlignment="1">
      <alignment horizontal="left" vertical="center" wrapText="1"/>
    </xf>
    <xf numFmtId="164" fontId="8" fillId="3" borderId="2" xfId="4" applyFont="1" applyFill="1" applyBorder="1" applyAlignment="1">
      <alignment horizontal="left" vertical="center" wrapText="1"/>
    </xf>
    <xf numFmtId="164" fontId="4" fillId="0" borderId="6" xfId="4" applyFont="1" applyBorder="1" applyAlignment="1">
      <alignment horizontal="left" vertical="center" wrapText="1"/>
    </xf>
    <xf numFmtId="164" fontId="8" fillId="0" borderId="11" xfId="4" applyFont="1" applyBorder="1" applyAlignment="1">
      <alignment horizontal="left" vertical="center" wrapText="1"/>
    </xf>
    <xf numFmtId="164" fontId="8" fillId="3" borderId="3" xfId="4" applyFont="1" applyFill="1" applyBorder="1" applyAlignment="1">
      <alignment horizontal="center" vertical="center" wrapText="1"/>
    </xf>
    <xf numFmtId="164" fontId="8" fillId="0" borderId="12" xfId="4" applyFont="1" applyBorder="1" applyAlignment="1">
      <alignment horizontal="left" vertical="center" wrapText="1"/>
    </xf>
    <xf numFmtId="164" fontId="8" fillId="0" borderId="4" xfId="4" applyFont="1" applyBorder="1" applyAlignment="1">
      <alignment horizontal="left" vertical="center" wrapText="1"/>
    </xf>
    <xf numFmtId="164" fontId="8" fillId="0" borderId="3" xfId="4" applyFont="1" applyBorder="1" applyAlignment="1">
      <alignment horizontal="left" vertical="center" wrapText="1"/>
    </xf>
    <xf numFmtId="164" fontId="8" fillId="3" borderId="1" xfId="4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9" fontId="12" fillId="6" borderId="0" xfId="6" applyNumberFormat="1" applyFont="1" applyFill="1" applyAlignment="1">
      <alignment vertical="center"/>
    </xf>
    <xf numFmtId="169" fontId="12" fillId="7" borderId="0" xfId="6" applyNumberFormat="1" applyFont="1" applyFill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9" fontId="12" fillId="6" borderId="1" xfId="6" applyNumberFormat="1" applyFont="1" applyFill="1" applyBorder="1" applyAlignment="1">
      <alignment vertical="center"/>
    </xf>
    <xf numFmtId="169" fontId="12" fillId="7" borderId="1" xfId="6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169" fontId="2" fillId="0" borderId="0" xfId="0" applyNumberFormat="1" applyFont="1" applyAlignment="1">
      <alignment vertical="center"/>
    </xf>
    <xf numFmtId="0" fontId="10" fillId="4" borderId="1" xfId="5" applyFont="1" applyFill="1" applyBorder="1" applyAlignment="1">
      <alignment horizontal="center" vertical="center" wrapText="1"/>
    </xf>
    <xf numFmtId="0" fontId="10" fillId="0" borderId="1" xfId="5" applyFont="1" applyBorder="1" applyAlignment="1">
      <alignment horizontal="center" vertical="center" wrapText="1"/>
    </xf>
    <xf numFmtId="0" fontId="11" fillId="5" borderId="1" xfId="5" applyFont="1" applyFill="1" applyBorder="1" applyAlignment="1">
      <alignment horizontal="center" vertical="center" wrapText="1"/>
    </xf>
    <xf numFmtId="169" fontId="11" fillId="5" borderId="0" xfId="6" applyNumberFormat="1" applyFont="1" applyFill="1" applyAlignment="1">
      <alignment vertical="center" wrapText="1"/>
    </xf>
    <xf numFmtId="169" fontId="10" fillId="4" borderId="0" xfId="6" applyNumberFormat="1" applyFont="1" applyFill="1" applyAlignment="1">
      <alignment horizontal="left" vertical="center"/>
    </xf>
    <xf numFmtId="169" fontId="10" fillId="0" borderId="0" xfId="6" applyNumberFormat="1" applyFont="1" applyAlignment="1">
      <alignment horizontal="left" vertical="center"/>
    </xf>
    <xf numFmtId="169" fontId="11" fillId="7" borderId="0" xfId="6" applyNumberFormat="1" applyFont="1" applyFill="1" applyAlignment="1">
      <alignment vertical="center" wrapText="1"/>
    </xf>
    <xf numFmtId="170" fontId="14" fillId="4" borderId="0" xfId="7" applyNumberFormat="1" applyFont="1" applyFill="1" applyAlignment="1">
      <alignment vertical="center"/>
    </xf>
    <xf numFmtId="170" fontId="14" fillId="0" borderId="0" xfId="7" applyNumberFormat="1" applyFont="1" applyAlignment="1">
      <alignment vertical="center"/>
    </xf>
    <xf numFmtId="170" fontId="16" fillId="4" borderId="0" xfId="8" applyNumberFormat="1" applyFont="1" applyFill="1" applyAlignment="1">
      <alignment vertical="center"/>
    </xf>
    <xf numFmtId="170" fontId="16" fillId="0" borderId="0" xfId="8" applyNumberFormat="1" applyFont="1" applyAlignment="1">
      <alignment vertical="center"/>
    </xf>
    <xf numFmtId="170" fontId="14" fillId="4" borderId="0" xfId="8" applyNumberFormat="1" applyFont="1" applyFill="1" applyBorder="1" applyAlignment="1">
      <alignment vertical="center"/>
    </xf>
    <xf numFmtId="170" fontId="14" fillId="0" borderId="0" xfId="8" applyNumberFormat="1" applyFont="1" applyFill="1" applyBorder="1" applyAlignment="1">
      <alignment vertical="center"/>
    </xf>
    <xf numFmtId="171" fontId="17" fillId="4" borderId="0" xfId="5" applyNumberFormat="1" applyFont="1" applyFill="1" applyBorder="1" applyAlignment="1">
      <alignment horizontal="left" vertical="center" wrapText="1"/>
    </xf>
    <xf numFmtId="170" fontId="16" fillId="4" borderId="1" xfId="8" applyNumberFormat="1" applyFont="1" applyFill="1" applyBorder="1" applyAlignment="1">
      <alignment vertical="center"/>
    </xf>
    <xf numFmtId="170" fontId="14" fillId="4" borderId="1" xfId="7" applyNumberFormat="1" applyFont="1" applyFill="1" applyBorder="1" applyAlignment="1">
      <alignment vertical="center"/>
    </xf>
    <xf numFmtId="170" fontId="14" fillId="0" borderId="1" xfId="8" applyNumberFormat="1" applyFont="1" applyFill="1" applyBorder="1" applyAlignment="1">
      <alignment vertical="center"/>
    </xf>
    <xf numFmtId="170" fontId="16" fillId="0" borderId="1" xfId="8" applyNumberFormat="1" applyFont="1" applyBorder="1" applyAlignment="1">
      <alignment vertical="center"/>
    </xf>
    <xf numFmtId="170" fontId="14" fillId="0" borderId="1" xfId="7" applyNumberFormat="1" applyFont="1" applyBorder="1" applyAlignment="1">
      <alignment vertical="center"/>
    </xf>
    <xf numFmtId="169" fontId="10" fillId="0" borderId="1" xfId="6" applyNumberFormat="1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170" fontId="14" fillId="4" borderId="1" xfId="8" applyNumberFormat="1" applyFont="1" applyFill="1" applyBorder="1" applyAlignment="1">
      <alignment vertical="center"/>
    </xf>
    <xf numFmtId="169" fontId="10" fillId="4" borderId="1" xfId="6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172" fontId="19" fillId="8" borderId="14" xfId="1" applyNumberFormat="1" applyFont="1" applyFill="1" applyBorder="1"/>
    <xf numFmtId="172" fontId="19" fillId="0" borderId="14" xfId="1" applyNumberFormat="1" applyFont="1" applyBorder="1"/>
    <xf numFmtId="170" fontId="20" fillId="9" borderId="0" xfId="7" applyNumberFormat="1" applyFont="1" applyFill="1" applyBorder="1" applyAlignment="1">
      <alignment vertical="center"/>
    </xf>
    <xf numFmtId="170" fontId="20" fillId="0" borderId="0" xfId="7" applyNumberFormat="1" applyFont="1" applyFill="1" applyBorder="1" applyAlignment="1">
      <alignment vertical="center"/>
    </xf>
    <xf numFmtId="3" fontId="21" fillId="0" borderId="0" xfId="0" applyNumberFormat="1" applyFont="1"/>
    <xf numFmtId="165" fontId="2" fillId="10" borderId="1" xfId="1" applyNumberFormat="1" applyFont="1" applyFill="1" applyBorder="1" applyAlignment="1">
      <alignment horizontal="center" vertical="center" wrapText="1"/>
    </xf>
    <xf numFmtId="3" fontId="21" fillId="0" borderId="0" xfId="0" applyNumberFormat="1" applyFont="1" applyFill="1"/>
    <xf numFmtId="164" fontId="2" fillId="7" borderId="1" xfId="0" applyNumberFormat="1" applyFont="1" applyFill="1" applyBorder="1" applyAlignment="1">
      <alignment vertical="center"/>
    </xf>
    <xf numFmtId="0" fontId="10" fillId="4" borderId="13" xfId="5" applyFont="1" applyFill="1" applyBorder="1" applyAlignment="1">
      <alignment horizontal="center" vertical="center" wrapText="1"/>
    </xf>
    <xf numFmtId="43" fontId="2" fillId="0" borderId="13" xfId="1" applyFont="1" applyBorder="1" applyAlignment="1">
      <alignment vertical="center"/>
    </xf>
    <xf numFmtId="169" fontId="2" fillId="0" borderId="1" xfId="0" applyNumberFormat="1" applyFont="1" applyBorder="1" applyAlignment="1">
      <alignment vertical="center"/>
    </xf>
    <xf numFmtId="43" fontId="2" fillId="0" borderId="0" xfId="0" applyNumberFormat="1" applyFont="1" applyAlignment="1">
      <alignment vertical="center"/>
    </xf>
    <xf numFmtId="0" fontId="22" fillId="0" borderId="1" xfId="0" applyFont="1" applyBorder="1" applyAlignment="1">
      <alignment horizontal="center" vertical="center"/>
    </xf>
    <xf numFmtId="171" fontId="14" fillId="4" borderId="0" xfId="5" applyNumberFormat="1" applyFont="1" applyFill="1" applyBorder="1" applyAlignment="1">
      <alignment horizontal="left" vertical="center" wrapText="1"/>
    </xf>
    <xf numFmtId="164" fontId="2" fillId="0" borderId="0" xfId="9" applyFont="1" applyAlignment="1">
      <alignment vertical="center"/>
    </xf>
    <xf numFmtId="3" fontId="2" fillId="0" borderId="1" xfId="0" applyNumberFormat="1" applyFont="1" applyBorder="1" applyAlignment="1">
      <alignment vertical="center"/>
    </xf>
    <xf numFmtId="9" fontId="23" fillId="0" borderId="1" xfId="10" applyFont="1" applyBorder="1" applyAlignment="1">
      <alignment horizontal="center" vertical="center"/>
    </xf>
    <xf numFmtId="169" fontId="2" fillId="0" borderId="13" xfId="0" applyNumberFormat="1" applyFont="1" applyBorder="1" applyAlignment="1">
      <alignment vertical="center"/>
    </xf>
    <xf numFmtId="169" fontId="2" fillId="0" borderId="2" xfId="0" applyNumberFormat="1" applyFont="1" applyBorder="1" applyAlignment="1">
      <alignment vertical="center"/>
    </xf>
    <xf numFmtId="169" fontId="2" fillId="0" borderId="3" xfId="0" applyNumberFormat="1" applyFont="1" applyBorder="1" applyAlignment="1">
      <alignment vertical="center"/>
    </xf>
    <xf numFmtId="169" fontId="2" fillId="7" borderId="1" xfId="0" applyNumberFormat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3" fillId="0" borderId="10" xfId="4" applyFont="1" applyBorder="1" applyAlignment="1">
      <alignment horizontal="center" vertical="center" wrapText="1"/>
    </xf>
    <xf numFmtId="164" fontId="3" fillId="0" borderId="7" xfId="4" applyFont="1" applyBorder="1" applyAlignment="1">
      <alignment horizontal="center" vertical="center" wrapText="1"/>
    </xf>
    <xf numFmtId="164" fontId="3" fillId="0" borderId="10" xfId="4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164" fontId="3" fillId="0" borderId="5" xfId="4" applyFont="1" applyBorder="1" applyAlignment="1">
      <alignment horizontal="center" vertical="center" wrapText="1"/>
    </xf>
  </cellXfs>
  <cellStyles count="11">
    <cellStyle name="Milliers" xfId="1" builtinId="3"/>
    <cellStyle name="Milliers [0]" xfId="9" builtinId="6"/>
    <cellStyle name="Milliers [0] 2" xfId="2" xr:uid="{00000000-0005-0000-0000-000002000000}"/>
    <cellStyle name="Milliers [0] 3" xfId="4" xr:uid="{00000000-0005-0000-0000-000003000000}"/>
    <cellStyle name="Milliers 414" xfId="6" xr:uid="{00000000-0005-0000-0000-000004000000}"/>
    <cellStyle name="Normal" xfId="0" builtinId="0"/>
    <cellStyle name="Normal 2" xfId="3" xr:uid="{00000000-0005-0000-0000-000006000000}"/>
    <cellStyle name="Normal 2 5" xfId="5" xr:uid="{00000000-0005-0000-0000-000007000000}"/>
    <cellStyle name="Normal 5" xfId="8" xr:uid="{00000000-0005-0000-0000-000008000000}"/>
    <cellStyle name="Normal 5 2" xfId="7" xr:uid="{00000000-0005-0000-0000-000009000000}"/>
    <cellStyle name="Pourcentage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Prix à</a:t>
            </a:r>
            <a:r>
              <a:rPr lang="en-US" baseline="0"/>
              <a:t> la tonne</a:t>
            </a:r>
            <a:r>
              <a:rPr lang="en-US"/>
              <a:t> production or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 vf (2)'!$F$2</c:f>
              <c:strCache>
                <c:ptCount val="1"/>
                <c:pt idx="0">
                  <c:v>Pu/T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metal"/>
          </c:spPr>
          <c:invertIfNegative val="0"/>
          <c:dLbls>
            <c:delete val="1"/>
          </c:dLbls>
          <c:cat>
            <c:multiLvlStrRef>
              <c:f>'Or vf (2)'!$B$3:$C$10</c:f>
            </c:multiLvlStrRef>
          </c:cat>
          <c:val>
            <c:numRef>
              <c:f>'Or vf (2)'!$F$3:$F$10</c:f>
            </c:numRef>
          </c:val>
          <c:extLst>
            <c:ext xmlns:c16="http://schemas.microsoft.com/office/drawing/2014/chart" uri="{C3380CC4-5D6E-409C-BE32-E72D297353CC}">
              <c16:uniqueId val="{00000000-C2CD-4595-8400-4A0957D2877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1759055"/>
        <c:axId val="641761135"/>
      </c:barChart>
      <c:catAx>
        <c:axId val="64175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761135"/>
        <c:crosses val="autoZero"/>
        <c:auto val="1"/>
        <c:lblAlgn val="ctr"/>
        <c:lblOffset val="100"/>
        <c:noMultiLvlLbl val="0"/>
      </c:catAx>
      <c:valAx>
        <c:axId val="64176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75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Prix</a:t>
            </a:r>
            <a:r>
              <a:rPr lang="en-US" baseline="0"/>
              <a:t> à la tonne production or </a:t>
            </a:r>
            <a:endParaRPr lang="en-US"/>
          </a:p>
        </c:rich>
      </c:tx>
      <c:layout>
        <c:manualLayout>
          <c:xMode val="edge"/>
          <c:yMode val="edge"/>
          <c:x val="0.3004096675415572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 vf (2)'!$F$22</c:f>
              <c:strCache>
                <c:ptCount val="1"/>
                <c:pt idx="0">
                  <c:v>Pu/T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'Or vf (2)'!$D$23:$E$29</c:f>
              <c:multiLvlStrCache>
                <c:ptCount val="7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</c:lvl>
                <c:lvl>
                  <c:pt idx="0">
                    <c:v> PMC </c:v>
                  </c:pt>
                  <c:pt idx="1">
                    <c:v> PMC </c:v>
                  </c:pt>
                  <c:pt idx="2">
                    <c:v> PMC </c:v>
                  </c:pt>
                  <c:pt idx="3">
                    <c:v> PMC </c:v>
                  </c:pt>
                  <c:pt idx="4">
                    <c:v> PMC </c:v>
                  </c:pt>
                  <c:pt idx="5">
                    <c:v> PMC </c:v>
                  </c:pt>
                  <c:pt idx="6">
                    <c:v> PMC </c:v>
                  </c:pt>
                </c:lvl>
              </c:multiLvlStrCache>
            </c:multiLvlStrRef>
          </c:cat>
          <c:val>
            <c:numRef>
              <c:f>'Or vf (2)'!$F$23:$F$29</c:f>
              <c:numCache>
                <c:formatCode>_-* #,##0\ _C_F_A_-;\-* #,##0\ _C_F_A_-;_-* "-"\ _C_F_A_-;_-@_-</c:formatCode>
                <c:ptCount val="7"/>
                <c:pt idx="0">
                  <c:v>22503083108.715183</c:v>
                </c:pt>
                <c:pt idx="1">
                  <c:v>26207383363.28981</c:v>
                </c:pt>
                <c:pt idx="2">
                  <c:v>29511704762.008732</c:v>
                </c:pt>
                <c:pt idx="3">
                  <c:v>30893575059.471642</c:v>
                </c:pt>
                <c:pt idx="4">
                  <c:v>36672928044.361702</c:v>
                </c:pt>
                <c:pt idx="5">
                  <c:v>37920333744.363014</c:v>
                </c:pt>
                <c:pt idx="6">
                  <c:v>46397152320.679588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7-4EF8-BACB-C5743ECA6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752815"/>
        <c:axId val="641747823"/>
      </c:barChart>
      <c:catAx>
        <c:axId val="64175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747823"/>
        <c:crosses val="autoZero"/>
        <c:auto val="1"/>
        <c:lblAlgn val="ctr"/>
        <c:lblOffset val="100"/>
        <c:noMultiLvlLbl val="0"/>
      </c:catAx>
      <c:valAx>
        <c:axId val="64174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C_F_A_-;\-* #,##0\ _C_F_A_-;_-* &quot;-&quot;\ _C_F_A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75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14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276225</xdr:colOff>
      <xdr:row>0</xdr:row>
      <xdr:rowOff>47625</xdr:rowOff>
    </xdr:from>
    <xdr:to>
      <xdr:col>12</xdr:col>
      <xdr:colOff>276225</xdr:colOff>
      <xdr:row>14</xdr:row>
      <xdr:rowOff>123825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Senegal-2018_eiti_summary_data_template_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Partie 1 - Présentation"/>
      <sheetName val="Partie 2 - Liste de pointage"/>
      <sheetName val="Partie 3 - Entités déclarantes"/>
      <sheetName val="Partie 4 - Recettes de l’État"/>
      <sheetName val="Partie 5 - Données d’entreprise"/>
      <sheetName val="Listes"/>
      <sheetName val="Senegal-2018_eiti_summary_data_"/>
    </sheetNames>
    <sheetDataSet>
      <sheetData sheetId="0"/>
      <sheetData sheetId="1">
        <row r="51">
          <cell r="E51">
            <v>555.24699999999996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BW29"/>
  <sheetViews>
    <sheetView showGridLines="0" tabSelected="1"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12" sqref="J12"/>
    </sheetView>
  </sheetViews>
  <sheetFormatPr baseColWidth="10" defaultColWidth="10.81640625" defaultRowHeight="14"/>
  <cols>
    <col min="1" max="2" width="10.81640625" style="1"/>
    <col min="3" max="3" width="10.453125" style="1" bestFit="1" customWidth="1"/>
    <col min="4" max="4" width="15.54296875" style="1" customWidth="1"/>
    <col min="5" max="5" width="23.81640625" style="1" bestFit="1" customWidth="1"/>
    <col min="6" max="7" width="23.81640625" style="1" customWidth="1"/>
    <col min="8" max="8" width="21.453125" style="3" customWidth="1"/>
    <col min="9" max="9" width="26.54296875" style="3" bestFit="1" customWidth="1"/>
    <col min="10" max="10" width="23.453125" style="2" bestFit="1" customWidth="1"/>
    <col min="11" max="11" width="18.26953125" style="2" bestFit="1" customWidth="1"/>
    <col min="12" max="12" width="19.453125" style="1" bestFit="1" customWidth="1"/>
    <col min="13" max="13" width="18.26953125" style="1" bestFit="1" customWidth="1"/>
    <col min="14" max="14" width="21" style="1" customWidth="1"/>
    <col min="15" max="15" width="22.1796875" style="1" customWidth="1"/>
    <col min="16" max="16" width="19.54296875" style="1" customWidth="1"/>
    <col min="17" max="17" width="22" style="1" bestFit="1" customWidth="1"/>
    <col min="18" max="21" width="10.81640625" style="1"/>
    <col min="22" max="22" width="22" style="1" bestFit="1" customWidth="1"/>
    <col min="23" max="23" width="19" style="1" customWidth="1"/>
    <col min="24" max="24" width="16.81640625" style="1" bestFit="1" customWidth="1"/>
    <col min="25" max="25" width="19.1796875" style="1" customWidth="1"/>
    <col min="26" max="26" width="12.453125" style="1" bestFit="1" customWidth="1"/>
    <col min="27" max="28" width="20.7265625" style="1" bestFit="1" customWidth="1"/>
    <col min="29" max="30" width="22" style="1" bestFit="1" customWidth="1"/>
    <col min="31" max="32" width="20.7265625" style="1" bestFit="1" customWidth="1"/>
    <col min="33" max="33" width="14.7265625" style="1" customWidth="1"/>
    <col min="34" max="34" width="17.81640625" style="1" customWidth="1"/>
    <col min="35" max="35" width="18.7265625" style="1" bestFit="1" customWidth="1"/>
    <col min="36" max="38" width="10.81640625" style="1"/>
    <col min="39" max="39" width="22" style="1" bestFit="1" customWidth="1"/>
    <col min="40" max="40" width="15.453125" style="1" bestFit="1" customWidth="1"/>
    <col min="41" max="41" width="12.453125" style="1" bestFit="1" customWidth="1"/>
    <col min="42" max="42" width="18" style="1" bestFit="1" customWidth="1"/>
    <col min="43" max="43" width="15.453125" style="1" bestFit="1" customWidth="1"/>
    <col min="44" max="44" width="19.453125" style="1" bestFit="1" customWidth="1"/>
    <col min="45" max="45" width="18" style="1" bestFit="1" customWidth="1"/>
    <col min="46" max="46" width="16.81640625" style="1" bestFit="1" customWidth="1"/>
    <col min="47" max="48" width="14.453125" style="1" bestFit="1" customWidth="1"/>
    <col min="49" max="49" width="15.453125" style="1" bestFit="1" customWidth="1"/>
    <col min="50" max="50" width="16.81640625" style="1" bestFit="1" customWidth="1"/>
    <col min="51" max="51" width="10.81640625" style="1"/>
    <col min="52" max="52" width="16.81640625" style="1" bestFit="1" customWidth="1"/>
    <col min="53" max="53" width="10.81640625" style="1"/>
    <col min="54" max="54" width="15.453125" style="1" bestFit="1" customWidth="1"/>
    <col min="55" max="55" width="11.26953125" style="1" bestFit="1" customWidth="1"/>
    <col min="56" max="56" width="14.26953125" style="1" bestFit="1" customWidth="1"/>
    <col min="57" max="57" width="16.54296875" style="1" bestFit="1" customWidth="1"/>
    <col min="58" max="58" width="11.26953125" style="1" bestFit="1" customWidth="1"/>
    <col min="59" max="59" width="16.54296875" style="1" bestFit="1" customWidth="1"/>
    <col min="60" max="60" width="12.453125" style="1" bestFit="1" customWidth="1"/>
    <col min="61" max="61" width="18.26953125" style="1" bestFit="1" customWidth="1"/>
    <col min="62" max="65" width="10.81640625" style="1"/>
    <col min="66" max="66" width="17.81640625" style="1" customWidth="1"/>
    <col min="67" max="67" width="28.81640625" style="1" bestFit="1" customWidth="1"/>
    <col min="68" max="68" width="21.453125" style="1" bestFit="1" customWidth="1"/>
    <col min="69" max="69" width="27.1796875" style="1" bestFit="1" customWidth="1"/>
    <col min="70" max="70" width="22" style="1" bestFit="1" customWidth="1"/>
    <col min="71" max="71" width="14.26953125" style="1" bestFit="1" customWidth="1"/>
    <col min="72" max="74" width="10.81640625" style="1"/>
    <col min="75" max="75" width="23.453125" style="1" bestFit="1" customWidth="1"/>
    <col min="76" max="16384" width="10.81640625" style="1"/>
  </cols>
  <sheetData>
    <row r="2" spans="2:75" s="6" customFormat="1" ht="60">
      <c r="B2" s="4" t="s">
        <v>0</v>
      </c>
      <c r="C2" s="4" t="s">
        <v>2</v>
      </c>
      <c r="D2" s="4" t="s">
        <v>8</v>
      </c>
      <c r="E2" s="4" t="s">
        <v>9</v>
      </c>
      <c r="F2" s="4" t="s">
        <v>118</v>
      </c>
      <c r="G2" s="4" t="s">
        <v>117</v>
      </c>
      <c r="H2" s="5" t="s">
        <v>10</v>
      </c>
      <c r="I2" s="5" t="s">
        <v>6</v>
      </c>
      <c r="J2" s="68" t="s">
        <v>50</v>
      </c>
      <c r="K2" s="69" t="s">
        <v>109</v>
      </c>
      <c r="L2" s="68" t="s">
        <v>52</v>
      </c>
      <c r="M2" s="69" t="s">
        <v>53</v>
      </c>
      <c r="N2" s="68" t="s">
        <v>110</v>
      </c>
      <c r="O2" s="70" t="s">
        <v>55</v>
      </c>
      <c r="P2" s="68" t="s">
        <v>56</v>
      </c>
      <c r="Q2" s="69" t="s">
        <v>111</v>
      </c>
      <c r="R2" s="68" t="s">
        <v>58</v>
      </c>
      <c r="S2" s="69" t="s">
        <v>59</v>
      </c>
      <c r="T2" s="68" t="s">
        <v>60</v>
      </c>
      <c r="U2" s="69" t="s">
        <v>61</v>
      </c>
      <c r="V2" s="68" t="s">
        <v>112</v>
      </c>
      <c r="W2" s="69" t="s">
        <v>63</v>
      </c>
      <c r="X2" s="68" t="s">
        <v>64</v>
      </c>
      <c r="Y2" s="69" t="s">
        <v>65</v>
      </c>
      <c r="Z2" s="70" t="s">
        <v>66</v>
      </c>
      <c r="AA2" s="68" t="s">
        <v>67</v>
      </c>
      <c r="AB2" s="69" t="s">
        <v>68</v>
      </c>
      <c r="AC2" s="68" t="s">
        <v>69</v>
      </c>
      <c r="AD2" s="69" t="s">
        <v>113</v>
      </c>
      <c r="AE2" s="68" t="s">
        <v>71</v>
      </c>
      <c r="AF2" s="69" t="s">
        <v>72</v>
      </c>
      <c r="AG2" s="68" t="s">
        <v>73</v>
      </c>
      <c r="AH2" s="69" t="s">
        <v>74</v>
      </c>
      <c r="AI2" s="68" t="s">
        <v>75</v>
      </c>
      <c r="AJ2" s="69" t="s">
        <v>76</v>
      </c>
      <c r="AK2" s="68" t="s">
        <v>77</v>
      </c>
      <c r="AL2" s="69" t="s">
        <v>78</v>
      </c>
      <c r="AM2" s="68" t="s">
        <v>79</v>
      </c>
      <c r="AN2" s="106" t="s">
        <v>107</v>
      </c>
      <c r="AO2" s="70" t="s">
        <v>80</v>
      </c>
      <c r="AP2" s="68" t="s">
        <v>114</v>
      </c>
      <c r="AQ2" s="69" t="s">
        <v>82</v>
      </c>
      <c r="AR2" s="68" t="s">
        <v>83</v>
      </c>
      <c r="AS2" s="69" t="s">
        <v>84</v>
      </c>
      <c r="AT2" s="68" t="s">
        <v>85</v>
      </c>
      <c r="AU2" s="69" t="s">
        <v>86</v>
      </c>
      <c r="AV2" s="68" t="s">
        <v>87</v>
      </c>
      <c r="AW2" s="69" t="s">
        <v>88</v>
      </c>
      <c r="AX2" s="68" t="s">
        <v>89</v>
      </c>
      <c r="AY2" s="70" t="s">
        <v>90</v>
      </c>
      <c r="AZ2" s="69" t="s">
        <v>115</v>
      </c>
      <c r="BA2" s="68" t="s">
        <v>92</v>
      </c>
      <c r="BB2" s="69" t="s">
        <v>93</v>
      </c>
      <c r="BC2" s="70" t="s">
        <v>94</v>
      </c>
      <c r="BD2" s="68" t="s">
        <v>95</v>
      </c>
      <c r="BE2" s="69" t="s">
        <v>96</v>
      </c>
      <c r="BF2" s="70" t="s">
        <v>97</v>
      </c>
      <c r="BG2" s="68" t="s">
        <v>98</v>
      </c>
      <c r="BH2" s="70" t="s">
        <v>99</v>
      </c>
      <c r="BI2" s="69" t="s">
        <v>100</v>
      </c>
      <c r="BJ2" s="70" t="s">
        <v>101</v>
      </c>
      <c r="BK2" s="69" t="s">
        <v>102</v>
      </c>
      <c r="BL2" s="70" t="s">
        <v>103</v>
      </c>
      <c r="BM2" s="69" t="s">
        <v>104</v>
      </c>
      <c r="BN2" s="70" t="s">
        <v>105</v>
      </c>
      <c r="BO2" s="101" t="s">
        <v>106</v>
      </c>
      <c r="BP2" s="4" t="s">
        <v>116</v>
      </c>
      <c r="BQ2" s="4" t="s">
        <v>119</v>
      </c>
      <c r="BR2" s="4" t="s">
        <v>120</v>
      </c>
      <c r="BS2" s="4" t="s">
        <v>121</v>
      </c>
    </row>
    <row r="3" spans="2:75" ht="26.5" hidden="1" customHeight="1">
      <c r="B3" s="11" t="s">
        <v>3</v>
      </c>
      <c r="C3" s="7">
        <v>2017</v>
      </c>
      <c r="D3" s="11">
        <v>7.1873198399999998</v>
      </c>
      <c r="E3" s="12">
        <v>168626111466.75</v>
      </c>
      <c r="F3" s="12">
        <f>+E3/D3</f>
        <v>23461612286.722725</v>
      </c>
      <c r="G3" s="12"/>
      <c r="H3" s="12">
        <v>8410964582.4034996</v>
      </c>
      <c r="I3" s="12">
        <v>406819818.68000001</v>
      </c>
      <c r="J3" s="12">
        <v>2479808997</v>
      </c>
      <c r="K3" s="12">
        <v>9100000</v>
      </c>
      <c r="L3" s="12"/>
      <c r="M3" s="12"/>
      <c r="N3" s="12"/>
      <c r="O3" s="12"/>
      <c r="P3" s="12"/>
      <c r="Q3" s="12"/>
      <c r="R3" s="12"/>
      <c r="S3" s="61"/>
      <c r="T3" s="61"/>
      <c r="U3" s="61"/>
      <c r="V3" s="60"/>
      <c r="W3" s="60"/>
      <c r="X3" s="60"/>
      <c r="Y3" s="60"/>
      <c r="Z3" s="60"/>
      <c r="AA3" s="60">
        <v>782693</v>
      </c>
      <c r="AB3" s="60">
        <v>2137933345</v>
      </c>
      <c r="AC3" s="60"/>
      <c r="AD3" s="60"/>
      <c r="AE3" s="60"/>
      <c r="AF3" s="60">
        <v>139425849</v>
      </c>
      <c r="AG3" s="60"/>
      <c r="AH3" s="60">
        <v>5783535</v>
      </c>
      <c r="AI3" s="60"/>
      <c r="AJ3" s="60"/>
      <c r="AK3" s="60"/>
      <c r="AL3" s="60"/>
      <c r="AM3" s="60">
        <v>7557669</v>
      </c>
      <c r="AN3" s="60"/>
      <c r="AO3" s="60"/>
      <c r="AP3" s="60"/>
      <c r="AQ3" s="60"/>
      <c r="AR3" s="60"/>
      <c r="AS3" s="60">
        <v>331647642</v>
      </c>
      <c r="AT3" s="60"/>
      <c r="AU3" s="60"/>
      <c r="AV3" s="60"/>
      <c r="AW3" s="60"/>
      <c r="AX3" s="60"/>
      <c r="AY3" s="60"/>
      <c r="AZ3" s="60">
        <v>9736200</v>
      </c>
      <c r="BA3" s="60"/>
      <c r="BB3" s="60"/>
      <c r="BC3" s="60"/>
      <c r="BD3" s="60"/>
      <c r="BE3" s="60"/>
      <c r="BF3" s="60"/>
      <c r="BG3" s="60">
        <v>62695166</v>
      </c>
      <c r="BH3" s="60"/>
      <c r="BI3" s="60">
        <v>448178395</v>
      </c>
      <c r="BJ3" s="60"/>
      <c r="BK3" s="60"/>
      <c r="BL3" s="60"/>
      <c r="BM3" s="60"/>
      <c r="BN3" s="60"/>
      <c r="BO3" s="102"/>
      <c r="BP3" s="103">
        <f t="shared" ref="BP3:BP17" si="0">+SUM(J3:BO3)</f>
        <v>5632649491</v>
      </c>
      <c r="BQ3" s="115"/>
      <c r="BR3" s="118"/>
      <c r="BS3" s="118"/>
    </row>
    <row r="4" spans="2:75" ht="26.5" hidden="1" customHeight="1">
      <c r="B4" s="11" t="s">
        <v>3</v>
      </c>
      <c r="C4" s="105">
        <v>2018</v>
      </c>
      <c r="D4" s="11">
        <v>6.968</v>
      </c>
      <c r="E4" s="12">
        <v>173717982000</v>
      </c>
      <c r="F4" s="12">
        <f t="shared" ref="F4:F17" si="1">+E4/D4</f>
        <v>24930824052.812859</v>
      </c>
      <c r="G4" s="12"/>
      <c r="H4" s="12">
        <v>8662737321.3855</v>
      </c>
      <c r="I4" s="12">
        <v>463235572.28999996</v>
      </c>
      <c r="J4" s="12">
        <v>8910427032</v>
      </c>
      <c r="K4" s="12">
        <v>362016085.72000003</v>
      </c>
      <c r="L4" s="12"/>
      <c r="M4" s="12"/>
      <c r="N4" s="12"/>
      <c r="O4" s="12"/>
      <c r="P4" s="12"/>
      <c r="Q4" s="12"/>
      <c r="R4" s="12"/>
      <c r="S4" s="61"/>
      <c r="T4" s="61"/>
      <c r="U4" s="61"/>
      <c r="V4" s="60"/>
      <c r="W4" s="60"/>
      <c r="X4" s="60"/>
      <c r="Y4" s="60"/>
      <c r="Z4" s="60"/>
      <c r="AA4" s="60">
        <v>1224083825</v>
      </c>
      <c r="AB4" s="60">
        <v>2076603631</v>
      </c>
      <c r="AC4" s="60"/>
      <c r="AD4" s="60">
        <v>4054035730</v>
      </c>
      <c r="AE4" s="60"/>
      <c r="AF4" s="60">
        <v>357095620</v>
      </c>
      <c r="AG4" s="60"/>
      <c r="AH4" s="60">
        <v>15512539</v>
      </c>
      <c r="AI4" s="60"/>
      <c r="AJ4" s="60"/>
      <c r="AK4" s="60"/>
      <c r="AL4" s="60"/>
      <c r="AM4" s="60">
        <v>64477064</v>
      </c>
      <c r="AN4" s="60"/>
      <c r="AO4" s="60"/>
      <c r="AP4" s="60"/>
      <c r="AQ4" s="60"/>
      <c r="AR4" s="60"/>
      <c r="AS4" s="60">
        <v>1436326081</v>
      </c>
      <c r="AT4" s="60"/>
      <c r="AU4" s="60"/>
      <c r="AV4" s="60"/>
      <c r="AW4" s="60"/>
      <c r="AX4" s="60"/>
      <c r="AY4" s="60"/>
      <c r="AZ4" s="60">
        <v>101670000</v>
      </c>
      <c r="BA4" s="60"/>
      <c r="BB4" s="60"/>
      <c r="BC4" s="60"/>
      <c r="BD4" s="60"/>
      <c r="BE4" s="60">
        <v>88454020</v>
      </c>
      <c r="BF4" s="60"/>
      <c r="BG4" s="60">
        <v>22846320</v>
      </c>
      <c r="BH4" s="60"/>
      <c r="BI4" s="60">
        <v>216583245</v>
      </c>
      <c r="BJ4" s="60"/>
      <c r="BK4" s="60"/>
      <c r="BL4" s="60"/>
      <c r="BM4" s="60"/>
      <c r="BN4" s="60"/>
      <c r="BO4" s="102"/>
      <c r="BP4" s="103">
        <f t="shared" si="0"/>
        <v>18930131192.720001</v>
      </c>
      <c r="BQ4" s="116"/>
      <c r="BR4" s="118"/>
      <c r="BS4" s="118"/>
    </row>
    <row r="5" spans="2:75" ht="26.5" hidden="1" customHeight="1">
      <c r="B5" s="11" t="s">
        <v>3</v>
      </c>
      <c r="C5" s="7">
        <v>2019</v>
      </c>
      <c r="D5" s="11">
        <v>6.61</v>
      </c>
      <c r="E5" s="12">
        <v>187153240000</v>
      </c>
      <c r="F5" s="12">
        <f t="shared" si="1"/>
        <v>28313652042.360058</v>
      </c>
      <c r="G5" s="12"/>
      <c r="H5" s="12">
        <v>9328166761.8085003</v>
      </c>
      <c r="I5" s="12">
        <v>589904763.83000004</v>
      </c>
      <c r="J5" s="12">
        <v>9509162069</v>
      </c>
      <c r="K5" s="12">
        <v>322273120</v>
      </c>
      <c r="L5" s="12">
        <v>1000000</v>
      </c>
      <c r="M5" s="12"/>
      <c r="N5" s="12"/>
      <c r="O5" s="12"/>
      <c r="P5" s="12"/>
      <c r="Q5" s="12">
        <v>700210162</v>
      </c>
      <c r="R5" s="12"/>
      <c r="S5" s="61"/>
      <c r="T5" s="61"/>
      <c r="U5" s="61"/>
      <c r="V5" s="60"/>
      <c r="W5" s="60"/>
      <c r="X5" s="60"/>
      <c r="Y5" s="60"/>
      <c r="Z5" s="60"/>
      <c r="AA5" s="60">
        <v>832010864</v>
      </c>
      <c r="AB5" s="60">
        <v>2484239231</v>
      </c>
      <c r="AC5" s="60">
        <v>5000070562</v>
      </c>
      <c r="AD5" s="60"/>
      <c r="AE5" s="60">
        <v>7298587337</v>
      </c>
      <c r="AF5" s="60">
        <v>393361415</v>
      </c>
      <c r="AG5" s="60"/>
      <c r="AH5" s="60">
        <v>19995187</v>
      </c>
      <c r="AI5" s="60"/>
      <c r="AJ5" s="60"/>
      <c r="AK5" s="60"/>
      <c r="AL5" s="60"/>
      <c r="AM5" s="60">
        <v>47637296</v>
      </c>
      <c r="AN5" s="60"/>
      <c r="AO5" s="60"/>
      <c r="AP5" s="60">
        <v>197063568</v>
      </c>
      <c r="AQ5" s="60">
        <v>128405812</v>
      </c>
      <c r="AR5" s="60">
        <v>160501755</v>
      </c>
      <c r="AS5" s="60">
        <v>1073636380</v>
      </c>
      <c r="AT5" s="60">
        <v>80203586</v>
      </c>
      <c r="AU5" s="60">
        <v>60533931</v>
      </c>
      <c r="AV5" s="60">
        <v>4053977</v>
      </c>
      <c r="AW5" s="60"/>
      <c r="AX5" s="60">
        <v>352157</v>
      </c>
      <c r="AY5" s="60"/>
      <c r="AZ5" s="60">
        <v>101670000</v>
      </c>
      <c r="BA5" s="60"/>
      <c r="BB5" s="60"/>
      <c r="BC5" s="60"/>
      <c r="BD5" s="60"/>
      <c r="BE5" s="60">
        <v>176714059</v>
      </c>
      <c r="BF5" s="60"/>
      <c r="BG5" s="60">
        <v>27760320</v>
      </c>
      <c r="BH5" s="60"/>
      <c r="BI5" s="60">
        <v>267853395</v>
      </c>
      <c r="BJ5" s="60"/>
      <c r="BK5" s="60"/>
      <c r="BL5" s="60"/>
      <c r="BM5" s="60"/>
      <c r="BN5" s="60"/>
      <c r="BO5" s="102">
        <v>88369155</v>
      </c>
      <c r="BP5" s="103">
        <f t="shared" si="0"/>
        <v>28975665338</v>
      </c>
      <c r="BQ5" s="116"/>
      <c r="BR5" s="118"/>
      <c r="BS5" s="118"/>
    </row>
    <row r="6" spans="2:75" ht="26.5" hidden="1" customHeight="1">
      <c r="B6" s="11" t="s">
        <v>3</v>
      </c>
      <c r="C6" s="7">
        <v>2020</v>
      </c>
      <c r="D6" s="11">
        <v>7.04</v>
      </c>
      <c r="E6" s="12">
        <v>231645211062.66</v>
      </c>
      <c r="F6" s="12">
        <f t="shared" si="1"/>
        <v>32904149298.673294</v>
      </c>
      <c r="G6" s="12"/>
      <c r="H6" s="12">
        <v>11517025517</v>
      </c>
      <c r="I6" s="12">
        <v>1304700722.6600001</v>
      </c>
      <c r="J6" s="12">
        <v>9540850131</v>
      </c>
      <c r="K6" s="12">
        <v>186233247</v>
      </c>
      <c r="L6" s="12"/>
      <c r="M6" s="12"/>
      <c r="N6" s="12"/>
      <c r="O6" s="12"/>
      <c r="P6" s="12"/>
      <c r="Q6" s="12">
        <v>700212162</v>
      </c>
      <c r="R6" s="12"/>
      <c r="S6" s="61"/>
      <c r="T6" s="61"/>
      <c r="U6" s="61"/>
      <c r="V6" s="60"/>
      <c r="W6" s="60"/>
      <c r="X6" s="60">
        <v>8943645000</v>
      </c>
      <c r="Y6" s="60"/>
      <c r="Z6" s="60"/>
      <c r="AA6" s="60">
        <v>246192713</v>
      </c>
      <c r="AB6" s="60">
        <v>3409680254</v>
      </c>
      <c r="AC6" s="60">
        <v>50000000</v>
      </c>
      <c r="AD6" s="60">
        <v>9388018145</v>
      </c>
      <c r="AE6" s="60"/>
      <c r="AF6" s="60">
        <v>387349761</v>
      </c>
      <c r="AG6" s="60"/>
      <c r="AH6" s="60">
        <v>30370439</v>
      </c>
      <c r="AI6" s="60"/>
      <c r="AJ6" s="60"/>
      <c r="AK6" s="60"/>
      <c r="AL6" s="60"/>
      <c r="AM6" s="60">
        <v>96697263</v>
      </c>
      <c r="AN6" s="60">
        <v>342009500</v>
      </c>
      <c r="AO6" s="60"/>
      <c r="AP6" s="60"/>
      <c r="AQ6" s="60"/>
      <c r="AR6" s="60"/>
      <c r="AS6" s="60">
        <v>1027439597</v>
      </c>
      <c r="AT6" s="60"/>
      <c r="AU6" s="60"/>
      <c r="AV6" s="60"/>
      <c r="AW6" s="60"/>
      <c r="AX6" s="60"/>
      <c r="AY6" s="60"/>
      <c r="AZ6" s="60">
        <v>101670000</v>
      </c>
      <c r="BA6" s="60"/>
      <c r="BB6" s="60"/>
      <c r="BC6" s="60"/>
      <c r="BD6" s="60"/>
      <c r="BE6" s="60">
        <v>91247209</v>
      </c>
      <c r="BF6" s="60"/>
      <c r="BG6" s="60">
        <v>36915282</v>
      </c>
      <c r="BH6" s="60"/>
      <c r="BI6" s="60">
        <v>349602388</v>
      </c>
      <c r="BJ6" s="60"/>
      <c r="BK6" s="60"/>
      <c r="BL6" s="60"/>
      <c r="BM6" s="60"/>
      <c r="BN6" s="60"/>
      <c r="BO6" s="102">
        <v>13981000</v>
      </c>
      <c r="BP6" s="103">
        <f t="shared" si="0"/>
        <v>34942114091</v>
      </c>
      <c r="BQ6" s="116"/>
      <c r="BR6" s="118"/>
      <c r="BS6" s="118"/>
    </row>
    <row r="7" spans="2:75" ht="26.5" hidden="1" customHeight="1">
      <c r="B7" s="11" t="s">
        <v>3</v>
      </c>
      <c r="C7" s="7">
        <v>2021</v>
      </c>
      <c r="D7" s="11">
        <v>12.16</v>
      </c>
      <c r="E7" s="12">
        <v>390739103000</v>
      </c>
      <c r="F7" s="12">
        <f t="shared" si="1"/>
        <v>32133149917.763157</v>
      </c>
      <c r="G7" s="12"/>
      <c r="H7" s="12">
        <v>19491926231.734631</v>
      </c>
      <c r="I7" s="12">
        <v>900578365</v>
      </c>
      <c r="J7" s="12">
        <v>18095052888</v>
      </c>
      <c r="K7" s="12">
        <v>381674925</v>
      </c>
      <c r="L7" s="12">
        <v>2000000</v>
      </c>
      <c r="M7" s="12"/>
      <c r="N7" s="12">
        <v>99930000</v>
      </c>
      <c r="O7" s="12"/>
      <c r="P7" s="12"/>
      <c r="Q7" s="12">
        <v>700210162</v>
      </c>
      <c r="R7" s="12"/>
      <c r="S7" s="61"/>
      <c r="T7" s="61"/>
      <c r="U7" s="61"/>
      <c r="V7" s="60">
        <v>930240585</v>
      </c>
      <c r="W7" s="60"/>
      <c r="X7" s="60"/>
      <c r="Y7" s="60"/>
      <c r="Z7" s="60"/>
      <c r="AA7" s="60">
        <v>101736910</v>
      </c>
      <c r="AB7" s="60">
        <v>5623462277</v>
      </c>
      <c r="AC7" s="60"/>
      <c r="AD7" s="60">
        <v>10470001250</v>
      </c>
      <c r="AE7" s="60"/>
      <c r="AF7" s="60">
        <v>739979589</v>
      </c>
      <c r="AG7" s="60"/>
      <c r="AH7" s="60">
        <v>184824593</v>
      </c>
      <c r="AI7" s="60"/>
      <c r="AJ7" s="60"/>
      <c r="AK7" s="60"/>
      <c r="AL7" s="60"/>
      <c r="AM7" s="60">
        <v>1074843449</v>
      </c>
      <c r="AN7" s="60"/>
      <c r="AO7" s="60"/>
      <c r="AP7" s="60"/>
      <c r="AQ7" s="60"/>
      <c r="AR7" s="60"/>
      <c r="AS7" s="60">
        <v>601569229</v>
      </c>
      <c r="AT7" s="60"/>
      <c r="AU7" s="60"/>
      <c r="AV7" s="60"/>
      <c r="AW7" s="60"/>
      <c r="AX7" s="60"/>
      <c r="AY7" s="60"/>
      <c r="AZ7" s="60">
        <v>102506250</v>
      </c>
      <c r="BA7" s="60"/>
      <c r="BB7" s="60"/>
      <c r="BC7" s="60"/>
      <c r="BD7" s="60"/>
      <c r="BE7" s="60">
        <v>244113282</v>
      </c>
      <c r="BF7" s="60"/>
      <c r="BG7" s="60">
        <v>91733040</v>
      </c>
      <c r="BH7" s="60"/>
      <c r="BI7" s="60">
        <v>739969819</v>
      </c>
      <c r="BJ7" s="60"/>
      <c r="BK7" s="60"/>
      <c r="BL7" s="60"/>
      <c r="BM7" s="60"/>
      <c r="BN7" s="60"/>
      <c r="BO7" s="102">
        <v>12875000</v>
      </c>
      <c r="BP7" s="103">
        <f t="shared" si="0"/>
        <v>40196723248</v>
      </c>
      <c r="BQ7" s="116"/>
      <c r="BR7" s="118"/>
      <c r="BS7" s="118"/>
    </row>
    <row r="8" spans="2:75" ht="26.5" hidden="1" customHeight="1">
      <c r="B8" s="11" t="s">
        <v>3</v>
      </c>
      <c r="C8" s="7">
        <v>2022</v>
      </c>
      <c r="D8" s="11">
        <v>10.89</v>
      </c>
      <c r="E8" s="12">
        <v>392586705000</v>
      </c>
      <c r="F8" s="12">
        <f t="shared" si="1"/>
        <v>36050202479.338844</v>
      </c>
      <c r="G8" s="12"/>
      <c r="H8" s="12">
        <v>19583213628.882149</v>
      </c>
      <c r="I8" s="12">
        <v>922432422</v>
      </c>
      <c r="J8" s="12">
        <v>19563971740</v>
      </c>
      <c r="K8" s="12">
        <v>344657753</v>
      </c>
      <c r="L8" s="12"/>
      <c r="M8" s="12"/>
      <c r="N8" s="12">
        <v>81430000</v>
      </c>
      <c r="O8" s="12"/>
      <c r="P8" s="12"/>
      <c r="Q8" s="12">
        <v>700210162</v>
      </c>
      <c r="R8" s="12"/>
      <c r="S8" s="61"/>
      <c r="T8" s="61"/>
      <c r="U8" s="61"/>
      <c r="V8" s="60">
        <v>13745906089</v>
      </c>
      <c r="W8" s="60"/>
      <c r="X8" s="60"/>
      <c r="Y8" s="60"/>
      <c r="Z8" s="60"/>
      <c r="AA8" s="60">
        <v>1159716473</v>
      </c>
      <c r="AB8" s="60">
        <v>5214687204</v>
      </c>
      <c r="AC8" s="60">
        <v>300000</v>
      </c>
      <c r="AD8" s="60">
        <v>10209148561</v>
      </c>
      <c r="AE8" s="60"/>
      <c r="AF8" s="60">
        <v>1272817806</v>
      </c>
      <c r="AG8" s="60"/>
      <c r="AH8" s="60">
        <v>23197229</v>
      </c>
      <c r="AI8" s="60"/>
      <c r="AJ8" s="60"/>
      <c r="AK8" s="60"/>
      <c r="AL8" s="60"/>
      <c r="AM8" s="60">
        <v>19512723643</v>
      </c>
      <c r="AN8" s="60"/>
      <c r="AO8" s="60"/>
      <c r="AP8" s="60">
        <v>5060698358</v>
      </c>
      <c r="AQ8" s="60">
        <v>82821682</v>
      </c>
      <c r="AR8" s="60">
        <v>103417232</v>
      </c>
      <c r="AS8" s="60">
        <v>432572906</v>
      </c>
      <c r="AT8" s="60">
        <v>51435059</v>
      </c>
      <c r="AU8" s="60">
        <v>33147645</v>
      </c>
      <c r="AV8" s="60">
        <v>28354930</v>
      </c>
      <c r="AW8" s="60">
        <v>197604113</v>
      </c>
      <c r="AX8" s="60">
        <v>71300044</v>
      </c>
      <c r="AY8" s="60"/>
      <c r="AZ8" s="60">
        <v>102506250</v>
      </c>
      <c r="BA8" s="60"/>
      <c r="BB8" s="60"/>
      <c r="BC8" s="60"/>
      <c r="BD8" s="60">
        <v>2539000</v>
      </c>
      <c r="BE8" s="60">
        <v>273526547</v>
      </c>
      <c r="BF8" s="60"/>
      <c r="BG8" s="60">
        <v>92413440</v>
      </c>
      <c r="BH8" s="60"/>
      <c r="BI8" s="60">
        <v>824145628</v>
      </c>
      <c r="BJ8" s="60"/>
      <c r="BK8" s="60"/>
      <c r="BL8" s="60"/>
      <c r="BM8" s="60"/>
      <c r="BN8" s="60"/>
      <c r="BO8" s="102">
        <v>177051978</v>
      </c>
      <c r="BP8" s="103">
        <f t="shared" si="0"/>
        <v>79362301472</v>
      </c>
      <c r="BQ8" s="116"/>
      <c r="BR8" s="118"/>
      <c r="BS8" s="118"/>
    </row>
    <row r="9" spans="2:75" ht="26.5" hidden="1" customHeight="1">
      <c r="B9" s="11" t="s">
        <v>3</v>
      </c>
      <c r="C9" s="7">
        <v>2023</v>
      </c>
      <c r="D9" s="11">
        <v>9.14</v>
      </c>
      <c r="E9" s="12">
        <v>350506489000</v>
      </c>
      <c r="F9" s="12">
        <f t="shared" si="1"/>
        <v>38348631181.619255</v>
      </c>
      <c r="G9" s="12"/>
      <c r="H9" s="12">
        <v>17483287112.941906</v>
      </c>
      <c r="I9" s="12">
        <v>840746741</v>
      </c>
      <c r="J9" s="12">
        <v>17983379589</v>
      </c>
      <c r="K9" s="12">
        <v>394603655.20999998</v>
      </c>
      <c r="L9" s="12">
        <v>2000000</v>
      </c>
      <c r="M9" s="12"/>
      <c r="N9" s="12">
        <v>339510000</v>
      </c>
      <c r="O9" s="12"/>
      <c r="P9" s="12"/>
      <c r="Q9" s="12">
        <v>700210162</v>
      </c>
      <c r="R9" s="12"/>
      <c r="S9" s="61"/>
      <c r="T9" s="61"/>
      <c r="U9" s="61"/>
      <c r="V9" s="60">
        <v>3780409704</v>
      </c>
      <c r="W9" s="60"/>
      <c r="X9" s="60"/>
      <c r="Y9" s="60"/>
      <c r="Z9" s="60"/>
      <c r="AA9" s="60">
        <v>3552753938</v>
      </c>
      <c r="AB9" s="60">
        <v>6547939856</v>
      </c>
      <c r="AC9" s="60">
        <v>14165870891</v>
      </c>
      <c r="AD9" s="60">
        <v>56031664385</v>
      </c>
      <c r="AE9" s="60"/>
      <c r="AF9" s="60">
        <v>2416973413</v>
      </c>
      <c r="AG9" s="60"/>
      <c r="AH9" s="60">
        <v>355809766</v>
      </c>
      <c r="AI9" s="60"/>
      <c r="AJ9" s="60"/>
      <c r="AK9" s="60"/>
      <c r="AL9" s="60"/>
      <c r="AM9" s="60">
        <v>598684575</v>
      </c>
      <c r="AN9" s="60"/>
      <c r="AO9" s="60"/>
      <c r="AP9" s="60"/>
      <c r="AQ9" s="60"/>
      <c r="AR9" s="60"/>
      <c r="AS9" s="60">
        <v>14790586394</v>
      </c>
      <c r="AT9" s="60"/>
      <c r="AU9" s="60"/>
      <c r="AV9" s="60"/>
      <c r="AW9" s="60"/>
      <c r="AX9" s="60">
        <v>1356080521</v>
      </c>
      <c r="AY9" s="60"/>
      <c r="AZ9" s="60">
        <v>1200349100</v>
      </c>
      <c r="BA9" s="60"/>
      <c r="BB9" s="60"/>
      <c r="BC9" s="60"/>
      <c r="BD9" s="60"/>
      <c r="BE9" s="60">
        <v>278981251</v>
      </c>
      <c r="BF9" s="60"/>
      <c r="BG9" s="60">
        <v>101160360</v>
      </c>
      <c r="BH9" s="60"/>
      <c r="BI9" s="60">
        <v>982516892</v>
      </c>
      <c r="BJ9" s="60"/>
      <c r="BK9" s="60"/>
      <c r="BL9" s="60"/>
      <c r="BM9" s="60"/>
      <c r="BO9" s="60">
        <v>20996063</v>
      </c>
      <c r="BP9" s="103">
        <f>+SUM(J9:BO9)</f>
        <v>125600480515.20999</v>
      </c>
      <c r="BQ9" s="116"/>
      <c r="BR9" s="118"/>
      <c r="BS9" s="118"/>
    </row>
    <row r="10" spans="2:75" ht="26.5" hidden="1" customHeight="1">
      <c r="B10" s="11" t="s">
        <v>3</v>
      </c>
      <c r="C10" s="7">
        <v>2024</v>
      </c>
      <c r="D10" s="11">
        <v>7.25</v>
      </c>
      <c r="E10" s="12">
        <v>340686627000</v>
      </c>
      <c r="F10" s="12">
        <f t="shared" si="1"/>
        <v>46991258896.551727</v>
      </c>
      <c r="G10" s="12"/>
      <c r="H10" s="12">
        <f>E10*0.05</f>
        <v>17034331350</v>
      </c>
      <c r="I10" s="62" t="s">
        <v>7</v>
      </c>
      <c r="J10" s="12">
        <v>12982245458</v>
      </c>
      <c r="K10" s="12">
        <v>0</v>
      </c>
      <c r="L10" s="12">
        <v>10000000</v>
      </c>
      <c r="M10" s="12"/>
      <c r="N10" s="12">
        <v>165308750</v>
      </c>
      <c r="O10" s="12"/>
      <c r="P10" s="12"/>
      <c r="Q10" s="12">
        <v>5156057429</v>
      </c>
      <c r="R10" s="12"/>
      <c r="S10" s="61"/>
      <c r="T10" s="61"/>
      <c r="U10" s="61"/>
      <c r="V10" s="60">
        <v>8550085532</v>
      </c>
      <c r="W10" s="60"/>
      <c r="X10" s="60"/>
      <c r="Y10" s="60"/>
      <c r="Z10" s="60"/>
      <c r="AA10" s="60">
        <v>2961595410</v>
      </c>
      <c r="AB10" s="60">
        <v>7765358367</v>
      </c>
      <c r="AC10" s="60"/>
      <c r="AD10" s="60">
        <v>37354442924</v>
      </c>
      <c r="AE10" s="60">
        <v>8753036627</v>
      </c>
      <c r="AF10" s="60">
        <v>2798450495</v>
      </c>
      <c r="AG10" s="60"/>
      <c r="AH10" s="60">
        <v>17817365</v>
      </c>
      <c r="AI10" s="60">
        <v>189710162</v>
      </c>
      <c r="AJ10" s="60"/>
      <c r="AK10" s="60"/>
      <c r="AL10" s="60"/>
      <c r="AM10" s="60">
        <v>9719760854</v>
      </c>
      <c r="AN10" s="60"/>
      <c r="AO10" s="60"/>
      <c r="AP10" s="60">
        <v>12479862303</v>
      </c>
      <c r="AQ10" s="60">
        <v>47512057</v>
      </c>
      <c r="AR10" s="60">
        <v>59390072</v>
      </c>
      <c r="AS10" s="60">
        <v>360813765</v>
      </c>
      <c r="AT10" s="60">
        <v>29695037</v>
      </c>
      <c r="AU10" s="60">
        <v>51467044</v>
      </c>
      <c r="AV10" s="60">
        <v>39601445</v>
      </c>
      <c r="AW10" s="60">
        <v>118255043</v>
      </c>
      <c r="AX10" s="60">
        <v>8101133842</v>
      </c>
      <c r="AY10" s="60"/>
      <c r="AZ10" s="60">
        <v>645548107</v>
      </c>
      <c r="BA10" s="60"/>
      <c r="BB10" s="60">
        <v>272585030</v>
      </c>
      <c r="BC10" s="60"/>
      <c r="BD10" s="60"/>
      <c r="BE10" s="60"/>
      <c r="BF10" s="60"/>
      <c r="BG10" s="60">
        <v>109702542</v>
      </c>
      <c r="BH10" s="60"/>
      <c r="BI10" s="60">
        <v>1054051350</v>
      </c>
      <c r="BJ10" s="60"/>
      <c r="BK10" s="60"/>
      <c r="BL10" s="60"/>
      <c r="BM10" s="60"/>
      <c r="BN10" s="60"/>
      <c r="BO10" s="102"/>
      <c r="BP10" s="103">
        <f t="shared" si="0"/>
        <v>119793487010</v>
      </c>
      <c r="BQ10" s="117"/>
      <c r="BR10" s="118"/>
      <c r="BS10" s="118"/>
      <c r="BT10" s="114"/>
    </row>
    <row r="11" spans="2:75" ht="26.5" customHeight="1">
      <c r="B11" s="11" t="s">
        <v>4</v>
      </c>
      <c r="C11" s="105">
        <v>2018</v>
      </c>
      <c r="D11" s="11">
        <v>4.452</v>
      </c>
      <c r="E11" s="12">
        <v>100183726000</v>
      </c>
      <c r="F11" s="12">
        <f t="shared" si="1"/>
        <v>22503083108.715183</v>
      </c>
      <c r="G11" s="12"/>
      <c r="H11" s="12">
        <v>5008589699</v>
      </c>
      <c r="I11" s="65">
        <f>E11-H11/0.05</f>
        <v>11932020</v>
      </c>
      <c r="J11" s="12">
        <v>3248958243</v>
      </c>
      <c r="K11" s="12">
        <v>99386000</v>
      </c>
      <c r="L11" s="12"/>
      <c r="M11" s="12"/>
      <c r="N11" s="12"/>
      <c r="O11" s="12"/>
      <c r="P11" s="12"/>
      <c r="Q11" s="12"/>
      <c r="R11" s="12"/>
      <c r="S11" s="61"/>
      <c r="T11" s="61"/>
      <c r="U11" s="61"/>
      <c r="V11" s="60"/>
      <c r="W11" s="60"/>
      <c r="X11" s="60"/>
      <c r="Y11" s="60"/>
      <c r="Z11" s="60"/>
      <c r="AA11" s="60"/>
      <c r="AB11" s="60">
        <v>1017412247</v>
      </c>
      <c r="AC11" s="60"/>
      <c r="AD11" s="60"/>
      <c r="AE11" s="60"/>
      <c r="AF11" s="60">
        <v>362594359</v>
      </c>
      <c r="AG11" s="60"/>
      <c r="AH11" s="60">
        <v>9074720</v>
      </c>
      <c r="AI11" s="60"/>
      <c r="AJ11" s="60"/>
      <c r="AK11" s="60"/>
      <c r="AL11" s="60"/>
      <c r="AM11" s="60">
        <v>44148316</v>
      </c>
      <c r="AN11" s="60"/>
      <c r="AO11" s="60"/>
      <c r="AP11" s="60"/>
      <c r="AQ11" s="60"/>
      <c r="AR11" s="60"/>
      <c r="AS11" s="60">
        <v>225016261</v>
      </c>
      <c r="AT11" s="60"/>
      <c r="AU11" s="60"/>
      <c r="AV11" s="60"/>
      <c r="AW11" s="60"/>
      <c r="AX11" s="60"/>
      <c r="AY11" s="60"/>
      <c r="AZ11" s="60">
        <v>123768300</v>
      </c>
      <c r="BA11" s="60"/>
      <c r="BB11" s="60"/>
      <c r="BC11" s="60"/>
      <c r="BD11" s="60"/>
      <c r="BE11" s="60"/>
      <c r="BF11" s="60"/>
      <c r="BG11" s="60">
        <v>24151176</v>
      </c>
      <c r="BH11" s="60"/>
      <c r="BI11" s="60">
        <v>202387738</v>
      </c>
      <c r="BJ11" s="60"/>
      <c r="BK11" s="60"/>
      <c r="BL11" s="60"/>
      <c r="BM11" s="60"/>
      <c r="BN11" s="60"/>
      <c r="BO11" s="102"/>
      <c r="BP11" s="103">
        <f t="shared" si="0"/>
        <v>5356897360</v>
      </c>
      <c r="BQ11" s="60" t="e">
        <f>SUMIF([1]!Government_revenues_table[Devise],"XOF",[1]!Government_revenues_table[Valeur des revenus])+(IFERROR(SUMIF([1]!Government_revenues_table[Devise],"&lt;&gt;XOF",[1]!Government_revenues_table[Valeur des revenus])/'[1]Partie 1 - Présentation'!$E$51,0))</f>
        <v>#REF!</v>
      </c>
      <c r="BR11" s="103">
        <f>+BP11+BP4</f>
        <v>24287028552.720001</v>
      </c>
      <c r="BS11" s="109" t="e">
        <f>+BR11/BQ11</f>
        <v>#REF!</v>
      </c>
    </row>
    <row r="12" spans="2:75" ht="26.5" customHeight="1">
      <c r="B12" s="11" t="s">
        <v>4</v>
      </c>
      <c r="C12" s="7">
        <v>2019</v>
      </c>
      <c r="D12" s="11">
        <v>5.7919</v>
      </c>
      <c r="E12" s="12">
        <v>151790543701.83826</v>
      </c>
      <c r="F12" s="12">
        <f t="shared" si="1"/>
        <v>26207383363.28981</v>
      </c>
      <c r="G12" s="12"/>
      <c r="H12" s="12">
        <v>7576735998</v>
      </c>
      <c r="I12" s="12">
        <v>255823739.503295</v>
      </c>
      <c r="J12" s="12">
        <v>7491544126</v>
      </c>
      <c r="K12" s="12">
        <v>113941440</v>
      </c>
      <c r="L12" s="12"/>
      <c r="M12" s="12"/>
      <c r="N12" s="12"/>
      <c r="O12" s="12"/>
      <c r="P12" s="12"/>
      <c r="Q12" s="12"/>
      <c r="R12" s="12"/>
      <c r="S12" s="61"/>
      <c r="T12" s="61"/>
      <c r="U12" s="61"/>
      <c r="V12" s="60"/>
      <c r="W12" s="60"/>
      <c r="X12" s="60"/>
      <c r="Y12" s="60"/>
      <c r="Z12" s="60"/>
      <c r="AA12" s="60"/>
      <c r="AB12" s="60">
        <v>3891381765</v>
      </c>
      <c r="AC12" s="60"/>
      <c r="AD12" s="60"/>
      <c r="AE12" s="60"/>
      <c r="AF12" s="60">
        <v>682759738</v>
      </c>
      <c r="AG12" s="60"/>
      <c r="AH12" s="60">
        <v>5797753</v>
      </c>
      <c r="AI12" s="60"/>
      <c r="AJ12" s="60"/>
      <c r="AK12" s="60"/>
      <c r="AL12" s="60"/>
      <c r="AM12" s="60">
        <v>39774221</v>
      </c>
      <c r="AN12" s="60"/>
      <c r="AO12" s="60"/>
      <c r="AP12" s="60">
        <v>5811395</v>
      </c>
      <c r="AQ12" s="60">
        <v>90404467</v>
      </c>
      <c r="AR12" s="60">
        <v>112863713</v>
      </c>
      <c r="AS12" s="60">
        <v>3788630</v>
      </c>
      <c r="AT12" s="60">
        <v>56408654</v>
      </c>
      <c r="AU12" s="60">
        <v>573846</v>
      </c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>
        <v>22099694</v>
      </c>
      <c r="BH12" s="60"/>
      <c r="BI12" s="60">
        <v>171008028</v>
      </c>
      <c r="BJ12" s="60"/>
      <c r="BK12" s="60"/>
      <c r="BL12" s="60"/>
      <c r="BM12" s="60"/>
      <c r="BN12" s="60"/>
      <c r="BO12" s="102">
        <v>96210</v>
      </c>
      <c r="BP12" s="103">
        <f t="shared" si="0"/>
        <v>12688253680</v>
      </c>
      <c r="BQ12" s="103">
        <v>147576129768</v>
      </c>
      <c r="BR12" s="103">
        <f t="shared" ref="BR12:BR17" si="2">+BP12+BP5</f>
        <v>41663919018</v>
      </c>
      <c r="BS12" s="109">
        <f t="shared" ref="BS12:BS17" si="3">+BR12/BQ12</f>
        <v>0.2823215318324081</v>
      </c>
    </row>
    <row r="13" spans="2:75" ht="26.5" customHeight="1">
      <c r="B13" s="11" t="s">
        <v>4</v>
      </c>
      <c r="C13" s="7">
        <v>2020</v>
      </c>
      <c r="D13" s="11">
        <v>5.3128000000000002</v>
      </c>
      <c r="E13" s="12">
        <v>156789785059.60001</v>
      </c>
      <c r="F13" s="12">
        <f t="shared" si="1"/>
        <v>29511704762.008732</v>
      </c>
      <c r="G13" s="12"/>
      <c r="H13" s="12">
        <v>8679348430</v>
      </c>
      <c r="I13" s="12">
        <v>488750421.1055975</v>
      </c>
      <c r="J13" s="12">
        <v>8306948342</v>
      </c>
      <c r="K13" s="12">
        <v>137579025</v>
      </c>
      <c r="L13" s="12"/>
      <c r="M13" s="12"/>
      <c r="N13" s="12"/>
      <c r="O13" s="12"/>
      <c r="P13" s="12"/>
      <c r="Q13" s="12"/>
      <c r="R13" s="12"/>
      <c r="S13" s="61"/>
      <c r="T13" s="61"/>
      <c r="U13" s="61"/>
      <c r="V13" s="60">
        <v>3780000000</v>
      </c>
      <c r="W13" s="60"/>
      <c r="X13" s="60"/>
      <c r="Y13" s="60"/>
      <c r="Z13" s="60"/>
      <c r="AA13" s="60"/>
      <c r="AB13" s="60">
        <v>3169904533</v>
      </c>
      <c r="AC13" s="60"/>
      <c r="AD13" s="60"/>
      <c r="AE13" s="60"/>
      <c r="AF13" s="60">
        <v>683472246</v>
      </c>
      <c r="AG13" s="60"/>
      <c r="AH13" s="60">
        <v>6996835</v>
      </c>
      <c r="AI13" s="60"/>
      <c r="AJ13" s="60"/>
      <c r="AK13" s="60"/>
      <c r="AL13" s="60"/>
      <c r="AM13" s="60">
        <v>5250761904</v>
      </c>
      <c r="AN13" s="60"/>
      <c r="AO13" s="60"/>
      <c r="AP13" s="60"/>
      <c r="AQ13" s="60"/>
      <c r="AR13" s="60"/>
      <c r="AS13" s="60"/>
      <c r="AT13" s="60">
        <v>304667880</v>
      </c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>
        <v>22819482</v>
      </c>
      <c r="BH13" s="60"/>
      <c r="BI13" s="60">
        <v>59159110</v>
      </c>
      <c r="BJ13" s="60"/>
      <c r="BK13" s="60"/>
      <c r="BL13" s="60"/>
      <c r="BM13" s="60"/>
      <c r="BN13" s="60"/>
      <c r="BO13" s="102"/>
      <c r="BP13" s="103">
        <f t="shared" si="0"/>
        <v>21722309357</v>
      </c>
      <c r="BQ13" s="108">
        <v>167753230229</v>
      </c>
      <c r="BR13" s="103">
        <f t="shared" si="2"/>
        <v>56664423448</v>
      </c>
      <c r="BS13" s="109">
        <f t="shared" si="3"/>
        <v>0.33778439539225191</v>
      </c>
      <c r="BW13" s="107"/>
    </row>
    <row r="14" spans="2:75" ht="26.5" customHeight="1">
      <c r="B14" s="11" t="s">
        <v>4</v>
      </c>
      <c r="C14" s="7">
        <v>2021</v>
      </c>
      <c r="D14" s="11">
        <v>3.9935</v>
      </c>
      <c r="E14" s="12">
        <v>123373492000</v>
      </c>
      <c r="F14" s="12">
        <f t="shared" si="1"/>
        <v>30893575059.471642</v>
      </c>
      <c r="G14" s="12"/>
      <c r="H14" s="12">
        <v>6168674600</v>
      </c>
      <c r="I14" s="62" t="s">
        <v>7</v>
      </c>
      <c r="J14" s="12">
        <v>6906222357</v>
      </c>
      <c r="K14" s="12">
        <v>166923900</v>
      </c>
      <c r="L14" s="12"/>
      <c r="M14" s="12"/>
      <c r="N14" s="12"/>
      <c r="O14" s="12"/>
      <c r="P14" s="12"/>
      <c r="Q14" s="12"/>
      <c r="R14" s="12"/>
      <c r="S14" s="61"/>
      <c r="T14" s="61"/>
      <c r="U14" s="61"/>
      <c r="V14" s="60">
        <v>2889000000</v>
      </c>
      <c r="W14" s="60"/>
      <c r="X14" s="60"/>
      <c r="Y14" s="60"/>
      <c r="Z14" s="60"/>
      <c r="AA14" s="60"/>
      <c r="AB14" s="60">
        <v>2947069880</v>
      </c>
      <c r="AC14" s="60">
        <v>5011458749</v>
      </c>
      <c r="AD14" s="60"/>
      <c r="AE14" s="60"/>
      <c r="AF14" s="60">
        <v>313859540</v>
      </c>
      <c r="AG14" s="60"/>
      <c r="AH14" s="60">
        <v>2289333</v>
      </c>
      <c r="AI14" s="60"/>
      <c r="AJ14" s="60"/>
      <c r="AK14" s="60"/>
      <c r="AL14" s="60"/>
      <c r="AM14" s="60">
        <v>3601523810</v>
      </c>
      <c r="AN14" s="60"/>
      <c r="AO14" s="60"/>
      <c r="AP14" s="60"/>
      <c r="AQ14" s="60"/>
      <c r="AR14" s="60"/>
      <c r="AS14" s="60">
        <v>237349568</v>
      </c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>
        <v>23344848</v>
      </c>
      <c r="BH14" s="60"/>
      <c r="BI14" s="60">
        <v>63131627</v>
      </c>
      <c r="BJ14" s="60"/>
      <c r="BK14" s="60"/>
      <c r="BL14" s="60"/>
      <c r="BM14" s="60"/>
      <c r="BN14" s="60"/>
      <c r="BO14" s="102"/>
      <c r="BP14" s="103">
        <f t="shared" si="0"/>
        <v>22162173612</v>
      </c>
      <c r="BQ14" s="108">
        <v>206035594541</v>
      </c>
      <c r="BR14" s="103">
        <f t="shared" si="2"/>
        <v>62358896860</v>
      </c>
      <c r="BS14" s="109">
        <f t="shared" si="3"/>
        <v>0.30266079508699117</v>
      </c>
    </row>
    <row r="15" spans="2:75" ht="26.5" customHeight="1">
      <c r="B15" s="11" t="s">
        <v>4</v>
      </c>
      <c r="C15" s="7">
        <v>2022</v>
      </c>
      <c r="D15" s="11">
        <v>4.0319337419999997</v>
      </c>
      <c r="E15" s="12">
        <v>147862816000</v>
      </c>
      <c r="F15" s="12">
        <f t="shared" si="1"/>
        <v>36672928044.361702</v>
      </c>
      <c r="G15" s="12"/>
      <c r="H15" s="12">
        <v>7393140800</v>
      </c>
      <c r="I15" s="62" t="s">
        <v>7</v>
      </c>
      <c r="J15" s="12">
        <v>7519284055</v>
      </c>
      <c r="K15" s="12">
        <v>67395700</v>
      </c>
      <c r="L15" s="12"/>
      <c r="M15" s="12"/>
      <c r="N15" s="12"/>
      <c r="O15" s="12"/>
      <c r="P15" s="12"/>
      <c r="Q15" s="12"/>
      <c r="R15" s="12"/>
      <c r="S15" s="61"/>
      <c r="T15" s="61"/>
      <c r="U15" s="61"/>
      <c r="V15" s="60">
        <v>2854000000</v>
      </c>
      <c r="W15" s="60"/>
      <c r="X15" s="60"/>
      <c r="Y15" s="60"/>
      <c r="Z15" s="60"/>
      <c r="AA15" s="60"/>
      <c r="AB15" s="60">
        <v>4017092953</v>
      </c>
      <c r="AC15" s="60"/>
      <c r="AD15" s="60"/>
      <c r="AE15" s="60"/>
      <c r="AF15" s="60">
        <v>366124044</v>
      </c>
      <c r="AG15" s="60"/>
      <c r="AH15" s="60">
        <v>2452751</v>
      </c>
      <c r="AI15" s="60"/>
      <c r="AJ15" s="60"/>
      <c r="AK15" s="60"/>
      <c r="AL15" s="60"/>
      <c r="AM15" s="60">
        <v>2700640000</v>
      </c>
      <c r="AN15" s="60"/>
      <c r="AO15" s="60"/>
      <c r="AP15" s="60">
        <v>46982080</v>
      </c>
      <c r="AQ15" s="60">
        <v>92565977</v>
      </c>
      <c r="AR15" s="60">
        <v>115733943</v>
      </c>
      <c r="AS15" s="60">
        <v>29117848</v>
      </c>
      <c r="AT15" s="60">
        <v>57671634</v>
      </c>
      <c r="AU15" s="60">
        <v>1406632</v>
      </c>
      <c r="AV15" s="60">
        <v>162957</v>
      </c>
      <c r="AW15" s="60">
        <v>5331137</v>
      </c>
      <c r="AX15" s="60">
        <v>329737</v>
      </c>
      <c r="AY15" s="60"/>
      <c r="AZ15" s="60"/>
      <c r="BA15" s="60"/>
      <c r="BB15" s="60"/>
      <c r="BC15" s="60"/>
      <c r="BD15" s="60"/>
      <c r="BE15" s="60"/>
      <c r="BF15" s="60"/>
      <c r="BG15" s="60">
        <v>23806442</v>
      </c>
      <c r="BH15" s="60"/>
      <c r="BI15" s="60">
        <v>208157611</v>
      </c>
      <c r="BJ15" s="60"/>
      <c r="BK15" s="60"/>
      <c r="BL15" s="60"/>
      <c r="BM15" s="60"/>
      <c r="BN15" s="60"/>
      <c r="BO15" s="102">
        <v>3051789</v>
      </c>
      <c r="BP15" s="103">
        <f t="shared" si="0"/>
        <v>18111307290</v>
      </c>
      <c r="BQ15" s="103">
        <v>242300744937</v>
      </c>
      <c r="BR15" s="103">
        <f t="shared" si="2"/>
        <v>97473608762</v>
      </c>
      <c r="BS15" s="109">
        <f t="shared" si="3"/>
        <v>0.40228357030988027</v>
      </c>
    </row>
    <row r="16" spans="2:75" ht="26.5" customHeight="1">
      <c r="B16" s="11" t="s">
        <v>4</v>
      </c>
      <c r="C16" s="7">
        <v>2023</v>
      </c>
      <c r="D16" s="11">
        <v>3.7307999999999999</v>
      </c>
      <c r="E16" s="12">
        <v>141473181133.46954</v>
      </c>
      <c r="F16" s="12">
        <f t="shared" si="1"/>
        <v>37920333744.363014</v>
      </c>
      <c r="G16" s="12"/>
      <c r="H16" s="12">
        <v>7073659453</v>
      </c>
      <c r="I16" s="62" t="s">
        <v>7</v>
      </c>
      <c r="J16" s="12">
        <v>7008278087</v>
      </c>
      <c r="K16" s="12">
        <v>760258440</v>
      </c>
      <c r="L16" s="12"/>
      <c r="M16" s="12"/>
      <c r="N16" s="12"/>
      <c r="O16" s="12"/>
      <c r="P16" s="12"/>
      <c r="Q16" s="12"/>
      <c r="R16" s="12"/>
      <c r="S16" s="61"/>
      <c r="T16" s="61"/>
      <c r="U16" s="61"/>
      <c r="V16" s="60">
        <v>872000000</v>
      </c>
      <c r="W16" s="60"/>
      <c r="X16" s="60"/>
      <c r="Y16" s="60"/>
      <c r="Z16" s="60"/>
      <c r="AA16" s="60"/>
      <c r="AB16" s="60">
        <v>2855678236</v>
      </c>
      <c r="AC16" s="60"/>
      <c r="AD16" s="60">
        <v>2417260000</v>
      </c>
      <c r="AE16" s="60"/>
      <c r="AF16" s="60">
        <v>207284343</v>
      </c>
      <c r="AG16" s="60"/>
      <c r="AH16" s="60">
        <v>5898351</v>
      </c>
      <c r="AI16" s="60"/>
      <c r="AJ16" s="60"/>
      <c r="AK16" s="60"/>
      <c r="AL16" s="60"/>
      <c r="AM16" s="60">
        <v>2492341</v>
      </c>
      <c r="AN16" s="60"/>
      <c r="AO16" s="60"/>
      <c r="AP16" s="60">
        <v>26926197</v>
      </c>
      <c r="AQ16" s="60">
        <v>46802333</v>
      </c>
      <c r="AR16" s="60">
        <v>58501550</v>
      </c>
      <c r="AS16" s="60">
        <v>14114945</v>
      </c>
      <c r="AT16" s="60">
        <v>29242348</v>
      </c>
      <c r="AU16" s="60">
        <v>237106</v>
      </c>
      <c r="AV16" s="60">
        <v>124975</v>
      </c>
      <c r="AW16" s="60">
        <v>3131508</v>
      </c>
      <c r="AX16" s="60">
        <v>306905</v>
      </c>
      <c r="AY16" s="60"/>
      <c r="AZ16" s="60"/>
      <c r="BA16" s="60"/>
      <c r="BB16" s="60"/>
      <c r="BC16" s="60"/>
      <c r="BD16" s="60"/>
      <c r="BE16" s="60"/>
      <c r="BF16" s="60"/>
      <c r="BG16" s="60">
        <v>25200924</v>
      </c>
      <c r="BH16" s="60"/>
      <c r="BI16" s="60">
        <v>246360435</v>
      </c>
      <c r="BJ16" s="60"/>
      <c r="BK16" s="60"/>
      <c r="BL16" s="60"/>
      <c r="BM16" s="60"/>
      <c r="BO16" s="60">
        <v>809852</v>
      </c>
      <c r="BP16" s="103">
        <f>+SUM(J16:BO16)</f>
        <v>14580908876</v>
      </c>
      <c r="BQ16" s="112">
        <v>380028721353.51093</v>
      </c>
      <c r="BR16" s="103">
        <f t="shared" si="2"/>
        <v>140181389391.20999</v>
      </c>
      <c r="BS16" s="109">
        <f t="shared" si="3"/>
        <v>0.36887051297580803</v>
      </c>
    </row>
    <row r="17" spans="2:71" ht="26.5" customHeight="1">
      <c r="B17" s="11" t="s">
        <v>4</v>
      </c>
      <c r="C17" s="7">
        <v>2024</v>
      </c>
      <c r="D17" s="11">
        <v>3.7669999999999999</v>
      </c>
      <c r="E17" s="12">
        <v>174778072792</v>
      </c>
      <c r="F17" s="12">
        <f t="shared" si="1"/>
        <v>46397152320.679588</v>
      </c>
      <c r="G17" s="12"/>
      <c r="H17" s="12">
        <f>+E17*0.05</f>
        <v>8738903639.6000004</v>
      </c>
      <c r="I17" s="62" t="s">
        <v>7</v>
      </c>
      <c r="J17" s="12">
        <v>8454646351</v>
      </c>
      <c r="K17" s="12"/>
      <c r="L17" s="12"/>
      <c r="M17" s="12"/>
      <c r="N17" s="12"/>
      <c r="O17" s="12"/>
      <c r="P17" s="12"/>
      <c r="Q17" s="12">
        <v>756332380</v>
      </c>
      <c r="R17" s="12"/>
      <c r="S17" s="61"/>
      <c r="T17" s="61"/>
      <c r="U17" s="61"/>
      <c r="V17" s="60">
        <v>3368856498</v>
      </c>
      <c r="W17" s="60"/>
      <c r="X17" s="60"/>
      <c r="Y17" s="60"/>
      <c r="Z17" s="60"/>
      <c r="AA17" s="60">
        <v>209733459</v>
      </c>
      <c r="AB17" s="60">
        <v>2377240218</v>
      </c>
      <c r="AC17" s="60">
        <v>3000000000</v>
      </c>
      <c r="AD17" s="60">
        <v>10226889219</v>
      </c>
      <c r="AE17" s="60"/>
      <c r="AF17" s="60">
        <v>223062855</v>
      </c>
      <c r="AG17" s="60"/>
      <c r="AH17" s="60">
        <v>1358135</v>
      </c>
      <c r="AI17" s="60"/>
      <c r="AJ17" s="60"/>
      <c r="AK17" s="60"/>
      <c r="AL17" s="60"/>
      <c r="AM17" s="60">
        <v>8299828097</v>
      </c>
      <c r="AN17" s="60"/>
      <c r="AO17" s="60"/>
      <c r="AP17" s="60">
        <v>758414389</v>
      </c>
      <c r="AQ17" s="60">
        <v>63440364</v>
      </c>
      <c r="AR17" s="60">
        <v>79300466</v>
      </c>
      <c r="AS17" s="60">
        <v>292634038</v>
      </c>
      <c r="AT17" s="60">
        <v>39424980</v>
      </c>
      <c r="AU17" s="60">
        <v>11585412</v>
      </c>
      <c r="AV17" s="60">
        <v>7911392</v>
      </c>
      <c r="AW17" s="60">
        <v>79642143</v>
      </c>
      <c r="AX17" s="60">
        <v>7818637552</v>
      </c>
      <c r="AY17" s="60"/>
      <c r="AZ17" s="60">
        <v>433189050</v>
      </c>
      <c r="BA17" s="60"/>
      <c r="BB17" s="60"/>
      <c r="BC17" s="60"/>
      <c r="BD17" s="60"/>
      <c r="BE17" s="60"/>
      <c r="BF17" s="60"/>
      <c r="BG17" s="60">
        <v>22716501</v>
      </c>
      <c r="BH17" s="60"/>
      <c r="BI17" s="60">
        <v>240972402</v>
      </c>
      <c r="BJ17" s="60"/>
      <c r="BK17" s="60"/>
      <c r="BL17" s="60"/>
      <c r="BM17" s="60"/>
      <c r="BN17" s="60"/>
      <c r="BO17" s="102"/>
      <c r="BP17" s="110">
        <f t="shared" si="0"/>
        <v>46765815901</v>
      </c>
      <c r="BQ17" s="113">
        <v>225488878262</v>
      </c>
      <c r="BR17" s="111">
        <f t="shared" si="2"/>
        <v>166559302911</v>
      </c>
      <c r="BS17" s="109">
        <f t="shared" si="3"/>
        <v>0.73865861675657207</v>
      </c>
    </row>
    <row r="18" spans="2:71" hidden="1">
      <c r="E18" s="8">
        <f>SUM(E3:E17)</f>
        <v>3231913085216.3184</v>
      </c>
      <c r="F18" s="8"/>
      <c r="G18" s="8"/>
      <c r="H18" s="2"/>
      <c r="BO18" s="104"/>
      <c r="BP18" s="103">
        <f>SUM(BP3:BP17)</f>
        <v>594821218433.92993</v>
      </c>
    </row>
    <row r="20" spans="2:71">
      <c r="E20" s="67"/>
      <c r="F20" s="67"/>
      <c r="G20" s="67"/>
    </row>
    <row r="22" spans="2:71">
      <c r="D22" s="4"/>
      <c r="E22" s="4" t="s">
        <v>2</v>
      </c>
      <c r="F22" s="4" t="s">
        <v>118</v>
      </c>
    </row>
    <row r="23" spans="2:71">
      <c r="D23" s="11" t="s">
        <v>4</v>
      </c>
      <c r="E23" s="105">
        <v>2018</v>
      </c>
      <c r="F23" s="12">
        <f t="shared" ref="F23:F29" si="4">+F11</f>
        <v>22503083108.715183</v>
      </c>
    </row>
    <row r="24" spans="2:71">
      <c r="D24" s="11" t="s">
        <v>4</v>
      </c>
      <c r="E24" s="7">
        <v>2019</v>
      </c>
      <c r="F24" s="12">
        <f t="shared" si="4"/>
        <v>26207383363.28981</v>
      </c>
    </row>
    <row r="25" spans="2:71">
      <c r="D25" s="11" t="s">
        <v>4</v>
      </c>
      <c r="E25" s="7">
        <v>2020</v>
      </c>
      <c r="F25" s="12">
        <f t="shared" si="4"/>
        <v>29511704762.008732</v>
      </c>
    </row>
    <row r="26" spans="2:71">
      <c r="D26" s="11" t="s">
        <v>4</v>
      </c>
      <c r="E26" s="7">
        <v>2021</v>
      </c>
      <c r="F26" s="12">
        <f t="shared" si="4"/>
        <v>30893575059.471642</v>
      </c>
    </row>
    <row r="27" spans="2:71">
      <c r="D27" s="11" t="s">
        <v>4</v>
      </c>
      <c r="E27" s="7">
        <v>2022</v>
      </c>
      <c r="F27" s="12">
        <f t="shared" si="4"/>
        <v>36672928044.361702</v>
      </c>
    </row>
    <row r="28" spans="2:71">
      <c r="D28" s="11" t="s">
        <v>4</v>
      </c>
      <c r="E28" s="7">
        <v>2023</v>
      </c>
      <c r="F28" s="12">
        <f t="shared" si="4"/>
        <v>37920333744.363014</v>
      </c>
    </row>
    <row r="29" spans="2:71">
      <c r="D29" s="11" t="s">
        <v>4</v>
      </c>
      <c r="E29" s="7">
        <v>2024</v>
      </c>
      <c r="F29" s="12">
        <f t="shared" si="4"/>
        <v>46397152320.679588</v>
      </c>
    </row>
  </sheetData>
  <autoFilter ref="B2:BS18" xr:uid="{00000000-0001-0000-0000-000000000000}">
    <filterColumn colId="0">
      <filters>
        <filter val="PMC"/>
      </filters>
    </filterColumn>
  </autoFilter>
  <mergeCells count="3">
    <mergeCell ref="BQ3:BQ10"/>
    <mergeCell ref="BR3:BR10"/>
    <mergeCell ref="BS3:BS10"/>
  </mergeCells>
  <dataValidations count="2">
    <dataValidation type="decimal" operator="notBetween" allowBlank="1" showInputMessage="1" showErrorMessage="1" errorTitle="Nombre" error="Veuillez inscrire un nombre dans cette cellule" promptTitle="Montant du flux de revenus" prompt="Veuillez inscrire le montant total réconcilié du flux de revenus comme reporté par le gouvernement, " sqref="J4:K4 AA4:AB4 AD4 AF4 AH4 AM4 AS4 AZ4 BE4 BG4 BI4 J11:K11 AB11 AF11 AH11 AM11 AS11 AZ11 BG11 BI11" xr:uid="{00000000-0002-0000-0000-000000000000}">
      <formula1>0.1</formula1>
      <formula2>0.2</formula2>
    </dataValidation>
    <dataValidation type="whole" errorStyle="warning" allowBlank="1" showInputMessage="1" showErrorMessage="1" errorTitle="Veuillez ne pas remplir" error="Ces cellules seront complétées automatiquement" sqref="BQ11" xr:uid="{00000000-0002-0000-0000-000001000000}">
      <formula1>44444</formula1>
      <formula2>44445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O7" sqref="O7"/>
    </sheetView>
  </sheetViews>
  <sheetFormatPr baseColWidth="10" defaultRowHeight="14.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R29"/>
  <sheetViews>
    <sheetView showGridLines="0"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AN2" sqref="AN2"/>
    </sheetView>
  </sheetViews>
  <sheetFormatPr baseColWidth="10" defaultColWidth="10.81640625" defaultRowHeight="14"/>
  <cols>
    <col min="1" max="3" width="10.81640625" style="1"/>
    <col min="4" max="4" width="24.26953125" style="1" customWidth="1"/>
    <col min="5" max="5" width="30.81640625" style="1" customWidth="1"/>
    <col min="6" max="6" width="28.54296875" style="1" customWidth="1"/>
    <col min="7" max="7" width="26.26953125" style="3" bestFit="1" customWidth="1"/>
    <col min="8" max="9" width="23.1796875" style="3" customWidth="1"/>
    <col min="10" max="10" width="20.81640625" style="2" customWidth="1"/>
    <col min="11" max="11" width="18.26953125" style="2" bestFit="1" customWidth="1"/>
    <col min="12" max="12" width="19.453125" style="1" bestFit="1" customWidth="1"/>
    <col min="13" max="13" width="18.26953125" style="1" bestFit="1" customWidth="1"/>
    <col min="14" max="14" width="21" style="1" customWidth="1"/>
    <col min="15" max="15" width="22.1796875" style="1" customWidth="1"/>
    <col min="16" max="16" width="19.54296875" style="1" customWidth="1"/>
    <col min="17" max="17" width="12.81640625" style="1" bestFit="1" customWidth="1"/>
    <col min="18" max="21" width="10.81640625" style="1"/>
    <col min="22" max="22" width="18" style="1" bestFit="1" customWidth="1"/>
    <col min="23" max="23" width="10.81640625" style="1"/>
    <col min="24" max="24" width="16.81640625" style="1" bestFit="1" customWidth="1"/>
    <col min="25" max="25" width="10.81640625" style="1"/>
    <col min="26" max="26" width="12.453125" style="1" bestFit="1" customWidth="1"/>
    <col min="27" max="28" width="16.81640625" style="1" bestFit="1" customWidth="1"/>
    <col min="29" max="30" width="18" style="1" bestFit="1" customWidth="1"/>
    <col min="31" max="32" width="16.81640625" style="1" bestFit="1" customWidth="1"/>
    <col min="33" max="33" width="14.7265625" style="1" customWidth="1"/>
    <col min="34" max="34" width="17.81640625" style="1" customWidth="1"/>
    <col min="35" max="35" width="15.453125" style="1" bestFit="1" customWidth="1"/>
    <col min="36" max="38" width="10.81640625" style="1"/>
    <col min="39" max="39" width="18" style="1" bestFit="1" customWidth="1"/>
    <col min="40" max="40" width="15.453125" style="1" bestFit="1" customWidth="1"/>
    <col min="41" max="41" width="12.453125" style="1" bestFit="1" customWidth="1"/>
    <col min="42" max="42" width="18" style="1" bestFit="1" customWidth="1"/>
    <col min="43" max="44" width="15.453125" style="1" bestFit="1" customWidth="1"/>
    <col min="45" max="45" width="18" style="1" bestFit="1" customWidth="1"/>
    <col min="46" max="46" width="15.453125" style="1" bestFit="1" customWidth="1"/>
    <col min="47" max="48" width="14.453125" style="1" bestFit="1" customWidth="1"/>
    <col min="49" max="49" width="15.453125" style="1" bestFit="1" customWidth="1"/>
    <col min="50" max="50" width="16.81640625" style="1" bestFit="1" customWidth="1"/>
    <col min="51" max="51" width="10.81640625" style="1"/>
    <col min="52" max="52" width="16.81640625" style="1" bestFit="1" customWidth="1"/>
    <col min="53" max="53" width="10.81640625" style="1"/>
    <col min="54" max="54" width="15.453125" style="1" bestFit="1" customWidth="1"/>
    <col min="55" max="55" width="11.26953125" style="1" bestFit="1" customWidth="1"/>
    <col min="56" max="56" width="13.26953125" style="1" bestFit="1" customWidth="1"/>
    <col min="57" max="57" width="15.453125" style="1" bestFit="1" customWidth="1"/>
    <col min="58" max="58" width="11.26953125" style="1" bestFit="1" customWidth="1"/>
    <col min="59" max="59" width="15.453125" style="1" bestFit="1" customWidth="1"/>
    <col min="60" max="60" width="12.453125" style="1" bestFit="1" customWidth="1"/>
    <col min="61" max="61" width="16.81640625" style="1" bestFit="1" customWidth="1"/>
    <col min="62" max="65" width="10.81640625" style="1"/>
    <col min="66" max="66" width="14.453125" style="1" bestFit="1" customWidth="1"/>
    <col min="67" max="67" width="43.81640625" style="1" customWidth="1"/>
    <col min="68" max="68" width="21.453125" style="1" bestFit="1" customWidth="1"/>
    <col min="69" max="69" width="13.54296875" style="1" bestFit="1" customWidth="1"/>
    <col min="70" max="70" width="20.1796875" style="1" bestFit="1" customWidth="1"/>
    <col min="71" max="16384" width="10.81640625" style="1"/>
  </cols>
  <sheetData>
    <row r="2" spans="2:70" s="6" customFormat="1" ht="84">
      <c r="B2" s="4" t="s">
        <v>0</v>
      </c>
      <c r="C2" s="4" t="s">
        <v>2</v>
      </c>
      <c r="D2" s="4" t="s">
        <v>49</v>
      </c>
      <c r="E2" s="4" t="s">
        <v>8</v>
      </c>
      <c r="F2" s="4" t="s">
        <v>9</v>
      </c>
      <c r="G2" s="5" t="s">
        <v>10</v>
      </c>
      <c r="H2" s="5" t="s">
        <v>6</v>
      </c>
      <c r="I2" s="98" t="s">
        <v>108</v>
      </c>
      <c r="J2" s="68" t="s">
        <v>50</v>
      </c>
      <c r="K2" s="69" t="s">
        <v>109</v>
      </c>
      <c r="L2" s="68" t="s">
        <v>52</v>
      </c>
      <c r="M2" s="69" t="s">
        <v>53</v>
      </c>
      <c r="N2" s="68" t="s">
        <v>110</v>
      </c>
      <c r="O2" s="70" t="s">
        <v>55</v>
      </c>
      <c r="P2" s="68" t="s">
        <v>56</v>
      </c>
      <c r="Q2" s="69" t="s">
        <v>57</v>
      </c>
      <c r="R2" s="68" t="s">
        <v>58</v>
      </c>
      <c r="S2" s="69" t="s">
        <v>59</v>
      </c>
      <c r="T2" s="68" t="s">
        <v>60</v>
      </c>
      <c r="U2" s="69" t="s">
        <v>61</v>
      </c>
      <c r="V2" s="68" t="s">
        <v>62</v>
      </c>
      <c r="W2" s="69" t="s">
        <v>63</v>
      </c>
      <c r="X2" s="68" t="s">
        <v>64</v>
      </c>
      <c r="Y2" s="69" t="s">
        <v>65</v>
      </c>
      <c r="Z2" s="70" t="s">
        <v>66</v>
      </c>
      <c r="AA2" s="68" t="s">
        <v>67</v>
      </c>
      <c r="AB2" s="69" t="s">
        <v>68</v>
      </c>
      <c r="AC2" s="68" t="s">
        <v>69</v>
      </c>
      <c r="AD2" s="69" t="s">
        <v>70</v>
      </c>
      <c r="AE2" s="68" t="s">
        <v>71</v>
      </c>
      <c r="AF2" s="69" t="s">
        <v>72</v>
      </c>
      <c r="AG2" s="68" t="s">
        <v>73</v>
      </c>
      <c r="AH2" s="69" t="s">
        <v>74</v>
      </c>
      <c r="AI2" s="68" t="s">
        <v>75</v>
      </c>
      <c r="AJ2" s="69" t="s">
        <v>76</v>
      </c>
      <c r="AK2" s="68" t="s">
        <v>77</v>
      </c>
      <c r="AL2" s="69" t="s">
        <v>78</v>
      </c>
      <c r="AM2" s="68" t="s">
        <v>79</v>
      </c>
      <c r="AN2" s="81" t="s">
        <v>107</v>
      </c>
      <c r="AO2" s="70" t="s">
        <v>80</v>
      </c>
      <c r="AP2" s="68" t="s">
        <v>81</v>
      </c>
      <c r="AQ2" s="69" t="s">
        <v>82</v>
      </c>
      <c r="AR2" s="68" t="s">
        <v>83</v>
      </c>
      <c r="AS2" s="69" t="s">
        <v>84</v>
      </c>
      <c r="AT2" s="68" t="s">
        <v>85</v>
      </c>
      <c r="AU2" s="69" t="s">
        <v>86</v>
      </c>
      <c r="AV2" s="68" t="s">
        <v>87</v>
      </c>
      <c r="AW2" s="69" t="s">
        <v>88</v>
      </c>
      <c r="AX2" s="68" t="s">
        <v>89</v>
      </c>
      <c r="AY2" s="70" t="s">
        <v>90</v>
      </c>
      <c r="AZ2" s="69" t="s">
        <v>91</v>
      </c>
      <c r="BA2" s="68" t="s">
        <v>92</v>
      </c>
      <c r="BB2" s="69" t="s">
        <v>93</v>
      </c>
      <c r="BC2" s="70" t="s">
        <v>94</v>
      </c>
      <c r="BD2" s="68" t="s">
        <v>95</v>
      </c>
      <c r="BE2" s="69" t="s">
        <v>96</v>
      </c>
      <c r="BF2" s="70" t="s">
        <v>97</v>
      </c>
      <c r="BG2" s="68" t="s">
        <v>98</v>
      </c>
      <c r="BH2" s="70" t="s">
        <v>99</v>
      </c>
      <c r="BI2" s="69" t="s">
        <v>100</v>
      </c>
      <c r="BJ2" s="70" t="s">
        <v>101</v>
      </c>
      <c r="BK2" s="69" t="s">
        <v>102</v>
      </c>
      <c r="BL2" s="70" t="s">
        <v>103</v>
      </c>
      <c r="BM2" s="69" t="s">
        <v>104</v>
      </c>
      <c r="BN2" s="70" t="s">
        <v>105</v>
      </c>
      <c r="BO2" s="68" t="s">
        <v>106</v>
      </c>
    </row>
    <row r="3" spans="2:70" ht="26.5" customHeight="1">
      <c r="B3" s="11" t="s">
        <v>3</v>
      </c>
      <c r="C3" s="7">
        <v>2012</v>
      </c>
      <c r="D3" s="7"/>
      <c r="E3" s="11">
        <v>6.4676879999999999</v>
      </c>
      <c r="F3" s="12">
        <v>180096958956</v>
      </c>
      <c r="G3" s="12">
        <v>5388707154</v>
      </c>
      <c r="H3" s="12">
        <v>473387141</v>
      </c>
      <c r="I3" s="12"/>
      <c r="J3" s="60"/>
      <c r="K3" s="60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8">
        <f>+SUM(I3:BO3)</f>
        <v>0</v>
      </c>
      <c r="BR3" s="8"/>
    </row>
    <row r="4" spans="2:70" ht="26.5" customHeight="1">
      <c r="B4" s="11" t="s">
        <v>3</v>
      </c>
      <c r="C4" s="7">
        <v>2013</v>
      </c>
      <c r="D4" s="7"/>
      <c r="E4" s="11">
        <v>6.4821</v>
      </c>
      <c r="F4" s="12"/>
      <c r="G4" s="12"/>
      <c r="H4" s="12"/>
      <c r="I4" s="12"/>
      <c r="J4" s="60"/>
      <c r="K4" s="60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8">
        <f t="shared" ref="BP4:BP7" si="0">+SUM(I4:BO4)</f>
        <v>0</v>
      </c>
    </row>
    <row r="5" spans="2:70" ht="26.5" customHeight="1">
      <c r="B5" s="11" t="s">
        <v>3</v>
      </c>
      <c r="C5" s="92">
        <v>2014</v>
      </c>
      <c r="D5" s="7"/>
      <c r="E5" s="11">
        <v>6.6101000000000001</v>
      </c>
      <c r="F5" s="12">
        <v>132595148693</v>
      </c>
      <c r="G5" s="12">
        <v>6603818508</v>
      </c>
      <c r="H5" s="12">
        <v>518778538</v>
      </c>
      <c r="I5" s="99">
        <v>8460648482</v>
      </c>
      <c r="J5" s="60"/>
      <c r="K5" s="60"/>
      <c r="L5" s="61"/>
      <c r="M5" s="61"/>
      <c r="N5" s="61"/>
      <c r="O5" s="97">
        <v>488923000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97">
        <v>834456284</v>
      </c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97">
        <v>426877937</v>
      </c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97">
        <v>46539849</v>
      </c>
      <c r="BD5" s="61"/>
      <c r="BE5" s="61"/>
      <c r="BF5" s="97">
        <v>21757680</v>
      </c>
      <c r="BG5" s="61"/>
      <c r="BH5" s="97">
        <v>117001650</v>
      </c>
      <c r="BI5" s="61"/>
      <c r="BJ5" s="61"/>
      <c r="BK5" s="61"/>
      <c r="BL5" s="61"/>
      <c r="BM5" s="61"/>
      <c r="BN5" s="61"/>
      <c r="BO5" s="61"/>
      <c r="BP5" s="8">
        <f t="shared" si="0"/>
        <v>10396204882</v>
      </c>
    </row>
    <row r="6" spans="2:70" ht="26.5" customHeight="1">
      <c r="B6" s="11" t="s">
        <v>3</v>
      </c>
      <c r="C6" s="7">
        <v>2015</v>
      </c>
      <c r="D6" s="7"/>
      <c r="E6" s="11">
        <v>6.0096999999999996</v>
      </c>
      <c r="F6" s="12">
        <v>132757898080</v>
      </c>
      <c r="G6" s="12">
        <v>6620965441.1617002</v>
      </c>
      <c r="H6" s="12">
        <v>338589256.76600003</v>
      </c>
      <c r="I6" s="12"/>
      <c r="J6" s="60"/>
      <c r="K6" s="60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8">
        <f t="shared" si="0"/>
        <v>0</v>
      </c>
    </row>
    <row r="7" spans="2:70" ht="26.5" customHeight="1">
      <c r="B7" s="11" t="s">
        <v>3</v>
      </c>
      <c r="C7" s="7">
        <v>2016</v>
      </c>
      <c r="D7" s="7"/>
      <c r="E7" s="11">
        <v>6.76970049</v>
      </c>
      <c r="F7" s="12">
        <v>160566448654</v>
      </c>
      <c r="G7" s="12">
        <v>8004572222.1000004</v>
      </c>
      <c r="H7" s="12">
        <v>475004212</v>
      </c>
      <c r="I7" s="12"/>
      <c r="J7" s="60"/>
      <c r="K7" s="60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8">
        <f t="shared" si="0"/>
        <v>0</v>
      </c>
    </row>
    <row r="8" spans="2:70" ht="26.5" customHeight="1">
      <c r="B8" s="11" t="s">
        <v>3</v>
      </c>
      <c r="C8" s="7">
        <v>2017</v>
      </c>
      <c r="D8" s="7"/>
      <c r="E8" s="11">
        <v>7.1873198399999998</v>
      </c>
      <c r="F8" s="12">
        <v>168626111466.75</v>
      </c>
      <c r="G8" s="12">
        <v>8410964582.4034996</v>
      </c>
      <c r="H8" s="12">
        <v>406819818.68000001</v>
      </c>
      <c r="I8" s="12"/>
      <c r="J8" s="95">
        <v>2479808997</v>
      </c>
      <c r="K8" s="96">
        <v>9100000</v>
      </c>
      <c r="L8" s="61"/>
      <c r="M8" s="61"/>
      <c r="N8" s="61"/>
      <c r="O8" s="61"/>
      <c r="P8" s="61"/>
      <c r="Q8" s="61"/>
      <c r="R8" s="61"/>
      <c r="S8" s="61"/>
      <c r="T8" s="61"/>
      <c r="U8" s="61"/>
      <c r="V8" s="60"/>
      <c r="W8" s="60"/>
      <c r="X8" s="60"/>
      <c r="Y8" s="60"/>
      <c r="Z8" s="60"/>
      <c r="AA8" s="60">
        <v>782693</v>
      </c>
      <c r="AB8" s="60">
        <v>2137933345</v>
      </c>
      <c r="AC8" s="60"/>
      <c r="AD8" s="60"/>
      <c r="AE8" s="60"/>
      <c r="AF8" s="60">
        <v>139425849</v>
      </c>
      <c r="AG8" s="60"/>
      <c r="AH8" s="60">
        <v>5783535</v>
      </c>
      <c r="AI8" s="60"/>
      <c r="AJ8" s="60"/>
      <c r="AK8" s="60"/>
      <c r="AL8" s="60"/>
      <c r="AM8" s="60">
        <v>7557669</v>
      </c>
      <c r="AN8" s="60"/>
      <c r="AO8" s="60"/>
      <c r="AP8" s="60"/>
      <c r="AQ8" s="60"/>
      <c r="AR8" s="60"/>
      <c r="AS8" s="60">
        <v>331647642</v>
      </c>
      <c r="AT8" s="60"/>
      <c r="AU8" s="60"/>
      <c r="AV8" s="60"/>
      <c r="AW8" s="60"/>
      <c r="AX8" s="60"/>
      <c r="AY8" s="60"/>
      <c r="AZ8" s="60">
        <v>9736200</v>
      </c>
      <c r="BA8" s="60"/>
      <c r="BB8" s="60"/>
      <c r="BC8" s="60"/>
      <c r="BD8" s="60"/>
      <c r="BE8" s="60"/>
      <c r="BF8" s="60"/>
      <c r="BG8" s="60">
        <v>62695166</v>
      </c>
      <c r="BH8" s="60"/>
      <c r="BI8" s="60">
        <v>448178395</v>
      </c>
      <c r="BJ8" s="60"/>
      <c r="BK8" s="60"/>
      <c r="BL8" s="60"/>
      <c r="BM8" s="60"/>
      <c r="BN8" s="60"/>
      <c r="BO8" s="60"/>
      <c r="BP8" s="67">
        <f t="shared" ref="BP8:BP25" si="1">+SUM(J8:BO8)</f>
        <v>5632649491</v>
      </c>
    </row>
    <row r="9" spans="2:70" ht="26.5" customHeight="1">
      <c r="B9" s="11" t="s">
        <v>3</v>
      </c>
      <c r="C9" s="92">
        <v>2018</v>
      </c>
      <c r="D9" s="7"/>
      <c r="E9" s="11">
        <v>6.968</v>
      </c>
      <c r="F9" s="12">
        <v>173717982000</v>
      </c>
      <c r="G9" s="12">
        <v>8662737321.3855</v>
      </c>
      <c r="H9" s="12">
        <v>463235572.28999996</v>
      </c>
      <c r="I9" s="12"/>
      <c r="J9" s="93">
        <v>8910427032</v>
      </c>
      <c r="K9" s="94">
        <v>362016085.72000003</v>
      </c>
      <c r="L9" s="61"/>
      <c r="M9" s="61"/>
      <c r="N9" s="61"/>
      <c r="O9" s="61"/>
      <c r="P9" s="61"/>
      <c r="Q9" s="61"/>
      <c r="R9" s="61"/>
      <c r="S9" s="61"/>
      <c r="T9" s="61"/>
      <c r="U9" s="61"/>
      <c r="V9" s="60"/>
      <c r="W9" s="60"/>
      <c r="X9" s="60"/>
      <c r="Y9" s="60"/>
      <c r="Z9" s="60"/>
      <c r="AA9" s="60">
        <v>1224083825</v>
      </c>
      <c r="AB9" s="60">
        <v>2076603631</v>
      </c>
      <c r="AC9" s="60"/>
      <c r="AD9" s="60">
        <v>4054035730</v>
      </c>
      <c r="AE9" s="60"/>
      <c r="AF9" s="60">
        <v>357095620</v>
      </c>
      <c r="AG9" s="60"/>
      <c r="AH9" s="60">
        <v>15512539</v>
      </c>
      <c r="AI9" s="60"/>
      <c r="AJ9" s="60"/>
      <c r="AK9" s="60"/>
      <c r="AL9" s="60"/>
      <c r="AM9" s="60">
        <v>64477064</v>
      </c>
      <c r="AN9" s="60"/>
      <c r="AO9" s="60"/>
      <c r="AP9" s="60"/>
      <c r="AQ9" s="60"/>
      <c r="AR9" s="60"/>
      <c r="AS9" s="60">
        <v>1436326081</v>
      </c>
      <c r="AT9" s="60"/>
      <c r="AU9" s="60"/>
      <c r="AV9" s="60"/>
      <c r="AW9" s="60"/>
      <c r="AX9" s="60"/>
      <c r="AY9" s="60"/>
      <c r="AZ9" s="60">
        <v>101670000</v>
      </c>
      <c r="BA9" s="60"/>
      <c r="BB9" s="60"/>
      <c r="BC9" s="60"/>
      <c r="BD9" s="60"/>
      <c r="BE9" s="60">
        <v>88454020</v>
      </c>
      <c r="BF9" s="60"/>
      <c r="BG9" s="60">
        <v>22846320</v>
      </c>
      <c r="BH9" s="60"/>
      <c r="BI9" s="60">
        <v>216583245</v>
      </c>
      <c r="BJ9" s="60"/>
      <c r="BK9" s="60"/>
      <c r="BL9" s="60"/>
      <c r="BM9" s="60"/>
      <c r="BN9" s="60"/>
      <c r="BO9" s="60"/>
      <c r="BP9" s="67">
        <f t="shared" si="1"/>
        <v>18930131192.720001</v>
      </c>
    </row>
    <row r="10" spans="2:70" ht="26.5" customHeight="1">
      <c r="B10" s="11" t="s">
        <v>3</v>
      </c>
      <c r="C10" s="7">
        <v>2019</v>
      </c>
      <c r="D10" s="7"/>
      <c r="E10" s="11">
        <v>6.61</v>
      </c>
      <c r="F10" s="12">
        <v>187153240000</v>
      </c>
      <c r="G10" s="12">
        <v>9328166761.8085003</v>
      </c>
      <c r="H10" s="12">
        <v>589904763.83000004</v>
      </c>
      <c r="I10" s="12"/>
      <c r="J10" s="79">
        <v>9509162069</v>
      </c>
      <c r="K10" s="80">
        <v>322273120</v>
      </c>
      <c r="L10" s="79">
        <v>1000000</v>
      </c>
      <c r="M10" s="91"/>
      <c r="N10" s="61"/>
      <c r="O10" s="61"/>
      <c r="P10" s="61"/>
      <c r="Q10" s="80">
        <v>700210162</v>
      </c>
      <c r="R10" s="61"/>
      <c r="S10" s="61"/>
      <c r="T10" s="61"/>
      <c r="U10" s="61"/>
      <c r="V10" s="60"/>
      <c r="W10" s="60"/>
      <c r="X10" s="60"/>
      <c r="Y10" s="60"/>
      <c r="Z10" s="60"/>
      <c r="AA10" s="60">
        <v>832010864</v>
      </c>
      <c r="AB10" s="60">
        <v>2484239231</v>
      </c>
      <c r="AC10" s="60">
        <v>5000070562</v>
      </c>
      <c r="AD10" s="60"/>
      <c r="AE10" s="60">
        <v>7298587337</v>
      </c>
      <c r="AF10" s="60">
        <v>393361415</v>
      </c>
      <c r="AG10" s="60"/>
      <c r="AH10" s="60">
        <v>19995187</v>
      </c>
      <c r="AI10" s="60"/>
      <c r="AJ10" s="60"/>
      <c r="AK10" s="60"/>
      <c r="AL10" s="60"/>
      <c r="AM10" s="60">
        <v>47637296</v>
      </c>
      <c r="AN10" s="60"/>
      <c r="AO10" s="60"/>
      <c r="AP10" s="60">
        <v>197063568</v>
      </c>
      <c r="AQ10" s="60">
        <v>128405812</v>
      </c>
      <c r="AR10" s="60">
        <v>160501755</v>
      </c>
      <c r="AS10" s="60">
        <v>1073636380</v>
      </c>
      <c r="AT10" s="60">
        <v>80203586</v>
      </c>
      <c r="AU10" s="60">
        <v>60533931</v>
      </c>
      <c r="AV10" s="60">
        <v>4053977</v>
      </c>
      <c r="AW10" s="60"/>
      <c r="AX10" s="60">
        <v>352157</v>
      </c>
      <c r="AY10" s="60"/>
      <c r="AZ10" s="60">
        <v>101670000</v>
      </c>
      <c r="BA10" s="60"/>
      <c r="BB10" s="60"/>
      <c r="BC10" s="60"/>
      <c r="BD10" s="60"/>
      <c r="BE10" s="60">
        <v>176714059</v>
      </c>
      <c r="BF10" s="60"/>
      <c r="BG10" s="60">
        <v>27760320</v>
      </c>
      <c r="BH10" s="60"/>
      <c r="BI10" s="60">
        <v>267853395</v>
      </c>
      <c r="BJ10" s="60"/>
      <c r="BK10" s="60"/>
      <c r="BL10" s="60"/>
      <c r="BM10" s="60"/>
      <c r="BN10" s="60"/>
      <c r="BO10" s="60">
        <v>88369155</v>
      </c>
      <c r="BP10" s="67">
        <f t="shared" si="1"/>
        <v>28975665338</v>
      </c>
    </row>
    <row r="11" spans="2:70" ht="26.5" customHeight="1">
      <c r="B11" s="11" t="s">
        <v>3</v>
      </c>
      <c r="C11" s="7">
        <v>2020</v>
      </c>
      <c r="D11" s="7"/>
      <c r="E11" s="11">
        <v>7.04</v>
      </c>
      <c r="F11" s="12">
        <v>231645211062.66</v>
      </c>
      <c r="G11" s="12">
        <v>11517025517</v>
      </c>
      <c r="H11" s="12">
        <v>1304700722.6600001</v>
      </c>
      <c r="I11" s="12"/>
      <c r="J11" s="89">
        <v>9540850131</v>
      </c>
      <c r="K11" s="84">
        <v>186233247</v>
      </c>
      <c r="L11" s="61"/>
      <c r="M11" s="91"/>
      <c r="N11" s="61"/>
      <c r="O11" s="61"/>
      <c r="P11" s="61"/>
      <c r="Q11" s="84">
        <v>700212162</v>
      </c>
      <c r="R11" s="61"/>
      <c r="S11" s="61"/>
      <c r="T11" s="61"/>
      <c r="U11" s="61"/>
      <c r="V11" s="60"/>
      <c r="W11" s="60"/>
      <c r="X11" s="60">
        <v>8943645000</v>
      </c>
      <c r="Y11" s="60"/>
      <c r="Z11" s="60"/>
      <c r="AA11" s="60">
        <v>246192713</v>
      </c>
      <c r="AB11" s="60">
        <v>3409680254</v>
      </c>
      <c r="AC11" s="60">
        <v>50000000</v>
      </c>
      <c r="AD11" s="60">
        <v>9388018145</v>
      </c>
      <c r="AE11" s="60"/>
      <c r="AF11" s="60">
        <v>387349761</v>
      </c>
      <c r="AG11" s="60"/>
      <c r="AH11" s="60">
        <v>30370439</v>
      </c>
      <c r="AI11" s="60"/>
      <c r="AJ11" s="60"/>
      <c r="AK11" s="60"/>
      <c r="AL11" s="60"/>
      <c r="AM11" s="60">
        <v>96697263</v>
      </c>
      <c r="AN11" s="60">
        <v>342009500</v>
      </c>
      <c r="AO11" s="60"/>
      <c r="AP11" s="60"/>
      <c r="AQ11" s="60"/>
      <c r="AR11" s="60"/>
      <c r="AS11" s="60">
        <v>1027439597</v>
      </c>
      <c r="AT11" s="60"/>
      <c r="AU11" s="60"/>
      <c r="AV11" s="60"/>
      <c r="AW11" s="60"/>
      <c r="AX11" s="60"/>
      <c r="AY11" s="60"/>
      <c r="AZ11" s="60">
        <v>101670000</v>
      </c>
      <c r="BA11" s="60"/>
      <c r="BB11" s="60"/>
      <c r="BC11" s="60"/>
      <c r="BD11" s="60"/>
      <c r="BE11" s="60">
        <v>91247209</v>
      </c>
      <c r="BF11" s="60"/>
      <c r="BG11" s="60">
        <v>36915282</v>
      </c>
      <c r="BH11" s="60"/>
      <c r="BI11" s="60">
        <v>349602388</v>
      </c>
      <c r="BJ11" s="60"/>
      <c r="BK11" s="60"/>
      <c r="BL11" s="60"/>
      <c r="BM11" s="60"/>
      <c r="BN11" s="60"/>
      <c r="BO11" s="60">
        <v>13981000</v>
      </c>
      <c r="BP11" s="67">
        <f t="shared" si="1"/>
        <v>34942114091</v>
      </c>
    </row>
    <row r="12" spans="2:70" ht="26.5" customHeight="1">
      <c r="B12" s="11" t="s">
        <v>3</v>
      </c>
      <c r="C12" s="7">
        <v>2021</v>
      </c>
      <c r="D12" s="7"/>
      <c r="E12" s="11">
        <v>12.16</v>
      </c>
      <c r="F12" s="12">
        <v>390739103000</v>
      </c>
      <c r="G12" s="12">
        <v>19491926231.734631</v>
      </c>
      <c r="H12" s="12">
        <v>900578365</v>
      </c>
      <c r="I12" s="12"/>
      <c r="J12" s="82">
        <v>18095052888</v>
      </c>
      <c r="K12" s="85">
        <v>381674925</v>
      </c>
      <c r="L12" s="82">
        <v>2000000</v>
      </c>
      <c r="M12" s="91"/>
      <c r="N12" s="77">
        <v>99930000</v>
      </c>
      <c r="O12" s="61"/>
      <c r="P12" s="61"/>
      <c r="Q12" s="85">
        <v>700210162</v>
      </c>
      <c r="R12" s="61"/>
      <c r="S12" s="61"/>
      <c r="T12" s="61"/>
      <c r="U12" s="61"/>
      <c r="V12" s="60">
        <v>930240585</v>
      </c>
      <c r="W12" s="60"/>
      <c r="X12" s="60"/>
      <c r="Y12" s="60"/>
      <c r="Z12" s="60"/>
      <c r="AA12" s="60">
        <v>101736910</v>
      </c>
      <c r="AB12" s="60">
        <v>5623462277</v>
      </c>
      <c r="AC12" s="60"/>
      <c r="AD12" s="60">
        <v>10470001250</v>
      </c>
      <c r="AE12" s="60"/>
      <c r="AF12" s="60">
        <v>739979589</v>
      </c>
      <c r="AG12" s="60"/>
      <c r="AH12" s="60">
        <v>184824593</v>
      </c>
      <c r="AI12" s="60"/>
      <c r="AJ12" s="60"/>
      <c r="AK12" s="60"/>
      <c r="AL12" s="60"/>
      <c r="AM12" s="60">
        <v>1074843449</v>
      </c>
      <c r="AN12" s="60"/>
      <c r="AO12" s="60"/>
      <c r="AP12" s="60"/>
      <c r="AQ12" s="60"/>
      <c r="AR12" s="60"/>
      <c r="AS12" s="60">
        <v>601569229</v>
      </c>
      <c r="AT12" s="60"/>
      <c r="AU12" s="60"/>
      <c r="AV12" s="60"/>
      <c r="AW12" s="60"/>
      <c r="AX12" s="60"/>
      <c r="AY12" s="60"/>
      <c r="AZ12" s="60">
        <v>102506250</v>
      </c>
      <c r="BA12" s="60"/>
      <c r="BB12" s="60"/>
      <c r="BC12" s="60"/>
      <c r="BD12" s="60"/>
      <c r="BE12" s="60">
        <v>244113282</v>
      </c>
      <c r="BF12" s="60"/>
      <c r="BG12" s="60">
        <v>91733040</v>
      </c>
      <c r="BH12" s="60"/>
      <c r="BI12" s="60">
        <v>739969819</v>
      </c>
      <c r="BJ12" s="60"/>
      <c r="BK12" s="60"/>
      <c r="BL12" s="60"/>
      <c r="BM12" s="60"/>
      <c r="BN12" s="60"/>
      <c r="BO12" s="60">
        <v>12875000</v>
      </c>
      <c r="BP12" s="67">
        <f t="shared" si="1"/>
        <v>40196723248</v>
      </c>
      <c r="BR12" s="67"/>
    </row>
    <row r="13" spans="2:70" ht="26.5" customHeight="1">
      <c r="B13" s="11" t="s">
        <v>3</v>
      </c>
      <c r="C13" s="7">
        <v>2022</v>
      </c>
      <c r="D13" s="7"/>
      <c r="E13" s="11">
        <v>10.89</v>
      </c>
      <c r="F13" s="12">
        <v>392586705000</v>
      </c>
      <c r="G13" s="12">
        <v>19583213628.882149</v>
      </c>
      <c r="H13" s="12">
        <v>922432422</v>
      </c>
      <c r="I13" s="12"/>
      <c r="J13" s="83">
        <v>19563971740</v>
      </c>
      <c r="K13" s="86">
        <v>344657753</v>
      </c>
      <c r="L13" s="61"/>
      <c r="M13" s="91"/>
      <c r="N13" s="75">
        <v>81430000</v>
      </c>
      <c r="O13" s="61"/>
      <c r="P13" s="61"/>
      <c r="Q13" s="86">
        <v>700210162</v>
      </c>
      <c r="R13" s="61"/>
      <c r="S13" s="61"/>
      <c r="T13" s="61"/>
      <c r="U13" s="61"/>
      <c r="V13" s="60">
        <v>13745906089</v>
      </c>
      <c r="W13" s="60"/>
      <c r="X13" s="60"/>
      <c r="Y13" s="60"/>
      <c r="Z13" s="60"/>
      <c r="AA13" s="60">
        <v>1159716473</v>
      </c>
      <c r="AB13" s="60">
        <v>5214687204</v>
      </c>
      <c r="AC13" s="60">
        <v>300000</v>
      </c>
      <c r="AD13" s="60">
        <v>10209148561</v>
      </c>
      <c r="AE13" s="60"/>
      <c r="AF13" s="60">
        <v>1272817806</v>
      </c>
      <c r="AG13" s="60"/>
      <c r="AH13" s="60">
        <v>23197229</v>
      </c>
      <c r="AI13" s="60"/>
      <c r="AJ13" s="60"/>
      <c r="AK13" s="60"/>
      <c r="AL13" s="60"/>
      <c r="AM13" s="60">
        <v>19512723643</v>
      </c>
      <c r="AN13" s="60"/>
      <c r="AO13" s="60"/>
      <c r="AP13" s="60">
        <v>5060698358</v>
      </c>
      <c r="AQ13" s="60">
        <v>82821682</v>
      </c>
      <c r="AR13" s="60">
        <v>103417232</v>
      </c>
      <c r="AS13" s="60">
        <v>432572906</v>
      </c>
      <c r="AT13" s="60">
        <v>51435059</v>
      </c>
      <c r="AU13" s="60">
        <v>33147645</v>
      </c>
      <c r="AV13" s="60">
        <v>28354930</v>
      </c>
      <c r="AW13" s="60">
        <v>197604113</v>
      </c>
      <c r="AX13" s="60">
        <v>71300044</v>
      </c>
      <c r="AY13" s="60"/>
      <c r="AZ13" s="60">
        <v>102506250</v>
      </c>
      <c r="BA13" s="60"/>
      <c r="BB13" s="60"/>
      <c r="BC13" s="60"/>
      <c r="BD13" s="60">
        <v>2539000</v>
      </c>
      <c r="BE13" s="60">
        <v>273526547</v>
      </c>
      <c r="BF13" s="60"/>
      <c r="BG13" s="60">
        <v>92413440</v>
      </c>
      <c r="BH13" s="60"/>
      <c r="BI13" s="60">
        <v>824145628</v>
      </c>
      <c r="BJ13" s="60"/>
      <c r="BK13" s="60"/>
      <c r="BL13" s="60"/>
      <c r="BM13" s="60"/>
      <c r="BN13" s="60"/>
      <c r="BO13" s="60">
        <v>177051978</v>
      </c>
      <c r="BP13" s="67">
        <f t="shared" si="1"/>
        <v>79362301472</v>
      </c>
    </row>
    <row r="14" spans="2:70" ht="26.5" customHeight="1">
      <c r="B14" s="11" t="s">
        <v>3</v>
      </c>
      <c r="C14" s="7">
        <v>2023</v>
      </c>
      <c r="D14" s="7"/>
      <c r="E14" s="11">
        <v>9.14</v>
      </c>
      <c r="F14" s="12">
        <v>350506489000</v>
      </c>
      <c r="G14" s="12">
        <v>17483287112.941906</v>
      </c>
      <c r="H14" s="12">
        <v>840746741</v>
      </c>
      <c r="I14" s="12"/>
      <c r="J14" s="90">
        <v>17983379589</v>
      </c>
      <c r="K14" s="87">
        <v>394603655.20999998</v>
      </c>
      <c r="L14" s="90">
        <v>2000000</v>
      </c>
      <c r="M14" s="74"/>
      <c r="N14" s="72">
        <v>339510000</v>
      </c>
      <c r="O14" s="61"/>
      <c r="P14" s="61"/>
      <c r="Q14" s="87">
        <v>700210162</v>
      </c>
      <c r="R14" s="61"/>
      <c r="S14" s="61"/>
      <c r="T14" s="61"/>
      <c r="U14" s="61"/>
      <c r="V14" s="60">
        <v>3780409704</v>
      </c>
      <c r="W14" s="60"/>
      <c r="X14" s="60"/>
      <c r="Y14" s="60"/>
      <c r="Z14" s="60"/>
      <c r="AA14" s="60">
        <v>3552753938</v>
      </c>
      <c r="AB14" s="60">
        <v>6547939856</v>
      </c>
      <c r="AC14" s="60">
        <v>14165870891</v>
      </c>
      <c r="AD14" s="60">
        <v>56031664385</v>
      </c>
      <c r="AE14" s="60"/>
      <c r="AF14" s="60">
        <v>2416973413</v>
      </c>
      <c r="AG14" s="60"/>
      <c r="AH14" s="60">
        <v>355809766</v>
      </c>
      <c r="AI14" s="60"/>
      <c r="AJ14" s="60"/>
      <c r="AK14" s="60"/>
      <c r="AL14" s="60"/>
      <c r="AM14" s="60">
        <v>598684575</v>
      </c>
      <c r="AN14" s="60"/>
      <c r="AO14" s="60"/>
      <c r="AP14" s="60"/>
      <c r="AQ14" s="60"/>
      <c r="AR14" s="60"/>
      <c r="AS14" s="60">
        <v>14790586394</v>
      </c>
      <c r="AT14" s="60"/>
      <c r="AU14" s="60"/>
      <c r="AV14" s="60"/>
      <c r="AW14" s="60"/>
      <c r="AX14" s="60">
        <v>1356080521</v>
      </c>
      <c r="AY14" s="60"/>
      <c r="AZ14" s="60">
        <v>1200349100</v>
      </c>
      <c r="BA14" s="60"/>
      <c r="BB14" s="60"/>
      <c r="BC14" s="60"/>
      <c r="BD14" s="60"/>
      <c r="BE14" s="60">
        <v>278981251</v>
      </c>
      <c r="BF14" s="60"/>
      <c r="BG14" s="60">
        <v>101160360</v>
      </c>
      <c r="BH14" s="60"/>
      <c r="BI14" s="60">
        <v>982516892</v>
      </c>
      <c r="BJ14" s="60"/>
      <c r="BK14" s="60"/>
      <c r="BL14" s="60"/>
      <c r="BM14" s="60"/>
      <c r="BN14" s="60">
        <v>20996063</v>
      </c>
      <c r="BO14" s="60"/>
      <c r="BP14" s="67">
        <f t="shared" si="1"/>
        <v>125600480515.20999</v>
      </c>
    </row>
    <row r="15" spans="2:70" ht="26.5" customHeight="1">
      <c r="B15" s="11" t="s">
        <v>3</v>
      </c>
      <c r="C15" s="7">
        <v>2024</v>
      </c>
      <c r="D15" s="7"/>
      <c r="E15" s="11">
        <v>7.25</v>
      </c>
      <c r="F15" s="12">
        <v>340686627000</v>
      </c>
      <c r="G15" s="12">
        <f>F15*0.05</f>
        <v>17034331350</v>
      </c>
      <c r="H15" s="62" t="s">
        <v>7</v>
      </c>
      <c r="I15" s="62"/>
      <c r="J15" s="63">
        <v>12982245458</v>
      </c>
      <c r="K15" s="60">
        <v>0</v>
      </c>
      <c r="L15" s="63">
        <v>10000000</v>
      </c>
      <c r="M15" s="61"/>
      <c r="N15" s="64">
        <v>165308750</v>
      </c>
      <c r="O15" s="61"/>
      <c r="P15" s="61"/>
      <c r="Q15" s="63">
        <v>5156057429</v>
      </c>
      <c r="R15" s="61"/>
      <c r="S15" s="61"/>
      <c r="T15" s="61"/>
      <c r="U15" s="61"/>
      <c r="V15" s="60">
        <v>8550085532</v>
      </c>
      <c r="W15" s="60"/>
      <c r="X15" s="60"/>
      <c r="Y15" s="60"/>
      <c r="Z15" s="60"/>
      <c r="AA15" s="60">
        <v>2961595410</v>
      </c>
      <c r="AB15" s="60">
        <v>7765358367</v>
      </c>
      <c r="AC15" s="60"/>
      <c r="AD15" s="60">
        <v>37354442924</v>
      </c>
      <c r="AE15" s="60">
        <v>8753036627</v>
      </c>
      <c r="AF15" s="60">
        <v>2798450495</v>
      </c>
      <c r="AG15" s="60"/>
      <c r="AH15" s="60">
        <v>17817365</v>
      </c>
      <c r="AI15" s="60">
        <v>189710162</v>
      </c>
      <c r="AJ15" s="60"/>
      <c r="AK15" s="60"/>
      <c r="AL15" s="60"/>
      <c r="AM15" s="60">
        <v>9719760854</v>
      </c>
      <c r="AN15" s="60"/>
      <c r="AO15" s="60"/>
      <c r="AP15" s="60">
        <v>12479862303</v>
      </c>
      <c r="AQ15" s="60">
        <v>47512057</v>
      </c>
      <c r="AR15" s="60">
        <v>59390072</v>
      </c>
      <c r="AS15" s="60">
        <v>360813765</v>
      </c>
      <c r="AT15" s="60">
        <v>29695037</v>
      </c>
      <c r="AU15" s="60">
        <v>51467044</v>
      </c>
      <c r="AV15" s="60">
        <v>39601445</v>
      </c>
      <c r="AW15" s="60">
        <v>118255043</v>
      </c>
      <c r="AX15" s="60">
        <v>8101133842</v>
      </c>
      <c r="AY15" s="60"/>
      <c r="AZ15" s="60">
        <v>645548107</v>
      </c>
      <c r="BA15" s="60"/>
      <c r="BB15" s="60">
        <v>272585030</v>
      </c>
      <c r="BC15" s="60"/>
      <c r="BD15" s="60"/>
      <c r="BE15" s="60"/>
      <c r="BF15" s="60"/>
      <c r="BG15" s="60">
        <v>109702542</v>
      </c>
      <c r="BH15" s="60"/>
      <c r="BI15" s="60">
        <v>1054051350</v>
      </c>
      <c r="BJ15" s="60"/>
      <c r="BK15" s="60"/>
      <c r="BL15" s="60"/>
      <c r="BM15" s="60"/>
      <c r="BN15" s="60"/>
      <c r="BO15" s="60"/>
      <c r="BP15" s="67">
        <f t="shared" si="1"/>
        <v>119793487010</v>
      </c>
    </row>
    <row r="16" spans="2:70" ht="26.5" customHeight="1">
      <c r="B16" s="11" t="s">
        <v>3</v>
      </c>
      <c r="C16" s="7">
        <v>2025</v>
      </c>
      <c r="D16" s="7"/>
      <c r="E16" s="11">
        <v>8.5289609744902002</v>
      </c>
      <c r="F16" s="12">
        <v>556090522892</v>
      </c>
      <c r="G16" s="12">
        <f>F16*0.05</f>
        <v>27804526144.600002</v>
      </c>
      <c r="H16" s="62" t="s">
        <v>7</v>
      </c>
      <c r="I16" s="62"/>
      <c r="J16" s="60"/>
      <c r="K16" s="60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7">
        <f t="shared" si="1"/>
        <v>0</v>
      </c>
    </row>
    <row r="17" spans="2:68" ht="26.5" customHeight="1">
      <c r="B17" s="11" t="s">
        <v>4</v>
      </c>
      <c r="C17" s="92">
        <v>2018</v>
      </c>
      <c r="D17" s="7"/>
      <c r="E17" s="11">
        <v>4.452</v>
      </c>
      <c r="F17" s="12">
        <v>100183726000</v>
      </c>
      <c r="G17" s="12">
        <v>5008589699</v>
      </c>
      <c r="H17" s="65">
        <f>F17-G17/0.05</f>
        <v>11932020</v>
      </c>
      <c r="I17" s="100"/>
      <c r="J17" s="93">
        <v>3248958243</v>
      </c>
      <c r="K17" s="94">
        <v>99386000</v>
      </c>
      <c r="L17" s="60"/>
      <c r="M17" s="60"/>
      <c r="N17" s="61"/>
      <c r="O17" s="61"/>
      <c r="P17" s="61"/>
      <c r="Q17" s="61"/>
      <c r="R17" s="61"/>
      <c r="S17" s="61"/>
      <c r="T17" s="61"/>
      <c r="U17" s="61"/>
      <c r="V17" s="60"/>
      <c r="W17" s="60"/>
      <c r="X17" s="60"/>
      <c r="Y17" s="60"/>
      <c r="Z17" s="60"/>
      <c r="AA17" s="60"/>
      <c r="AB17" s="60">
        <v>1017412247</v>
      </c>
      <c r="AC17" s="60"/>
      <c r="AD17" s="60"/>
      <c r="AE17" s="60"/>
      <c r="AF17" s="60">
        <v>362594359</v>
      </c>
      <c r="AG17" s="60"/>
      <c r="AH17" s="60">
        <v>9074720</v>
      </c>
      <c r="AI17" s="60"/>
      <c r="AJ17" s="60"/>
      <c r="AK17" s="60"/>
      <c r="AL17" s="60"/>
      <c r="AM17" s="60">
        <v>44148316</v>
      </c>
      <c r="AN17" s="60"/>
      <c r="AO17" s="60"/>
      <c r="AP17" s="60"/>
      <c r="AQ17" s="60"/>
      <c r="AR17" s="60"/>
      <c r="AS17" s="60">
        <v>225016261</v>
      </c>
      <c r="AT17" s="60"/>
      <c r="AU17" s="60"/>
      <c r="AV17" s="60"/>
      <c r="AW17" s="60"/>
      <c r="AX17" s="60"/>
      <c r="AY17" s="60"/>
      <c r="AZ17" s="60">
        <v>123768300</v>
      </c>
      <c r="BA17" s="60"/>
      <c r="BB17" s="60"/>
      <c r="BC17" s="60"/>
      <c r="BD17" s="60"/>
      <c r="BE17" s="60"/>
      <c r="BF17" s="60"/>
      <c r="BG17" s="60">
        <v>24151176</v>
      </c>
      <c r="BH17" s="60"/>
      <c r="BI17" s="60">
        <v>202387738</v>
      </c>
      <c r="BJ17" s="60"/>
      <c r="BK17" s="60"/>
      <c r="BL17" s="60"/>
      <c r="BM17" s="60"/>
      <c r="BN17" s="60"/>
      <c r="BO17" s="60"/>
      <c r="BP17" s="67">
        <f t="shared" si="1"/>
        <v>5356897360</v>
      </c>
    </row>
    <row r="18" spans="2:68" ht="26.5" customHeight="1">
      <c r="B18" s="11" t="s">
        <v>4</v>
      </c>
      <c r="C18" s="7">
        <v>2019</v>
      </c>
      <c r="D18" s="7"/>
      <c r="E18" s="11">
        <v>5.7919</v>
      </c>
      <c r="F18" s="12">
        <v>151790543701.83826</v>
      </c>
      <c r="G18" s="12">
        <v>7576735998</v>
      </c>
      <c r="H18" s="12">
        <v>255823739.503295</v>
      </c>
      <c r="I18" s="12"/>
      <c r="J18" s="79">
        <v>7491544126</v>
      </c>
      <c r="K18" s="80">
        <v>113941440</v>
      </c>
      <c r="L18" s="60"/>
      <c r="M18" s="60"/>
      <c r="N18" s="61"/>
      <c r="O18" s="61"/>
      <c r="P18" s="61"/>
      <c r="Q18" s="61"/>
      <c r="R18" s="61"/>
      <c r="S18" s="61"/>
      <c r="T18" s="61"/>
      <c r="U18" s="61"/>
      <c r="V18" s="60"/>
      <c r="W18" s="60"/>
      <c r="X18" s="60"/>
      <c r="Y18" s="60"/>
      <c r="Z18" s="60"/>
      <c r="AA18" s="60"/>
      <c r="AB18" s="60">
        <v>3891381765</v>
      </c>
      <c r="AC18" s="60"/>
      <c r="AD18" s="60"/>
      <c r="AE18" s="60"/>
      <c r="AF18" s="60">
        <v>682759738</v>
      </c>
      <c r="AG18" s="60"/>
      <c r="AH18" s="60">
        <v>5797753</v>
      </c>
      <c r="AI18" s="60"/>
      <c r="AJ18" s="60"/>
      <c r="AK18" s="60"/>
      <c r="AL18" s="60"/>
      <c r="AM18" s="60">
        <v>39774221</v>
      </c>
      <c r="AN18" s="60"/>
      <c r="AO18" s="60"/>
      <c r="AP18" s="60">
        <v>5811395</v>
      </c>
      <c r="AQ18" s="60">
        <v>90404467</v>
      </c>
      <c r="AR18" s="60">
        <v>112863713</v>
      </c>
      <c r="AS18" s="60">
        <v>3788630</v>
      </c>
      <c r="AT18" s="60">
        <v>56408654</v>
      </c>
      <c r="AU18" s="60">
        <v>573846</v>
      </c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>
        <v>22099694</v>
      </c>
      <c r="BH18" s="60"/>
      <c r="BI18" s="60">
        <v>171008028</v>
      </c>
      <c r="BJ18" s="60"/>
      <c r="BK18" s="60"/>
      <c r="BL18" s="60"/>
      <c r="BM18" s="60"/>
      <c r="BN18" s="60"/>
      <c r="BO18" s="60">
        <v>96210</v>
      </c>
      <c r="BP18" s="67">
        <f t="shared" si="1"/>
        <v>12688253680</v>
      </c>
    </row>
    <row r="19" spans="2:68" ht="26.5" customHeight="1">
      <c r="B19" s="11" t="s">
        <v>4</v>
      </c>
      <c r="C19" s="7">
        <v>2020</v>
      </c>
      <c r="D19" s="7"/>
      <c r="E19" s="11">
        <v>5.3128000000000002</v>
      </c>
      <c r="F19" s="12">
        <v>156789785059.60001</v>
      </c>
      <c r="G19" s="12">
        <v>8679348430</v>
      </c>
      <c r="H19" s="12">
        <v>488750421.1055975</v>
      </c>
      <c r="I19" s="12"/>
      <c r="J19" s="79">
        <v>8306948342</v>
      </c>
      <c r="K19" s="80">
        <v>137579025</v>
      </c>
      <c r="L19" s="60"/>
      <c r="M19" s="60"/>
      <c r="N19" s="61"/>
      <c r="O19" s="61"/>
      <c r="P19" s="61"/>
      <c r="Q19" s="61"/>
      <c r="R19" s="61"/>
      <c r="S19" s="61"/>
      <c r="T19" s="61"/>
      <c r="U19" s="61"/>
      <c r="V19" s="60">
        <v>3780000000</v>
      </c>
      <c r="W19" s="60"/>
      <c r="X19" s="60"/>
      <c r="Y19" s="60"/>
      <c r="Z19" s="60"/>
      <c r="AA19" s="60"/>
      <c r="AB19" s="60">
        <v>3169904533</v>
      </c>
      <c r="AC19" s="60"/>
      <c r="AD19" s="60"/>
      <c r="AE19" s="60"/>
      <c r="AF19" s="60">
        <v>683472246</v>
      </c>
      <c r="AG19" s="60"/>
      <c r="AH19" s="60">
        <v>6996835</v>
      </c>
      <c r="AI19" s="60"/>
      <c r="AJ19" s="60"/>
      <c r="AK19" s="60"/>
      <c r="AL19" s="60"/>
      <c r="AM19" s="60">
        <v>5250761904</v>
      </c>
      <c r="AN19" s="60"/>
      <c r="AO19" s="60"/>
      <c r="AP19" s="60"/>
      <c r="AQ19" s="60"/>
      <c r="AR19" s="60"/>
      <c r="AS19" s="60"/>
      <c r="AT19" s="60">
        <v>304667880</v>
      </c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>
        <v>22819482</v>
      </c>
      <c r="BH19" s="60"/>
      <c r="BI19" s="60">
        <v>59159110</v>
      </c>
      <c r="BJ19" s="60"/>
      <c r="BK19" s="60"/>
      <c r="BL19" s="60"/>
      <c r="BM19" s="60"/>
      <c r="BN19" s="60"/>
      <c r="BO19" s="60"/>
      <c r="BP19" s="67">
        <f t="shared" si="1"/>
        <v>21722309357</v>
      </c>
    </row>
    <row r="20" spans="2:68" ht="26.5" customHeight="1">
      <c r="B20" s="11" t="s">
        <v>4</v>
      </c>
      <c r="C20" s="7">
        <v>2021</v>
      </c>
      <c r="D20" s="7"/>
      <c r="E20" s="11">
        <v>3.9935</v>
      </c>
      <c r="F20" s="12">
        <v>123373492000</v>
      </c>
      <c r="G20" s="12">
        <v>6168674600</v>
      </c>
      <c r="H20" s="62" t="s">
        <v>7</v>
      </c>
      <c r="I20" s="62"/>
      <c r="J20" s="82">
        <v>6906222357</v>
      </c>
      <c r="K20" s="85">
        <v>166923900</v>
      </c>
      <c r="L20" s="66"/>
      <c r="M20" s="66"/>
      <c r="N20" s="61"/>
      <c r="O20" s="61"/>
      <c r="P20" s="61"/>
      <c r="Q20" s="61"/>
      <c r="R20" s="61"/>
      <c r="S20" s="61"/>
      <c r="T20" s="61"/>
      <c r="U20" s="61"/>
      <c r="V20" s="60">
        <v>2889000000</v>
      </c>
      <c r="W20" s="60"/>
      <c r="X20" s="60"/>
      <c r="Y20" s="60"/>
      <c r="Z20" s="60"/>
      <c r="AA20" s="60"/>
      <c r="AB20" s="60">
        <v>2947069880</v>
      </c>
      <c r="AC20" s="60">
        <v>5011458749</v>
      </c>
      <c r="AD20" s="60"/>
      <c r="AE20" s="60"/>
      <c r="AF20" s="60">
        <v>313859540</v>
      </c>
      <c r="AG20" s="60"/>
      <c r="AH20" s="60">
        <v>2289333</v>
      </c>
      <c r="AI20" s="60"/>
      <c r="AJ20" s="60"/>
      <c r="AK20" s="60"/>
      <c r="AL20" s="60"/>
      <c r="AM20" s="60">
        <v>3601523810</v>
      </c>
      <c r="AN20" s="60"/>
      <c r="AO20" s="60"/>
      <c r="AP20" s="60"/>
      <c r="AQ20" s="60"/>
      <c r="AR20" s="60"/>
      <c r="AS20" s="60">
        <v>237349568</v>
      </c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>
        <v>23344848</v>
      </c>
      <c r="BH20" s="60"/>
      <c r="BI20" s="60">
        <v>63131627</v>
      </c>
      <c r="BJ20" s="60"/>
      <c r="BK20" s="60"/>
      <c r="BL20" s="60"/>
      <c r="BM20" s="60"/>
      <c r="BN20" s="60"/>
      <c r="BO20" s="60"/>
      <c r="BP20" s="67">
        <f t="shared" si="1"/>
        <v>22162173612</v>
      </c>
    </row>
    <row r="21" spans="2:68" ht="26.5" customHeight="1">
      <c r="B21" s="11" t="s">
        <v>4</v>
      </c>
      <c r="C21" s="7">
        <v>2022</v>
      </c>
      <c r="D21" s="7"/>
      <c r="E21" s="11">
        <v>4.0319337419999997</v>
      </c>
      <c r="F21" s="12">
        <v>147862816000</v>
      </c>
      <c r="G21" s="12">
        <v>7393140800</v>
      </c>
      <c r="H21" s="62" t="s">
        <v>7</v>
      </c>
      <c r="I21" s="62"/>
      <c r="J21" s="83">
        <v>7519284055</v>
      </c>
      <c r="K21" s="86">
        <v>67395700</v>
      </c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0">
        <v>2854000000</v>
      </c>
      <c r="W21" s="60"/>
      <c r="X21" s="60"/>
      <c r="Y21" s="60"/>
      <c r="Z21" s="60"/>
      <c r="AA21" s="60"/>
      <c r="AB21" s="60">
        <v>4017092953</v>
      </c>
      <c r="AC21" s="60"/>
      <c r="AD21" s="60"/>
      <c r="AE21" s="60"/>
      <c r="AF21" s="60">
        <v>366124044</v>
      </c>
      <c r="AG21" s="60"/>
      <c r="AH21" s="60">
        <v>2452751</v>
      </c>
      <c r="AI21" s="60"/>
      <c r="AJ21" s="60"/>
      <c r="AK21" s="60"/>
      <c r="AL21" s="60"/>
      <c r="AM21" s="60">
        <v>2700640000</v>
      </c>
      <c r="AN21" s="60"/>
      <c r="AO21" s="60"/>
      <c r="AP21" s="60">
        <v>46982080</v>
      </c>
      <c r="AQ21" s="60">
        <v>92565977</v>
      </c>
      <c r="AR21" s="60">
        <v>115733943</v>
      </c>
      <c r="AS21" s="60">
        <v>29117848</v>
      </c>
      <c r="AT21" s="60">
        <v>57671634</v>
      </c>
      <c r="AU21" s="60">
        <v>1406632</v>
      </c>
      <c r="AV21" s="60">
        <v>162957</v>
      </c>
      <c r="AW21" s="60">
        <v>5331137</v>
      </c>
      <c r="AX21" s="60">
        <v>329737</v>
      </c>
      <c r="AY21" s="60"/>
      <c r="AZ21" s="60"/>
      <c r="BA21" s="60"/>
      <c r="BB21" s="60"/>
      <c r="BC21" s="60"/>
      <c r="BD21" s="60"/>
      <c r="BE21" s="60"/>
      <c r="BF21" s="60"/>
      <c r="BG21" s="60">
        <v>23806442</v>
      </c>
      <c r="BH21" s="60"/>
      <c r="BI21" s="60">
        <v>208157611</v>
      </c>
      <c r="BJ21" s="60"/>
      <c r="BK21" s="60"/>
      <c r="BL21" s="60"/>
      <c r="BM21" s="60"/>
      <c r="BN21" s="60"/>
      <c r="BO21" s="60">
        <v>3051789</v>
      </c>
      <c r="BP21" s="67">
        <f t="shared" si="1"/>
        <v>18111307290</v>
      </c>
    </row>
    <row r="22" spans="2:68" ht="26.5" customHeight="1">
      <c r="B22" s="11" t="s">
        <v>4</v>
      </c>
      <c r="C22" s="7">
        <v>2023</v>
      </c>
      <c r="D22" s="7"/>
      <c r="E22" s="11">
        <v>3.7307999999999999</v>
      </c>
      <c r="F22" s="12">
        <v>141473181133.46954</v>
      </c>
      <c r="G22" s="12">
        <v>7073659453</v>
      </c>
      <c r="H22" s="62" t="s">
        <v>7</v>
      </c>
      <c r="I22" s="62"/>
      <c r="J22" s="90">
        <v>7008278087</v>
      </c>
      <c r="K22" s="87">
        <v>760258440</v>
      </c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0">
        <v>872000000</v>
      </c>
      <c r="W22" s="60"/>
      <c r="X22" s="60"/>
      <c r="Y22" s="60"/>
      <c r="Z22" s="60"/>
      <c r="AA22" s="60"/>
      <c r="AB22" s="60">
        <v>2855678236</v>
      </c>
      <c r="AC22" s="60"/>
      <c r="AD22" s="60">
        <v>2417260000</v>
      </c>
      <c r="AE22" s="60"/>
      <c r="AF22" s="60">
        <v>207284343</v>
      </c>
      <c r="AG22" s="60"/>
      <c r="AH22" s="60">
        <v>5898351</v>
      </c>
      <c r="AI22" s="60"/>
      <c r="AJ22" s="60"/>
      <c r="AK22" s="60"/>
      <c r="AL22" s="60"/>
      <c r="AM22" s="60">
        <v>2492341</v>
      </c>
      <c r="AN22" s="60"/>
      <c r="AO22" s="60"/>
      <c r="AP22" s="60">
        <v>26926197</v>
      </c>
      <c r="AQ22" s="60">
        <v>46802333</v>
      </c>
      <c r="AR22" s="60">
        <v>58501550</v>
      </c>
      <c r="AS22" s="60">
        <v>14114945</v>
      </c>
      <c r="AT22" s="60">
        <v>29242348</v>
      </c>
      <c r="AU22" s="60">
        <v>237106</v>
      </c>
      <c r="AV22" s="60">
        <v>124975</v>
      </c>
      <c r="AW22" s="60">
        <v>3131508</v>
      </c>
      <c r="AX22" s="60">
        <v>306905</v>
      </c>
      <c r="AY22" s="60"/>
      <c r="AZ22" s="60"/>
      <c r="BA22" s="60"/>
      <c r="BB22" s="60"/>
      <c r="BC22" s="60"/>
      <c r="BD22" s="60"/>
      <c r="BE22" s="60"/>
      <c r="BF22" s="60"/>
      <c r="BG22" s="60">
        <v>25200924</v>
      </c>
      <c r="BH22" s="60"/>
      <c r="BI22" s="60">
        <v>246360435</v>
      </c>
      <c r="BJ22" s="60"/>
      <c r="BK22" s="60"/>
      <c r="BL22" s="60"/>
      <c r="BM22" s="60"/>
      <c r="BN22" s="60">
        <v>809852</v>
      </c>
      <c r="BO22" s="60"/>
      <c r="BP22" s="67">
        <f t="shared" si="1"/>
        <v>14580908876</v>
      </c>
    </row>
    <row r="23" spans="2:68" ht="26.5" customHeight="1">
      <c r="B23" s="11" t="s">
        <v>4</v>
      </c>
      <c r="C23" s="7">
        <v>2024</v>
      </c>
      <c r="D23" s="7"/>
      <c r="E23" s="11">
        <v>3.7669999999999999</v>
      </c>
      <c r="F23" s="12">
        <v>174778072792</v>
      </c>
      <c r="G23" s="12">
        <f t="shared" ref="G23:G24" si="2">+F23*0.05</f>
        <v>8738903639.6000004</v>
      </c>
      <c r="H23" s="62" t="s">
        <v>7</v>
      </c>
      <c r="I23" s="62"/>
      <c r="J23" s="64">
        <v>8454646351</v>
      </c>
      <c r="K23" s="60"/>
      <c r="L23" s="61"/>
      <c r="M23" s="61"/>
      <c r="N23" s="61"/>
      <c r="O23" s="61"/>
      <c r="P23" s="61"/>
      <c r="Q23" s="59">
        <v>756332380</v>
      </c>
      <c r="R23" s="61"/>
      <c r="S23" s="61"/>
      <c r="T23" s="61"/>
      <c r="U23" s="61"/>
      <c r="V23" s="60">
        <v>3368856498</v>
      </c>
      <c r="W23" s="60"/>
      <c r="X23" s="60"/>
      <c r="Y23" s="60"/>
      <c r="Z23" s="60"/>
      <c r="AA23" s="60">
        <v>209733459</v>
      </c>
      <c r="AB23" s="60">
        <v>2377240218</v>
      </c>
      <c r="AC23" s="60">
        <v>3000000000</v>
      </c>
      <c r="AD23" s="60">
        <v>10226889219</v>
      </c>
      <c r="AE23" s="60"/>
      <c r="AF23" s="60">
        <v>223062855</v>
      </c>
      <c r="AG23" s="60"/>
      <c r="AH23" s="60">
        <v>1358135</v>
      </c>
      <c r="AI23" s="60"/>
      <c r="AJ23" s="60"/>
      <c r="AK23" s="60"/>
      <c r="AL23" s="60"/>
      <c r="AM23" s="60">
        <v>8299828097</v>
      </c>
      <c r="AN23" s="60"/>
      <c r="AO23" s="60"/>
      <c r="AP23" s="60">
        <v>758414389</v>
      </c>
      <c r="AQ23" s="60">
        <v>63440364</v>
      </c>
      <c r="AR23" s="60">
        <v>79300466</v>
      </c>
      <c r="AS23" s="60">
        <v>292634038</v>
      </c>
      <c r="AT23" s="60">
        <v>39424980</v>
      </c>
      <c r="AU23" s="60">
        <v>11585412</v>
      </c>
      <c r="AV23" s="60">
        <v>7911392</v>
      </c>
      <c r="AW23" s="60">
        <v>79642143</v>
      </c>
      <c r="AX23" s="60">
        <v>7818637552</v>
      </c>
      <c r="AY23" s="60"/>
      <c r="AZ23" s="60">
        <v>433189050</v>
      </c>
      <c r="BA23" s="60"/>
      <c r="BB23" s="60"/>
      <c r="BC23" s="60"/>
      <c r="BD23" s="60"/>
      <c r="BE23" s="60"/>
      <c r="BF23" s="60"/>
      <c r="BG23" s="60">
        <v>22716501</v>
      </c>
      <c r="BH23" s="60"/>
      <c r="BI23" s="60">
        <v>240972402</v>
      </c>
      <c r="BJ23" s="60"/>
      <c r="BK23" s="60"/>
      <c r="BL23" s="60"/>
      <c r="BM23" s="60"/>
      <c r="BN23" s="60"/>
      <c r="BO23" s="60"/>
      <c r="BP23" s="67">
        <f t="shared" si="1"/>
        <v>46765815901</v>
      </c>
    </row>
    <row r="24" spans="2:68" ht="26.5" customHeight="1">
      <c r="B24" s="11" t="s">
        <v>4</v>
      </c>
      <c r="C24" s="7">
        <v>2025</v>
      </c>
      <c r="D24" s="7"/>
      <c r="E24" s="11">
        <v>3.0437676825827999</v>
      </c>
      <c r="F24" s="12">
        <v>190858956408.66034</v>
      </c>
      <c r="G24" s="12">
        <f t="shared" si="2"/>
        <v>9542947820.4330177</v>
      </c>
      <c r="H24" s="62" t="s">
        <v>7</v>
      </c>
      <c r="I24" s="62"/>
      <c r="J24" s="60"/>
      <c r="K24" s="60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7">
        <f t="shared" si="1"/>
        <v>0</v>
      </c>
    </row>
    <row r="25" spans="2:68" ht="26.5" customHeight="1">
      <c r="B25" s="11" t="s">
        <v>5</v>
      </c>
      <c r="C25" s="7">
        <v>2025</v>
      </c>
      <c r="D25" s="7"/>
      <c r="E25" s="11">
        <v>0.73799999999999999</v>
      </c>
      <c r="F25" s="12">
        <v>51642287329.268799</v>
      </c>
      <c r="G25" s="12">
        <f>F25*0.05</f>
        <v>2582114366.4634399</v>
      </c>
      <c r="H25" s="62" t="s">
        <v>7</v>
      </c>
      <c r="I25" s="62"/>
      <c r="J25" s="60"/>
      <c r="K25" s="60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7">
        <f t="shared" si="1"/>
        <v>0</v>
      </c>
    </row>
    <row r="26" spans="2:68" ht="26.5" customHeight="1">
      <c r="E26" s="10">
        <f>SUM(E3:E25)</f>
        <v>142.97527072907297</v>
      </c>
      <c r="F26" s="8">
        <f>SUM(F3:F25)</f>
        <v>4636521306229.2471</v>
      </c>
      <c r="G26" s="8">
        <f>SUM(G3:G25)</f>
        <v>228698356782.51437</v>
      </c>
    </row>
    <row r="29" spans="2:68">
      <c r="F29" s="67">
        <f>+F15-BP15</f>
        <v>220893139990</v>
      </c>
    </row>
  </sheetData>
  <dataValidations count="1">
    <dataValidation type="decimal" operator="notBetween" allowBlank="1" showInputMessage="1" showErrorMessage="1" errorTitle="Nombre" error="Veuillez inscrire un nombre dans cette cellule" promptTitle="Montant du flux de revenus" prompt="Veuillez inscrire le montant total réconcilié du flux de revenus comme reporté par le gouvernement, " sqref="J9:K9 AA9:AB9 AD9 AF9 AH9 AM9 AS9 AZ9 BE9 BG9 BI9 J17:K17 AB17 AF17 AH17 AM17 AS17 AZ17 BG17 BI17" xr:uid="{00000000-0002-0000-0200-000000000000}">
      <formula1>0.1</formula1>
      <formula2>0.2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R29"/>
  <sheetViews>
    <sheetView showGridLines="0" zoomScale="70" zoomScaleNormal="70" workbookViewId="0">
      <pane xSplit="3" ySplit="2" topLeftCell="I9" activePane="bottomRight" state="frozen"/>
      <selection pane="topRight" activeCell="D1" sqref="D1"/>
      <selection pane="bottomLeft" activeCell="A3" sqref="A3"/>
      <selection pane="bottomRight" activeCell="O5" sqref="O5"/>
    </sheetView>
  </sheetViews>
  <sheetFormatPr baseColWidth="10" defaultColWidth="10.81640625" defaultRowHeight="14"/>
  <cols>
    <col min="1" max="3" width="10.81640625" style="1"/>
    <col min="4" max="4" width="24.26953125" style="1" customWidth="1"/>
    <col min="5" max="5" width="30.81640625" style="1" customWidth="1"/>
    <col min="6" max="6" width="28.54296875" style="1" customWidth="1"/>
    <col min="7" max="7" width="26.26953125" style="3" bestFit="1" customWidth="1"/>
    <col min="8" max="9" width="23.1796875" style="3" customWidth="1"/>
    <col min="10" max="10" width="20.81640625" style="2" customWidth="1"/>
    <col min="11" max="11" width="18.26953125" style="2" bestFit="1" customWidth="1"/>
    <col min="12" max="12" width="19.453125" style="1" bestFit="1" customWidth="1"/>
    <col min="13" max="13" width="18.26953125" style="1" bestFit="1" customWidth="1"/>
    <col min="14" max="14" width="21" style="1" customWidth="1"/>
    <col min="15" max="15" width="22.1796875" style="1" customWidth="1"/>
    <col min="16" max="16" width="19.54296875" style="1" customWidth="1"/>
    <col min="17" max="17" width="12.81640625" style="1" bestFit="1" customWidth="1"/>
    <col min="18" max="21" width="10.81640625" style="1"/>
    <col min="22" max="22" width="12.81640625" style="1" bestFit="1" customWidth="1"/>
    <col min="23" max="23" width="10.81640625" style="1"/>
    <col min="24" max="24" width="11.453125" style="1" bestFit="1" customWidth="1"/>
    <col min="25" max="25" width="10.81640625" style="1"/>
    <col min="26" max="26" width="12.453125" style="1" bestFit="1" customWidth="1"/>
    <col min="27" max="28" width="16.1796875" style="1" bestFit="1" customWidth="1"/>
    <col min="29" max="29" width="12.7265625" style="1" bestFit="1" customWidth="1"/>
    <col min="30" max="30" width="16.1796875" style="1" bestFit="1" customWidth="1"/>
    <col min="31" max="31" width="13.81640625" style="1" customWidth="1"/>
    <col min="32" max="32" width="14.453125" style="1" bestFit="1" customWidth="1"/>
    <col min="33" max="33" width="14.7265625" style="1" customWidth="1"/>
    <col min="34" max="34" width="17.81640625" style="1" customWidth="1"/>
    <col min="35" max="35" width="11.54296875" style="1" bestFit="1" customWidth="1"/>
    <col min="36" max="38" width="10.81640625" style="1"/>
    <col min="39" max="39" width="12.81640625" style="1" bestFit="1" customWidth="1"/>
    <col min="40" max="40" width="12.81640625" style="1" customWidth="1"/>
    <col min="41" max="41" width="12.453125" style="1" bestFit="1" customWidth="1"/>
    <col min="42" max="42" width="13.54296875" style="1" bestFit="1" customWidth="1"/>
    <col min="43" max="44" width="10.81640625" style="1"/>
    <col min="45" max="45" width="16.1796875" style="1" bestFit="1" customWidth="1"/>
    <col min="46" max="49" width="10.81640625" style="1"/>
    <col min="50" max="50" width="12.453125" style="1" bestFit="1" customWidth="1"/>
    <col min="51" max="51" width="10.81640625" style="1"/>
    <col min="52" max="52" width="14.453125" style="1" bestFit="1" customWidth="1"/>
    <col min="53" max="54" width="10.81640625" style="1"/>
    <col min="55" max="55" width="11.26953125" style="1" bestFit="1" customWidth="1"/>
    <col min="56" max="56" width="11.54296875" style="1" bestFit="1" customWidth="1"/>
    <col min="57" max="57" width="13.1796875" style="1" bestFit="1" customWidth="1"/>
    <col min="58" max="58" width="11.26953125" style="1" bestFit="1" customWidth="1"/>
    <col min="59" max="59" width="13.1796875" style="1" bestFit="1" customWidth="1"/>
    <col min="60" max="60" width="12.453125" style="1" bestFit="1" customWidth="1"/>
    <col min="61" max="61" width="14.453125" style="1" bestFit="1" customWidth="1"/>
    <col min="62" max="65" width="10.81640625" style="1"/>
    <col min="66" max="66" width="13" style="1" bestFit="1" customWidth="1"/>
    <col min="67" max="67" width="43.81640625" style="1" customWidth="1"/>
    <col min="68" max="68" width="21.453125" style="1" bestFit="1" customWidth="1"/>
    <col min="69" max="69" width="13.54296875" style="1" bestFit="1" customWidth="1"/>
    <col min="70" max="70" width="20.1796875" style="1" bestFit="1" customWidth="1"/>
    <col min="71" max="16384" width="10.81640625" style="1"/>
  </cols>
  <sheetData>
    <row r="2" spans="2:70" s="6" customFormat="1" ht="84">
      <c r="B2" s="4" t="s">
        <v>0</v>
      </c>
      <c r="C2" s="4" t="s">
        <v>2</v>
      </c>
      <c r="D2" s="4" t="s">
        <v>49</v>
      </c>
      <c r="E2" s="4" t="s">
        <v>8</v>
      </c>
      <c r="F2" s="4" t="s">
        <v>9</v>
      </c>
      <c r="G2" s="5" t="s">
        <v>10</v>
      </c>
      <c r="H2" s="5" t="s">
        <v>6</v>
      </c>
      <c r="I2" s="98" t="s">
        <v>108</v>
      </c>
      <c r="J2" s="68" t="s">
        <v>50</v>
      </c>
      <c r="K2" s="69" t="s">
        <v>51</v>
      </c>
      <c r="L2" s="68" t="s">
        <v>52</v>
      </c>
      <c r="M2" s="69" t="s">
        <v>53</v>
      </c>
      <c r="N2" s="68" t="s">
        <v>54</v>
      </c>
      <c r="O2" s="70" t="s">
        <v>55</v>
      </c>
      <c r="P2" s="68" t="s">
        <v>56</v>
      </c>
      <c r="Q2" s="69" t="s">
        <v>57</v>
      </c>
      <c r="R2" s="68" t="s">
        <v>58</v>
      </c>
      <c r="S2" s="69" t="s">
        <v>59</v>
      </c>
      <c r="T2" s="68" t="s">
        <v>60</v>
      </c>
      <c r="U2" s="69" t="s">
        <v>61</v>
      </c>
      <c r="V2" s="68" t="s">
        <v>62</v>
      </c>
      <c r="W2" s="69" t="s">
        <v>63</v>
      </c>
      <c r="X2" s="68" t="s">
        <v>64</v>
      </c>
      <c r="Y2" s="69" t="s">
        <v>65</v>
      </c>
      <c r="Z2" s="70" t="s">
        <v>66</v>
      </c>
      <c r="AA2" s="68" t="s">
        <v>67</v>
      </c>
      <c r="AB2" s="69" t="s">
        <v>68</v>
      </c>
      <c r="AC2" s="68" t="s">
        <v>69</v>
      </c>
      <c r="AD2" s="69" t="s">
        <v>70</v>
      </c>
      <c r="AE2" s="68" t="s">
        <v>71</v>
      </c>
      <c r="AF2" s="69" t="s">
        <v>72</v>
      </c>
      <c r="AG2" s="68" t="s">
        <v>73</v>
      </c>
      <c r="AH2" s="69" t="s">
        <v>74</v>
      </c>
      <c r="AI2" s="68" t="s">
        <v>75</v>
      </c>
      <c r="AJ2" s="69" t="s">
        <v>76</v>
      </c>
      <c r="AK2" s="68" t="s">
        <v>77</v>
      </c>
      <c r="AL2" s="69" t="s">
        <v>78</v>
      </c>
      <c r="AM2" s="68" t="s">
        <v>79</v>
      </c>
      <c r="AN2" s="81" t="s">
        <v>107</v>
      </c>
      <c r="AO2" s="70" t="s">
        <v>80</v>
      </c>
      <c r="AP2" s="68" t="s">
        <v>81</v>
      </c>
      <c r="AQ2" s="69" t="s">
        <v>82</v>
      </c>
      <c r="AR2" s="68" t="s">
        <v>83</v>
      </c>
      <c r="AS2" s="69" t="s">
        <v>84</v>
      </c>
      <c r="AT2" s="68" t="s">
        <v>85</v>
      </c>
      <c r="AU2" s="69" t="s">
        <v>86</v>
      </c>
      <c r="AV2" s="68" t="s">
        <v>87</v>
      </c>
      <c r="AW2" s="69" t="s">
        <v>88</v>
      </c>
      <c r="AX2" s="68" t="s">
        <v>89</v>
      </c>
      <c r="AY2" s="70" t="s">
        <v>90</v>
      </c>
      <c r="AZ2" s="69" t="s">
        <v>91</v>
      </c>
      <c r="BA2" s="68" t="s">
        <v>92</v>
      </c>
      <c r="BB2" s="69" t="s">
        <v>93</v>
      </c>
      <c r="BC2" s="70" t="s">
        <v>94</v>
      </c>
      <c r="BD2" s="68" t="s">
        <v>95</v>
      </c>
      <c r="BE2" s="69" t="s">
        <v>96</v>
      </c>
      <c r="BF2" s="70" t="s">
        <v>97</v>
      </c>
      <c r="BG2" s="68" t="s">
        <v>98</v>
      </c>
      <c r="BH2" s="70" t="s">
        <v>99</v>
      </c>
      <c r="BI2" s="69" t="s">
        <v>100</v>
      </c>
      <c r="BJ2" s="70" t="s">
        <v>101</v>
      </c>
      <c r="BK2" s="69" t="s">
        <v>102</v>
      </c>
      <c r="BL2" s="70" t="s">
        <v>103</v>
      </c>
      <c r="BM2" s="69" t="s">
        <v>104</v>
      </c>
      <c r="BN2" s="70" t="s">
        <v>105</v>
      </c>
      <c r="BO2" s="68" t="s">
        <v>106</v>
      </c>
    </row>
    <row r="3" spans="2:70" ht="26.5" customHeight="1">
      <c r="B3" s="11" t="s">
        <v>3</v>
      </c>
      <c r="C3" s="7">
        <v>2012</v>
      </c>
      <c r="D3" s="7"/>
      <c r="E3" s="11">
        <v>6.4676879999999999</v>
      </c>
      <c r="F3" s="12">
        <v>180096958956</v>
      </c>
      <c r="G3" s="12">
        <v>5388707154</v>
      </c>
      <c r="H3" s="12">
        <v>473387141</v>
      </c>
      <c r="I3" s="12"/>
      <c r="J3" s="60"/>
      <c r="K3" s="60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8">
        <f>+SUM(I3:BO3)</f>
        <v>0</v>
      </c>
      <c r="BR3" s="8"/>
    </row>
    <row r="4" spans="2:70" ht="26.5" customHeight="1">
      <c r="B4" s="11" t="s">
        <v>3</v>
      </c>
      <c r="C4" s="7">
        <v>2013</v>
      </c>
      <c r="D4" s="7"/>
      <c r="E4" s="11">
        <v>6.4821</v>
      </c>
      <c r="F4" s="12"/>
      <c r="G4" s="12"/>
      <c r="H4" s="12"/>
      <c r="I4" s="12"/>
      <c r="J4" s="60"/>
      <c r="K4" s="60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8">
        <f t="shared" ref="BP4:BP7" si="0">+SUM(I4:BO4)</f>
        <v>0</v>
      </c>
    </row>
    <row r="5" spans="2:70" ht="26.5" customHeight="1">
      <c r="B5" s="11" t="s">
        <v>3</v>
      </c>
      <c r="C5" s="92">
        <v>2014</v>
      </c>
      <c r="D5" s="7"/>
      <c r="E5" s="11">
        <v>6.6101000000000001</v>
      </c>
      <c r="F5" s="12">
        <v>132595148693</v>
      </c>
      <c r="G5" s="12">
        <v>6603818508</v>
      </c>
      <c r="H5" s="12">
        <v>518778538</v>
      </c>
      <c r="I5" s="99">
        <v>8460648482</v>
      </c>
      <c r="J5" s="60"/>
      <c r="K5" s="60"/>
      <c r="L5" s="61"/>
      <c r="M5" s="61"/>
      <c r="N5" s="61"/>
      <c r="O5" s="97">
        <v>488923000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97">
        <v>834456284</v>
      </c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97">
        <v>426877937</v>
      </c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97">
        <v>46539849</v>
      </c>
      <c r="BD5" s="61"/>
      <c r="BE5" s="61"/>
      <c r="BF5" s="97">
        <v>21757680</v>
      </c>
      <c r="BG5" s="61"/>
      <c r="BH5" s="97">
        <v>117001650</v>
      </c>
      <c r="BI5" s="61"/>
      <c r="BJ5" s="61"/>
      <c r="BK5" s="61"/>
      <c r="BL5" s="61"/>
      <c r="BM5" s="61"/>
      <c r="BN5" s="61"/>
      <c r="BO5" s="61"/>
      <c r="BP5" s="8">
        <f t="shared" si="0"/>
        <v>10396204882</v>
      </c>
    </row>
    <row r="6" spans="2:70" ht="26.5" customHeight="1">
      <c r="B6" s="11" t="s">
        <v>3</v>
      </c>
      <c r="C6" s="7">
        <v>2015</v>
      </c>
      <c r="D6" s="7"/>
      <c r="E6" s="11">
        <v>6.0096999999999996</v>
      </c>
      <c r="F6" s="12">
        <v>132757898080</v>
      </c>
      <c r="G6" s="12">
        <v>6620965441.1617002</v>
      </c>
      <c r="H6" s="12">
        <v>338589256.76600003</v>
      </c>
      <c r="I6" s="12"/>
      <c r="J6" s="60"/>
      <c r="K6" s="60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8">
        <f t="shared" si="0"/>
        <v>0</v>
      </c>
    </row>
    <row r="7" spans="2:70" ht="26.5" customHeight="1">
      <c r="B7" s="11" t="s">
        <v>3</v>
      </c>
      <c r="C7" s="7">
        <v>2016</v>
      </c>
      <c r="D7" s="7"/>
      <c r="E7" s="11">
        <v>6.76970049</v>
      </c>
      <c r="F7" s="12">
        <v>160566448654</v>
      </c>
      <c r="G7" s="12">
        <v>8004572222.1000004</v>
      </c>
      <c r="H7" s="12">
        <v>475004212</v>
      </c>
      <c r="I7" s="12"/>
      <c r="J7" s="60"/>
      <c r="K7" s="60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8">
        <f t="shared" si="0"/>
        <v>0</v>
      </c>
    </row>
    <row r="8" spans="2:70" ht="26.5" customHeight="1">
      <c r="B8" s="11" t="s">
        <v>3</v>
      </c>
      <c r="C8" s="7">
        <v>2017</v>
      </c>
      <c r="D8" s="7"/>
      <c r="E8" s="11">
        <v>7.1873198399999998</v>
      </c>
      <c r="F8" s="12">
        <v>168626111466.75</v>
      </c>
      <c r="G8" s="12">
        <v>8410964582.4034996</v>
      </c>
      <c r="H8" s="12">
        <v>406819818.68000001</v>
      </c>
      <c r="I8" s="12"/>
      <c r="J8" s="95">
        <v>2479808997</v>
      </c>
      <c r="K8" s="96">
        <v>9100000</v>
      </c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95">
        <v>782693</v>
      </c>
      <c r="AB8" s="96">
        <v>2137933345</v>
      </c>
      <c r="AC8" s="61"/>
      <c r="AD8" s="61"/>
      <c r="AE8" s="61"/>
      <c r="AF8" s="96">
        <v>139425849</v>
      </c>
      <c r="AG8" s="61"/>
      <c r="AH8" s="96">
        <v>5783535</v>
      </c>
      <c r="AI8" s="61"/>
      <c r="AJ8" s="61"/>
      <c r="AK8" s="61"/>
      <c r="AL8" s="61"/>
      <c r="AM8" s="95">
        <v>7557669</v>
      </c>
      <c r="AN8" s="61"/>
      <c r="AO8" s="61"/>
      <c r="AP8" s="61"/>
      <c r="AQ8" s="61"/>
      <c r="AR8" s="61"/>
      <c r="AS8" s="95">
        <v>331647642</v>
      </c>
      <c r="AT8" s="61"/>
      <c r="AU8" s="61"/>
      <c r="AV8" s="61"/>
      <c r="AW8" s="61"/>
      <c r="AX8" s="61"/>
      <c r="AY8" s="61"/>
      <c r="AZ8" s="95">
        <v>9736200</v>
      </c>
      <c r="BA8" s="61"/>
      <c r="BB8" s="61"/>
      <c r="BC8" s="61"/>
      <c r="BD8" s="61"/>
      <c r="BE8" s="61"/>
      <c r="BF8" s="61"/>
      <c r="BG8" s="96">
        <v>62695166</v>
      </c>
      <c r="BH8" s="61"/>
      <c r="BI8" s="95">
        <v>448178395</v>
      </c>
      <c r="BJ8" s="61"/>
      <c r="BK8" s="61"/>
      <c r="BL8" s="61"/>
      <c r="BM8" s="61"/>
      <c r="BN8" s="61"/>
      <c r="BO8" s="61"/>
      <c r="BP8" s="67">
        <f t="shared" ref="BP8:BP25" si="1">+SUM(J8:BO8)</f>
        <v>5632649491</v>
      </c>
    </row>
    <row r="9" spans="2:70" ht="26.5" customHeight="1">
      <c r="B9" s="11" t="s">
        <v>3</v>
      </c>
      <c r="C9" s="92">
        <v>2018</v>
      </c>
      <c r="D9" s="7"/>
      <c r="E9" s="11">
        <v>6.968</v>
      </c>
      <c r="F9" s="12">
        <v>173717982000</v>
      </c>
      <c r="G9" s="12">
        <v>8662737321.3855</v>
      </c>
      <c r="H9" s="12">
        <v>463235572.28999996</v>
      </c>
      <c r="I9" s="12"/>
      <c r="J9" s="93">
        <v>8910427032</v>
      </c>
      <c r="K9" s="94">
        <v>362016085.72000003</v>
      </c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93">
        <v>1224083825</v>
      </c>
      <c r="AB9" s="94">
        <v>2076603631</v>
      </c>
      <c r="AC9" s="61"/>
      <c r="AD9" s="93">
        <v>4054035730</v>
      </c>
      <c r="AE9" s="61"/>
      <c r="AF9" s="94">
        <v>357095620</v>
      </c>
      <c r="AG9" s="61"/>
      <c r="AH9" s="93">
        <v>15512539</v>
      </c>
      <c r="AI9" s="61"/>
      <c r="AJ9" s="61"/>
      <c r="AK9" s="61"/>
      <c r="AL9" s="61"/>
      <c r="AM9" s="94">
        <v>64477064</v>
      </c>
      <c r="AN9" s="61"/>
      <c r="AO9" s="61"/>
      <c r="AP9" s="61"/>
      <c r="AQ9" s="61"/>
      <c r="AR9" s="61"/>
      <c r="AS9" s="93">
        <v>1436326081</v>
      </c>
      <c r="AT9" s="61"/>
      <c r="AU9" s="61"/>
      <c r="AV9" s="61"/>
      <c r="AW9" s="61"/>
      <c r="AX9" s="61"/>
      <c r="AY9" s="61"/>
      <c r="AZ9" s="94">
        <v>101670000</v>
      </c>
      <c r="BA9" s="61"/>
      <c r="BB9" s="61"/>
      <c r="BC9" s="61"/>
      <c r="BD9" s="61"/>
      <c r="BE9" s="93">
        <v>88454020</v>
      </c>
      <c r="BF9" s="61"/>
      <c r="BG9" s="94">
        <v>22846320</v>
      </c>
      <c r="BH9" s="61"/>
      <c r="BI9" s="93">
        <v>216583245</v>
      </c>
      <c r="BJ9" s="61"/>
      <c r="BK9" s="61"/>
      <c r="BL9" s="61"/>
      <c r="BM9" s="61"/>
      <c r="BN9" s="61"/>
      <c r="BO9" s="61"/>
      <c r="BP9" s="67">
        <f t="shared" si="1"/>
        <v>18930131192.720001</v>
      </c>
    </row>
    <row r="10" spans="2:70" ht="26.5" customHeight="1">
      <c r="B10" s="11" t="s">
        <v>3</v>
      </c>
      <c r="C10" s="7">
        <v>2019</v>
      </c>
      <c r="D10" s="7"/>
      <c r="E10" s="11">
        <v>6.61</v>
      </c>
      <c r="F10" s="12">
        <v>187153240000</v>
      </c>
      <c r="G10" s="12">
        <v>9328166761.8085003</v>
      </c>
      <c r="H10" s="12">
        <v>589904763.83000004</v>
      </c>
      <c r="I10" s="12"/>
      <c r="J10" s="79">
        <v>9509162069</v>
      </c>
      <c r="K10" s="80">
        <v>322273120</v>
      </c>
      <c r="L10" s="79">
        <v>1000000</v>
      </c>
      <c r="M10" s="91"/>
      <c r="N10" s="61"/>
      <c r="O10" s="61"/>
      <c r="P10" s="61"/>
      <c r="Q10" s="80">
        <v>700210162</v>
      </c>
      <c r="R10" s="61"/>
      <c r="S10" s="61"/>
      <c r="T10" s="61"/>
      <c r="U10" s="61"/>
      <c r="V10" s="61"/>
      <c r="W10" s="61"/>
      <c r="X10" s="61"/>
      <c r="Y10" s="61"/>
      <c r="Z10" s="61"/>
      <c r="AA10" s="79">
        <v>832010864</v>
      </c>
      <c r="AB10" s="80">
        <v>2484239231</v>
      </c>
      <c r="AC10" s="79">
        <v>5000070562</v>
      </c>
      <c r="AD10" s="61"/>
      <c r="AE10" s="79">
        <v>7298587337</v>
      </c>
      <c r="AF10" s="80">
        <v>393361415</v>
      </c>
      <c r="AG10" s="61"/>
      <c r="AH10" s="80">
        <v>19995187</v>
      </c>
      <c r="AI10" s="61"/>
      <c r="AJ10" s="61"/>
      <c r="AK10" s="61"/>
      <c r="AL10" s="61"/>
      <c r="AM10" s="79">
        <v>47637296</v>
      </c>
      <c r="AN10" s="61"/>
      <c r="AO10" s="61"/>
      <c r="AP10" s="79">
        <v>197063568</v>
      </c>
      <c r="AQ10" s="80">
        <v>128405812</v>
      </c>
      <c r="AR10" s="79">
        <v>160501755</v>
      </c>
      <c r="AS10" s="80">
        <v>1073636380</v>
      </c>
      <c r="AT10" s="79">
        <v>80203586</v>
      </c>
      <c r="AU10" s="80">
        <v>60533931</v>
      </c>
      <c r="AV10" s="79">
        <v>4053977</v>
      </c>
      <c r="AW10" s="61"/>
      <c r="AX10" s="80">
        <v>352157</v>
      </c>
      <c r="AY10" s="61"/>
      <c r="AZ10" s="79">
        <v>101670000</v>
      </c>
      <c r="BA10" s="61"/>
      <c r="BB10" s="61"/>
      <c r="BC10" s="61"/>
      <c r="BD10" s="61"/>
      <c r="BE10" s="80">
        <v>176714059</v>
      </c>
      <c r="BF10" s="61"/>
      <c r="BG10" s="79">
        <v>27760320</v>
      </c>
      <c r="BH10" s="61"/>
      <c r="BI10" s="80">
        <v>267853395</v>
      </c>
      <c r="BJ10" s="61"/>
      <c r="BK10" s="61"/>
      <c r="BL10" s="61"/>
      <c r="BM10" s="61"/>
      <c r="BN10" s="61"/>
      <c r="BO10" s="79">
        <v>88369155</v>
      </c>
      <c r="BP10" s="67">
        <f t="shared" si="1"/>
        <v>28975665338</v>
      </c>
    </row>
    <row r="11" spans="2:70" ht="26.5" customHeight="1">
      <c r="B11" s="11" t="s">
        <v>3</v>
      </c>
      <c r="C11" s="7">
        <v>2020</v>
      </c>
      <c r="D11" s="7"/>
      <c r="E11" s="11">
        <v>7.04</v>
      </c>
      <c r="F11" s="12">
        <v>231645211062.66</v>
      </c>
      <c r="G11" s="12">
        <v>11517025517</v>
      </c>
      <c r="H11" s="12">
        <v>1304700722.6600001</v>
      </c>
      <c r="I11" s="12"/>
      <c r="J11" s="89">
        <v>9540850131</v>
      </c>
      <c r="K11" s="84">
        <v>186233247</v>
      </c>
      <c r="L11" s="61"/>
      <c r="M11" s="91"/>
      <c r="N11" s="61"/>
      <c r="O11" s="61"/>
      <c r="P11" s="61"/>
      <c r="Q11" s="84">
        <v>700212162</v>
      </c>
      <c r="R11" s="61"/>
      <c r="S11" s="61"/>
      <c r="T11" s="61"/>
      <c r="U11" s="61"/>
      <c r="V11" s="61"/>
      <c r="W11" s="61"/>
      <c r="X11" s="79">
        <v>8943645000</v>
      </c>
      <c r="Y11" s="61"/>
      <c r="Z11" s="61"/>
      <c r="AA11" s="79">
        <v>246192713</v>
      </c>
      <c r="AB11" s="80">
        <v>3409680254</v>
      </c>
      <c r="AC11" s="79">
        <v>50000000</v>
      </c>
      <c r="AD11" s="80">
        <v>9388018145</v>
      </c>
      <c r="AE11" s="61"/>
      <c r="AF11" s="80">
        <v>387349761</v>
      </c>
      <c r="AG11" s="61"/>
      <c r="AH11" s="84">
        <v>30370439</v>
      </c>
      <c r="AI11" s="61"/>
      <c r="AJ11" s="61"/>
      <c r="AK11" s="61"/>
      <c r="AL11" s="61"/>
      <c r="AM11" s="89">
        <v>96697263</v>
      </c>
      <c r="AN11" s="79">
        <v>342009500</v>
      </c>
      <c r="AO11" s="61"/>
      <c r="AP11" s="61"/>
      <c r="AQ11" s="61"/>
      <c r="AR11" s="61"/>
      <c r="AS11" s="80">
        <v>1027439597</v>
      </c>
      <c r="AT11" s="61"/>
      <c r="AU11" s="61"/>
      <c r="AV11" s="61"/>
      <c r="AW11" s="61"/>
      <c r="AX11" s="61"/>
      <c r="AY11" s="61"/>
      <c r="AZ11" s="79">
        <v>101670000</v>
      </c>
      <c r="BA11" s="61"/>
      <c r="BB11" s="61"/>
      <c r="BC11" s="61"/>
      <c r="BD11" s="61"/>
      <c r="BE11" s="80">
        <v>91247209</v>
      </c>
      <c r="BF11" s="61"/>
      <c r="BG11" s="79">
        <v>36915282</v>
      </c>
      <c r="BH11" s="61"/>
      <c r="BI11" s="80">
        <v>349602388</v>
      </c>
      <c r="BJ11" s="61"/>
      <c r="BK11" s="61"/>
      <c r="BL11" s="61"/>
      <c r="BM11" s="61"/>
      <c r="BN11" s="61"/>
      <c r="BO11" s="79">
        <v>13981000</v>
      </c>
      <c r="BP11" s="67">
        <f t="shared" si="1"/>
        <v>34942114091</v>
      </c>
    </row>
    <row r="12" spans="2:70" ht="26.5" customHeight="1">
      <c r="B12" s="11" t="s">
        <v>3</v>
      </c>
      <c r="C12" s="7">
        <v>2021</v>
      </c>
      <c r="D12" s="7"/>
      <c r="E12" s="11">
        <v>12.16</v>
      </c>
      <c r="F12" s="12">
        <v>390739103000</v>
      </c>
      <c r="G12" s="12">
        <v>19491926231.734631</v>
      </c>
      <c r="H12" s="12">
        <v>900578365</v>
      </c>
      <c r="I12" s="12"/>
      <c r="J12" s="82">
        <v>18095052888</v>
      </c>
      <c r="K12" s="85">
        <v>381674925</v>
      </c>
      <c r="L12" s="82">
        <v>2000000</v>
      </c>
      <c r="M12" s="91"/>
      <c r="N12" s="77">
        <v>99930000</v>
      </c>
      <c r="O12" s="61"/>
      <c r="P12" s="61"/>
      <c r="Q12" s="85">
        <v>700210162</v>
      </c>
      <c r="R12" s="61"/>
      <c r="S12" s="61"/>
      <c r="T12" s="61"/>
      <c r="U12" s="61"/>
      <c r="V12" s="82">
        <v>930240585</v>
      </c>
      <c r="W12" s="61"/>
      <c r="X12" s="61"/>
      <c r="Y12" s="61"/>
      <c r="Z12" s="61"/>
      <c r="AA12" s="77">
        <v>101736910</v>
      </c>
      <c r="AB12" s="78">
        <v>5623462277</v>
      </c>
      <c r="AC12" s="61"/>
      <c r="AD12" s="78">
        <v>10470001250</v>
      </c>
      <c r="AE12" s="61"/>
      <c r="AF12" s="78">
        <v>739979589</v>
      </c>
      <c r="AG12" s="61"/>
      <c r="AH12" s="85">
        <v>184824593</v>
      </c>
      <c r="AI12" s="61"/>
      <c r="AJ12" s="61"/>
      <c r="AK12" s="61"/>
      <c r="AL12" s="61"/>
      <c r="AM12" s="82">
        <v>1074843449</v>
      </c>
      <c r="AN12" s="82"/>
      <c r="AO12" s="61"/>
      <c r="AP12" s="61"/>
      <c r="AQ12" s="61"/>
      <c r="AR12" s="88"/>
      <c r="AS12" s="85">
        <v>601569229</v>
      </c>
      <c r="AT12" s="91"/>
      <c r="AU12" s="61"/>
      <c r="AV12" s="61"/>
      <c r="AW12" s="61"/>
      <c r="AX12" s="61"/>
      <c r="AY12" s="61"/>
      <c r="AZ12" s="77">
        <v>102506250</v>
      </c>
      <c r="BA12" s="61"/>
      <c r="BB12" s="61"/>
      <c r="BC12" s="61"/>
      <c r="BD12" s="61"/>
      <c r="BE12" s="77">
        <v>244113282</v>
      </c>
      <c r="BF12" s="61"/>
      <c r="BG12" s="78">
        <v>91733040</v>
      </c>
      <c r="BH12" s="61"/>
      <c r="BI12" s="77">
        <v>739969819</v>
      </c>
      <c r="BJ12" s="61"/>
      <c r="BK12" s="61"/>
      <c r="BL12" s="61"/>
      <c r="BM12" s="61"/>
      <c r="BN12" s="78"/>
      <c r="BO12" s="78">
        <v>12875000</v>
      </c>
      <c r="BP12" s="67">
        <f t="shared" si="1"/>
        <v>40196723248</v>
      </c>
      <c r="BR12" s="67"/>
    </row>
    <row r="13" spans="2:70" ht="26.5" customHeight="1">
      <c r="B13" s="11" t="s">
        <v>3</v>
      </c>
      <c r="C13" s="7">
        <v>2022</v>
      </c>
      <c r="D13" s="7"/>
      <c r="E13" s="11">
        <v>10.89</v>
      </c>
      <c r="F13" s="12">
        <v>392586705000</v>
      </c>
      <c r="G13" s="12">
        <v>19583213628.882149</v>
      </c>
      <c r="H13" s="12">
        <v>922432422</v>
      </c>
      <c r="I13" s="12"/>
      <c r="J13" s="83">
        <v>19563971740</v>
      </c>
      <c r="K13" s="86">
        <v>344657753</v>
      </c>
      <c r="L13" s="61"/>
      <c r="M13" s="91"/>
      <c r="N13" s="75">
        <v>81430000</v>
      </c>
      <c r="O13" s="61"/>
      <c r="P13" s="61"/>
      <c r="Q13" s="86">
        <v>700210162</v>
      </c>
      <c r="R13" s="61"/>
      <c r="S13" s="61"/>
      <c r="T13" s="61"/>
      <c r="U13" s="61"/>
      <c r="V13" s="83">
        <v>13745906089</v>
      </c>
      <c r="W13" s="61"/>
      <c r="X13" s="61"/>
      <c r="Y13" s="61"/>
      <c r="Z13" s="61"/>
      <c r="AA13" s="75">
        <v>1159716473</v>
      </c>
      <c r="AB13" s="76">
        <v>5214687204</v>
      </c>
      <c r="AC13" s="75">
        <v>300000</v>
      </c>
      <c r="AD13" s="76">
        <v>10209148561</v>
      </c>
      <c r="AE13" s="61"/>
      <c r="AF13" s="76">
        <v>1272817806</v>
      </c>
      <c r="AG13" s="61"/>
      <c r="AH13" s="86">
        <v>23197229</v>
      </c>
      <c r="AI13" s="61"/>
      <c r="AJ13" s="61"/>
      <c r="AK13" s="61"/>
      <c r="AL13" s="61"/>
      <c r="AM13" s="83">
        <v>19512723643</v>
      </c>
      <c r="AN13" s="83"/>
      <c r="AO13" s="61"/>
      <c r="AP13" s="75">
        <v>5060698358</v>
      </c>
      <c r="AQ13" s="76">
        <v>82821682</v>
      </c>
      <c r="AR13" s="75">
        <v>103417232</v>
      </c>
      <c r="AS13" s="86">
        <v>432572906</v>
      </c>
      <c r="AT13" s="75">
        <v>51435059</v>
      </c>
      <c r="AU13" s="76">
        <v>33147645</v>
      </c>
      <c r="AV13" s="75">
        <v>28354930</v>
      </c>
      <c r="AW13" s="76">
        <v>197604113</v>
      </c>
      <c r="AX13" s="75">
        <v>71300044</v>
      </c>
      <c r="AY13" s="61"/>
      <c r="AZ13" s="76">
        <v>102506250</v>
      </c>
      <c r="BA13" s="61"/>
      <c r="BB13" s="61"/>
      <c r="BC13" s="61"/>
      <c r="BD13" s="75">
        <v>2539000</v>
      </c>
      <c r="BE13" s="76">
        <v>273526547</v>
      </c>
      <c r="BF13" s="61"/>
      <c r="BG13" s="75">
        <v>92413440</v>
      </c>
      <c r="BH13" s="61"/>
      <c r="BI13" s="76">
        <v>824145628</v>
      </c>
      <c r="BJ13" s="61"/>
      <c r="BK13" s="61"/>
      <c r="BL13" s="61"/>
      <c r="BM13" s="61"/>
      <c r="BN13" s="61"/>
      <c r="BO13" s="75">
        <v>177051978</v>
      </c>
      <c r="BP13" s="67">
        <f t="shared" si="1"/>
        <v>79362301472</v>
      </c>
    </row>
    <row r="14" spans="2:70" ht="26.5" customHeight="1">
      <c r="B14" s="11" t="s">
        <v>3</v>
      </c>
      <c r="C14" s="7">
        <v>2023</v>
      </c>
      <c r="D14" s="7"/>
      <c r="E14" s="11">
        <v>9.14</v>
      </c>
      <c r="F14" s="12">
        <v>350506489000</v>
      </c>
      <c r="G14" s="12">
        <v>17483287112.941906</v>
      </c>
      <c r="H14" s="12">
        <v>840746741</v>
      </c>
      <c r="I14" s="12"/>
      <c r="J14" s="90">
        <v>17983379589</v>
      </c>
      <c r="K14" s="87">
        <v>394603655.20999998</v>
      </c>
      <c r="L14" s="90">
        <v>2000000</v>
      </c>
      <c r="M14" s="74"/>
      <c r="N14" s="72">
        <v>339510000</v>
      </c>
      <c r="O14" s="61"/>
      <c r="P14" s="61"/>
      <c r="Q14" s="87">
        <v>700210162</v>
      </c>
      <c r="R14" s="61"/>
      <c r="S14" s="61"/>
      <c r="T14" s="61"/>
      <c r="U14" s="61"/>
      <c r="V14" s="90">
        <v>3780409704</v>
      </c>
      <c r="W14" s="61"/>
      <c r="X14" s="61"/>
      <c r="Y14" s="61"/>
      <c r="Z14" s="61"/>
      <c r="AA14" s="72">
        <v>3552753938</v>
      </c>
      <c r="AB14" s="73">
        <v>6547939856</v>
      </c>
      <c r="AC14" s="72">
        <v>14165870891</v>
      </c>
      <c r="AD14" s="73">
        <v>56031664385</v>
      </c>
      <c r="AE14" s="61"/>
      <c r="AF14" s="73">
        <v>2416973413</v>
      </c>
      <c r="AG14" s="61"/>
      <c r="AH14" s="87">
        <v>355809766</v>
      </c>
      <c r="AI14" s="61"/>
      <c r="AJ14" s="61"/>
      <c r="AK14" s="61"/>
      <c r="AL14" s="61"/>
      <c r="AM14" s="90">
        <v>598684575</v>
      </c>
      <c r="AN14" s="90"/>
      <c r="AO14" s="61"/>
      <c r="AP14" s="61"/>
      <c r="AQ14" s="61"/>
      <c r="AR14" s="88"/>
      <c r="AS14" s="87">
        <v>14790586394</v>
      </c>
      <c r="AT14" s="91"/>
      <c r="AU14" s="61"/>
      <c r="AV14" s="61"/>
      <c r="AW14" s="61"/>
      <c r="AX14" s="72">
        <v>1356080521</v>
      </c>
      <c r="AY14" s="61"/>
      <c r="AZ14" s="73">
        <v>1200349100</v>
      </c>
      <c r="BA14" s="61"/>
      <c r="BB14" s="61"/>
      <c r="BC14" s="61"/>
      <c r="BD14" s="61"/>
      <c r="BE14" s="73">
        <v>278981251</v>
      </c>
      <c r="BF14" s="61"/>
      <c r="BG14" s="72">
        <v>101160360</v>
      </c>
      <c r="BH14" s="61"/>
      <c r="BI14" s="73">
        <v>982516892</v>
      </c>
      <c r="BJ14" s="61"/>
      <c r="BK14" s="61"/>
      <c r="BL14" s="61"/>
      <c r="BM14" s="61"/>
      <c r="BN14" s="71">
        <v>20996063</v>
      </c>
      <c r="BO14" s="61"/>
      <c r="BP14" s="67">
        <f t="shared" si="1"/>
        <v>125600480515.20999</v>
      </c>
    </row>
    <row r="15" spans="2:70" ht="26.5" customHeight="1">
      <c r="B15" s="11" t="s">
        <v>3</v>
      </c>
      <c r="C15" s="7">
        <v>2024</v>
      </c>
      <c r="D15" s="7"/>
      <c r="E15" s="11">
        <v>7.25</v>
      </c>
      <c r="F15" s="12">
        <v>340686627000</v>
      </c>
      <c r="G15" s="12">
        <f>F15*0.05</f>
        <v>17034331350</v>
      </c>
      <c r="H15" s="62" t="s">
        <v>7</v>
      </c>
      <c r="I15" s="62"/>
      <c r="J15" s="63">
        <v>12982245458</v>
      </c>
      <c r="K15" s="60">
        <v>0</v>
      </c>
      <c r="L15" s="63">
        <v>10000000</v>
      </c>
      <c r="M15" s="61"/>
      <c r="N15" s="64">
        <v>165308750</v>
      </c>
      <c r="O15" s="61"/>
      <c r="P15" s="61"/>
      <c r="Q15" s="63">
        <v>5156057429</v>
      </c>
      <c r="R15" s="61"/>
      <c r="S15" s="61"/>
      <c r="T15" s="61"/>
      <c r="U15" s="61"/>
      <c r="V15" s="64">
        <v>8550085532</v>
      </c>
      <c r="W15" s="61"/>
      <c r="X15" s="61"/>
      <c r="Y15" s="61"/>
      <c r="Z15" s="61"/>
      <c r="AA15" s="63">
        <v>2961595410</v>
      </c>
      <c r="AB15" s="59">
        <v>7765358367</v>
      </c>
      <c r="AC15" s="61"/>
      <c r="AD15" s="64">
        <v>37354442924</v>
      </c>
      <c r="AE15" s="63">
        <v>8753036627</v>
      </c>
      <c r="AF15" s="64">
        <v>2798450495</v>
      </c>
      <c r="AG15" s="61"/>
      <c r="AH15" s="63">
        <v>17817365</v>
      </c>
      <c r="AI15" s="64">
        <v>189710162</v>
      </c>
      <c r="AJ15" s="61"/>
      <c r="AK15" s="61"/>
      <c r="AL15" s="61"/>
      <c r="AM15" s="63">
        <v>9719760854</v>
      </c>
      <c r="AN15" s="63"/>
      <c r="AO15" s="61"/>
      <c r="AP15" s="64">
        <v>12479862303</v>
      </c>
      <c r="AQ15" s="63">
        <v>47512057</v>
      </c>
      <c r="AR15" s="64">
        <v>59390072</v>
      </c>
      <c r="AS15" s="63">
        <v>360813765</v>
      </c>
      <c r="AT15" s="64">
        <v>29695037</v>
      </c>
      <c r="AU15" s="63">
        <v>51467044</v>
      </c>
      <c r="AV15" s="64">
        <v>39601445</v>
      </c>
      <c r="AW15" s="63">
        <v>118255043</v>
      </c>
      <c r="AX15" s="64">
        <v>8101133842</v>
      </c>
      <c r="AY15" s="61"/>
      <c r="AZ15" s="63">
        <v>645548107</v>
      </c>
      <c r="BA15" s="61"/>
      <c r="BB15" s="64">
        <v>272585030</v>
      </c>
      <c r="BC15" s="61"/>
      <c r="BD15" s="63"/>
      <c r="BE15" s="61"/>
      <c r="BF15" s="61"/>
      <c r="BG15" s="63">
        <v>109702542</v>
      </c>
      <c r="BH15" s="61"/>
      <c r="BI15" s="64">
        <v>1054051350</v>
      </c>
      <c r="BJ15" s="61"/>
      <c r="BK15" s="61"/>
      <c r="BL15" s="61"/>
      <c r="BM15" s="61"/>
      <c r="BN15" s="61"/>
      <c r="BO15" s="61"/>
      <c r="BP15" s="67">
        <f t="shared" si="1"/>
        <v>119793487010</v>
      </c>
    </row>
    <row r="16" spans="2:70" ht="26.5" customHeight="1">
      <c r="B16" s="11" t="s">
        <v>3</v>
      </c>
      <c r="C16" s="7">
        <v>2025</v>
      </c>
      <c r="D16" s="7"/>
      <c r="E16" s="11">
        <v>8.5289609744902002</v>
      </c>
      <c r="F16" s="12">
        <v>556090522892</v>
      </c>
      <c r="G16" s="12">
        <f>F16*0.05</f>
        <v>27804526144.600002</v>
      </c>
      <c r="H16" s="62" t="s">
        <v>7</v>
      </c>
      <c r="I16" s="62"/>
      <c r="J16" s="60"/>
      <c r="K16" s="60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7">
        <f t="shared" si="1"/>
        <v>0</v>
      </c>
    </row>
    <row r="17" spans="2:68" ht="26.5" customHeight="1">
      <c r="B17" s="11" t="s">
        <v>4</v>
      </c>
      <c r="C17" s="92">
        <v>2018</v>
      </c>
      <c r="D17" s="7"/>
      <c r="E17" s="11">
        <v>4.452</v>
      </c>
      <c r="F17" s="12">
        <v>100183726000</v>
      </c>
      <c r="G17" s="12">
        <v>5008589699</v>
      </c>
      <c r="H17" s="65">
        <f>F17-G17/0.05</f>
        <v>11932020</v>
      </c>
      <c r="I17" s="100"/>
      <c r="J17" s="93">
        <v>3248958243</v>
      </c>
      <c r="K17" s="94">
        <v>99386000</v>
      </c>
      <c r="L17" s="60"/>
      <c r="M17" s="60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93">
        <v>1017412247</v>
      </c>
      <c r="AC17" s="61"/>
      <c r="AD17" s="61"/>
      <c r="AE17" s="61"/>
      <c r="AF17" s="94">
        <v>362594359</v>
      </c>
      <c r="AG17" s="61"/>
      <c r="AH17" s="93">
        <v>9074720</v>
      </c>
      <c r="AI17" s="61"/>
      <c r="AJ17" s="61"/>
      <c r="AK17" s="61"/>
      <c r="AL17" s="61"/>
      <c r="AM17" s="94">
        <v>44148316</v>
      </c>
      <c r="AN17" s="61"/>
      <c r="AO17" s="61"/>
      <c r="AP17" s="61"/>
      <c r="AQ17" s="61"/>
      <c r="AR17" s="61"/>
      <c r="AS17" s="93">
        <v>225016261</v>
      </c>
      <c r="AT17" s="61"/>
      <c r="AU17" s="61"/>
      <c r="AV17" s="61"/>
      <c r="AW17" s="61"/>
      <c r="AX17" s="61"/>
      <c r="AY17" s="61"/>
      <c r="AZ17" s="94">
        <v>123768300</v>
      </c>
      <c r="BA17" s="61"/>
      <c r="BB17" s="61"/>
      <c r="BC17" s="61"/>
      <c r="BD17" s="61"/>
      <c r="BE17" s="61"/>
      <c r="BF17" s="61"/>
      <c r="BG17" s="93">
        <v>24151176</v>
      </c>
      <c r="BH17" s="61"/>
      <c r="BI17" s="94">
        <v>202387738</v>
      </c>
      <c r="BJ17" s="61"/>
      <c r="BK17" s="61"/>
      <c r="BL17" s="61"/>
      <c r="BM17" s="61"/>
      <c r="BN17" s="61"/>
      <c r="BO17" s="61"/>
      <c r="BP17" s="67">
        <f t="shared" si="1"/>
        <v>5356897360</v>
      </c>
    </row>
    <row r="18" spans="2:68" ht="26.5" customHeight="1">
      <c r="B18" s="11" t="s">
        <v>4</v>
      </c>
      <c r="C18" s="7">
        <v>2019</v>
      </c>
      <c r="D18" s="7"/>
      <c r="E18" s="11">
        <v>5.7919</v>
      </c>
      <c r="F18" s="12">
        <v>151790543701.83826</v>
      </c>
      <c r="G18" s="12">
        <v>7576735998</v>
      </c>
      <c r="H18" s="12">
        <v>255823739.503295</v>
      </c>
      <c r="I18" s="12"/>
      <c r="J18" s="79">
        <v>7491544126</v>
      </c>
      <c r="K18" s="80">
        <v>113941440</v>
      </c>
      <c r="L18" s="60"/>
      <c r="M18" s="60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80">
        <v>3891381765</v>
      </c>
      <c r="AC18" s="61"/>
      <c r="AD18" s="61"/>
      <c r="AE18" s="80"/>
      <c r="AF18" s="80">
        <v>682759738</v>
      </c>
      <c r="AG18" s="61"/>
      <c r="AH18" s="80">
        <v>5797753</v>
      </c>
      <c r="AI18" s="61"/>
      <c r="AJ18" s="61"/>
      <c r="AK18" s="61"/>
      <c r="AL18" s="61"/>
      <c r="AM18" s="79">
        <v>39774221</v>
      </c>
      <c r="AN18" s="61"/>
      <c r="AO18" s="61"/>
      <c r="AP18" s="79">
        <v>5811395</v>
      </c>
      <c r="AQ18" s="80">
        <v>90404467</v>
      </c>
      <c r="AR18" s="79">
        <v>112863713</v>
      </c>
      <c r="AS18" s="80">
        <v>3788630</v>
      </c>
      <c r="AT18" s="79">
        <v>56408654</v>
      </c>
      <c r="AU18" s="80">
        <v>573846</v>
      </c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79">
        <v>22099694</v>
      </c>
      <c r="BH18" s="61"/>
      <c r="BI18" s="80">
        <v>171008028</v>
      </c>
      <c r="BJ18" s="61"/>
      <c r="BK18" s="61"/>
      <c r="BL18" s="61"/>
      <c r="BM18" s="61"/>
      <c r="BN18" s="61"/>
      <c r="BO18" s="79">
        <v>96210</v>
      </c>
      <c r="BP18" s="67">
        <f t="shared" si="1"/>
        <v>12688253680</v>
      </c>
    </row>
    <row r="19" spans="2:68" ht="26.5" customHeight="1">
      <c r="B19" s="11" t="s">
        <v>4</v>
      </c>
      <c r="C19" s="7">
        <v>2020</v>
      </c>
      <c r="D19" s="7"/>
      <c r="E19" s="11">
        <v>5.3128000000000002</v>
      </c>
      <c r="F19" s="12">
        <v>156789785059.60001</v>
      </c>
      <c r="G19" s="12">
        <v>8679348430</v>
      </c>
      <c r="H19" s="12">
        <v>488750421.1055975</v>
      </c>
      <c r="I19" s="12"/>
      <c r="J19" s="79">
        <v>8306948342</v>
      </c>
      <c r="K19" s="80">
        <v>137579025</v>
      </c>
      <c r="L19" s="60"/>
      <c r="M19" s="60"/>
      <c r="N19" s="61"/>
      <c r="O19" s="61"/>
      <c r="P19" s="61"/>
      <c r="Q19" s="61"/>
      <c r="R19" s="61"/>
      <c r="S19" s="61"/>
      <c r="T19" s="61"/>
      <c r="U19" s="61"/>
      <c r="V19" s="79">
        <v>3780000000</v>
      </c>
      <c r="W19" s="61"/>
      <c r="X19" s="61"/>
      <c r="Y19" s="61"/>
      <c r="Z19" s="61"/>
      <c r="AA19" s="61"/>
      <c r="AB19" s="80">
        <v>3169904533</v>
      </c>
      <c r="AC19" s="61"/>
      <c r="AD19" s="61"/>
      <c r="AE19" s="61"/>
      <c r="AF19" s="80">
        <v>683472246</v>
      </c>
      <c r="AG19" s="61"/>
      <c r="AH19" s="80">
        <v>6996835</v>
      </c>
      <c r="AI19" s="61"/>
      <c r="AJ19" s="61"/>
      <c r="AK19" s="61"/>
      <c r="AL19" s="61"/>
      <c r="AM19" s="79">
        <v>5250761904</v>
      </c>
      <c r="AN19" s="61"/>
      <c r="AO19" s="61"/>
      <c r="AP19" s="61"/>
      <c r="AQ19" s="61"/>
      <c r="AR19" s="61"/>
      <c r="AS19" s="61"/>
      <c r="AT19" s="80">
        <v>304667880</v>
      </c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79">
        <v>22819482</v>
      </c>
      <c r="BH19" s="61"/>
      <c r="BI19" s="80">
        <v>59159110</v>
      </c>
      <c r="BJ19" s="61"/>
      <c r="BK19" s="61"/>
      <c r="BL19" s="61"/>
      <c r="BM19" s="61"/>
      <c r="BN19" s="61"/>
      <c r="BO19" s="61"/>
      <c r="BP19" s="67">
        <f t="shared" si="1"/>
        <v>21722309357</v>
      </c>
    </row>
    <row r="20" spans="2:68" ht="26.5" customHeight="1">
      <c r="B20" s="11" t="s">
        <v>4</v>
      </c>
      <c r="C20" s="7">
        <v>2021</v>
      </c>
      <c r="D20" s="7"/>
      <c r="E20" s="11">
        <v>3.9935</v>
      </c>
      <c r="F20" s="12">
        <v>123373492000</v>
      </c>
      <c r="G20" s="12">
        <v>6168674600</v>
      </c>
      <c r="H20" s="62" t="s">
        <v>7</v>
      </c>
      <c r="I20" s="62"/>
      <c r="J20" s="82">
        <v>6906222357</v>
      </c>
      <c r="K20" s="85">
        <v>166923900</v>
      </c>
      <c r="L20" s="66"/>
      <c r="M20" s="66"/>
      <c r="N20" s="61"/>
      <c r="O20" s="61"/>
      <c r="P20" s="61"/>
      <c r="Q20" s="61"/>
      <c r="R20" s="61"/>
      <c r="S20" s="61"/>
      <c r="T20" s="61"/>
      <c r="U20" s="61"/>
      <c r="V20" s="82">
        <v>2889000000</v>
      </c>
      <c r="W20" s="61"/>
      <c r="X20" s="61"/>
      <c r="Y20" s="61"/>
      <c r="Z20" s="61"/>
      <c r="AA20" s="61"/>
      <c r="AB20" s="85">
        <v>2947069880</v>
      </c>
      <c r="AC20" s="82">
        <v>5011458749</v>
      </c>
      <c r="AD20" s="61"/>
      <c r="AE20" s="61"/>
      <c r="AF20" s="85">
        <v>313859540</v>
      </c>
      <c r="AG20" s="61"/>
      <c r="AH20" s="85">
        <v>2289333</v>
      </c>
      <c r="AI20" s="61"/>
      <c r="AJ20" s="61"/>
      <c r="AK20" s="61"/>
      <c r="AL20" s="61"/>
      <c r="AM20" s="82">
        <v>3601523810</v>
      </c>
      <c r="AN20" s="82"/>
      <c r="AO20" s="61"/>
      <c r="AP20" s="61"/>
      <c r="AQ20" s="61"/>
      <c r="AR20" s="88"/>
      <c r="AS20" s="85">
        <v>237349568</v>
      </c>
      <c r="AT20" s="9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77">
        <v>23344848</v>
      </c>
      <c r="BH20" s="61"/>
      <c r="BI20" s="85">
        <v>63131627</v>
      </c>
      <c r="BJ20" s="61"/>
      <c r="BK20" s="61"/>
      <c r="BL20" s="61"/>
      <c r="BM20" s="61"/>
      <c r="BN20" s="61"/>
      <c r="BO20" s="61"/>
      <c r="BP20" s="67">
        <f t="shared" si="1"/>
        <v>22162173612</v>
      </c>
    </row>
    <row r="21" spans="2:68" ht="26.5" customHeight="1">
      <c r="B21" s="11" t="s">
        <v>4</v>
      </c>
      <c r="C21" s="7">
        <v>2022</v>
      </c>
      <c r="D21" s="7"/>
      <c r="E21" s="11">
        <v>4.0319337419999997</v>
      </c>
      <c r="F21" s="12">
        <v>147862816000</v>
      </c>
      <c r="G21" s="12">
        <v>7393140800</v>
      </c>
      <c r="H21" s="62" t="s">
        <v>7</v>
      </c>
      <c r="I21" s="62"/>
      <c r="J21" s="83">
        <v>7519284055</v>
      </c>
      <c r="K21" s="86">
        <v>67395700</v>
      </c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83">
        <v>2854000000</v>
      </c>
      <c r="W21" s="61"/>
      <c r="X21" s="61"/>
      <c r="Y21" s="61"/>
      <c r="Z21" s="61"/>
      <c r="AA21" s="61"/>
      <c r="AB21" s="86">
        <v>4017092953</v>
      </c>
      <c r="AC21" s="86"/>
      <c r="AD21" s="61"/>
      <c r="AE21" s="61"/>
      <c r="AF21" s="86">
        <v>366124044</v>
      </c>
      <c r="AG21" s="61"/>
      <c r="AH21" s="86">
        <v>2452751</v>
      </c>
      <c r="AI21" s="61"/>
      <c r="AJ21" s="61"/>
      <c r="AK21" s="61"/>
      <c r="AL21" s="61"/>
      <c r="AM21" s="83">
        <v>2700640000</v>
      </c>
      <c r="AN21" s="83"/>
      <c r="AO21" s="61"/>
      <c r="AP21" s="75">
        <v>46982080</v>
      </c>
      <c r="AQ21" s="76">
        <v>92565977</v>
      </c>
      <c r="AR21" s="75">
        <v>115733943</v>
      </c>
      <c r="AS21" s="86">
        <v>29117848</v>
      </c>
      <c r="AT21" s="83">
        <v>57671634</v>
      </c>
      <c r="AU21" s="86">
        <v>1406632</v>
      </c>
      <c r="AV21" s="83">
        <v>162957</v>
      </c>
      <c r="AW21" s="86">
        <v>5331137</v>
      </c>
      <c r="AX21" s="83">
        <v>329737</v>
      </c>
      <c r="AY21" s="61"/>
      <c r="AZ21" s="61"/>
      <c r="BA21" s="61"/>
      <c r="BB21" s="61"/>
      <c r="BC21" s="61"/>
      <c r="BD21" s="61"/>
      <c r="BE21" s="61"/>
      <c r="BF21" s="61"/>
      <c r="BG21" s="75">
        <v>23806442</v>
      </c>
      <c r="BH21" s="61"/>
      <c r="BI21" s="86">
        <v>208157611</v>
      </c>
      <c r="BJ21" s="61"/>
      <c r="BK21" s="61"/>
      <c r="BL21" s="61"/>
      <c r="BM21" s="61"/>
      <c r="BN21" s="61"/>
      <c r="BO21" s="75">
        <v>3051789</v>
      </c>
      <c r="BP21" s="67">
        <f t="shared" si="1"/>
        <v>18111307290</v>
      </c>
    </row>
    <row r="22" spans="2:68" ht="26.5" customHeight="1">
      <c r="B22" s="11" t="s">
        <v>4</v>
      </c>
      <c r="C22" s="7">
        <v>2023</v>
      </c>
      <c r="D22" s="7"/>
      <c r="E22" s="11">
        <v>3.7307999999999999</v>
      </c>
      <c r="F22" s="12">
        <v>141473181133.46954</v>
      </c>
      <c r="G22" s="12">
        <v>7073659453</v>
      </c>
      <c r="H22" s="62" t="s">
        <v>7</v>
      </c>
      <c r="I22" s="62"/>
      <c r="J22" s="90">
        <v>7008278087</v>
      </c>
      <c r="K22" s="87">
        <v>760258440</v>
      </c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90">
        <v>872000000</v>
      </c>
      <c r="W22" s="61"/>
      <c r="X22" s="61"/>
      <c r="Y22" s="61"/>
      <c r="Z22" s="61"/>
      <c r="AA22" s="61"/>
      <c r="AB22" s="87">
        <v>2855678236</v>
      </c>
      <c r="AC22" s="61"/>
      <c r="AD22" s="87">
        <v>2417260000</v>
      </c>
      <c r="AE22" s="61"/>
      <c r="AF22" s="87">
        <v>207284343</v>
      </c>
      <c r="AG22" s="61"/>
      <c r="AH22" s="87">
        <v>5898351</v>
      </c>
      <c r="AI22" s="61"/>
      <c r="AJ22" s="61"/>
      <c r="AK22" s="61"/>
      <c r="AL22" s="61"/>
      <c r="AM22" s="90">
        <v>2492341</v>
      </c>
      <c r="AN22" s="90"/>
      <c r="AO22" s="61"/>
      <c r="AP22" s="72">
        <v>26926197</v>
      </c>
      <c r="AQ22" s="73">
        <v>46802333</v>
      </c>
      <c r="AR22" s="72">
        <v>58501550</v>
      </c>
      <c r="AS22" s="87">
        <v>14114945</v>
      </c>
      <c r="AT22" s="90">
        <v>29242348</v>
      </c>
      <c r="AU22" s="87">
        <v>237106</v>
      </c>
      <c r="AV22" s="90">
        <v>124975</v>
      </c>
      <c r="AW22" s="87">
        <v>3131508</v>
      </c>
      <c r="AX22" s="90">
        <v>306905</v>
      </c>
      <c r="AY22" s="61"/>
      <c r="AZ22" s="61"/>
      <c r="BA22" s="61"/>
      <c r="BB22" s="61"/>
      <c r="BC22" s="61"/>
      <c r="BD22" s="61"/>
      <c r="BE22" s="61"/>
      <c r="BF22" s="61"/>
      <c r="BG22" s="72">
        <v>25200924</v>
      </c>
      <c r="BH22" s="61"/>
      <c r="BI22" s="87">
        <v>246360435</v>
      </c>
      <c r="BJ22" s="61"/>
      <c r="BK22" s="61"/>
      <c r="BL22" s="61"/>
      <c r="BM22" s="61"/>
      <c r="BN22" s="71">
        <v>809852</v>
      </c>
      <c r="BO22" s="61"/>
      <c r="BP22" s="67">
        <f t="shared" si="1"/>
        <v>14580908876</v>
      </c>
    </row>
    <row r="23" spans="2:68" ht="26.5" customHeight="1">
      <c r="B23" s="11" t="s">
        <v>4</v>
      </c>
      <c r="C23" s="7">
        <v>2024</v>
      </c>
      <c r="D23" s="7"/>
      <c r="E23" s="11">
        <v>3.7669999999999999</v>
      </c>
      <c r="F23" s="12">
        <v>174778072792</v>
      </c>
      <c r="G23" s="12">
        <f t="shared" ref="G23:G24" si="2">+F23*0.05</f>
        <v>8738903639.6000004</v>
      </c>
      <c r="H23" s="62" t="s">
        <v>7</v>
      </c>
      <c r="I23" s="62"/>
      <c r="J23" s="64">
        <v>8454646351</v>
      </c>
      <c r="K23" s="60"/>
      <c r="L23" s="61"/>
      <c r="M23" s="61"/>
      <c r="N23" s="61"/>
      <c r="O23" s="61"/>
      <c r="P23" s="61"/>
      <c r="Q23" s="59">
        <v>756332380</v>
      </c>
      <c r="R23" s="61"/>
      <c r="S23" s="61"/>
      <c r="T23" s="61"/>
      <c r="U23" s="61"/>
      <c r="V23" s="63">
        <v>3368856498</v>
      </c>
      <c r="W23" s="61"/>
      <c r="X23" s="61"/>
      <c r="Y23" s="61"/>
      <c r="Z23" s="61"/>
      <c r="AA23" s="63">
        <v>209733459</v>
      </c>
      <c r="AB23" s="64">
        <v>2377240218</v>
      </c>
      <c r="AC23" s="63">
        <v>3000000000</v>
      </c>
      <c r="AD23" s="64">
        <v>10226889219</v>
      </c>
      <c r="AE23" s="61"/>
      <c r="AF23" s="63">
        <v>223062855</v>
      </c>
      <c r="AG23" s="61"/>
      <c r="AH23" s="64">
        <v>1358135</v>
      </c>
      <c r="AI23" s="61"/>
      <c r="AJ23" s="61"/>
      <c r="AK23" s="61"/>
      <c r="AL23" s="61"/>
      <c r="AM23" s="64">
        <v>8299828097</v>
      </c>
      <c r="AN23" s="64"/>
      <c r="AO23" s="61"/>
      <c r="AP23" s="58">
        <v>758414389</v>
      </c>
      <c r="AQ23" s="59">
        <v>63440364</v>
      </c>
      <c r="AR23" s="58">
        <v>79300466</v>
      </c>
      <c r="AS23" s="64">
        <v>292634038</v>
      </c>
      <c r="AT23" s="63">
        <v>39424980</v>
      </c>
      <c r="AU23" s="64">
        <v>11585412</v>
      </c>
      <c r="AV23" s="63">
        <v>7911392</v>
      </c>
      <c r="AW23" s="64">
        <v>79642143</v>
      </c>
      <c r="AX23" s="63">
        <v>7818637552</v>
      </c>
      <c r="AY23" s="61"/>
      <c r="AZ23" s="59">
        <v>433189050</v>
      </c>
      <c r="BA23" s="61"/>
      <c r="BB23" s="61"/>
      <c r="BC23" s="61"/>
      <c r="BD23" s="61"/>
      <c r="BE23" s="61"/>
      <c r="BF23" s="61"/>
      <c r="BG23" s="58">
        <v>22716501</v>
      </c>
      <c r="BH23" s="61"/>
      <c r="BI23" s="64">
        <v>240972402</v>
      </c>
      <c r="BJ23" s="61"/>
      <c r="BK23" s="61"/>
      <c r="BL23" s="61"/>
      <c r="BM23" s="61"/>
      <c r="BN23" s="61"/>
      <c r="BO23" s="61"/>
      <c r="BP23" s="67">
        <f t="shared" si="1"/>
        <v>46765815901</v>
      </c>
    </row>
    <row r="24" spans="2:68" ht="26.5" customHeight="1">
      <c r="B24" s="11" t="s">
        <v>4</v>
      </c>
      <c r="C24" s="7">
        <v>2025</v>
      </c>
      <c r="D24" s="7"/>
      <c r="E24" s="11">
        <v>3.0437676825827999</v>
      </c>
      <c r="F24" s="12">
        <v>190858956408.66034</v>
      </c>
      <c r="G24" s="12">
        <f t="shared" si="2"/>
        <v>9542947820.4330177</v>
      </c>
      <c r="H24" s="62" t="s">
        <v>7</v>
      </c>
      <c r="I24" s="62"/>
      <c r="J24" s="60"/>
      <c r="K24" s="60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7">
        <f t="shared" si="1"/>
        <v>0</v>
      </c>
    </row>
    <row r="25" spans="2:68" ht="26.5" customHeight="1">
      <c r="B25" s="11" t="s">
        <v>5</v>
      </c>
      <c r="C25" s="7">
        <v>2025</v>
      </c>
      <c r="D25" s="7"/>
      <c r="E25" s="11">
        <v>0.73799999999999999</v>
      </c>
      <c r="F25" s="12">
        <v>51642287329.268799</v>
      </c>
      <c r="G25" s="12">
        <f>F25*0.05</f>
        <v>2582114366.4634399</v>
      </c>
      <c r="H25" s="62" t="s">
        <v>7</v>
      </c>
      <c r="I25" s="62"/>
      <c r="J25" s="60"/>
      <c r="K25" s="60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7">
        <f t="shared" si="1"/>
        <v>0</v>
      </c>
    </row>
    <row r="26" spans="2:68" ht="26.5" customHeight="1">
      <c r="E26" s="10">
        <f>SUM(E3:E25)</f>
        <v>142.97527072907297</v>
      </c>
      <c r="F26" s="8">
        <f>SUM(F3:F25)</f>
        <v>4636521306229.2471</v>
      </c>
      <c r="G26" s="8">
        <f>SUM(G3:G25)</f>
        <v>228698356782.51437</v>
      </c>
    </row>
    <row r="29" spans="2:68">
      <c r="F29" s="67">
        <f>+F15-BP15</f>
        <v>220893139990</v>
      </c>
    </row>
  </sheetData>
  <dataValidations count="1">
    <dataValidation type="decimal" operator="notBetween" allowBlank="1" showInputMessage="1" showErrorMessage="1" errorTitle="Nombre" error="Veuillez inscrire un nombre dans cette cellule" promptTitle="Montant du flux de revenus" prompt="Veuillez inscrire le montant total réconcilié du flux de revenus comme reporté par le gouvernement, " sqref="J9:K9 AA9:AB9 AD9 AF9 AH9 AM9 AS9 AZ9 BE9 BG9 BI9 J17:K17 AB17 AF17 AH17 AM17 AS17 AZ17 BG17 BI17" xr:uid="{00000000-0002-0000-0300-000000000000}">
      <formula1>0.1</formula1>
      <formula2>0.2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9"/>
  <sheetViews>
    <sheetView showGridLines="0" topLeftCell="B1" zoomScale="69" zoomScaleNormal="100" workbookViewId="0">
      <pane xSplit="1" ySplit="2" topLeftCell="C75" activePane="bottomRight" state="frozen"/>
      <selection activeCell="B1" sqref="B1"/>
      <selection pane="topRight" activeCell="C1" sqref="C1"/>
      <selection pane="bottomLeft" activeCell="B3" sqref="B3"/>
      <selection pane="bottomRight" activeCell="D10" sqref="D10"/>
    </sheetView>
  </sheetViews>
  <sheetFormatPr baseColWidth="10" defaultColWidth="10.81640625" defaultRowHeight="14.5"/>
  <cols>
    <col min="1" max="1" width="21" style="13" hidden="1" customWidth="1"/>
    <col min="2" max="2" width="56" style="14" customWidth="1"/>
    <col min="3" max="4" width="20.26953125" style="14" bestFit="1" customWidth="1"/>
    <col min="5" max="5" width="19.453125" style="14" bestFit="1" customWidth="1"/>
    <col min="6" max="6" width="20.26953125" style="14" bestFit="1" customWidth="1"/>
    <col min="7" max="7" width="21.54296875" style="14" bestFit="1" customWidth="1"/>
    <col min="8" max="8" width="22.54296875" style="9" bestFit="1" customWidth="1"/>
    <col min="9" max="9" width="23.54296875" style="9" bestFit="1" customWidth="1"/>
    <col min="10" max="10" width="23.1796875" style="9" customWidth="1"/>
    <col min="11" max="13" width="25" style="9" bestFit="1" customWidth="1"/>
    <col min="14" max="14" width="23" style="9" bestFit="1" customWidth="1"/>
    <col min="15" max="15" width="12.54296875" style="9" bestFit="1" customWidth="1"/>
    <col min="16" max="16" width="12.453125" style="9" bestFit="1" customWidth="1"/>
    <col min="17" max="16384" width="10.81640625" style="9"/>
  </cols>
  <sheetData>
    <row r="1" spans="1:14">
      <c r="M1" s="9" t="s">
        <v>44</v>
      </c>
    </row>
    <row r="2" spans="1:14" ht="31.75" customHeight="1">
      <c r="A2" s="15"/>
      <c r="B2" s="52" t="s">
        <v>45</v>
      </c>
      <c r="C2" s="56">
        <v>2014</v>
      </c>
      <c r="D2" s="57">
        <v>2015</v>
      </c>
      <c r="E2" s="57">
        <v>2016</v>
      </c>
      <c r="F2" s="57">
        <v>2017</v>
      </c>
      <c r="G2" s="57">
        <v>2018</v>
      </c>
      <c r="H2" s="57">
        <v>2019</v>
      </c>
      <c r="I2" s="57">
        <v>2020</v>
      </c>
      <c r="J2" s="57">
        <v>2021</v>
      </c>
      <c r="K2" s="57">
        <v>2022</v>
      </c>
      <c r="L2" s="57">
        <v>2023</v>
      </c>
      <c r="M2" s="57">
        <v>2024</v>
      </c>
    </row>
    <row r="3" spans="1:14" ht="28.75" customHeight="1">
      <c r="A3" s="16"/>
      <c r="B3" s="53" t="s">
        <v>11</v>
      </c>
      <c r="C3" s="30"/>
      <c r="D3" s="31">
        <v>34800000</v>
      </c>
      <c r="E3" s="31">
        <v>39203085</v>
      </c>
      <c r="F3" s="31">
        <v>45063012</v>
      </c>
      <c r="G3" s="31">
        <v>46981866</v>
      </c>
      <c r="H3" s="36">
        <v>49376536</v>
      </c>
      <c r="I3" s="36">
        <v>49185682</v>
      </c>
      <c r="J3" s="36">
        <v>50379335</v>
      </c>
      <c r="K3" s="36">
        <v>47623145</v>
      </c>
      <c r="L3" s="19">
        <v>40441234.576669917</v>
      </c>
      <c r="M3" s="19">
        <v>48096676</v>
      </c>
    </row>
    <row r="4" spans="1:14" ht="28.75" customHeight="1">
      <c r="A4" s="16"/>
      <c r="B4" s="53" t="s">
        <v>12</v>
      </c>
      <c r="C4" s="30"/>
      <c r="D4" s="31">
        <v>633000</v>
      </c>
      <c r="E4" s="31">
        <v>613745</v>
      </c>
      <c r="F4" s="31">
        <v>724754</v>
      </c>
      <c r="G4" s="31">
        <v>773736</v>
      </c>
      <c r="H4" s="36">
        <v>735377</v>
      </c>
      <c r="I4" s="36">
        <v>761661</v>
      </c>
      <c r="J4" s="36">
        <v>804374</v>
      </c>
      <c r="K4" s="36">
        <v>741667</v>
      </c>
      <c r="L4" s="19">
        <v>628228.63350488152</v>
      </c>
      <c r="M4" s="19">
        <v>883462</v>
      </c>
    </row>
    <row r="5" spans="1:14" ht="28.75" customHeight="1">
      <c r="A5" s="20"/>
      <c r="B5" s="54" t="s">
        <v>13</v>
      </c>
      <c r="C5" s="45"/>
      <c r="D5" s="22">
        <f t="shared" ref="D5:G5" si="0">D4/D3</f>
        <v>1.8189655172413794E-2</v>
      </c>
      <c r="E5" s="22">
        <f t="shared" si="0"/>
        <v>1.5655528129992831E-2</v>
      </c>
      <c r="F5" s="22">
        <f t="shared" si="0"/>
        <v>1.6083123782316192E-2</v>
      </c>
      <c r="G5" s="22">
        <f t="shared" si="0"/>
        <v>1.6468822247290051E-2</v>
      </c>
      <c r="H5" s="37">
        <f t="shared" ref="H5:M5" si="1">H4/H3</f>
        <v>1.4893248080424273E-2</v>
      </c>
      <c r="I5" s="37">
        <f t="shared" si="1"/>
        <v>1.5485421143494564E-2</v>
      </c>
      <c r="J5" s="37">
        <f t="shared" si="1"/>
        <v>1.5966348106818004E-2</v>
      </c>
      <c r="K5" s="37">
        <f t="shared" si="1"/>
        <v>1.5573666963826097E-2</v>
      </c>
      <c r="L5" s="23">
        <f t="shared" si="1"/>
        <v>1.5534358435914303E-2</v>
      </c>
      <c r="M5" s="23">
        <f t="shared" si="1"/>
        <v>1.8368462718712619E-2</v>
      </c>
    </row>
    <row r="6" spans="1:14" ht="28.75" customHeight="1">
      <c r="A6" s="16"/>
      <c r="B6" s="41" t="s">
        <v>23</v>
      </c>
      <c r="C6" s="43">
        <f t="shared" ref="C6:G6" si="2">+SUM(C7:C14)</f>
        <v>82253</v>
      </c>
      <c r="D6" s="43">
        <f t="shared" si="2"/>
        <v>479300</v>
      </c>
      <c r="E6" s="43">
        <f t="shared" si="2"/>
        <v>487933</v>
      </c>
      <c r="F6" s="43">
        <f t="shared" si="2"/>
        <v>584161</v>
      </c>
      <c r="G6" s="43">
        <f t="shared" si="2"/>
        <v>610112</v>
      </c>
      <c r="H6" s="43">
        <f t="shared" ref="H6:J6" si="3">+SUM(H7:H14)</f>
        <v>582482</v>
      </c>
      <c r="I6" s="43">
        <f t="shared" si="3"/>
        <v>616064</v>
      </c>
      <c r="J6" s="43">
        <f t="shared" si="3"/>
        <v>645216</v>
      </c>
      <c r="K6" s="43">
        <f>+SUM(K7:K14)</f>
        <v>592646</v>
      </c>
      <c r="L6" s="43">
        <f>+SUM(L7:L14)</f>
        <v>502743.01712465216</v>
      </c>
      <c r="M6" s="43">
        <f>+SUM(M7:M14)</f>
        <v>683434</v>
      </c>
      <c r="N6" s="24"/>
    </row>
    <row r="7" spans="1:14" ht="28.75" customHeight="1">
      <c r="A7" s="121" t="s">
        <v>23</v>
      </c>
      <c r="B7" s="53" t="s">
        <v>14</v>
      </c>
      <c r="C7" s="46">
        <v>59614</v>
      </c>
      <c r="D7" s="31">
        <v>321000</v>
      </c>
      <c r="E7" s="31">
        <v>298437</v>
      </c>
      <c r="F7" s="31">
        <v>357416</v>
      </c>
      <c r="G7" s="31">
        <v>369845</v>
      </c>
      <c r="H7" s="31">
        <v>325017</v>
      </c>
      <c r="I7" s="31">
        <v>353869</v>
      </c>
      <c r="J7" s="31">
        <v>377507</v>
      </c>
      <c r="K7" s="31">
        <v>328742</v>
      </c>
      <c r="L7" s="34">
        <v>292629.95600000006</v>
      </c>
      <c r="M7" s="19">
        <v>388925</v>
      </c>
    </row>
    <row r="8" spans="1:14" ht="28.75" customHeight="1">
      <c r="A8" s="122"/>
      <c r="B8" s="53" t="s">
        <v>15</v>
      </c>
      <c r="C8" s="46">
        <v>0</v>
      </c>
      <c r="D8" s="31"/>
      <c r="E8" s="31"/>
      <c r="F8" s="31"/>
      <c r="G8" s="31"/>
      <c r="H8" s="31">
        <v>36119</v>
      </c>
      <c r="I8" s="31">
        <v>26777</v>
      </c>
      <c r="J8" s="31">
        <v>19510</v>
      </c>
      <c r="K8" s="31">
        <v>35551</v>
      </c>
      <c r="L8" s="34">
        <v>18238.264999999999</v>
      </c>
      <c r="M8" s="19">
        <v>27041</v>
      </c>
    </row>
    <row r="9" spans="1:14" ht="28.75" customHeight="1">
      <c r="A9" s="122"/>
      <c r="B9" s="53" t="s">
        <v>16</v>
      </c>
      <c r="C9" s="46">
        <v>15310</v>
      </c>
      <c r="D9" s="31">
        <v>107000</v>
      </c>
      <c r="E9" s="31">
        <v>117913</v>
      </c>
      <c r="F9" s="31">
        <v>135022</v>
      </c>
      <c r="G9" s="31">
        <v>137092</v>
      </c>
      <c r="H9" s="31">
        <v>130468</v>
      </c>
      <c r="I9" s="31">
        <v>140812</v>
      </c>
      <c r="J9" s="31">
        <v>146044</v>
      </c>
      <c r="K9" s="31">
        <v>133804</v>
      </c>
      <c r="L9" s="34">
        <v>110526.746</v>
      </c>
      <c r="M9" s="19">
        <v>154180</v>
      </c>
    </row>
    <row r="10" spans="1:14" ht="28.75" customHeight="1">
      <c r="A10" s="122"/>
      <c r="B10" s="53" t="s">
        <v>17</v>
      </c>
      <c r="C10" s="46">
        <v>243</v>
      </c>
      <c r="D10" s="31">
        <v>24000</v>
      </c>
      <c r="E10" s="31">
        <v>27404</v>
      </c>
      <c r="F10" s="31">
        <v>36856</v>
      </c>
      <c r="G10" s="31">
        <v>44038</v>
      </c>
      <c r="H10" s="31">
        <v>36805</v>
      </c>
      <c r="I10" s="31">
        <v>33349</v>
      </c>
      <c r="J10" s="31">
        <v>37873</v>
      </c>
      <c r="K10" s="31">
        <v>34583</v>
      </c>
      <c r="L10" s="34">
        <v>28956.267792968749</v>
      </c>
      <c r="M10" s="19">
        <v>39119</v>
      </c>
    </row>
    <row r="11" spans="1:14" ht="28.75" customHeight="1">
      <c r="A11" s="122"/>
      <c r="B11" s="53" t="s">
        <v>18</v>
      </c>
      <c r="C11" s="46">
        <v>6924</v>
      </c>
      <c r="D11" s="31">
        <v>22000</v>
      </c>
      <c r="E11" s="31">
        <v>25223</v>
      </c>
      <c r="F11" s="31">
        <v>24706</v>
      </c>
      <c r="G11" s="31">
        <v>20240</v>
      </c>
      <c r="H11" s="31">
        <v>21628</v>
      </c>
      <c r="I11" s="31">
        <v>25872</v>
      </c>
      <c r="J11" s="31">
        <v>25856</v>
      </c>
      <c r="K11" s="31">
        <v>22498</v>
      </c>
      <c r="L11" s="34">
        <v>19442.150215624999</v>
      </c>
      <c r="M11" s="19">
        <v>28497</v>
      </c>
    </row>
    <row r="12" spans="1:14" ht="28.75" customHeight="1">
      <c r="A12" s="122"/>
      <c r="B12" s="53" t="s">
        <v>19</v>
      </c>
      <c r="C12" s="46"/>
      <c r="D12" s="31"/>
      <c r="E12" s="31">
        <v>9291</v>
      </c>
      <c r="F12" s="31">
        <v>20186</v>
      </c>
      <c r="G12" s="31">
        <v>29291</v>
      </c>
      <c r="H12" s="31">
        <v>22314</v>
      </c>
      <c r="I12" s="31">
        <v>25839</v>
      </c>
      <c r="J12" s="31">
        <v>27031</v>
      </c>
      <c r="K12" s="31">
        <v>26981</v>
      </c>
      <c r="L12" s="34">
        <v>24926.782116058348</v>
      </c>
      <c r="M12" s="19">
        <v>35430</v>
      </c>
    </row>
    <row r="13" spans="1:14" ht="28.75" customHeight="1">
      <c r="A13" s="122"/>
      <c r="B13" s="53" t="s">
        <v>20</v>
      </c>
      <c r="C13" s="46">
        <v>162</v>
      </c>
      <c r="D13" s="31">
        <v>2100</v>
      </c>
      <c r="E13" s="31">
        <v>2892</v>
      </c>
      <c r="F13" s="31">
        <v>2729</v>
      </c>
      <c r="G13" s="31">
        <v>3961</v>
      </c>
      <c r="H13" s="31">
        <v>3615</v>
      </c>
      <c r="I13" s="31">
        <v>4044</v>
      </c>
      <c r="J13" s="31">
        <v>4430</v>
      </c>
      <c r="K13" s="31">
        <v>4203</v>
      </c>
      <c r="L13" s="34">
        <v>3080.85</v>
      </c>
      <c r="M13" s="19">
        <v>3790</v>
      </c>
    </row>
    <row r="14" spans="1:14" ht="28.75" customHeight="1">
      <c r="A14" s="123"/>
      <c r="B14" s="54" t="s">
        <v>21</v>
      </c>
      <c r="C14" s="47"/>
      <c r="D14" s="32">
        <v>3200</v>
      </c>
      <c r="E14" s="32">
        <v>6773</v>
      </c>
      <c r="F14" s="32">
        <v>7246</v>
      </c>
      <c r="G14" s="32">
        <v>5645</v>
      </c>
      <c r="H14" s="32">
        <v>6516</v>
      </c>
      <c r="I14" s="32">
        <v>5502</v>
      </c>
      <c r="J14" s="32">
        <v>6965</v>
      </c>
      <c r="K14" s="32">
        <v>6284</v>
      </c>
      <c r="L14" s="35">
        <v>4941.9999999999991</v>
      </c>
      <c r="M14" s="25">
        <v>6452</v>
      </c>
    </row>
    <row r="15" spans="1:14" ht="28.75" customHeight="1">
      <c r="A15" s="26"/>
      <c r="B15" s="41" t="s">
        <v>22</v>
      </c>
      <c r="C15" s="48">
        <f>SUM(C16:C23)</f>
        <v>82253</v>
      </c>
      <c r="D15" s="43">
        <f>+SUM(D16:D23)</f>
        <v>466864</v>
      </c>
      <c r="E15" s="43">
        <f>+SUM(E16:E23)</f>
        <v>482035</v>
      </c>
      <c r="F15" s="43">
        <f>+SUM(F16:F23)</f>
        <v>553145</v>
      </c>
      <c r="G15" s="43">
        <f>+SUM(G16:G23)</f>
        <v>634820</v>
      </c>
      <c r="H15" s="43">
        <f t="shared" ref="H15:J15" si="4">+SUM(H16:H23)</f>
        <v>601924</v>
      </c>
      <c r="I15" s="43">
        <f t="shared" si="4"/>
        <v>604876</v>
      </c>
      <c r="J15" s="43">
        <f t="shared" si="4"/>
        <v>658027</v>
      </c>
      <c r="K15" s="43">
        <f>+SUM(K16:K23)</f>
        <v>627992</v>
      </c>
      <c r="L15" s="43">
        <f>+SUM(L16:L23)</f>
        <v>502049.61493394111</v>
      </c>
      <c r="M15" s="43">
        <f>+SUM(M16:M23)</f>
        <v>668144</v>
      </c>
      <c r="N15" s="24"/>
    </row>
    <row r="16" spans="1:14" ht="28.75" customHeight="1">
      <c r="A16" s="119" t="s">
        <v>22</v>
      </c>
      <c r="B16" s="53" t="s">
        <v>14</v>
      </c>
      <c r="C16" s="46">
        <v>59614</v>
      </c>
      <c r="D16" s="31">
        <v>340021</v>
      </c>
      <c r="E16" s="31">
        <v>331124</v>
      </c>
      <c r="F16" s="31">
        <v>328617</v>
      </c>
      <c r="G16" s="31">
        <v>390610</v>
      </c>
      <c r="H16" s="31">
        <v>330240</v>
      </c>
      <c r="I16" s="31">
        <v>345531</v>
      </c>
      <c r="J16" s="31">
        <v>385620</v>
      </c>
      <c r="K16" s="31">
        <v>356935</v>
      </c>
      <c r="L16" s="31">
        <v>292907.07100000005</v>
      </c>
      <c r="M16" s="34">
        <v>387783</v>
      </c>
      <c r="N16" s="24"/>
    </row>
    <row r="17" spans="1:14" ht="28.75" customHeight="1">
      <c r="A17" s="124"/>
      <c r="B17" s="53" t="s">
        <v>15</v>
      </c>
      <c r="C17" s="46">
        <v>0</v>
      </c>
      <c r="D17" s="31"/>
      <c r="E17" s="31"/>
      <c r="F17" s="31"/>
      <c r="G17" s="31"/>
      <c r="H17" s="31">
        <v>34299</v>
      </c>
      <c r="I17" s="31">
        <v>26700</v>
      </c>
      <c r="J17" s="31">
        <v>19600</v>
      </c>
      <c r="K17" s="31">
        <v>35216</v>
      </c>
      <c r="L17" s="31">
        <v>17001.116999999998</v>
      </c>
      <c r="M17" s="34">
        <v>20001</v>
      </c>
      <c r="N17" s="24"/>
    </row>
    <row r="18" spans="1:14" ht="28.75" customHeight="1">
      <c r="A18" s="124"/>
      <c r="B18" s="53" t="s">
        <v>16</v>
      </c>
      <c r="C18" s="46">
        <v>15310</v>
      </c>
      <c r="D18" s="31">
        <v>80398</v>
      </c>
      <c r="E18" s="31">
        <v>79701</v>
      </c>
      <c r="F18" s="31">
        <v>135260</v>
      </c>
      <c r="G18" s="31">
        <v>140083</v>
      </c>
      <c r="H18" s="31">
        <v>137663</v>
      </c>
      <c r="I18" s="31">
        <v>139768</v>
      </c>
      <c r="J18" s="31">
        <v>151185</v>
      </c>
      <c r="K18" s="31">
        <v>134596</v>
      </c>
      <c r="L18" s="31">
        <v>111716.09199999999</v>
      </c>
      <c r="M18" s="34">
        <v>153286</v>
      </c>
      <c r="N18" s="24"/>
    </row>
    <row r="19" spans="1:14" ht="28.75" customHeight="1">
      <c r="A19" s="124"/>
      <c r="B19" s="53" t="s">
        <v>17</v>
      </c>
      <c r="C19" s="46">
        <v>243</v>
      </c>
      <c r="D19" s="31">
        <v>19409</v>
      </c>
      <c r="E19" s="31">
        <v>28122</v>
      </c>
      <c r="F19" s="31">
        <v>34933</v>
      </c>
      <c r="G19" s="31">
        <v>44463</v>
      </c>
      <c r="H19" s="31">
        <v>36514</v>
      </c>
      <c r="I19" s="31">
        <v>34924</v>
      </c>
      <c r="J19" s="31">
        <v>37937</v>
      </c>
      <c r="K19" s="31">
        <v>35715</v>
      </c>
      <c r="L19" s="31">
        <v>28177.395033941</v>
      </c>
      <c r="M19" s="34">
        <v>39376</v>
      </c>
      <c r="N19" s="24"/>
    </row>
    <row r="20" spans="1:14" ht="28.75" customHeight="1">
      <c r="A20" s="124"/>
      <c r="B20" s="53" t="s">
        <v>18</v>
      </c>
      <c r="C20" s="46">
        <v>6924</v>
      </c>
      <c r="D20" s="31">
        <v>22427</v>
      </c>
      <c r="E20" s="31">
        <v>24978</v>
      </c>
      <c r="F20" s="31">
        <v>25763</v>
      </c>
      <c r="G20" s="31">
        <v>20543</v>
      </c>
      <c r="H20" s="31">
        <v>21882</v>
      </c>
      <c r="I20" s="31">
        <v>26917</v>
      </c>
      <c r="J20" s="31">
        <v>25482</v>
      </c>
      <c r="K20" s="31">
        <v>23581</v>
      </c>
      <c r="L20" s="31">
        <v>19379.056899999996</v>
      </c>
      <c r="M20" s="34">
        <v>27523</v>
      </c>
      <c r="N20" s="24"/>
    </row>
    <row r="21" spans="1:14" ht="28.75" customHeight="1">
      <c r="A21" s="124"/>
      <c r="B21" s="53" t="s">
        <v>19</v>
      </c>
      <c r="C21" s="46">
        <v>0</v>
      </c>
      <c r="D21" s="31"/>
      <c r="E21" s="31">
        <v>9291</v>
      </c>
      <c r="F21" s="31">
        <v>18314</v>
      </c>
      <c r="G21" s="31">
        <v>28418</v>
      </c>
      <c r="H21" s="31">
        <v>31025</v>
      </c>
      <c r="I21" s="31">
        <v>21416</v>
      </c>
      <c r="J21" s="31">
        <v>26781</v>
      </c>
      <c r="K21" s="31">
        <v>31449</v>
      </c>
      <c r="L21" s="31">
        <v>24986.882999999998</v>
      </c>
      <c r="M21" s="34">
        <v>31443</v>
      </c>
      <c r="N21" s="24"/>
    </row>
    <row r="22" spans="1:14" ht="28.75" customHeight="1">
      <c r="A22" s="124"/>
      <c r="B22" s="53" t="s">
        <v>20</v>
      </c>
      <c r="C22" s="46">
        <v>162</v>
      </c>
      <c r="D22" s="31">
        <v>1971</v>
      </c>
      <c r="E22" s="31">
        <v>2641</v>
      </c>
      <c r="F22" s="31">
        <v>3078</v>
      </c>
      <c r="G22" s="31">
        <v>3943</v>
      </c>
      <c r="H22" s="31">
        <v>3769</v>
      </c>
      <c r="I22" s="31">
        <v>3980</v>
      </c>
      <c r="J22" s="31">
        <v>4462</v>
      </c>
      <c r="K22" s="31">
        <v>4160</v>
      </c>
      <c r="L22" s="31">
        <v>3062</v>
      </c>
      <c r="M22" s="34">
        <v>2640</v>
      </c>
      <c r="N22" s="24"/>
    </row>
    <row r="23" spans="1:14" ht="28.75" customHeight="1">
      <c r="A23" s="120"/>
      <c r="B23" s="53" t="s">
        <v>21</v>
      </c>
      <c r="C23" s="46">
        <v>0</v>
      </c>
      <c r="D23" s="31">
        <v>2638</v>
      </c>
      <c r="E23" s="31">
        <v>6178</v>
      </c>
      <c r="F23" s="31">
        <v>7180</v>
      </c>
      <c r="G23" s="31">
        <v>6760</v>
      </c>
      <c r="H23" s="31">
        <v>6532</v>
      </c>
      <c r="I23" s="31">
        <v>5640</v>
      </c>
      <c r="J23" s="31">
        <v>6960</v>
      </c>
      <c r="K23" s="31">
        <v>6340</v>
      </c>
      <c r="L23" s="31">
        <v>4820</v>
      </c>
      <c r="M23" s="34">
        <v>6092</v>
      </c>
      <c r="N23" s="24"/>
    </row>
    <row r="24" spans="1:14" ht="28.75" customHeight="1">
      <c r="A24" s="27"/>
      <c r="B24" s="41" t="s">
        <v>24</v>
      </c>
      <c r="C24" s="48">
        <f>SUM(C25:C32)</f>
        <v>8988696803</v>
      </c>
      <c r="D24" s="42">
        <f>SUM(D25:D32)</f>
        <v>51474833624</v>
      </c>
      <c r="E24" s="42">
        <f>SUM(E25:E32)</f>
        <v>59675222646</v>
      </c>
      <c r="F24" s="42">
        <f>SUM(F25:F32)</f>
        <v>85776044037</v>
      </c>
      <c r="G24" s="42">
        <f>SUM(G25:G32)</f>
        <v>113513527160</v>
      </c>
      <c r="H24" s="43">
        <f t="shared" ref="H24:K24" si="5">+SUM(H25:H32)</f>
        <v>114684020839</v>
      </c>
      <c r="I24" s="43">
        <f t="shared" si="5"/>
        <v>115173341389</v>
      </c>
      <c r="J24" s="43">
        <f t="shared" si="5"/>
        <v>147604340693</v>
      </c>
      <c r="K24" s="43">
        <f t="shared" si="5"/>
        <v>213796016210.27505</v>
      </c>
      <c r="L24" s="43">
        <f>+SUM(L25:L32)</f>
        <v>145211316586.75565</v>
      </c>
      <c r="M24" s="43">
        <f>+SUM(M25:M32)</f>
        <v>176050279823</v>
      </c>
      <c r="N24" s="24"/>
    </row>
    <row r="25" spans="1:14" ht="28.75" customHeight="1">
      <c r="A25" s="119" t="s">
        <v>24</v>
      </c>
      <c r="B25" s="53" t="s">
        <v>14</v>
      </c>
      <c r="C25" s="46">
        <v>3906632160</v>
      </c>
      <c r="D25" s="31">
        <v>16972269323</v>
      </c>
      <c r="E25" s="31">
        <v>19506887304</v>
      </c>
      <c r="F25" s="31">
        <v>31843493659</v>
      </c>
      <c r="G25" s="31">
        <v>34703379801</v>
      </c>
      <c r="H25" s="31">
        <v>30284176791</v>
      </c>
      <c r="I25" s="31">
        <v>36866336232</v>
      </c>
      <c r="J25" s="31">
        <v>54216941469</v>
      </c>
      <c r="K25" s="31">
        <v>74667844800.941315</v>
      </c>
      <c r="L25" s="31">
        <v>55580048788.103104</v>
      </c>
      <c r="M25" s="34">
        <v>59069840702</v>
      </c>
    </row>
    <row r="26" spans="1:14" ht="28.75" customHeight="1">
      <c r="A26" s="124"/>
      <c r="B26" s="53" t="s">
        <v>15</v>
      </c>
      <c r="C26" s="33">
        <v>0</v>
      </c>
      <c r="D26" s="31">
        <v>0</v>
      </c>
      <c r="E26" s="31">
        <v>0</v>
      </c>
      <c r="F26" s="31">
        <v>0</v>
      </c>
      <c r="G26" s="31">
        <v>0</v>
      </c>
      <c r="H26" s="31">
        <v>3968128541</v>
      </c>
      <c r="I26" s="31">
        <v>3513689437</v>
      </c>
      <c r="J26" s="31">
        <v>3690588362</v>
      </c>
      <c r="K26" s="31">
        <v>7860379020.0975552</v>
      </c>
      <c r="L26" s="31">
        <v>2565529911.2125888</v>
      </c>
      <c r="M26" s="34">
        <v>2864298635</v>
      </c>
    </row>
    <row r="27" spans="1:14" ht="28.75" customHeight="1">
      <c r="A27" s="124"/>
      <c r="B27" s="53" t="s">
        <v>16</v>
      </c>
      <c r="C27" s="46">
        <v>1282958156</v>
      </c>
      <c r="D27" s="31">
        <v>7630093611</v>
      </c>
      <c r="E27" s="31">
        <v>7463386009</v>
      </c>
      <c r="F27" s="31">
        <v>11425296984</v>
      </c>
      <c r="G27" s="31">
        <v>12871343306</v>
      </c>
      <c r="H27" s="31">
        <v>15752286949</v>
      </c>
      <c r="I27" s="31">
        <v>17700857102</v>
      </c>
      <c r="J27" s="31">
        <v>20728624548</v>
      </c>
      <c r="K27" s="31">
        <v>29918671930.679695</v>
      </c>
      <c r="L27" s="31">
        <v>20377449977.153992</v>
      </c>
      <c r="M27" s="34">
        <v>27329743876</v>
      </c>
    </row>
    <row r="28" spans="1:14" ht="28.75" customHeight="1">
      <c r="A28" s="124"/>
      <c r="B28" s="53" t="s">
        <v>17</v>
      </c>
      <c r="C28" s="46">
        <v>138998624</v>
      </c>
      <c r="D28" s="31">
        <v>13935879099</v>
      </c>
      <c r="E28" s="31">
        <v>15631577866</v>
      </c>
      <c r="F28" s="31">
        <v>21351242220</v>
      </c>
      <c r="G28" s="31">
        <v>36922154353</v>
      </c>
      <c r="H28" s="31">
        <v>33693660433</v>
      </c>
      <c r="I28" s="31">
        <v>27822870212</v>
      </c>
      <c r="J28" s="31">
        <v>33867923004</v>
      </c>
      <c r="K28" s="31">
        <v>50087165473.334457</v>
      </c>
      <c r="L28" s="31">
        <v>33009873091.270748</v>
      </c>
      <c r="M28" s="34">
        <v>45013027025</v>
      </c>
    </row>
    <row r="29" spans="1:14" ht="28.75" customHeight="1">
      <c r="A29" s="124"/>
      <c r="B29" s="53" t="s">
        <v>18</v>
      </c>
      <c r="C29" s="46">
        <v>3588255854</v>
      </c>
      <c r="D29" s="31">
        <v>11359055125</v>
      </c>
      <c r="E29" s="31">
        <v>12616415416</v>
      </c>
      <c r="F29" s="31">
        <v>14735427994</v>
      </c>
      <c r="G29" s="31">
        <v>16451231718</v>
      </c>
      <c r="H29" s="31">
        <v>18974197019</v>
      </c>
      <c r="I29" s="31">
        <v>20328016978</v>
      </c>
      <c r="J29" s="31">
        <v>21177898265</v>
      </c>
      <c r="K29" s="31">
        <v>31560044000.58165</v>
      </c>
      <c r="L29" s="31">
        <v>21004409350.484169</v>
      </c>
      <c r="M29" s="34">
        <v>29662840478</v>
      </c>
    </row>
    <row r="30" spans="1:14" ht="28.75" customHeight="1">
      <c r="A30" s="124"/>
      <c r="B30" s="53" t="s">
        <v>19</v>
      </c>
      <c r="C30" s="46">
        <v>0</v>
      </c>
      <c r="D30" s="31">
        <v>0</v>
      </c>
      <c r="E30" s="31">
        <v>1776429164</v>
      </c>
      <c r="F30" s="31">
        <v>3222232112</v>
      </c>
      <c r="G30" s="31">
        <v>8565752220</v>
      </c>
      <c r="H30" s="31">
        <v>7005808615</v>
      </c>
      <c r="I30" s="31">
        <v>3775434542</v>
      </c>
      <c r="J30" s="31">
        <v>6696786033</v>
      </c>
      <c r="K30" s="31">
        <v>8622925737.8330116</v>
      </c>
      <c r="L30" s="31">
        <v>3469670771.4778118</v>
      </c>
      <c r="M30" s="34">
        <v>4470372677</v>
      </c>
    </row>
    <row r="31" spans="1:14" ht="28.75" customHeight="1">
      <c r="A31" s="124"/>
      <c r="B31" s="53" t="s">
        <v>20</v>
      </c>
      <c r="C31" s="46">
        <v>71852009</v>
      </c>
      <c r="D31" s="31">
        <v>949878277</v>
      </c>
      <c r="E31" s="31">
        <v>1179623736</v>
      </c>
      <c r="F31" s="31">
        <v>1352865294</v>
      </c>
      <c r="G31" s="31">
        <v>1934974016</v>
      </c>
      <c r="H31" s="31">
        <v>2414292710</v>
      </c>
      <c r="I31" s="31">
        <v>2786713473</v>
      </c>
      <c r="J31" s="31">
        <v>3629677988</v>
      </c>
      <c r="K31" s="31">
        <v>5411571748.2485771</v>
      </c>
      <c r="L31" s="31">
        <v>4678617225.4620075</v>
      </c>
      <c r="M31" s="34">
        <v>2952478816</v>
      </c>
    </row>
    <row r="32" spans="1:14" ht="28.75" customHeight="1">
      <c r="A32" s="120"/>
      <c r="B32" s="53" t="s">
        <v>21</v>
      </c>
      <c r="C32" s="46">
        <v>0</v>
      </c>
      <c r="D32" s="31">
        <v>627658189</v>
      </c>
      <c r="E32" s="31">
        <v>1500903151</v>
      </c>
      <c r="F32" s="31">
        <v>1845485774</v>
      </c>
      <c r="G32" s="31">
        <v>2064691746</v>
      </c>
      <c r="H32" s="31">
        <v>2591469781</v>
      </c>
      <c r="I32" s="31">
        <v>2379423413</v>
      </c>
      <c r="J32" s="31">
        <v>3595901024</v>
      </c>
      <c r="K32" s="31">
        <v>5667413498.5587664</v>
      </c>
      <c r="L32" s="31">
        <v>4525717471.5912046</v>
      </c>
      <c r="M32" s="34">
        <v>4687677614</v>
      </c>
    </row>
    <row r="33" spans="1:16" ht="28.75" customHeight="1">
      <c r="A33" s="27"/>
      <c r="B33" s="41" t="s">
        <v>46</v>
      </c>
      <c r="C33" s="49"/>
      <c r="D33" s="41"/>
      <c r="E33" s="41"/>
      <c r="F33" s="41"/>
      <c r="G33" s="41"/>
      <c r="H33" s="43">
        <f>+SUM(H34:H41)</f>
        <v>3374808.7465630379</v>
      </c>
      <c r="I33" s="43">
        <f t="shared" ref="I33:K33" si="6">+SUM(I34:I41)</f>
        <v>3215171.5143600665</v>
      </c>
      <c r="J33" s="43">
        <f t="shared" si="6"/>
        <v>3770007.648012273</v>
      </c>
      <c r="K33" s="43">
        <f t="shared" si="6"/>
        <v>5864421.5566368997</v>
      </c>
      <c r="L33" s="43">
        <f>+SUM(L34:L41)</f>
        <v>5384200.6565985503</v>
      </c>
      <c r="M33" s="43">
        <f>+SUM(M34:M41)</f>
        <v>4724751.5745837977</v>
      </c>
    </row>
    <row r="34" spans="1:16" ht="28.75" customHeight="1">
      <c r="A34" s="119" t="s">
        <v>46</v>
      </c>
      <c r="B34" s="53" t="s">
        <v>14</v>
      </c>
      <c r="C34" s="18">
        <f t="shared" ref="C34:D34" si="7">+C25/C16</f>
        <v>65532.126010668631</v>
      </c>
      <c r="D34" s="31">
        <f t="shared" si="7"/>
        <v>49915.356178000773</v>
      </c>
      <c r="E34" s="31">
        <f t="shared" ref="E34:F34" si="8">+E25/E16</f>
        <v>58911.124847489162</v>
      </c>
      <c r="F34" s="31">
        <f t="shared" si="8"/>
        <v>96901.540878895496</v>
      </c>
      <c r="G34" s="31">
        <f t="shared" ref="G34" si="9">+G25/G16</f>
        <v>88844.063902613867</v>
      </c>
      <c r="H34" s="31">
        <f t="shared" ref="H34:J41" si="10">+H25/H16</f>
        <v>91703.539216933146</v>
      </c>
      <c r="I34" s="31">
        <f t="shared" si="10"/>
        <v>106694.72849614073</v>
      </c>
      <c r="J34" s="31">
        <f t="shared" si="10"/>
        <v>140596.80895441107</v>
      </c>
      <c r="K34" s="31">
        <f t="shared" ref="K34:M41" si="11">K25/K16</f>
        <v>209191.71502077777</v>
      </c>
      <c r="L34" s="31">
        <f t="shared" si="11"/>
        <v>189753.18212138038</v>
      </c>
      <c r="M34" s="34">
        <f>M25/M16</f>
        <v>152327.05070103641</v>
      </c>
      <c r="N34" s="24"/>
    </row>
    <row r="35" spans="1:16" ht="28.75" customHeight="1">
      <c r="A35" s="124"/>
      <c r="B35" s="53" t="s">
        <v>15</v>
      </c>
      <c r="C35" s="18"/>
      <c r="D35" s="31"/>
      <c r="E35" s="31"/>
      <c r="F35" s="31"/>
      <c r="G35" s="31"/>
      <c r="H35" s="31">
        <f t="shared" si="10"/>
        <v>115692.25169830024</v>
      </c>
      <c r="I35" s="31">
        <f t="shared" si="10"/>
        <v>131598.85531835206</v>
      </c>
      <c r="J35" s="31">
        <f t="shared" si="10"/>
        <v>188295.32459183675</v>
      </c>
      <c r="K35" s="31">
        <f t="shared" si="11"/>
        <v>223204.76545029404</v>
      </c>
      <c r="L35" s="31">
        <f t="shared" si="11"/>
        <v>150903.60893420057</v>
      </c>
      <c r="M35" s="34">
        <f t="shared" si="11"/>
        <v>143207.77136143192</v>
      </c>
      <c r="N35" s="24"/>
    </row>
    <row r="36" spans="1:16" ht="28.75" customHeight="1">
      <c r="A36" s="124"/>
      <c r="B36" s="53" t="s">
        <v>16</v>
      </c>
      <c r="C36" s="18">
        <f t="shared" ref="C36:D36" si="12">+C27/C18</f>
        <v>83798.7038536904</v>
      </c>
      <c r="D36" s="31">
        <f t="shared" si="12"/>
        <v>94904.022624940917</v>
      </c>
      <c r="E36" s="31">
        <f t="shared" ref="E36:F36" si="13">+E27/E18</f>
        <v>93642.313258302907</v>
      </c>
      <c r="F36" s="31">
        <f t="shared" si="13"/>
        <v>84469.148188673658</v>
      </c>
      <c r="G36" s="31">
        <f t="shared" ref="G36" si="14">+G27/G18</f>
        <v>91883.69256797756</v>
      </c>
      <c r="H36" s="31">
        <f t="shared" si="10"/>
        <v>114426.43955892288</v>
      </c>
      <c r="I36" s="31">
        <f t="shared" si="10"/>
        <v>126644.56171655886</v>
      </c>
      <c r="J36" s="31">
        <f t="shared" si="10"/>
        <v>137107.679650759</v>
      </c>
      <c r="K36" s="31">
        <f t="shared" si="11"/>
        <v>222285.00052512478</v>
      </c>
      <c r="L36" s="31">
        <f t="shared" si="11"/>
        <v>182403.89197604579</v>
      </c>
      <c r="M36" s="34">
        <f t="shared" si="11"/>
        <v>178292.49817987293</v>
      </c>
      <c r="N36" s="24"/>
    </row>
    <row r="37" spans="1:16" ht="28.75" customHeight="1">
      <c r="A37" s="124"/>
      <c r="B37" s="53" t="s">
        <v>17</v>
      </c>
      <c r="C37" s="18">
        <f t="shared" ref="C37:D37" si="15">+C28/C19</f>
        <v>572010.79835390951</v>
      </c>
      <c r="D37" s="31">
        <f t="shared" si="15"/>
        <v>718011.18548096239</v>
      </c>
      <c r="E37" s="31">
        <f t="shared" ref="E37:F37" si="16">+E28/E19</f>
        <v>555848.72576630395</v>
      </c>
      <c r="F37" s="31">
        <f t="shared" si="16"/>
        <v>611205.51398391207</v>
      </c>
      <c r="G37" s="31">
        <f t="shared" ref="G37" si="17">+G28/G19</f>
        <v>830401.78019926685</v>
      </c>
      <c r="H37" s="31">
        <f t="shared" si="10"/>
        <v>922760.04910445306</v>
      </c>
      <c r="I37" s="31">
        <f t="shared" si="10"/>
        <v>796669.05887069064</v>
      </c>
      <c r="J37" s="31">
        <f t="shared" si="10"/>
        <v>892741.20262540528</v>
      </c>
      <c r="K37" s="31">
        <f t="shared" si="11"/>
        <v>1402412.5850016647</v>
      </c>
      <c r="L37" s="31">
        <f t="shared" si="11"/>
        <v>1171501.9451410891</v>
      </c>
      <c r="M37" s="34">
        <f t="shared" si="11"/>
        <v>1143158.9553281188</v>
      </c>
      <c r="N37" s="24"/>
    </row>
    <row r="38" spans="1:16" ht="28.75" customHeight="1">
      <c r="A38" s="124"/>
      <c r="B38" s="53" t="s">
        <v>18</v>
      </c>
      <c r="C38" s="18">
        <f t="shared" ref="C38:D38" si="18">+C29/C20</f>
        <v>518234.52541883307</v>
      </c>
      <c r="D38" s="31">
        <f t="shared" si="18"/>
        <v>506490.17367458867</v>
      </c>
      <c r="E38" s="31">
        <f t="shared" ref="E38:F38" si="19">+E29/E20</f>
        <v>505101.1056129394</v>
      </c>
      <c r="F38" s="31">
        <f t="shared" si="19"/>
        <v>571960.8738889104</v>
      </c>
      <c r="G38" s="31">
        <f t="shared" ref="G38" si="20">+G29/G20</f>
        <v>800819.34079735191</v>
      </c>
      <c r="H38" s="31">
        <f t="shared" si="10"/>
        <v>867114.38712183526</v>
      </c>
      <c r="I38" s="31">
        <f t="shared" si="10"/>
        <v>755211.09254374565</v>
      </c>
      <c r="J38" s="31">
        <f t="shared" si="10"/>
        <v>831092.46782042226</v>
      </c>
      <c r="K38" s="31">
        <f t="shared" si="11"/>
        <v>1338367.4992825431</v>
      </c>
      <c r="L38" s="31">
        <f t="shared" si="11"/>
        <v>1083871.5969962487</v>
      </c>
      <c r="M38" s="34">
        <f t="shared" si="11"/>
        <v>1077747.3559568361</v>
      </c>
      <c r="N38" s="24"/>
    </row>
    <row r="39" spans="1:16" ht="28.75" customHeight="1">
      <c r="A39" s="124"/>
      <c r="B39" s="53" t="s">
        <v>19</v>
      </c>
      <c r="C39" s="18"/>
      <c r="D39" s="31"/>
      <c r="E39" s="31">
        <f t="shared" ref="E39:F39" si="21">+E30/E21</f>
        <v>191198.91981487462</v>
      </c>
      <c r="F39" s="31">
        <f t="shared" si="21"/>
        <v>175943.65578246152</v>
      </c>
      <c r="G39" s="31">
        <f t="shared" ref="G39" si="22">+G30/G21</f>
        <v>301419.95284678723</v>
      </c>
      <c r="H39" s="31">
        <f t="shared" si="10"/>
        <v>225811.72006446414</v>
      </c>
      <c r="I39" s="31">
        <f t="shared" si="10"/>
        <v>176290.36897646618</v>
      </c>
      <c r="J39" s="31">
        <f t="shared" si="10"/>
        <v>250057.35532653748</v>
      </c>
      <c r="K39" s="31">
        <f t="shared" si="11"/>
        <v>274187.5969930049</v>
      </c>
      <c r="L39" s="31">
        <f t="shared" si="11"/>
        <v>138859.68776008644</v>
      </c>
      <c r="M39" s="34">
        <f t="shared" si="11"/>
        <v>142173.85990522534</v>
      </c>
      <c r="N39" s="24"/>
    </row>
    <row r="40" spans="1:16" ht="28.75" customHeight="1">
      <c r="A40" s="124"/>
      <c r="B40" s="53" t="s">
        <v>20</v>
      </c>
      <c r="C40" s="18">
        <f t="shared" ref="C40:D40" si="23">+C31/C22</f>
        <v>443530.9197530864</v>
      </c>
      <c r="D40" s="31">
        <f t="shared" si="23"/>
        <v>481927.08117706748</v>
      </c>
      <c r="E40" s="31">
        <f t="shared" ref="E40:F40" si="24">+E31/E22</f>
        <v>446657.98409693298</v>
      </c>
      <c r="F40" s="31">
        <f t="shared" si="24"/>
        <v>439527.3859649123</v>
      </c>
      <c r="G40" s="31">
        <f t="shared" ref="G40" si="25">+G31/G22</f>
        <v>490736.49911235098</v>
      </c>
      <c r="H40" s="31">
        <f t="shared" si="10"/>
        <v>640565.85566463252</v>
      </c>
      <c r="I40" s="31">
        <f t="shared" si="10"/>
        <v>700179.26457286428</v>
      </c>
      <c r="J40" s="31">
        <f t="shared" si="10"/>
        <v>813464.36306588969</v>
      </c>
      <c r="K40" s="31">
        <f t="shared" si="11"/>
        <v>1300858.5933289849</v>
      </c>
      <c r="L40" s="31">
        <f t="shared" si="11"/>
        <v>1527961.2101443526</v>
      </c>
      <c r="M40" s="34">
        <f t="shared" si="11"/>
        <v>1118363.187878788</v>
      </c>
      <c r="N40" s="24"/>
      <c r="O40" s="28"/>
      <c r="P40" s="24"/>
    </row>
    <row r="41" spans="1:16" ht="28.75" customHeight="1">
      <c r="A41" s="120"/>
      <c r="B41" s="53" t="s">
        <v>21</v>
      </c>
      <c r="C41" s="18"/>
      <c r="D41" s="31">
        <f t="shared" ref="D41" si="26">+D32/D23</f>
        <v>237929.56368460954</v>
      </c>
      <c r="E41" s="31">
        <f t="shared" ref="E41:F41" si="27">+E32/E23</f>
        <v>242943.20993849143</v>
      </c>
      <c r="F41" s="31">
        <f t="shared" si="27"/>
        <v>257031.44484679666</v>
      </c>
      <c r="G41" s="31">
        <f t="shared" ref="G41" si="28">+G32/G23</f>
        <v>305427.7730769231</v>
      </c>
      <c r="H41" s="31">
        <f t="shared" si="10"/>
        <v>396734.50413349661</v>
      </c>
      <c r="I41" s="31">
        <f t="shared" si="10"/>
        <v>421883.58386524825</v>
      </c>
      <c r="J41" s="31">
        <f t="shared" si="10"/>
        <v>516652.44597701152</v>
      </c>
      <c r="K41" s="31">
        <f t="shared" si="11"/>
        <v>893913.80103450571</v>
      </c>
      <c r="L41" s="31">
        <f t="shared" si="11"/>
        <v>938945.53352514619</v>
      </c>
      <c r="M41" s="34">
        <f t="shared" si="11"/>
        <v>769480.89527248847</v>
      </c>
      <c r="N41" s="24"/>
    </row>
    <row r="42" spans="1:16" ht="28.75" customHeight="1">
      <c r="A42" s="27"/>
      <c r="B42" s="41" t="s">
        <v>32</v>
      </c>
      <c r="C42" s="40">
        <f t="shared" ref="C42:D42" si="29">+SUM(C44:C50)</f>
        <v>2491772723</v>
      </c>
      <c r="D42" s="43">
        <f t="shared" si="29"/>
        <v>6730330600</v>
      </c>
      <c r="E42" s="43"/>
      <c r="F42" s="43">
        <f>SUM(F44:F50)</f>
        <v>9353011108</v>
      </c>
      <c r="G42" s="43">
        <f t="shared" ref="G42:L42" si="30">+SUM(G44:G50)</f>
        <v>13895235700</v>
      </c>
      <c r="H42" s="43">
        <f t="shared" si="30"/>
        <v>15025239544</v>
      </c>
      <c r="I42" s="43">
        <f>+SUM(I44:I50)</f>
        <v>13277756267</v>
      </c>
      <c r="J42" s="43">
        <f t="shared" si="30"/>
        <v>13654438003</v>
      </c>
      <c r="K42" s="43">
        <f t="shared" si="30"/>
        <v>8727343819</v>
      </c>
      <c r="L42" s="43">
        <f t="shared" si="30"/>
        <v>6162319997</v>
      </c>
      <c r="M42" s="43">
        <f>+SUM(M44:M50)</f>
        <v>7328864354</v>
      </c>
    </row>
    <row r="43" spans="1:16" ht="28.75" customHeight="1">
      <c r="A43" s="27"/>
      <c r="B43" s="41" t="s">
        <v>47</v>
      </c>
      <c r="C43" s="40"/>
      <c r="D43" s="43">
        <v>16677</v>
      </c>
      <c r="E43" s="43"/>
      <c r="F43" s="43"/>
      <c r="G43" s="43">
        <f>+G42/G15</f>
        <v>21888.465549289562</v>
      </c>
      <c r="H43" s="43">
        <f>+H42/H15</f>
        <v>24962.02102591025</v>
      </c>
      <c r="I43" s="43">
        <f t="shared" ref="I43:M43" si="31">+I42/I15</f>
        <v>21951.20366323015</v>
      </c>
      <c r="J43" s="43">
        <f t="shared" si="31"/>
        <v>20750.574069149137</v>
      </c>
      <c r="K43" s="43">
        <f t="shared" si="31"/>
        <v>13897.221332437355</v>
      </c>
      <c r="L43" s="43">
        <f t="shared" si="31"/>
        <v>12274.324715518063</v>
      </c>
      <c r="M43" s="43">
        <f t="shared" si="31"/>
        <v>10968.989250820183</v>
      </c>
    </row>
    <row r="44" spans="1:16" ht="28.75" customHeight="1">
      <c r="A44" s="119" t="s">
        <v>32</v>
      </c>
      <c r="B44" s="53" t="s">
        <v>25</v>
      </c>
      <c r="C44" s="46">
        <f>20747027+1391765280</f>
        <v>1412512307</v>
      </c>
      <c r="D44" s="31">
        <f>1194*D6+3309*D6</f>
        <v>2158287900</v>
      </c>
      <c r="E44" s="31"/>
      <c r="F44" s="31">
        <f>1084820646+1553799065</f>
        <v>2638619711</v>
      </c>
      <c r="G44" s="31">
        <f>1240225906+1389038537</f>
        <v>2629264443</v>
      </c>
      <c r="H44" s="31">
        <f>1239379397+2109684284</f>
        <v>3349063681</v>
      </c>
      <c r="I44" s="31">
        <v>3533527163</v>
      </c>
      <c r="J44" s="31">
        <v>2060472798</v>
      </c>
      <c r="K44" s="31">
        <v>2263203375</v>
      </c>
      <c r="L44" s="31">
        <v>904386542</v>
      </c>
      <c r="M44" s="34">
        <v>2401941946</v>
      </c>
    </row>
    <row r="45" spans="1:16" ht="28.75" customHeight="1">
      <c r="A45" s="124"/>
      <c r="B45" s="53" t="s">
        <v>26</v>
      </c>
      <c r="C45" s="50"/>
      <c r="D45" s="14">
        <f>+D6*1565</f>
        <v>750104500</v>
      </c>
      <c r="E45" s="31"/>
      <c r="F45" s="31">
        <v>910267284</v>
      </c>
      <c r="G45" s="31">
        <v>3605592626</v>
      </c>
      <c r="H45" s="31">
        <v>3350450115</v>
      </c>
      <c r="I45" s="31">
        <v>2377924686</v>
      </c>
      <c r="J45" s="31">
        <v>1816650546</v>
      </c>
      <c r="K45" s="31">
        <v>4075187493</v>
      </c>
      <c r="L45" s="31">
        <v>3814396261</v>
      </c>
      <c r="M45" s="34">
        <v>3909863258</v>
      </c>
    </row>
    <row r="46" spans="1:16" ht="28.75" customHeight="1">
      <c r="A46" s="124"/>
      <c r="B46" s="53" t="s">
        <v>27</v>
      </c>
      <c r="C46" s="46">
        <v>123392025</v>
      </c>
      <c r="D46" s="31">
        <v>0</v>
      </c>
      <c r="E46" s="31"/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8793186</v>
      </c>
      <c r="L46" s="31">
        <v>0</v>
      </c>
      <c r="M46" s="34">
        <v>0</v>
      </c>
    </row>
    <row r="47" spans="1:16" ht="28.75" customHeight="1">
      <c r="A47" s="124"/>
      <c r="B47" s="53" t="s">
        <v>28</v>
      </c>
      <c r="C47" s="46">
        <v>700745903</v>
      </c>
      <c r="D47" s="31">
        <f>3309*D6</f>
        <v>1586003700</v>
      </c>
      <c r="E47" s="31"/>
      <c r="F47" s="31">
        <v>3850393994</v>
      </c>
      <c r="G47" s="31">
        <v>5379095054</v>
      </c>
      <c r="H47" s="31">
        <v>4907503593</v>
      </c>
      <c r="I47" s="31">
        <v>4011803853</v>
      </c>
      <c r="J47" s="31">
        <v>7222689173</v>
      </c>
      <c r="K47" s="31">
        <v>926867226</v>
      </c>
      <c r="L47" s="31">
        <v>0</v>
      </c>
      <c r="M47" s="34">
        <v>0</v>
      </c>
    </row>
    <row r="48" spans="1:16" ht="28.75" customHeight="1">
      <c r="A48" s="124"/>
      <c r="B48" s="53" t="s">
        <v>29</v>
      </c>
      <c r="C48" s="46">
        <v>255122488</v>
      </c>
      <c r="D48" s="31">
        <f>D6*4079</f>
        <v>1955064700</v>
      </c>
      <c r="E48" s="31"/>
      <c r="F48" s="31">
        <v>1953730119</v>
      </c>
      <c r="G48" s="31">
        <v>1844099823</v>
      </c>
      <c r="H48" s="31">
        <v>2478725715</v>
      </c>
      <c r="I48" s="31">
        <v>2437730761</v>
      </c>
      <c r="J48" s="31">
        <v>1676204117</v>
      </c>
      <c r="K48" s="31">
        <v>1498292539</v>
      </c>
      <c r="L48" s="31">
        <v>1443537194</v>
      </c>
      <c r="M48" s="34">
        <v>1017059150</v>
      </c>
    </row>
    <row r="49" spans="1:14" ht="28.75" customHeight="1">
      <c r="A49" s="124"/>
      <c r="B49" s="53" t="s">
        <v>30</v>
      </c>
      <c r="C49" s="30"/>
      <c r="D49" s="31">
        <f>+D6*586</f>
        <v>280869800</v>
      </c>
      <c r="E49" s="31"/>
      <c r="F49" s="31">
        <v>0</v>
      </c>
      <c r="G49" s="31">
        <v>437183754</v>
      </c>
      <c r="H49" s="31">
        <v>939496440</v>
      </c>
      <c r="I49" s="31">
        <v>916769804</v>
      </c>
      <c r="J49" s="31">
        <v>878421369</v>
      </c>
      <c r="K49" s="31">
        <v>0</v>
      </c>
      <c r="L49" s="31">
        <v>0</v>
      </c>
      <c r="M49" s="34"/>
    </row>
    <row r="50" spans="1:14" ht="28.75" customHeight="1">
      <c r="A50" s="120"/>
      <c r="B50" s="54" t="s">
        <v>31</v>
      </c>
      <c r="C50" s="45"/>
      <c r="D50" s="32"/>
      <c r="E50" s="32"/>
      <c r="F50" s="32"/>
      <c r="G50" s="32"/>
      <c r="H50" s="31">
        <v>0</v>
      </c>
      <c r="I50" s="31">
        <v>0</v>
      </c>
      <c r="J50" s="31">
        <v>0</v>
      </c>
      <c r="K50" s="31">
        <v>-45000000</v>
      </c>
      <c r="L50" s="31">
        <v>0</v>
      </c>
      <c r="M50" s="34"/>
    </row>
    <row r="51" spans="1:14" ht="28.75" customHeight="1">
      <c r="A51" s="119"/>
      <c r="B51" s="55" t="s">
        <v>33</v>
      </c>
      <c r="C51" s="51"/>
      <c r="D51" s="31">
        <v>31776069299</v>
      </c>
      <c r="E51" s="31">
        <v>28108205322</v>
      </c>
      <c r="F51" s="31">
        <v>30355578481</v>
      </c>
      <c r="G51" s="29"/>
      <c r="H51" s="38"/>
      <c r="I51" s="38">
        <v>30248955348</v>
      </c>
      <c r="J51" s="38">
        <v>43284023764</v>
      </c>
      <c r="K51" s="38">
        <v>55724210544</v>
      </c>
      <c r="L51" s="38">
        <v>48093746456.151421</v>
      </c>
      <c r="M51" s="39">
        <v>45484371703</v>
      </c>
    </row>
    <row r="52" spans="1:14" ht="28.75" customHeight="1">
      <c r="A52" s="124"/>
      <c r="B52" s="53" t="s">
        <v>34</v>
      </c>
      <c r="C52" s="30"/>
      <c r="D52" s="31">
        <f>15325723624+10067615119</f>
        <v>25393338743</v>
      </c>
      <c r="E52" s="31">
        <f>11595060921+12859895978</f>
        <v>24454956899</v>
      </c>
      <c r="F52" s="31">
        <f>16940175941+7896206453</f>
        <v>24836382394</v>
      </c>
      <c r="G52" s="17"/>
      <c r="H52" s="31"/>
      <c r="I52" s="31">
        <v>21593635791</v>
      </c>
      <c r="J52" s="31">
        <f>9644007042+15862398025</f>
        <v>25506405067</v>
      </c>
      <c r="K52" s="31">
        <v>21981682001</v>
      </c>
      <c r="L52" s="31">
        <f>8903040445.33883+7168996995.64353</f>
        <v>16072037440.982361</v>
      </c>
      <c r="M52" s="34">
        <f>9233370325+10286909211</f>
        <v>19520279536</v>
      </c>
    </row>
    <row r="53" spans="1:14" ht="28.75" customHeight="1">
      <c r="A53" s="124"/>
      <c r="B53" s="53" t="s">
        <v>35</v>
      </c>
      <c r="C53" s="30"/>
      <c r="D53" s="31"/>
      <c r="E53" s="31"/>
      <c r="F53" s="31"/>
      <c r="G53" s="17"/>
      <c r="H53" s="31"/>
      <c r="I53" s="31">
        <v>19791475150</v>
      </c>
      <c r="J53" s="31">
        <v>14015895451</v>
      </c>
      <c r="K53" s="31">
        <v>23328355692</v>
      </c>
      <c r="L53" s="31">
        <v>24946894092</v>
      </c>
      <c r="M53" s="34">
        <v>26954027101</v>
      </c>
    </row>
    <row r="54" spans="1:14" ht="28.75" customHeight="1">
      <c r="A54" s="124"/>
      <c r="B54" s="53" t="s">
        <v>36</v>
      </c>
      <c r="C54" s="30"/>
      <c r="D54" s="31">
        <v>57169408042</v>
      </c>
      <c r="E54" s="31">
        <v>52563162220</v>
      </c>
      <c r="F54" s="31">
        <v>55191960874</v>
      </c>
      <c r="G54" s="17"/>
      <c r="H54" s="31">
        <f t="shared" ref="H54:M54" si="32">SUM(H51:H53)</f>
        <v>0</v>
      </c>
      <c r="I54" s="31">
        <f t="shared" si="32"/>
        <v>71634066289</v>
      </c>
      <c r="J54" s="31">
        <f t="shared" si="32"/>
        <v>82806324282</v>
      </c>
      <c r="K54" s="31">
        <f t="shared" si="32"/>
        <v>101034248237</v>
      </c>
      <c r="L54" s="31">
        <f t="shared" si="32"/>
        <v>89112677989.133789</v>
      </c>
      <c r="M54" s="34">
        <f t="shared" si="32"/>
        <v>91958678340</v>
      </c>
    </row>
    <row r="55" spans="1:14" ht="28.75" customHeight="1">
      <c r="A55" s="124"/>
      <c r="B55" s="53" t="s">
        <v>37</v>
      </c>
      <c r="C55" s="30"/>
      <c r="D55" s="31">
        <v>12160364968</v>
      </c>
      <c r="E55" s="31">
        <v>15640244318</v>
      </c>
      <c r="F55" s="31">
        <v>27074494820</v>
      </c>
      <c r="G55" s="17"/>
      <c r="H55" s="31"/>
      <c r="I55" s="31">
        <v>20966038795</v>
      </c>
      <c r="J55" s="31">
        <v>20975391940</v>
      </c>
      <c r="K55" s="31">
        <v>21443617274</v>
      </c>
      <c r="L55" s="31">
        <v>22265941215.389999</v>
      </c>
      <c r="M55" s="34">
        <v>20122930344</v>
      </c>
    </row>
    <row r="56" spans="1:14" ht="28.75" customHeight="1">
      <c r="A56" s="124"/>
      <c r="B56" s="53" t="s">
        <v>38</v>
      </c>
      <c r="C56" s="30"/>
      <c r="D56" s="31">
        <v>245054611</v>
      </c>
      <c r="E56" s="31">
        <v>1444450641</v>
      </c>
      <c r="F56" s="31">
        <v>5878757114</v>
      </c>
      <c r="G56" s="17"/>
      <c r="H56" s="31"/>
      <c r="I56" s="31">
        <v>4234614506</v>
      </c>
      <c r="J56" s="31">
        <v>6822970097</v>
      </c>
      <c r="K56" s="31">
        <v>21313054512</v>
      </c>
      <c r="L56" s="31">
        <v>9695108983.3800011</v>
      </c>
      <c r="M56" s="34">
        <v>11951720019</v>
      </c>
    </row>
    <row r="57" spans="1:14" ht="28.75" customHeight="1">
      <c r="A57" s="124"/>
      <c r="B57" s="53" t="s">
        <v>39</v>
      </c>
      <c r="C57" s="30"/>
      <c r="D57" s="31">
        <v>69574827621</v>
      </c>
      <c r="E57" s="31">
        <v>69647857180</v>
      </c>
      <c r="F57" s="31">
        <v>88145212808</v>
      </c>
      <c r="G57" s="17"/>
      <c r="H57" s="31">
        <f t="shared" ref="H57:M57" si="33">SUM(H54:H56)</f>
        <v>0</v>
      </c>
      <c r="I57" s="31">
        <f t="shared" si="33"/>
        <v>96834719590</v>
      </c>
      <c r="J57" s="31">
        <f t="shared" si="33"/>
        <v>110604686319</v>
      </c>
      <c r="K57" s="31">
        <f t="shared" si="33"/>
        <v>143790920023</v>
      </c>
      <c r="L57" s="31">
        <f t="shared" si="33"/>
        <v>121073728187.90379</v>
      </c>
      <c r="M57" s="34">
        <f t="shared" si="33"/>
        <v>124033328703</v>
      </c>
      <c r="N57" s="24"/>
    </row>
    <row r="58" spans="1:14" ht="28.75" customHeight="1">
      <c r="A58" s="124"/>
      <c r="B58" s="53" t="s">
        <v>40</v>
      </c>
      <c r="C58" s="30"/>
      <c r="D58" s="31"/>
      <c r="E58" s="31"/>
      <c r="F58" s="31"/>
      <c r="G58" s="17"/>
      <c r="H58" s="31"/>
      <c r="I58" s="31">
        <v>104097323559</v>
      </c>
      <c r="J58" s="31">
        <f>+J57*1.075</f>
        <v>118900037792.92499</v>
      </c>
      <c r="K58" s="31">
        <v>154575239025</v>
      </c>
      <c r="L58" s="31">
        <v>130154257802</v>
      </c>
      <c r="M58" s="34">
        <f>+M57*1.075</f>
        <v>133335828355.72499</v>
      </c>
      <c r="N58" s="24"/>
    </row>
    <row r="59" spans="1:14" ht="28.75" customHeight="1">
      <c r="A59" s="124"/>
      <c r="B59" s="53" t="s">
        <v>41</v>
      </c>
      <c r="C59" s="30"/>
      <c r="D59" s="31"/>
      <c r="E59" s="31"/>
      <c r="F59" s="31"/>
      <c r="G59" s="17"/>
      <c r="H59" s="31"/>
      <c r="I59" s="31">
        <v>115971323559</v>
      </c>
      <c r="J59" s="31">
        <f>148319386139</f>
        <v>148319386139</v>
      </c>
      <c r="K59" s="31">
        <v>214147512030</v>
      </c>
      <c r="L59" s="31">
        <v>142036687952</v>
      </c>
      <c r="M59" s="34">
        <v>172022992065</v>
      </c>
      <c r="N59" s="24"/>
    </row>
    <row r="60" spans="1:14" ht="28.75" customHeight="1">
      <c r="A60" s="120"/>
      <c r="B60" s="54" t="s">
        <v>42</v>
      </c>
      <c r="C60" s="45"/>
      <c r="D60" s="31"/>
      <c r="E60" s="31"/>
      <c r="F60" s="31"/>
      <c r="G60" s="21"/>
      <c r="H60" s="31"/>
      <c r="I60" s="31">
        <v>11874170074</v>
      </c>
      <c r="J60" s="31">
        <v>29419348346.075012</v>
      </c>
      <c r="K60" s="31">
        <v>59572273005</v>
      </c>
      <c r="L60" s="31">
        <v>11882430150</v>
      </c>
      <c r="M60" s="34">
        <f>+M59-M58</f>
        <v>38687163709.275009</v>
      </c>
      <c r="N60" s="24"/>
    </row>
    <row r="61" spans="1:14" ht="28.75" customHeight="1">
      <c r="A61" s="27"/>
      <c r="B61" s="41" t="s">
        <v>48</v>
      </c>
      <c r="C61" s="49">
        <f t="shared" ref="C61:M61" si="34">+C62+C63</f>
        <v>324846204</v>
      </c>
      <c r="D61" s="41">
        <f t="shared" si="34"/>
        <v>2187969533</v>
      </c>
      <c r="E61" s="41">
        <f t="shared" si="34"/>
        <v>0</v>
      </c>
      <c r="F61" s="41">
        <f t="shared" si="34"/>
        <v>3827636536</v>
      </c>
      <c r="G61" s="41">
        <f t="shared" si="34"/>
        <v>4980914573</v>
      </c>
      <c r="H61" s="43">
        <f t="shared" si="34"/>
        <v>5646666030</v>
      </c>
      <c r="I61" s="40">
        <f t="shared" si="34"/>
        <v>6320547463</v>
      </c>
      <c r="J61" s="43">
        <f t="shared" si="34"/>
        <v>9668021560.607502</v>
      </c>
      <c r="K61" s="43">
        <f t="shared" si="34"/>
        <v>16210660921</v>
      </c>
      <c r="L61" s="43">
        <f t="shared" si="34"/>
        <v>8140692845</v>
      </c>
      <c r="M61" s="43">
        <f t="shared" si="34"/>
        <v>12304787143.927502</v>
      </c>
      <c r="N61" s="24"/>
    </row>
    <row r="62" spans="1:14" ht="28.75" customHeight="1">
      <c r="A62" s="119" t="s">
        <v>48</v>
      </c>
      <c r="B62" s="53" t="s">
        <v>1</v>
      </c>
      <c r="C62" s="30">
        <v>324846204</v>
      </c>
      <c r="D62" s="17">
        <v>2187969533</v>
      </c>
      <c r="E62" s="17"/>
      <c r="F62" s="17">
        <v>3827636536</v>
      </c>
      <c r="G62" s="17">
        <v>4980914573</v>
      </c>
      <c r="H62" s="36">
        <v>5008666030</v>
      </c>
      <c r="I62" s="19">
        <v>5133130456</v>
      </c>
      <c r="J62" s="19">
        <v>6726086726</v>
      </c>
      <c r="K62" s="19">
        <v>10253433620</v>
      </c>
      <c r="L62" s="19">
        <v>6952449830</v>
      </c>
      <c r="M62" s="19">
        <v>8436070773</v>
      </c>
    </row>
    <row r="63" spans="1:14" ht="28.75" customHeight="1">
      <c r="A63" s="120"/>
      <c r="B63" s="54" t="s">
        <v>43</v>
      </c>
      <c r="C63" s="45"/>
      <c r="D63" s="21"/>
      <c r="E63" s="21"/>
      <c r="F63" s="21"/>
      <c r="G63" s="21"/>
      <c r="H63" s="44">
        <v>638000000</v>
      </c>
      <c r="I63" s="25">
        <v>1187417007</v>
      </c>
      <c r="J63" s="25">
        <v>2941934834.6075015</v>
      </c>
      <c r="K63" s="25">
        <v>5957227301</v>
      </c>
      <c r="L63" s="25">
        <v>1188243015</v>
      </c>
      <c r="M63" s="25">
        <f>+M60*0.1</f>
        <v>3868716370.9275012</v>
      </c>
    </row>
    <row r="66" spans="12:13">
      <c r="L66" s="28"/>
      <c r="M66" s="28"/>
    </row>
    <row r="69" spans="12:13">
      <c r="L69" s="24"/>
      <c r="M69" s="24"/>
    </row>
  </sheetData>
  <mergeCells count="7">
    <mergeCell ref="A62:A63"/>
    <mergeCell ref="A7:A14"/>
    <mergeCell ref="A16:A23"/>
    <mergeCell ref="A25:A32"/>
    <mergeCell ref="A34:A41"/>
    <mergeCell ref="A44:A50"/>
    <mergeCell ref="A51:A6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Or vf (2)</vt:lpstr>
      <vt:lpstr>Feuil1</vt:lpstr>
      <vt:lpstr>Or vf</vt:lpstr>
      <vt:lpstr>Or</vt:lpstr>
      <vt:lpstr>Zircon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2026-03-14T12:56:03Z</dcterms:created>
  <dcterms:modified xsi:type="dcterms:W3CDTF">2026-04-29T16:11:40Z</dcterms:modified>
</cp:coreProperties>
</file>