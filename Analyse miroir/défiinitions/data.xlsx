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1.xml" ContentType="application/vnd.openxmlformats-officedocument.themeOverrid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2.xml" ContentType="application/vnd.openxmlformats-officedocument.themeOverrid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3.xml" ContentType="application/vnd.openxmlformats-officedocument.themeOverrid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heme/themeOverride4.xml" ContentType="application/vnd.openxmlformats-officedocument.themeOverrid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slicers/slicer1.xml" ContentType="application/vnd.ms-excel.slicer+xml"/>
  <Override PartName="/xl/pivotTables/pivotTable9.xml" ContentType="application/vnd.openxmlformats-officedocument.spreadsheetml.pivotTab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20"/>
  <workbookPr/>
  <mc:AlternateContent xmlns:mc="http://schemas.openxmlformats.org/markup-compatibility/2006">
    <mc:Choice Requires="x15">
      <x15ac:absPath xmlns:x15ac="http://schemas.microsoft.com/office/spreadsheetml/2010/11/ac" url="C:\Users\Bmd\Documents\ISE\Cours\ISE3\Stage ITIE\Analyse miroir\défiinitions\"/>
    </mc:Choice>
  </mc:AlternateContent>
  <xr:revisionPtr revIDLastSave="0" documentId="8_{65423F67-DF04-444E-952D-29118CA5C4CD}" xr6:coauthVersionLast="47" xr6:coauthVersionMax="47" xr10:uidLastSave="{00000000-0000-0000-0000-000000000000}"/>
  <bookViews>
    <workbookView xWindow="480" yWindow="120" windowWidth="19980" windowHeight="14190" autoFilterDateGrouping="0" xr2:uid="{00000000-0000-0000-0000-000000000000}"/>
  </bookViews>
  <sheets>
    <sheet name="data_exp" sheetId="32" r:id="rId1"/>
    <sheet name="data_imp" sheetId="33" r:id="rId2"/>
    <sheet name="table" sheetId="34" r:id="rId3"/>
    <sheet name="data_merge" sheetId="35" r:id="rId4"/>
    <sheet name="Export_Comtrade" sheetId="7" r:id="rId5"/>
    <sheet name="Export_Rapport" sheetId="23" r:id="rId6"/>
    <sheet name="Export_Import" sheetId="22" r:id="rId7"/>
    <sheet name="data2_exp" sheetId="31" r:id="rId8"/>
    <sheet name="data1_imp" sheetId="30" r:id="rId9"/>
    <sheet name="Import_comtrade" sheetId="27" r:id="rId10"/>
    <sheet name="Tableau 11_2022" sheetId="15" state="hidden" r:id="rId11"/>
    <sheet name="34_2024" sheetId="12" state="hidden" r:id="rId12"/>
    <sheet name="Import_OR" sheetId="8" r:id="rId13"/>
    <sheet name="Or vf (2)" sheetId="2" r:id="rId14"/>
    <sheet name="Feuil2" sheetId="10" r:id="rId15"/>
    <sheet name="Feuil1 (2)" sheetId="3" r:id="rId16"/>
    <sheet name="Or vf" sheetId="4" r:id="rId17"/>
    <sheet name="Or" sheetId="5" r:id="rId18"/>
    <sheet name="Zircon" sheetId="6" state="hidden" r:id="rId19"/>
  </sheets>
  <externalReferences>
    <externalReference r:id="rId20"/>
  </externalReferences>
  <definedNames>
    <definedName name="_xlnm._FilterDatabase" localSheetId="3" hidden="1">data_merge!$A$1:$N$33</definedName>
    <definedName name="_xlnm._FilterDatabase" localSheetId="13" hidden="1">'Or vf (2)'!$B$2:$BS$18</definedName>
    <definedName name="_xlnm._FilterDatabase" hidden="1">#REF!</definedName>
    <definedName name="_FilterDatabase1" hidden="1">#REF!</definedName>
    <definedName name="az">#REF!</definedName>
    <definedName name="_xlnm.Database">#REF!</definedName>
    <definedName name="BATNA">#REF!</definedName>
    <definedName name="BISKRA">#REF!</definedName>
    <definedName name="Compadjust">#REF!</definedName>
    <definedName name="DATA5">#REF!</definedName>
    <definedName name="FD" hidden="1">#REF!</definedName>
    <definedName name="fdb" hidden="1">#REF!</definedName>
    <definedName name="FinalDiff">#REF!</definedName>
    <definedName name="Govadjust">#REF!</definedName>
    <definedName name="JIJEL">#REF!</definedName>
    <definedName name="KHENCHELA">#REF!</definedName>
    <definedName name="MARI">#REF!</definedName>
    <definedName name="MILA">#REF!</definedName>
    <definedName name="miseenplace03prjpilotes">#REF!</definedName>
    <definedName name="MS">#REF!</definedName>
    <definedName name="msp">#REF!</definedName>
    <definedName name="P">#REF!</definedName>
    <definedName name="po">#REF!</definedName>
    <definedName name="POP">#REF!</definedName>
    <definedName name="RECAP">#REF!</definedName>
    <definedName name="Segment_partnerDesc1">#N/A</definedName>
    <definedName name="Segment_refYear1">#N/A</definedName>
    <definedName name="Segment_reporterDesc1">#N/A</definedName>
    <definedName name="SOUKAHARS">#REF!</definedName>
    <definedName name="Taxes">#REF!</definedName>
    <definedName name="TRAVAUX01">#REF!</definedName>
    <definedName name="TRAVAUX07">#REF!</definedName>
    <definedName name="TRAVAUX08">#REF!</definedName>
    <definedName name="TRAVAUX10">#REF!</definedName>
    <definedName name="TRAVAUX11">#REF!</definedName>
    <definedName name="TRAVAUX12">#REF!</definedName>
    <definedName name="TRAVAUX13">#REF!</definedName>
    <definedName name="TRAVAUX14">#REF!</definedName>
    <definedName name="TRAVAUX15">#REF!</definedName>
    <definedName name="TRAVAUX20">#REF!</definedName>
    <definedName name="TRAVAUX21">#REF!</definedName>
    <definedName name="TRAVAUX22">#REF!</definedName>
    <definedName name="TRAVAUX25">#REF!</definedName>
    <definedName name="TRAVAUX27">#REF!</definedName>
    <definedName name="TRAVAUX28">#REF!</definedName>
    <definedName name="TRAVAUX29">#REF!</definedName>
    <definedName name="TRAVAUX31">#REF!</definedName>
    <definedName name="TRAVAUX32">#REF!</definedName>
    <definedName name="TRAVAUX33">#REF!</definedName>
    <definedName name="TRAVAUX34">#REF!</definedName>
    <definedName name="TRAVAUX35">#REF!</definedName>
    <definedName name="TRAVAUX36">#REF!</definedName>
    <definedName name="TRAVAUX38">#REF!</definedName>
    <definedName name="TRAVAUX39">#REF!</definedName>
    <definedName name="TRAVAUX40">#REF!</definedName>
    <definedName name="TRAVAUX41">#REF!</definedName>
    <definedName name="TRAVAUX42">#REF!</definedName>
    <definedName name="TRAVAUX43">#REF!</definedName>
    <definedName name="TRAVAUX44">#REF!</definedName>
    <definedName name="TRAVAUX45">#REF!</definedName>
    <definedName name="TRAVAUX47">#REF!</definedName>
    <definedName name="TRAVAUX48">#REF!</definedName>
    <definedName name="TRAVAUX49">#REF!</definedName>
    <definedName name="TRAVAUX50">#REF!</definedName>
    <definedName name="TRAVAUX51">#REF!</definedName>
    <definedName name="TRAVAUX53">#REF!</definedName>
    <definedName name="TRAVAUX58">#REF!</definedName>
    <definedName name="TRAVAUX59">#REF!</definedName>
    <definedName name="TRAVAUX67">#REF!</definedName>
    <definedName name="ZI">#REF!</definedName>
    <definedName name="_xlnm.Print_Area">#REF!</definedName>
  </definedNames>
  <calcPr calcId="191029"/>
  <pivotCaches>
    <pivotCache cacheId="0" r:id="rId21"/>
    <pivotCache cacheId="3" r:id="rId22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23"/>
        <x14:slicerCache r:id="rId24"/>
        <x14:slicerCache r:id="rId25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2" i="23" l="1"/>
  <c r="S3" i="23"/>
  <c r="S4" i="23"/>
  <c r="S5" i="23"/>
  <c r="S6" i="23"/>
  <c r="S7" i="23"/>
  <c r="S8" i="23"/>
  <c r="S9" i="23"/>
  <c r="S10" i="23"/>
  <c r="S11" i="23"/>
  <c r="S12" i="23"/>
  <c r="S13" i="23"/>
  <c r="S14" i="23"/>
  <c r="S15" i="23"/>
  <c r="S16" i="23"/>
  <c r="L4" i="23"/>
  <c r="N33" i="35"/>
  <c r="N32" i="35"/>
  <c r="N31" i="35"/>
  <c r="N30" i="35"/>
  <c r="N29" i="35"/>
  <c r="N28" i="35"/>
  <c r="N27" i="35"/>
  <c r="N26" i="35"/>
  <c r="N25" i="35"/>
  <c r="N24" i="35"/>
  <c r="N23" i="35"/>
  <c r="N22" i="35"/>
  <c r="N21" i="35"/>
  <c r="N20" i="35"/>
  <c r="N19" i="35"/>
  <c r="N18" i="35"/>
  <c r="N17" i="35"/>
  <c r="N16" i="35"/>
  <c r="N15" i="35"/>
  <c r="N14" i="35"/>
  <c r="N13" i="35"/>
  <c r="N12" i="35"/>
  <c r="N11" i="35"/>
  <c r="N10" i="35"/>
  <c r="N9" i="35"/>
  <c r="N8" i="35"/>
  <c r="N7" i="35"/>
  <c r="N6" i="35"/>
  <c r="N5" i="35"/>
  <c r="N4" i="35"/>
  <c r="N3" i="35"/>
  <c r="N2" i="35"/>
  <c r="M3" i="27"/>
  <c r="M4" i="27"/>
  <c r="M5" i="27"/>
  <c r="M6" i="27"/>
  <c r="M7" i="27"/>
  <c r="M8" i="27"/>
  <c r="M9" i="27"/>
  <c r="M10" i="27"/>
  <c r="M11" i="27"/>
  <c r="M12" i="27"/>
  <c r="M13" i="27"/>
  <c r="M14" i="27"/>
  <c r="M15" i="27"/>
  <c r="M16" i="27"/>
  <c r="M17" i="27"/>
  <c r="M18" i="27"/>
  <c r="M19" i="27"/>
  <c r="M20" i="27"/>
  <c r="M21" i="27"/>
  <c r="M22" i="27"/>
  <c r="M23" i="27"/>
  <c r="M24" i="27"/>
  <c r="M25" i="27"/>
  <c r="M26" i="27"/>
  <c r="M27" i="27"/>
  <c r="M28" i="27"/>
  <c r="M2" i="27"/>
  <c r="I117" i="15" l="1"/>
  <c r="H117" i="15"/>
  <c r="G117" i="15"/>
  <c r="I115" i="15"/>
  <c r="H115" i="15"/>
  <c r="G115" i="15"/>
  <c r="I113" i="15"/>
  <c r="H113" i="15"/>
  <c r="G113" i="15"/>
  <c r="I110" i="15"/>
  <c r="H110" i="15"/>
  <c r="G110" i="15"/>
  <c r="I108" i="15"/>
  <c r="H108" i="15"/>
  <c r="G108" i="15"/>
  <c r="I105" i="15"/>
  <c r="H105" i="15"/>
  <c r="G105" i="15"/>
  <c r="I103" i="15"/>
  <c r="H103" i="15"/>
  <c r="G103" i="15"/>
  <c r="I100" i="15"/>
  <c r="H100" i="15"/>
  <c r="G100" i="15"/>
  <c r="I96" i="15"/>
  <c r="H96" i="15"/>
  <c r="G96" i="15"/>
  <c r="I91" i="15"/>
  <c r="H91" i="15"/>
  <c r="G91" i="15"/>
  <c r="I79" i="15"/>
  <c r="H79" i="15"/>
  <c r="G79" i="15"/>
  <c r="I69" i="15"/>
  <c r="H69" i="15"/>
  <c r="G69" i="15"/>
  <c r="I67" i="15"/>
  <c r="H67" i="15"/>
  <c r="G67" i="15"/>
  <c r="I64" i="15"/>
  <c r="H64" i="15"/>
  <c r="G64" i="15"/>
  <c r="I57" i="15"/>
  <c r="H57" i="15"/>
  <c r="G57" i="15"/>
  <c r="I53" i="15"/>
  <c r="H53" i="15"/>
  <c r="G53" i="15"/>
  <c r="I43" i="15"/>
  <c r="H43" i="15"/>
  <c r="G43" i="15"/>
  <c r="I29" i="15"/>
  <c r="H29" i="15"/>
  <c r="G29" i="15"/>
  <c r="I13" i="15"/>
  <c r="H13" i="15"/>
  <c r="G13" i="15"/>
  <c r="I10" i="15"/>
  <c r="I118" i="15" s="1"/>
  <c r="H10" i="15"/>
  <c r="G10" i="15"/>
  <c r="I8" i="15"/>
  <c r="H8" i="15"/>
  <c r="H118" i="15" s="1"/>
  <c r="G8" i="15"/>
  <c r="I1666" i="12" l="1"/>
  <c r="H1666" i="12"/>
  <c r="L61" i="6" l="1"/>
  <c r="K61" i="6"/>
  <c r="J61" i="6"/>
  <c r="I61" i="6"/>
  <c r="H61" i="6"/>
  <c r="G61" i="6"/>
  <c r="F61" i="6"/>
  <c r="E61" i="6"/>
  <c r="D61" i="6"/>
  <c r="C61" i="6"/>
  <c r="J59" i="6"/>
  <c r="L54" i="6"/>
  <c r="L57" i="6" s="1"/>
  <c r="K54" i="6"/>
  <c r="K57" i="6" s="1"/>
  <c r="I54" i="6"/>
  <c r="I57" i="6" s="1"/>
  <c r="H54" i="6"/>
  <c r="H57" i="6" s="1"/>
  <c r="M52" i="6"/>
  <c r="M54" i="6" s="1"/>
  <c r="M57" i="6" s="1"/>
  <c r="M58" i="6" s="1"/>
  <c r="M60" i="6" s="1"/>
  <c r="M63" i="6" s="1"/>
  <c r="M61" i="6" s="1"/>
  <c r="L52" i="6"/>
  <c r="J52" i="6"/>
  <c r="J54" i="6" s="1"/>
  <c r="J57" i="6" s="1"/>
  <c r="J58" i="6" s="1"/>
  <c r="F52" i="6"/>
  <c r="E52" i="6"/>
  <c r="D52" i="6"/>
  <c r="D48" i="6"/>
  <c r="H44" i="6"/>
  <c r="G44" i="6"/>
  <c r="G42" i="6" s="1"/>
  <c r="G43" i="6" s="1"/>
  <c r="F44" i="6"/>
  <c r="C44" i="6"/>
  <c r="M43" i="6"/>
  <c r="I43" i="6"/>
  <c r="M42" i="6"/>
  <c r="L42" i="6"/>
  <c r="L43" i="6" s="1"/>
  <c r="K42" i="6"/>
  <c r="K43" i="6" s="1"/>
  <c r="J42" i="6"/>
  <c r="J43" i="6" s="1"/>
  <c r="I42" i="6"/>
  <c r="H42" i="6"/>
  <c r="H43" i="6" s="1"/>
  <c r="F42" i="6"/>
  <c r="C42" i="6"/>
  <c r="M41" i="6"/>
  <c r="L41" i="6"/>
  <c r="K41" i="6"/>
  <c r="J41" i="6"/>
  <c r="I41" i="6"/>
  <c r="H41" i="6"/>
  <c r="G41" i="6"/>
  <c r="F41" i="6"/>
  <c r="E41" i="6"/>
  <c r="D41" i="6"/>
  <c r="M40" i="6"/>
  <c r="L40" i="6"/>
  <c r="K40" i="6"/>
  <c r="J40" i="6"/>
  <c r="I40" i="6"/>
  <c r="H40" i="6"/>
  <c r="G40" i="6"/>
  <c r="F40" i="6"/>
  <c r="E40" i="6"/>
  <c r="D40" i="6"/>
  <c r="C40" i="6"/>
  <c r="M39" i="6"/>
  <c r="L39" i="6"/>
  <c r="K39" i="6"/>
  <c r="J39" i="6"/>
  <c r="I39" i="6"/>
  <c r="H39" i="6"/>
  <c r="G39" i="6"/>
  <c r="F39" i="6"/>
  <c r="E39" i="6"/>
  <c r="M38" i="6"/>
  <c r="L38" i="6"/>
  <c r="L33" i="6" s="1"/>
  <c r="K38" i="6"/>
  <c r="J38" i="6"/>
  <c r="I38" i="6"/>
  <c r="H38" i="6"/>
  <c r="H33" i="6" s="1"/>
  <c r="G38" i="6"/>
  <c r="F38" i="6"/>
  <c r="E38" i="6"/>
  <c r="D38" i="6"/>
  <c r="C38" i="6"/>
  <c r="M37" i="6"/>
  <c r="L37" i="6"/>
  <c r="K37" i="6"/>
  <c r="J37" i="6"/>
  <c r="I37" i="6"/>
  <c r="H37" i="6"/>
  <c r="G37" i="6"/>
  <c r="F37" i="6"/>
  <c r="E37" i="6"/>
  <c r="D37" i="6"/>
  <c r="C37" i="6"/>
  <c r="M36" i="6"/>
  <c r="L36" i="6"/>
  <c r="K36" i="6"/>
  <c r="J36" i="6"/>
  <c r="I36" i="6"/>
  <c r="H36" i="6"/>
  <c r="G36" i="6"/>
  <c r="F36" i="6"/>
  <c r="E36" i="6"/>
  <c r="D36" i="6"/>
  <c r="C36" i="6"/>
  <c r="M35" i="6"/>
  <c r="M33" i="6" s="1"/>
  <c r="L35" i="6"/>
  <c r="K35" i="6"/>
  <c r="J35" i="6"/>
  <c r="I35" i="6"/>
  <c r="I33" i="6" s="1"/>
  <c r="H35" i="6"/>
  <c r="M34" i="6"/>
  <c r="L34" i="6"/>
  <c r="K34" i="6"/>
  <c r="K33" i="6" s="1"/>
  <c r="J34" i="6"/>
  <c r="I34" i="6"/>
  <c r="H34" i="6"/>
  <c r="G34" i="6"/>
  <c r="F34" i="6"/>
  <c r="E34" i="6"/>
  <c r="D34" i="6"/>
  <c r="C34" i="6"/>
  <c r="J33" i="6"/>
  <c r="M24" i="6"/>
  <c r="L24" i="6"/>
  <c r="K24" i="6"/>
  <c r="J24" i="6"/>
  <c r="I24" i="6"/>
  <c r="H24" i="6"/>
  <c r="G24" i="6"/>
  <c r="F24" i="6"/>
  <c r="E24" i="6"/>
  <c r="D24" i="6"/>
  <c r="C24" i="6"/>
  <c r="M15" i="6"/>
  <c r="L15" i="6"/>
  <c r="K15" i="6"/>
  <c r="J15" i="6"/>
  <c r="I15" i="6"/>
  <c r="H15" i="6"/>
  <c r="G15" i="6"/>
  <c r="F15" i="6"/>
  <c r="E15" i="6"/>
  <c r="D15" i="6"/>
  <c r="C15" i="6"/>
  <c r="M6" i="6"/>
  <c r="L6" i="6"/>
  <c r="K6" i="6"/>
  <c r="J6" i="6"/>
  <c r="I6" i="6"/>
  <c r="H6" i="6"/>
  <c r="G6" i="6"/>
  <c r="F6" i="6"/>
  <c r="E6" i="6"/>
  <c r="D6" i="6"/>
  <c r="D47" i="6" s="1"/>
  <c r="C6" i="6"/>
  <c r="M5" i="6"/>
  <c r="L5" i="6"/>
  <c r="K5" i="6"/>
  <c r="J5" i="6"/>
  <c r="I5" i="6"/>
  <c r="H5" i="6"/>
  <c r="G5" i="6"/>
  <c r="F5" i="6"/>
  <c r="E5" i="6"/>
  <c r="D5" i="6"/>
  <c r="F26" i="5"/>
  <c r="E26" i="5"/>
  <c r="BP25" i="5"/>
  <c r="G25" i="5"/>
  <c r="BP24" i="5"/>
  <c r="G24" i="5"/>
  <c r="BP23" i="5"/>
  <c r="G23" i="5"/>
  <c r="BP22" i="5"/>
  <c r="BP21" i="5"/>
  <c r="BP20" i="5"/>
  <c r="BP19" i="5"/>
  <c r="BP18" i="5"/>
  <c r="BP17" i="5"/>
  <c r="H17" i="5"/>
  <c r="BP16" i="5"/>
  <c r="G16" i="5"/>
  <c r="BP15" i="5"/>
  <c r="F29" i="5" s="1"/>
  <c r="G15" i="5"/>
  <c r="G26" i="5" s="1"/>
  <c r="BP14" i="5"/>
  <c r="BP13" i="5"/>
  <c r="BP12" i="5"/>
  <c r="BP11" i="5"/>
  <c r="BP10" i="5"/>
  <c r="BP9" i="5"/>
  <c r="BP8" i="5"/>
  <c r="BP7" i="5"/>
  <c r="BP6" i="5"/>
  <c r="BP5" i="5"/>
  <c r="BP4" i="5"/>
  <c r="BP3" i="5"/>
  <c r="F26" i="4"/>
  <c r="E26" i="4"/>
  <c r="BP25" i="4"/>
  <c r="G25" i="4"/>
  <c r="BP24" i="4"/>
  <c r="G24" i="4"/>
  <c r="BP23" i="4"/>
  <c r="G23" i="4"/>
  <c r="G26" i="4" s="1"/>
  <c r="BP22" i="4"/>
  <c r="BP21" i="4"/>
  <c r="BP20" i="4"/>
  <c r="BP19" i="4"/>
  <c r="BP18" i="4"/>
  <c r="BP17" i="4"/>
  <c r="H17" i="4"/>
  <c r="BP16" i="4"/>
  <c r="G16" i="4"/>
  <c r="BP15" i="4"/>
  <c r="F29" i="4" s="1"/>
  <c r="G15" i="4"/>
  <c r="BP14" i="4"/>
  <c r="BP13" i="4"/>
  <c r="BP12" i="4"/>
  <c r="BP11" i="4"/>
  <c r="BP10" i="4"/>
  <c r="BP9" i="4"/>
  <c r="BP8" i="4"/>
  <c r="BP7" i="4"/>
  <c r="BP6" i="4"/>
  <c r="BP5" i="4"/>
  <c r="BP4" i="4"/>
  <c r="BP3" i="4"/>
  <c r="F29" i="2"/>
  <c r="F25" i="2"/>
  <c r="E18" i="2"/>
  <c r="BP17" i="2"/>
  <c r="BR17" i="2" s="1"/>
  <c r="BS17" i="2" s="1"/>
  <c r="H17" i="2"/>
  <c r="F17" i="2"/>
  <c r="BP16" i="2"/>
  <c r="BR16" i="2" s="1"/>
  <c r="BS16" i="2" s="1"/>
  <c r="F16" i="2"/>
  <c r="F28" i="2" s="1"/>
  <c r="BP15" i="2"/>
  <c r="BR15" i="2" s="1"/>
  <c r="BS15" i="2" s="1"/>
  <c r="F15" i="2"/>
  <c r="F27" i="2" s="1"/>
  <c r="BP14" i="2"/>
  <c r="BR14" i="2" s="1"/>
  <c r="BS14" i="2" s="1"/>
  <c r="F14" i="2"/>
  <c r="F26" i="2" s="1"/>
  <c r="BP13" i="2"/>
  <c r="BR13" i="2" s="1"/>
  <c r="BS13" i="2" s="1"/>
  <c r="F13" i="2"/>
  <c r="BP12" i="2"/>
  <c r="BR12" i="2" s="1"/>
  <c r="BS12" i="2" s="1"/>
  <c r="F12" i="2"/>
  <c r="F24" i="2" s="1"/>
  <c r="BQ11" i="2"/>
  <c r="BP11" i="2"/>
  <c r="BR11" i="2" s="1"/>
  <c r="BS11" i="2" s="1"/>
  <c r="I11" i="2"/>
  <c r="F11" i="2"/>
  <c r="F23" i="2" s="1"/>
  <c r="BP10" i="2"/>
  <c r="H10" i="2"/>
  <c r="F10" i="2"/>
  <c r="BP9" i="2"/>
  <c r="F9" i="2"/>
  <c r="BP8" i="2"/>
  <c r="F8" i="2"/>
  <c r="BP7" i="2"/>
  <c r="F7" i="2"/>
  <c r="BP6" i="2"/>
  <c r="F6" i="2"/>
  <c r="BP5" i="2"/>
  <c r="F5" i="2"/>
  <c r="BP4" i="2"/>
  <c r="F4" i="2"/>
  <c r="BP3" i="2"/>
  <c r="BP18" i="2" s="1"/>
  <c r="F3" i="2"/>
  <c r="D49" i="6" l="1"/>
  <c r="D44" i="6"/>
  <c r="D42" i="6" s="1"/>
  <c r="D45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  <author>Othman Marzouk</author>
  </authors>
  <commentList>
    <comment ref="C5" authorId="0" shapeId="0" xr:uid="{D0CE873B-3C51-4A7F-800F-1D4C746DB78C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Des vlaeurs différentes pour chaque catégorie sur la fiche, j'ai alors fais la somme)</t>
        </r>
      </text>
    </comment>
    <comment ref="C9" authorId="0" shapeId="0" xr:uid="{CFB6D9A6-0B4E-4D37-A714-CFAD0796A1C3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Est- ce -que la réconcilliation a été faite</t>
        </r>
      </text>
    </comment>
    <comment ref="BO13" authorId="1" shapeId="0" xr:uid="{53D380B2-E755-4349-B482-C2E04B6FD3C2}">
      <text>
        <r>
          <rPr>
            <b/>
            <sz val="9"/>
            <color indexed="81"/>
            <rFont val="Tahoma"/>
            <family val="2"/>
          </rPr>
          <t>Othman Marzouk:</t>
        </r>
        <r>
          <rPr>
            <sz val="9"/>
            <color indexed="81"/>
            <rFont val="Tahoma"/>
            <family val="2"/>
          </rPr>
          <t xml:space="preserve">
droit d’enregistrement de conventions réglementées (contrat de cession) de SGO</t>
        </r>
      </text>
    </comment>
    <comment ref="C17" authorId="0" shapeId="0" xr:uid="{41B06652-710B-4C50-8330-BC7CFDA3DDE6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Est- ce -que la réconcilliation a été faite</t>
        </r>
      </text>
    </comment>
    <comment ref="AP21" authorId="0" shapeId="0" xr:uid="{293D078A-C345-4EA4-9A6C-6A4D88A61783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Montant non rapporté à la société</t>
        </r>
      </text>
    </comment>
    <comment ref="AQ21" authorId="0" shapeId="0" xr:uid="{F2C1A7EE-B063-4CB2-A748-22BDD8A00026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Montant non rapporté à la société</t>
        </r>
      </text>
    </comment>
    <comment ref="AR21" authorId="0" shapeId="0" xr:uid="{275E0033-8428-4107-B460-8A468C3D23A8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Montant non rapporté à la société</t>
        </r>
      </text>
    </comment>
    <comment ref="AS21" authorId="0" shapeId="0" xr:uid="{EFD6AA5B-B56D-48B2-B7D3-B637669EC592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Montant non rapporté à la société</t>
        </r>
      </text>
    </comment>
    <comment ref="AT21" authorId="0" shapeId="0" xr:uid="{0D1BD0FC-9828-4219-9E54-FE14F7B49E84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Montant non rapporté à la société</t>
        </r>
      </text>
    </comment>
    <comment ref="AU21" authorId="0" shapeId="0" xr:uid="{11C619A3-95B7-4734-A6FD-4742CED28FD9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Montant non rapporté à la société</t>
        </r>
      </text>
    </comment>
    <comment ref="AV21" authorId="0" shapeId="0" xr:uid="{5BFBBAED-DB21-43C2-AD03-AA155AAD0048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Montant non rapporté à la société</t>
        </r>
      </text>
    </comment>
    <comment ref="AW21" authorId="0" shapeId="0" xr:uid="{CB5D6354-F803-4273-A0F2-0288CE0A79AA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Montant non rapporté à la société</t>
        </r>
      </text>
    </comment>
    <comment ref="AX21" authorId="0" shapeId="0" xr:uid="{0DE24763-3933-4066-91E6-C12FC21A18AD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Montant non rapporté à la société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  <author>Othman Marzouk</author>
  </authors>
  <commentList>
    <comment ref="C5" authorId="0" shapeId="0" xr:uid="{EC2141D4-ED72-4741-9AFD-52B2E89A7491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Des vlaeurs différentes pour chaque catégorie sur la fiche, j'ai alors fais la somme)</t>
        </r>
      </text>
    </comment>
    <comment ref="C9" authorId="0" shapeId="0" xr:uid="{A2E84F1F-CF8B-4F59-A7ED-08CACF4273F3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Est- ce -que la réconcilliation a été faite</t>
        </r>
      </text>
    </comment>
    <comment ref="BO13" authorId="1" shapeId="0" xr:uid="{0B767B23-777A-4BD5-847F-C4D245A1B967}">
      <text>
        <r>
          <rPr>
            <b/>
            <sz val="9"/>
            <color indexed="81"/>
            <rFont val="Tahoma"/>
            <family val="2"/>
          </rPr>
          <t>Othman Marzouk:</t>
        </r>
        <r>
          <rPr>
            <sz val="9"/>
            <color indexed="81"/>
            <rFont val="Tahoma"/>
            <family val="2"/>
          </rPr>
          <t xml:space="preserve">
droit d’enregistrement de conventions réglementées (contrat de cession) de SGO</t>
        </r>
      </text>
    </comment>
    <comment ref="C17" authorId="0" shapeId="0" xr:uid="{23C3F207-3F87-4A7F-B361-A5833ED1E094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Est- ce -que la réconcilliation a été faite</t>
        </r>
      </text>
    </comment>
    <comment ref="AP21" authorId="0" shapeId="0" xr:uid="{F7AED40A-1536-4A35-BEFE-B5FA4F54DE6D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Montant non rapporté à la société</t>
        </r>
      </text>
    </comment>
    <comment ref="AQ21" authorId="0" shapeId="0" xr:uid="{F7EFE752-9088-44DC-B658-395794047D25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Montant non rapporté à la société</t>
        </r>
      </text>
    </comment>
    <comment ref="AR21" authorId="0" shapeId="0" xr:uid="{34CFE72A-0B1E-4766-9E40-E030884AB51B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Montant non rapporté à la société</t>
        </r>
      </text>
    </comment>
    <comment ref="AS21" authorId="0" shapeId="0" xr:uid="{47C5BC46-E51A-4054-B485-74048893E8F9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Montant non rapporté à la société</t>
        </r>
      </text>
    </comment>
    <comment ref="AT21" authorId="0" shapeId="0" xr:uid="{6CD20743-A6DE-4637-B400-E87451B586DF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Montant non rapporté à la société</t>
        </r>
      </text>
    </comment>
    <comment ref="AU21" authorId="0" shapeId="0" xr:uid="{A4B9681C-2C4F-4C93-8E24-92B1E1532C21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Montant non rapporté à la société</t>
        </r>
      </text>
    </comment>
    <comment ref="AV21" authorId="0" shapeId="0" xr:uid="{A380DDC6-D6DD-4A12-8C40-DA56A7165211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Montant non rapporté à la société</t>
        </r>
      </text>
    </comment>
    <comment ref="AW21" authorId="0" shapeId="0" xr:uid="{489FDD41-9242-4F82-ABE6-FEBFA7098509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Montant non rapporté à la société</t>
        </r>
      </text>
    </comment>
    <comment ref="AX21" authorId="0" shapeId="0" xr:uid="{7AEA8521-8603-4F6D-A30B-3B8CEF98BCD6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Montant non rapporté à la société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Fallou DIONE</author>
  </authors>
  <commentList>
    <comment ref="J44" authorId="0" shapeId="0" xr:uid="{F06B1A75-C132-4824-87F5-7CA105D442DE}">
      <text>
        <r>
          <rPr>
            <b/>
            <sz val="9"/>
            <color indexed="81"/>
            <rFont val="Tahoma"/>
            <family val="2"/>
          </rPr>
          <t>Fallou DIONE:</t>
        </r>
        <r>
          <rPr>
            <sz val="9"/>
            <color indexed="81"/>
            <rFont val="Tahoma"/>
            <family val="2"/>
          </rPr>
          <t xml:space="preserve">
+Frais de manutention portuaire</t>
        </r>
      </text>
    </comment>
    <comment ref="K44" authorId="0" shapeId="0" xr:uid="{AB733C87-127F-41C9-B320-B08926C7DFB9}">
      <text>
        <r>
          <rPr>
            <b/>
            <sz val="9"/>
            <color indexed="81"/>
            <rFont val="Tahoma"/>
            <family val="2"/>
          </rPr>
          <t>Fallou DIONE:</t>
        </r>
        <r>
          <rPr>
            <sz val="9"/>
            <color indexed="81"/>
            <rFont val="Tahoma"/>
            <family val="2"/>
          </rPr>
          <t xml:space="preserve">
+Frais de manutention portuaire</t>
        </r>
      </text>
    </comment>
    <comment ref="L44" authorId="0" shapeId="0" xr:uid="{56994A76-A057-404C-9669-79B72F03BBCC}">
      <text>
        <r>
          <rPr>
            <b/>
            <sz val="9"/>
            <color indexed="81"/>
            <rFont val="Tahoma"/>
            <family val="2"/>
          </rPr>
          <t>Fallou DIONE:</t>
        </r>
        <r>
          <rPr>
            <sz val="9"/>
            <color indexed="81"/>
            <rFont val="Tahoma"/>
            <family val="2"/>
          </rPr>
          <t xml:space="preserve">
+Frais de manutention portuaire</t>
        </r>
      </text>
    </comment>
  </commentList>
</comments>
</file>

<file path=xl/sharedStrings.xml><?xml version="1.0" encoding="utf-8"?>
<sst xmlns="http://schemas.openxmlformats.org/spreadsheetml/2006/main" count="18160" uniqueCount="740">
  <si>
    <t>Société</t>
  </si>
  <si>
    <t>Exercice</t>
  </si>
  <si>
    <t>Production vendue (Tonne)</t>
  </si>
  <si>
    <t>Valeur marchande (FCFA)</t>
  </si>
  <si>
    <t>Pu/T</t>
  </si>
  <si>
    <t>Charges supportées (FCFA)</t>
  </si>
  <si>
    <t>Redevance minière (FCFA)</t>
  </si>
  <si>
    <t>Frais supportés (FCFA) (Frais de traitement et transport)</t>
  </si>
  <si>
    <t xml:space="preserve">Redevance minière </t>
  </si>
  <si>
    <t>Appui institutionnel/DGMG</t>
  </si>
  <si>
    <t>Droits d'entrée fixes</t>
  </si>
  <si>
    <t>Bonus (DMG)</t>
  </si>
  <si>
    <t>Redevance superficiaire/DGMG</t>
  </si>
  <si>
    <t>DGCPT</t>
  </si>
  <si>
    <t xml:space="preserve">Revenus issus de la commercialisation de la Part de la production de l'État </t>
  </si>
  <si>
    <t>Patente (DGCPT)</t>
  </si>
  <si>
    <t>Contribution foncière des propriétés bâties (CFPB)</t>
  </si>
  <si>
    <t>Contribution foncière des propriétés non bâties (CFPNB)</t>
  </si>
  <si>
    <t xml:space="preserve">Appui institutionnel aux collectivités locales </t>
  </si>
  <si>
    <t xml:space="preserve">Impôt du minimum fiscal </t>
  </si>
  <si>
    <t>Dividendes versés à l'Etat (DGCPT)</t>
  </si>
  <si>
    <t>Frais d'inscription d'une concession minière ou d'un permis d'exploitation</t>
  </si>
  <si>
    <t>Bonus (DGCPT)</t>
  </si>
  <si>
    <t xml:space="preserve">Contribution économique locale (CEL VA et CEL VL) </t>
  </si>
  <si>
    <t>DGID</t>
  </si>
  <si>
    <t>Taxe sur la valeur ajoutée reversée</t>
  </si>
  <si>
    <t>Retenues à la source sur salaires (IR, TRIMF et CFCE)</t>
  </si>
  <si>
    <t>Redressements fiscaux</t>
  </si>
  <si>
    <t>Impôt sur les sociétés (DGID)</t>
  </si>
  <si>
    <t>Impôt sur les sociétés (bénéfices non pétroliers/miniers )</t>
  </si>
  <si>
    <t>Retenues à la source sur bénéfice non commercial</t>
  </si>
  <si>
    <t>Contribution spéciale sur les produits des mines et des carrières (CSMC)</t>
  </si>
  <si>
    <t>Retenue à la source sur sommes versées à des tiers</t>
  </si>
  <si>
    <t>Taxe sur la valeur ajoutée précomptée</t>
  </si>
  <si>
    <t>Impôt minimum forfaitaire</t>
  </si>
  <si>
    <t>Bonus (DGID)</t>
  </si>
  <si>
    <t xml:space="preserve">Surtaxe foncière </t>
  </si>
  <si>
    <t>Impôt sur le revenu des valeurs mobilières</t>
  </si>
  <si>
    <t xml:space="preserve">Frais d'inscription d'une concession minière ou d'un permis d'exploitation </t>
  </si>
  <si>
    <t>DGD</t>
  </si>
  <si>
    <t>Taxe sur la valeur ajoutée (DGD)</t>
  </si>
  <si>
    <t xml:space="preserve">Prélèvement communautaire solidaire UEMOA </t>
  </si>
  <si>
    <t>Redevance statistique UEMOA</t>
  </si>
  <si>
    <t>Droits de douane</t>
  </si>
  <si>
    <t xml:space="preserve">Prélèvement communautaire CEDEAO </t>
  </si>
  <si>
    <t xml:space="preserve">Prélèvement pour le Conseil Sénégalais des Chargeurs (COSEC) </t>
  </si>
  <si>
    <t xml:space="preserve">Taxe d'enregistrement des véhicules </t>
  </si>
  <si>
    <t>Prélèvement PROMAD</t>
  </si>
  <si>
    <t>Amendes, pénalités et redressements douaniers</t>
  </si>
  <si>
    <t>DEEC</t>
  </si>
  <si>
    <t>Taxe superficiaire (DEEC)</t>
  </si>
  <si>
    <t>Taxe à la pollution</t>
  </si>
  <si>
    <t xml:space="preserve">Appui Institutionnel (DEEC) </t>
  </si>
  <si>
    <t>DEFCCS</t>
  </si>
  <si>
    <t>Taxes d'abattage</t>
  </si>
  <si>
    <t xml:space="preserve">Appui Institutionnel (Fonds d'appui au Mini. De l'Env) </t>
  </si>
  <si>
    <t>CSS</t>
  </si>
  <si>
    <t xml:space="preserve">Cotisations sociales (y compris les pénalités) </t>
  </si>
  <si>
    <t>IPRES</t>
  </si>
  <si>
    <t>Cotisations sociales (y compris les pénalités)(IPRES)</t>
  </si>
  <si>
    <t>CDC</t>
  </si>
  <si>
    <t xml:space="preserve">Garanties données par les entreprises extractives </t>
  </si>
  <si>
    <t>CNSCL</t>
  </si>
  <si>
    <t>Paiements effectués aux fournisseurs locaux et étrangers</t>
  </si>
  <si>
    <t>Autres</t>
  </si>
  <si>
    <t>Autres flux de paiements significatifs (&gt; 25 millions de  FCFA) (reconciliables)</t>
  </si>
  <si>
    <t>Total</t>
  </si>
  <si>
    <t>Paiments totaux  annuels du secteur extractif</t>
  </si>
  <si>
    <t>Total Revenues auriféres</t>
  </si>
  <si>
    <t>%Revenues auriféres</t>
  </si>
  <si>
    <t>SGO</t>
  </si>
  <si>
    <t>NA</t>
  </si>
  <si>
    <t>PMC</t>
  </si>
  <si>
    <t>Production (Tonne)</t>
  </si>
  <si>
    <t>DMG</t>
  </si>
  <si>
    <t>Patente</t>
  </si>
  <si>
    <t xml:space="preserve">Dividendes versés à l'Etat </t>
  </si>
  <si>
    <t>Impôt sur les sociétés</t>
  </si>
  <si>
    <t xml:space="preserve">Taxe sur la valeur ajoutée </t>
  </si>
  <si>
    <t>Taxe superficiaire</t>
  </si>
  <si>
    <t>BOTO</t>
  </si>
  <si>
    <t>Appui institutionnel</t>
  </si>
  <si>
    <t>Redevance superficiaire</t>
  </si>
  <si>
    <t xml:space="preserve"> </t>
  </si>
  <si>
    <t>Année</t>
  </si>
  <si>
    <t>Quantité de sable utilisée (tonnes)</t>
  </si>
  <si>
    <t>Minerai extrait (HMC) (tonnes)</t>
  </si>
  <si>
    <t>TAUX</t>
  </si>
  <si>
    <t>PRODUCTION (tonnes)</t>
  </si>
  <si>
    <t>Ilménite 54%</t>
  </si>
  <si>
    <t>Ilménite 56%</t>
  </si>
  <si>
    <t>Ilménite 58%</t>
  </si>
  <si>
    <t>Zircon Premium</t>
  </si>
  <si>
    <t>Zircon Standard</t>
  </si>
  <si>
    <t>Medium Grade Zircon</t>
  </si>
  <si>
    <t>Rutile</t>
  </si>
  <si>
    <t>Leucoxène</t>
  </si>
  <si>
    <t>EXPORTATION (tonnes)</t>
  </si>
  <si>
    <t>RECETTES (fcfa)</t>
  </si>
  <si>
    <t>PRIX (fcfa)</t>
  </si>
  <si>
    <t>Frais déductibles (fcfa)</t>
  </si>
  <si>
    <t>(Ratio Frais déductibles/Exportations)</t>
  </si>
  <si>
    <t>Droits taxes et frais sortie et Frais de manutention portuaire</t>
  </si>
  <si>
    <t>Frais de transport par voie terrestre</t>
  </si>
  <si>
    <t>Frais d'assurance</t>
  </si>
  <si>
    <t>Frais transport par voie maritime</t>
  </si>
  <si>
    <t>Frais d'entretien de voie et wagons yc amorts</t>
  </si>
  <si>
    <t>Frais d'analyse</t>
  </si>
  <si>
    <t>Refacturations SEFICS</t>
  </si>
  <si>
    <t>Couts opérationnels de la mine</t>
  </si>
  <si>
    <t>Couts de production et couts logistique</t>
  </si>
  <si>
    <t>Couts d'infrastructure de la mine</t>
  </si>
  <si>
    <t>Couts opérationnels de la production</t>
  </si>
  <si>
    <t>Amortissement</t>
  </si>
  <si>
    <t>Couts financiers</t>
  </si>
  <si>
    <t>Couts totaux opérationnels</t>
  </si>
  <si>
    <t>Couts de production des produits vendus (cout majoré)</t>
  </si>
  <si>
    <t>Total revenu</t>
  </si>
  <si>
    <t xml:space="preserve"> Variation (CA-Cout majoré)</t>
  </si>
  <si>
    <t>TAXE (fcfa)</t>
  </si>
  <si>
    <t>Redevance minière</t>
  </si>
  <si>
    <t>Partage de production</t>
  </si>
  <si>
    <t>typeCode</t>
  </si>
  <si>
    <t>freqCode</t>
  </si>
  <si>
    <t>refPeriodId</t>
  </si>
  <si>
    <t>refYear</t>
  </si>
  <si>
    <t>refMonth</t>
  </si>
  <si>
    <t>period</t>
  </si>
  <si>
    <t>reporterCode</t>
  </si>
  <si>
    <t>reporterISO</t>
  </si>
  <si>
    <t>reporterDesc</t>
  </si>
  <si>
    <t>flowCode</t>
  </si>
  <si>
    <t>flowDesc</t>
  </si>
  <si>
    <t>partnerCode</t>
  </si>
  <si>
    <t>partnerISO</t>
  </si>
  <si>
    <t>partnerDesc</t>
  </si>
  <si>
    <t>classificationCode</t>
  </si>
  <si>
    <t>classificationSearchCode</t>
  </si>
  <si>
    <t>isOriginalClassification</t>
  </si>
  <si>
    <t>cmdCode</t>
  </si>
  <si>
    <t>cmdDesc</t>
  </si>
  <si>
    <t>aggrLevel</t>
  </si>
  <si>
    <t>isLeaf</t>
  </si>
  <si>
    <t>customsCode</t>
  </si>
  <si>
    <t>customsDesc</t>
  </si>
  <si>
    <t>mosCode</t>
  </si>
  <si>
    <t>motCode</t>
  </si>
  <si>
    <t>motDesc</t>
  </si>
  <si>
    <t>qtyUnitCode</t>
  </si>
  <si>
    <t>qtyUnitAbbr</t>
  </si>
  <si>
    <t>mirrorQtyUnitCode</t>
  </si>
  <si>
    <t>mirrorQtyUnitAbbr</t>
  </si>
  <si>
    <t>mirror2QtyUnitCode</t>
  </si>
  <si>
    <t>mirror2QtyUnitAbbr</t>
  </si>
  <si>
    <t>qty</t>
  </si>
  <si>
    <t>mirrorQty</t>
  </si>
  <si>
    <t>mirror2Qty</t>
  </si>
  <si>
    <t>isQtyEstimated</t>
  </si>
  <si>
    <t>altQtyUnitCode</t>
  </si>
  <si>
    <t>altQtyUnitAbbr</t>
  </si>
  <si>
    <t>altQty</t>
  </si>
  <si>
    <t>mirrorAltQtyUnitCode</t>
  </si>
  <si>
    <t>mirrorAltQtyUnitAbbr</t>
  </si>
  <si>
    <t>mirror2AltQtyUnitCode</t>
  </si>
  <si>
    <t>mirror2AltQtyUnitAbbr</t>
  </si>
  <si>
    <t>mirrorAltQty</t>
  </si>
  <si>
    <t>mirror2AltQty</t>
  </si>
  <si>
    <t>isAltQtyEstimated</t>
  </si>
  <si>
    <t>netWgt</t>
  </si>
  <si>
    <t>mirrorNetWgt</t>
  </si>
  <si>
    <t>mirror2NetWgt</t>
  </si>
  <si>
    <t>isNetWgtEstimated</t>
  </si>
  <si>
    <t>grossWgt</t>
  </si>
  <si>
    <t>mirrorGrossWgt</t>
  </si>
  <si>
    <t>mirror2GrossWgt</t>
  </si>
  <si>
    <t>isGrossWgtEstimated</t>
  </si>
  <si>
    <t>cifvalue</t>
  </si>
  <si>
    <t>fobvalue</t>
  </si>
  <si>
    <t>primaryValue</t>
  </si>
  <si>
    <t>isExtendedPartnerCode</t>
  </si>
  <si>
    <t>mirrorPrimaryValue</t>
  </si>
  <si>
    <t>primaryValueDisc</t>
  </si>
  <si>
    <t>mirror2PrimaryValue</t>
  </si>
  <si>
    <t>isExtendedPartner2Code</t>
  </si>
  <si>
    <t>legacyEstimationFlag</t>
  </si>
  <si>
    <t>isReported</t>
  </si>
  <si>
    <t>isAggregate</t>
  </si>
  <si>
    <t>C</t>
  </si>
  <si>
    <t>A</t>
  </si>
  <si>
    <t>2021</t>
  </si>
  <si>
    <t>SEN</t>
  </si>
  <si>
    <t>Senegal</t>
  </si>
  <si>
    <t>X</t>
  </si>
  <si>
    <t>Export</t>
  </si>
  <si>
    <t>AUS</t>
  </si>
  <si>
    <t>Australia</t>
  </si>
  <si>
    <t>H5</t>
  </si>
  <si>
    <t>HS</t>
  </si>
  <si>
    <t>7108</t>
  </si>
  <si>
    <t>Gold (including gold plated with platinum) unwrought or in semi-manufactured forms, or in powder form</t>
  </si>
  <si>
    <t>C00</t>
  </si>
  <si>
    <t>TOTAL CPC</t>
  </si>
  <si>
    <t>0</t>
  </si>
  <si>
    <t>TOTAL MOT</t>
  </si>
  <si>
    <t>kg</t>
  </si>
  <si>
    <t>N/A</t>
  </si>
  <si>
    <t>2014</t>
  </si>
  <si>
    <t>ESP</t>
  </si>
  <si>
    <t>Spain</t>
  </si>
  <si>
    <t>H3</t>
  </si>
  <si>
    <t>2020</t>
  </si>
  <si>
    <t>TUR</t>
  </si>
  <si>
    <t>Türkiye</t>
  </si>
  <si>
    <t>g</t>
  </si>
  <si>
    <t>2019</t>
  </si>
  <si>
    <t>BEL</t>
  </si>
  <si>
    <t>Belgium</t>
  </si>
  <si>
    <t>2016</t>
  </si>
  <si>
    <t>ITA</t>
  </si>
  <si>
    <t>Italy</t>
  </si>
  <si>
    <t>H4</t>
  </si>
  <si>
    <t>DEU</t>
  </si>
  <si>
    <t>Germany</t>
  </si>
  <si>
    <t>2022</t>
  </si>
  <si>
    <t>H6</t>
  </si>
  <si>
    <t>CHE</t>
  </si>
  <si>
    <t>Switzerland</t>
  </si>
  <si>
    <t>2018</t>
  </si>
  <si>
    <t xml:space="preserve">0 </t>
  </si>
  <si>
    <t>POL</t>
  </si>
  <si>
    <t>Poland</t>
  </si>
  <si>
    <t>2023</t>
  </si>
  <si>
    <t>LBN</t>
  </si>
  <si>
    <t>Lebanon</t>
  </si>
  <si>
    <t>ARE</t>
  </si>
  <si>
    <t>United Arab Emirates</t>
  </si>
  <si>
    <t>JPN</t>
  </si>
  <si>
    <t>Japan</t>
  </si>
  <si>
    <t>2017</t>
  </si>
  <si>
    <t>2024</t>
  </si>
  <si>
    <t>2015</t>
  </si>
  <si>
    <t>CHN</t>
  </si>
  <si>
    <t>China</t>
  </si>
  <si>
    <t>SWE</t>
  </si>
  <si>
    <t>Sweden</t>
  </si>
  <si>
    <t>FRA</t>
  </si>
  <si>
    <t>France</t>
  </si>
  <si>
    <t>W00</t>
  </si>
  <si>
    <t>World</t>
  </si>
  <si>
    <t>GIN</t>
  </si>
  <si>
    <t>Guinea</t>
  </si>
  <si>
    <t>M</t>
  </si>
  <si>
    <t>Import</t>
  </si>
  <si>
    <t>IRL</t>
  </si>
  <si>
    <t>Ireland</t>
  </si>
  <si>
    <t>USA</t>
  </si>
  <si>
    <t>NPL</t>
  </si>
  <si>
    <t>Nepal</t>
  </si>
  <si>
    <t>NER</t>
  </si>
  <si>
    <t>Niger</t>
  </si>
  <si>
    <t>MLI</t>
  </si>
  <si>
    <t>Mali</t>
  </si>
  <si>
    <t>THA</t>
  </si>
  <si>
    <t>Thailand</t>
  </si>
  <si>
    <t>2025</t>
  </si>
  <si>
    <t>Étiquettes de lignes</t>
  </si>
  <si>
    <t>Total général</t>
  </si>
  <si>
    <t>Somme de Production vendue (Tonne)</t>
  </si>
  <si>
    <t>Somme de Valeur marchande (FCFA)</t>
  </si>
  <si>
    <t>Sommaire</t>
  </si>
  <si>
    <t>Annexe 34 - détails des exportations reportés par les sociétés extractives en 2024</t>
  </si>
  <si>
    <t>Sociétés</t>
  </si>
  <si>
    <t>NINEA</t>
  </si>
  <si>
    <t>Date</t>
  </si>
  <si>
    <t>Type de minerai</t>
  </si>
  <si>
    <t>Poids/
Volume</t>
  </si>
  <si>
    <t>Unité</t>
  </si>
  <si>
    <t>Décote / Prix de
Marché (USD)</t>
  </si>
  <si>
    <t>Valeur Totale
en USD</t>
  </si>
  <si>
    <t>Valeur  Totale
en FCFA</t>
  </si>
  <si>
    <t>Région du Site
de Production</t>
  </si>
  <si>
    <t>Projet*</t>
  </si>
  <si>
    <t>Entité destinataire de
l'Expédition/la Cargaison</t>
  </si>
  <si>
    <t>Pays du destinataire de
l'Expédition/la Cargaison</t>
  </si>
  <si>
    <t xml:space="preserve">Acheteur </t>
  </si>
  <si>
    <t>Partie associée (acheteur)</t>
  </si>
  <si>
    <t>SOCOCIM</t>
  </si>
  <si>
    <t>CIMENT</t>
  </si>
  <si>
    <t>TONNE</t>
  </si>
  <si>
    <t>DAKAR</t>
  </si>
  <si>
    <t>BARGNY</t>
  </si>
  <si>
    <t>ALKEBULAN COMIMEX -AFRI.COM.IMPORT</t>
  </si>
  <si>
    <t>Cap-Vert</t>
  </si>
  <si>
    <t>ADAMA SILLAH</t>
  </si>
  <si>
    <t>Gambie</t>
  </si>
  <si>
    <t>AMADOU NJIE</t>
  </si>
  <si>
    <t>AREZKI S A</t>
  </si>
  <si>
    <t>BASIRU TOURAY</t>
  </si>
  <si>
    <t>BORA MBOGE</t>
  </si>
  <si>
    <t>BULLY WAGGEH</t>
  </si>
  <si>
    <t>DAWDA KEBBEH</t>
  </si>
  <si>
    <t>DUMA SANG SANG LTD</t>
  </si>
  <si>
    <t>EBRIMA SORI JALLOW</t>
  </si>
  <si>
    <t>ESSA BAH</t>
  </si>
  <si>
    <t>GIBI JOBE</t>
  </si>
  <si>
    <t>ISMAILA JALLOW</t>
  </si>
  <si>
    <t>KAABU COMPANY LIMITED</t>
  </si>
  <si>
    <t>LA SUB SAHARIANNE DES TRAV PUBLICS</t>
  </si>
  <si>
    <t>MANKA NJIE</t>
  </si>
  <si>
    <t>MOMODOU ALIEU JALLOW</t>
  </si>
  <si>
    <t>MOUSSA DIA</t>
  </si>
  <si>
    <t>SERIGNE NDURE</t>
  </si>
  <si>
    <t>ETS MAMADOU BALDE</t>
  </si>
  <si>
    <t>Guinée</t>
  </si>
  <si>
    <t>ALY YATTASSAYE</t>
  </si>
  <si>
    <t>BAKARY BATHILY</t>
  </si>
  <si>
    <t>BECM CG SARL</t>
  </si>
  <si>
    <t>CHEIKH KONTE</t>
  </si>
  <si>
    <t>CIMENTS ET MATERIAUX DU MALI SA</t>
  </si>
  <si>
    <t>DJIBRIL KANTE</t>
  </si>
  <si>
    <t>ETS DIARRA BATHILY SARL</t>
  </si>
  <si>
    <t>ETS ISSA COULIBALY GROUPE ISC SARL</t>
  </si>
  <si>
    <t>ETS MAHAMADOU DOUCOURE ET FRERES</t>
  </si>
  <si>
    <t>ETS MAMADOU COULIBALY</t>
  </si>
  <si>
    <t>ETS OUMAR KEITA</t>
  </si>
  <si>
    <t>FEKOLA  SA</t>
  </si>
  <si>
    <t>HAROUNA NDIAYE</t>
  </si>
  <si>
    <t>MADY DOUCOURE</t>
  </si>
  <si>
    <t>GIE NDIMBAL DIABOTH</t>
  </si>
  <si>
    <t>Mauritanie</t>
  </si>
  <si>
    <t>HAMEDINE OULD LAGHDAF O. MAHMOUD</t>
  </si>
  <si>
    <t>POLY CHANGDA ENGINEERING MAUR</t>
  </si>
  <si>
    <t>002850023</t>
  </si>
  <si>
    <t>Or</t>
  </si>
  <si>
    <t>Onces</t>
  </si>
  <si>
    <t>Kedougou</t>
  </si>
  <si>
    <t>Sabodala</t>
  </si>
  <si>
    <t>METALOR</t>
  </si>
  <si>
    <t>Suisse</t>
  </si>
  <si>
    <t>Emirats Arabes Unis (Dubai)</t>
  </si>
  <si>
    <t>STONEX</t>
  </si>
  <si>
    <t>Argent</t>
  </si>
  <si>
    <t>BETTS</t>
  </si>
  <si>
    <t>OR</t>
  </si>
  <si>
    <t>ARGENT</t>
  </si>
  <si>
    <t>CDS</t>
  </si>
  <si>
    <t>000325995</t>
  </si>
  <si>
    <t>janvier</t>
  </si>
  <si>
    <t>ciment</t>
  </si>
  <si>
    <t>zone uemoa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</si>
  <si>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</si>
  <si>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</si>
  <si>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</si>
  <si>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</si>
  <si>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</si>
  <si>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</si>
  <si>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</si>
  <si>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</si>
  <si>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</si>
  <si>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</si>
  <si>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</si>
  <si>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zone hors uemoa</t>
  </si>
  <si>
    <t>GCO</t>
  </si>
  <si>
    <t>002849258</t>
  </si>
  <si>
    <t>ZIRCON PREMIUM</t>
  </si>
  <si>
    <t>Tonne</t>
  </si>
  <si>
    <t>THIES</t>
  </si>
  <si>
    <t>DIOGO</t>
  </si>
  <si>
    <t>ERAMET SA</t>
  </si>
  <si>
    <t>FRANCE</t>
  </si>
  <si>
    <t>ZIRCON STANDARD</t>
  </si>
  <si>
    <t xml:space="preserve">MEDIUM GRADE ZIRCON SAND </t>
  </si>
  <si>
    <t>LEUCOXENE</t>
  </si>
  <si>
    <t>ILMENITE 54</t>
  </si>
  <si>
    <t>RUTILE</t>
  </si>
  <si>
    <t>ILMENITE 58</t>
  </si>
  <si>
    <t>ILMENITE 56</t>
  </si>
  <si>
    <t>SSPT</t>
  </si>
  <si>
    <t>Attapulgite</t>
  </si>
  <si>
    <t>tonne</t>
  </si>
  <si>
    <t>ALLOU KAGNE</t>
  </si>
  <si>
    <t>TOLSA France</t>
  </si>
  <si>
    <t>TOLSA UK</t>
  </si>
  <si>
    <t>UK</t>
  </si>
  <si>
    <t>TOLSA Netherland</t>
  </si>
  <si>
    <t>NETHERLAND</t>
  </si>
  <si>
    <t>Attapuglite</t>
  </si>
  <si>
    <t>ICS</t>
  </si>
  <si>
    <t>0022955</t>
  </si>
  <si>
    <t>08-JAN-2024</t>
  </si>
  <si>
    <t>ACIDE PHOSPHORIQUE 52%</t>
  </si>
  <si>
    <t>MT</t>
  </si>
  <si>
    <t>Tobène</t>
  </si>
  <si>
    <t>IFFCO-0159</t>
  </si>
  <si>
    <t>India</t>
  </si>
  <si>
    <t>30-JAN-2024</t>
  </si>
  <si>
    <t>31-JAN-2024</t>
  </si>
  <si>
    <t>INDORAMA INDIA PVT LTD-1388</t>
  </si>
  <si>
    <t>ACIDE PHOSPHORIQUE 52%-Rebate</t>
  </si>
  <si>
    <t>12-FEB-2024</t>
  </si>
  <si>
    <t>DSP SAC 50 KG</t>
  </si>
  <si>
    <t>DOUCOURE PARTENAIRE AGRO INDUSTRIES S.A-1075</t>
  </si>
  <si>
    <t>11-FEB-2024</t>
  </si>
  <si>
    <t>MAP 11-52-0 VRAC ENGRAIS  PHOSPHATE MONO AMMONIQUE EN VRAC</t>
  </si>
  <si>
    <t>AMS AMEROPA MARKETING AND SALES AG-172004</t>
  </si>
  <si>
    <t>28-FEB-2024</t>
  </si>
  <si>
    <t>22-FEB-2024</t>
  </si>
  <si>
    <t>14-18-18, 5, 1, 2.5 EN SAC DE 50KG</t>
  </si>
  <si>
    <t>GNOUMANI SA-1333</t>
  </si>
  <si>
    <t>20-FEB-2024</t>
  </si>
  <si>
    <t>29-FEB-2024</t>
  </si>
  <si>
    <t>02-MAR-2024</t>
  </si>
  <si>
    <t>05-MAR-2024</t>
  </si>
  <si>
    <t>07-MAR-2024</t>
  </si>
  <si>
    <t>14-MAR-2024</t>
  </si>
  <si>
    <t>NPK 17.17.17 SAC 50 KG</t>
  </si>
  <si>
    <t>11-MAR-2024</t>
  </si>
  <si>
    <t>12-MAR-2024</t>
  </si>
  <si>
    <t>13-MAR-2024</t>
  </si>
  <si>
    <t>15-MAR-2024</t>
  </si>
  <si>
    <t>19-MAR-2024</t>
  </si>
  <si>
    <t>21-MAR-2024</t>
  </si>
  <si>
    <t>22-MAR-2024</t>
  </si>
  <si>
    <t>25-MAR-2024</t>
  </si>
  <si>
    <t>26-MAR-2024</t>
  </si>
  <si>
    <t>20-MAR-2024</t>
  </si>
  <si>
    <t>23-MAR-2024</t>
  </si>
  <si>
    <t>28-MAR-2024</t>
  </si>
  <si>
    <t>29-MAR-2024</t>
  </si>
  <si>
    <t>27-MAR-2024</t>
  </si>
  <si>
    <t>30-MAR-2024</t>
  </si>
  <si>
    <t>31-MAR-2024</t>
  </si>
  <si>
    <t>03-APR-2024</t>
  </si>
  <si>
    <t>02-APR-2024</t>
  </si>
  <si>
    <t>05-APR-2024</t>
  </si>
  <si>
    <t>09-APR-2024</t>
  </si>
  <si>
    <t>08-APR-2024</t>
  </si>
  <si>
    <t>13-APR-2024</t>
  </si>
  <si>
    <t>12-APR-2024</t>
  </si>
  <si>
    <t>16-APR-2024</t>
  </si>
  <si>
    <t>18-APR-2024</t>
  </si>
  <si>
    <t>22-APR-2024</t>
  </si>
  <si>
    <t>23-APR-2024</t>
  </si>
  <si>
    <t>AGRIFIELDS DMCC-202001</t>
  </si>
  <si>
    <t>15-APR-2024</t>
  </si>
  <si>
    <t>17-APR-2024</t>
  </si>
  <si>
    <t>20-APR-2024</t>
  </si>
  <si>
    <t>27-APR-2024</t>
  </si>
  <si>
    <t>24-APR-2024</t>
  </si>
  <si>
    <t>25-APR-2024</t>
  </si>
  <si>
    <t>26-APR-2024</t>
  </si>
  <si>
    <t>29-APR-2024</t>
  </si>
  <si>
    <t>30-APR-2024</t>
  </si>
  <si>
    <t>01-MAY-2024</t>
  </si>
  <si>
    <t>02-MAY-2024</t>
  </si>
  <si>
    <t>03-MAY-2024</t>
  </si>
  <si>
    <t>06-MAY-2024</t>
  </si>
  <si>
    <t>04-MAY-2024</t>
  </si>
  <si>
    <t>07-MAY-2024</t>
  </si>
  <si>
    <t>11-MAY-2024</t>
  </si>
  <si>
    <t>12-MAY-2024</t>
  </si>
  <si>
    <t>08-MAY-2024</t>
  </si>
  <si>
    <t>09-MAY-2024</t>
  </si>
  <si>
    <t>14-MAY-2024</t>
  </si>
  <si>
    <t>13-MAY-2024</t>
  </si>
  <si>
    <t>16-MAY-2024</t>
  </si>
  <si>
    <t>17-MAY-2024</t>
  </si>
  <si>
    <t>18-MAY-2024</t>
  </si>
  <si>
    <t>20-MAY-2024</t>
  </si>
  <si>
    <t>19-MAY-2024</t>
  </si>
  <si>
    <t>22-MAY-2024</t>
  </si>
  <si>
    <t>NPK 15-15-15, 4MgO EN SAC DE 50 KG</t>
  </si>
  <si>
    <t>E&amp;P ATLANTIC-134006</t>
  </si>
  <si>
    <t>Gambia</t>
  </si>
  <si>
    <t>23-MAY-2024</t>
  </si>
  <si>
    <t>24-MAY-2024</t>
  </si>
  <si>
    <t>25-MAY-2024</t>
  </si>
  <si>
    <t>26-MAY-2024</t>
  </si>
  <si>
    <t>27-MAY-2024</t>
  </si>
  <si>
    <t>28-MAY-2024</t>
  </si>
  <si>
    <t>29-MAY-2024</t>
  </si>
  <si>
    <t>31-MAY-2024</t>
  </si>
  <si>
    <t>30-MAY-2024</t>
  </si>
  <si>
    <t>01-JUN-2024</t>
  </si>
  <si>
    <t>02-JUN-2024</t>
  </si>
  <si>
    <t>03-JUN-2024</t>
  </si>
  <si>
    <t>04-JUN-2024</t>
  </si>
  <si>
    <t>05-JUN-2024</t>
  </si>
  <si>
    <t>07-JUN-2024</t>
  </si>
  <si>
    <t>08-JUN-2024</t>
  </si>
  <si>
    <t>09-JUN-2024</t>
  </si>
  <si>
    <t>14-JUN-2024</t>
  </si>
  <si>
    <t>19-JUN-2024</t>
  </si>
  <si>
    <t>30-JUN-2024</t>
  </si>
  <si>
    <t>23-JUL-2024</t>
  </si>
  <si>
    <t>29-JUL-2024</t>
  </si>
  <si>
    <t>31-JUL-2024</t>
  </si>
  <si>
    <t>08-AUG-2024</t>
  </si>
  <si>
    <t>20-AUG-2024</t>
  </si>
  <si>
    <t>28-AUG-2024</t>
  </si>
  <si>
    <t>29-AUG-2024</t>
  </si>
  <si>
    <t>31-AUG-2024</t>
  </si>
  <si>
    <t>06-AUG-2024</t>
  </si>
  <si>
    <t>03-SEP-2024</t>
  </si>
  <si>
    <t>04-SEP-2024</t>
  </si>
  <si>
    <t>06-SEP-2024</t>
  </si>
  <si>
    <t>18-SEP-2024</t>
  </si>
  <si>
    <t>Indorama India Private Limited</t>
  </si>
  <si>
    <t>30-SEP-2024</t>
  </si>
  <si>
    <t>21-OCT-2024</t>
  </si>
  <si>
    <t>DAP 18.46.0 SAC 50 KG</t>
  </si>
  <si>
    <t>22-OCT-2024</t>
  </si>
  <si>
    <t>23-OCT-2024</t>
  </si>
  <si>
    <t>24-OCT-2024</t>
  </si>
  <si>
    <t>25-OCT-2024</t>
  </si>
  <si>
    <t>28-OCT-2024</t>
  </si>
  <si>
    <t>30-OCT-2024</t>
  </si>
  <si>
    <t>31-OCT-2024</t>
  </si>
  <si>
    <t>11-NOV-2024</t>
  </si>
  <si>
    <t>14-NOV-2024</t>
  </si>
  <si>
    <t>11 - 19 - 19 SB EN SAC DE 50KG</t>
  </si>
  <si>
    <t>SOGEFERT SA-1281</t>
  </si>
  <si>
    <t>25-NOV-2024</t>
  </si>
  <si>
    <t>28-NOV-2024</t>
  </si>
  <si>
    <t>30-NOV-2024</t>
  </si>
  <si>
    <t>27-DEC-2024</t>
  </si>
  <si>
    <t>22-DEC-2024</t>
  </si>
  <si>
    <t>26-DEC-2024</t>
  </si>
  <si>
    <t>CHS INC-279012</t>
  </si>
  <si>
    <t>United States</t>
  </si>
  <si>
    <t>31-DEC-2024</t>
  </si>
  <si>
    <t xml:space="preserve">'005844700 </t>
  </si>
  <si>
    <t>Mako</t>
  </si>
  <si>
    <t>The Perthmint</t>
  </si>
  <si>
    <t>Australie</t>
  </si>
  <si>
    <t>BMCC</t>
  </si>
  <si>
    <t>PHOSPHATE</t>
  </si>
  <si>
    <t>TALIX</t>
  </si>
  <si>
    <t>Du 01/01/2024 au 30/06/2024</t>
  </si>
  <si>
    <t xml:space="preserve">BASALTE </t>
  </si>
  <si>
    <t>DIACK</t>
  </si>
  <si>
    <t>WASSILA TRANSPORT</t>
  </si>
  <si>
    <t>GAMBIE</t>
  </si>
  <si>
    <t>EMC LTD GAMBIE</t>
  </si>
  <si>
    <t>AREZKI</t>
  </si>
  <si>
    <t>10 INTERNATIONAL</t>
  </si>
  <si>
    <t>SOMIVA</t>
  </si>
  <si>
    <t>4475142 2G3</t>
  </si>
  <si>
    <t xml:space="preserve">Phosphate Naturel </t>
  </si>
  <si>
    <t xml:space="preserve">Tonne </t>
  </si>
  <si>
    <t xml:space="preserve">Néant </t>
  </si>
  <si>
    <t>Matam</t>
  </si>
  <si>
    <t>Phosphates de Matam à Ndendoury</t>
  </si>
  <si>
    <t>TOGUNA AGRO INDUSTRIES</t>
  </si>
  <si>
    <t>MALI</t>
  </si>
  <si>
    <t>NEANT</t>
  </si>
  <si>
    <t>NITRON EUROPE B.V</t>
  </si>
  <si>
    <t>PAYS BAS</t>
  </si>
  <si>
    <t xml:space="preserve">AMEROPA MS AG </t>
  </si>
  <si>
    <t>SWITZERLAND</t>
  </si>
  <si>
    <t>EUROCHEM</t>
  </si>
  <si>
    <t xml:space="preserve"> SWITZERLAND </t>
  </si>
  <si>
    <t>DANGOTE</t>
  </si>
  <si>
    <t>TONNES</t>
  </si>
  <si>
    <t>POUT</t>
  </si>
  <si>
    <t>ETS OUMAR COULIBALY</t>
  </si>
  <si>
    <t>KAOU COULIBALY S/C ADAMA DIARRA</t>
  </si>
  <si>
    <t>S.T.C. SARL (SOYA LAH)</t>
  </si>
  <si>
    <t>ETS OUMAR KONE "BAMAKO"</t>
  </si>
  <si>
    <t>GLOBAL SOLUTION SARL</t>
  </si>
  <si>
    <t>ETS DJIBRIL KANTE</t>
  </si>
  <si>
    <t>ETS ALY YATTASSAYE</t>
  </si>
  <si>
    <t>E.B.F SARL</t>
  </si>
  <si>
    <t>COULIBALY DRAMANE</t>
  </si>
  <si>
    <t>ETS IBRAHIMA COULIBALY ex Tidiane C</t>
  </si>
  <si>
    <t>DOUCOURE MADY</t>
  </si>
  <si>
    <t>SGVMC SARL (BREHIMA DIABY)</t>
  </si>
  <si>
    <t>IBRAHIMA DOUCOURE</t>
  </si>
  <si>
    <t>MAHAMADOU SISSOKO</t>
  </si>
  <si>
    <t>ETS YAYA TRAORE</t>
  </si>
  <si>
    <t>MODIBO BATHILY SARLU "SO.MO.BATH"</t>
  </si>
  <si>
    <t>ETS MALICK MOHAMED DEMBA</t>
  </si>
  <si>
    <t>MALI CIMENT SARL</t>
  </si>
  <si>
    <t>BATHILY COMMERCES</t>
  </si>
  <si>
    <t>ETABLISSEMENTS DOUCOURE</t>
  </si>
  <si>
    <t>ETS LAH OUSMANE</t>
  </si>
  <si>
    <t>TRAORE OUMAR</t>
  </si>
  <si>
    <t>ETS ISSA BAMBA</t>
  </si>
  <si>
    <t>ETS MAMOUTOU KARAGNARA</t>
  </si>
  <si>
    <t>DEMCO SARLU</t>
  </si>
  <si>
    <t>ETS AMADOU DIARRA</t>
  </si>
  <si>
    <t>ETS SEKOU DRAMERA</t>
  </si>
  <si>
    <t>ETS MAMADOU SIDIBE</t>
  </si>
  <si>
    <t>ETS DJIBRIL SISSIKO</t>
  </si>
  <si>
    <t>ETS GBI-SARL (GLOBAL BUSINESS INTER</t>
  </si>
  <si>
    <t>ETS HAROUNA NDIAYE</t>
  </si>
  <si>
    <t>ETS MOHAMED LAH</t>
  </si>
  <si>
    <t>ETS BOURA BATHILY</t>
  </si>
  <si>
    <t>ETS DIMABA GROUP MALI SARL</t>
  </si>
  <si>
    <t>MMGC (MAMADOU GILLE COULIBALY)</t>
  </si>
  <si>
    <t>GROUPE ADS SARL</t>
  </si>
  <si>
    <t>ETS MADOU TRAORE</t>
  </si>
  <si>
    <t>BATHILY MULTISERVICES</t>
  </si>
  <si>
    <t>ETS YOUBA SYLLA</t>
  </si>
  <si>
    <t>UNITED AFRICAN GROUP - MALI</t>
  </si>
  <si>
    <t>GROUPE CHEIKHNA SYLLA "G.C.S. - SAR</t>
  </si>
  <si>
    <t>ETS DIARRA BATHILY</t>
  </si>
  <si>
    <t>ENTREPRISE DEMBA ET FRERES - SARL</t>
  </si>
  <si>
    <t>ETS BAMOUSSA TRAORE</t>
  </si>
  <si>
    <t>MAMOUROU KARIM TRAORE</t>
  </si>
  <si>
    <t>CEMENTO - WEST AFRICA GIE</t>
  </si>
  <si>
    <t>ABDOULIE JALLOW BASSE URR</t>
  </si>
  <si>
    <t>SALIFU K JAITEH S/C UAG SNG LIMITED</t>
  </si>
  <si>
    <t>ABDOULIE JALLOW</t>
  </si>
  <si>
    <t>OUSMAN JAWO AND SONS COMPANY LIMITE</t>
  </si>
  <si>
    <t>ENSA FATI</t>
  </si>
  <si>
    <t>GUINEE BISSAU</t>
  </si>
  <si>
    <t>ETS SUAIBO DEMBO</t>
  </si>
  <si>
    <t>UNITED AFRICAN GROUP BISSAU</t>
  </si>
  <si>
    <t>KOULA CONSTRUCAO SARL</t>
  </si>
  <si>
    <t>EMBALO &amp; FILHOS, IMPORT-EXPORT SALR</t>
  </si>
  <si>
    <t>SEPHOS</t>
  </si>
  <si>
    <t>Phosphate de chaux naturel</t>
  </si>
  <si>
    <t>LAMLAM</t>
  </si>
  <si>
    <t>AGRIFIELDS DMCC</t>
  </si>
  <si>
    <t xml:space="preserve">INDE </t>
  </si>
  <si>
    <t>SIRIAC SRL</t>
  </si>
  <si>
    <t> Italie</t>
  </si>
  <si>
    <t>GUJARAT STATE FERTLIZERS AND CHEMICALS LIMITED</t>
  </si>
  <si>
    <t>INDE</t>
  </si>
  <si>
    <t>DEMETER GHANA LIMITED</t>
  </si>
  <si>
    <t>GHANA</t>
  </si>
  <si>
    <t>CHEMICO LIMITED</t>
  </si>
  <si>
    <t>FERTICER LEONES S.L.</t>
  </si>
  <si>
    <t>Espagne</t>
  </si>
  <si>
    <t>DEMETER GHANA LTD</t>
  </si>
  <si>
    <t>TIMAC AGRO IRELAND LTD</t>
  </si>
  <si>
    <t>BRAZIL</t>
  </si>
  <si>
    <t>Italie</t>
  </si>
  <si>
    <t>AGRIFIELDS FZE</t>
  </si>
  <si>
    <t>INDONESIA</t>
  </si>
  <si>
    <t>COGECA</t>
  </si>
  <si>
    <t>000196784</t>
  </si>
  <si>
    <t xml:space="preserve">basalte </t>
  </si>
  <si>
    <t>Thiès</t>
  </si>
  <si>
    <t>GECAMINE</t>
  </si>
  <si>
    <t>NGOUDIANE</t>
  </si>
  <si>
    <t>AREZKI GAMBIE</t>
  </si>
  <si>
    <t>neant</t>
  </si>
  <si>
    <t>SOULEYMANE DIALLO</t>
  </si>
  <si>
    <t>YOUSSOU SAMB</t>
  </si>
  <si>
    <t>EQUA ENERGIE</t>
  </si>
  <si>
    <t>Sénégal</t>
  </si>
  <si>
    <t>Phosphate</t>
  </si>
  <si>
    <t>Burkina Faso</t>
  </si>
  <si>
    <t>Guinée-Bissau</t>
  </si>
  <si>
    <t>CLINKER</t>
  </si>
  <si>
    <t>Allou Kagne</t>
  </si>
  <si>
    <t>Angleterre</t>
  </si>
  <si>
    <t>Tableau 11 : État récapitulatif des exportations du secteur minier par substance et par pays</t>
  </si>
  <si>
    <t>Substance</t>
  </si>
  <si>
    <t xml:space="preserve">Opérateur </t>
  </si>
  <si>
    <t>Projet</t>
  </si>
  <si>
    <t>Pays
destinataire</t>
  </si>
  <si>
    <t>Poids</t>
  </si>
  <si>
    <t>Valeur
Total FCFA</t>
  </si>
  <si>
    <t>Valeur
Total USD (**)</t>
  </si>
  <si>
    <t>TOTAL OR</t>
  </si>
  <si>
    <t>TOTAL ACIDE PHOSPHORIQUE</t>
  </si>
  <si>
    <t>NORWAY</t>
  </si>
  <si>
    <t>TOTAL ILMENITE 54</t>
  </si>
  <si>
    <t>Ciment</t>
  </si>
  <si>
    <t>NC</t>
  </si>
  <si>
    <t>Dangote</t>
  </si>
  <si>
    <t>TOTAL CIMENT</t>
  </si>
  <si>
    <t>SPAIN</t>
  </si>
  <si>
    <t>JAPAN</t>
  </si>
  <si>
    <t>ITALY</t>
  </si>
  <si>
    <t>TURKEY</t>
  </si>
  <si>
    <t>England</t>
  </si>
  <si>
    <t>Brazil</t>
  </si>
  <si>
    <t>NETHERLANDS</t>
  </si>
  <si>
    <t>GERMANY</t>
  </si>
  <si>
    <t>TOTAL ZIRCON PREMIUM</t>
  </si>
  <si>
    <t>TOTAL ZIRCON STANDARD</t>
  </si>
  <si>
    <t>SOUTH KOREA</t>
  </si>
  <si>
    <t>TOTAL ILMENITE 58</t>
  </si>
  <si>
    <t>Sephos / G-PHOS</t>
  </si>
  <si>
    <t>El Salvador</t>
  </si>
  <si>
    <t>TOTAL PHOSPHATE</t>
  </si>
  <si>
    <t>TOTAL ZIRCON MEDIUM GRADE</t>
  </si>
  <si>
    <t>TOTAL ILMENITE 56</t>
  </si>
  <si>
    <t>Dubai</t>
  </si>
  <si>
    <t>SOUTH AFRICA</t>
  </si>
  <si>
    <t>TOTAL LEUCOXENE</t>
  </si>
  <si>
    <t>TAIWAN</t>
  </si>
  <si>
    <t>TOTAL RUTILE</t>
  </si>
  <si>
    <t>Attapulgide</t>
  </si>
  <si>
    <t>Hollande</t>
  </si>
  <si>
    <t>Warrang</t>
  </si>
  <si>
    <t>TOTAL ATTAPULGIDE</t>
  </si>
  <si>
    <t>DSP</t>
  </si>
  <si>
    <t>TOTAL DSP</t>
  </si>
  <si>
    <t>NPK</t>
  </si>
  <si>
    <t>TOTAL NPK</t>
  </si>
  <si>
    <t>BASALTE</t>
  </si>
  <si>
    <t>Gécamines</t>
  </si>
  <si>
    <t>TOTAL BASALTE</t>
  </si>
  <si>
    <t>TOTAL ARGENT</t>
  </si>
  <si>
    <t>TOTAL CLINKER</t>
  </si>
  <si>
    <t>GYPSUM</t>
  </si>
  <si>
    <t>TOTAL GYPSUM</t>
  </si>
  <si>
    <t>TOTAL AUTRES</t>
  </si>
  <si>
    <t>ACIDE SULFURIQUE</t>
  </si>
  <si>
    <t>TOTAL ACIDE SULFURIQUE</t>
  </si>
  <si>
    <t>onces</t>
  </si>
  <si>
    <t>cours moyen annuel</t>
  </si>
  <si>
    <t>tonnes</t>
  </si>
  <si>
    <t>1tonnes</t>
  </si>
  <si>
    <t>Opérateur</t>
  </si>
  <si>
    <t>Pays_x000D_
destinataire</t>
  </si>
  <si>
    <t>Valeur_x000D_
Total FCFA</t>
  </si>
  <si>
    <t>Valeur_x000D_
Total USD (**)</t>
  </si>
  <si>
    <t>Pays</t>
  </si>
  <si>
    <t>Unite</t>
  </si>
  <si>
    <t>Quantite</t>
  </si>
  <si>
    <t>Valeur_CIF_USD</t>
  </si>
  <si>
    <t>Valeur_USD</t>
  </si>
  <si>
    <t>Chine</t>
  </si>
  <si>
    <t>Thaïlande</t>
  </si>
  <si>
    <t>Turquie</t>
  </si>
  <si>
    <t>Émirats arabes unis</t>
  </si>
  <si>
    <t>Importation déclarée par les pays partenaires</t>
  </si>
  <si>
    <t>Exportation déclarée par le Sénégal</t>
  </si>
  <si>
    <t>Ecart entre les déclarations (EMAPE non déclarée)</t>
  </si>
  <si>
    <t>Poids_exp</t>
  </si>
  <si>
    <t>Poids_imp</t>
  </si>
  <si>
    <t>ecart</t>
  </si>
  <si>
    <t>1onces</t>
  </si>
  <si>
    <t>grammes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</si>
</sst>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  <numFmt numFmtId="165" formatCode="#,##0_ ;[Red]\-#,##0\ "/>
    <numFmt numFmtId="166" formatCode="_-* #,##0.00\ _C_F_A_-;\-* #,##0.00\ _C_F_A_-;_-* &quot;-&quot;\ _C_F_A_-;_-@_-"/>
    <numFmt numFmtId="167" formatCode="_-* #,##0\ _C_F_A_-;\-* #,##0\ _C_F_A_-;_-* &quot;-&quot;\ _C_F_A_-;_-@_-"/>
    <numFmt numFmtId="168" formatCode="_-* #,##0\ _€_-;\-* #,##0\ _€_-;_-* &quot;-&quot;??\ _€_-;_-@_-"/>
    <numFmt numFmtId="169" formatCode="#,##0_);\(&quot;&quot;#,##0\);_-* &quot;-&quot;??_-;_-@_-"/>
    <numFmt numFmtId="170" formatCode="_ * #,##0_ ;_ * \-#,##0_ ;_ * &quot;-&quot;??_ ;_ @_ "/>
    <numFmt numFmtId="171" formatCode="_-* #,##0.00\ _€_-;\-* #,##0.00\ _€_-;_-* &quot;-&quot;??\ _€_-;_-@_-"/>
    <numFmt numFmtId="172" formatCode="_-* #,##0.0000_-;\-* #,##0.0000_-;_-* &quot;-&quot;??_-;_-@_-"/>
    <numFmt numFmtId="174" formatCode="_-* #,##0.00_-;\-* #,##0.00_-;_-* &quot;-&quot;_-;_-@_-"/>
    <numFmt numFmtId="175" formatCode="_-* #,##0.000_-;\-* #,##0.000_-;_-* &quot;-&quot;_-;_-@_-"/>
  </numFmts>
  <fonts count="3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Tahoma"/>
      <family val="2"/>
    </font>
    <font>
      <sz val="10"/>
      <name val="Arial"/>
      <family val="2"/>
    </font>
    <font>
      <sz val="8"/>
      <name val="Trebuchet MS"/>
      <family val="2"/>
    </font>
    <font>
      <b/>
      <sz val="8"/>
      <name val="Trebuchet MS"/>
      <family val="2"/>
    </font>
    <font>
      <sz val="8"/>
      <name val="Calibri Light"/>
      <family val="2"/>
      <scheme val="major"/>
    </font>
    <font>
      <sz val="11"/>
      <color theme="1"/>
      <name val="Tahoma"/>
      <family val="2"/>
    </font>
    <font>
      <sz val="10"/>
      <color theme="1"/>
      <name val="Tahoma"/>
      <family val="2"/>
    </font>
    <font>
      <sz val="10"/>
      <name val="Tahoma"/>
      <family val="2"/>
    </font>
    <font>
      <b/>
      <sz val="11"/>
      <color rgb="FFFF0000"/>
      <name val="Tahoma"/>
      <family val="2"/>
    </font>
    <font>
      <sz val="8"/>
      <color rgb="FFFF0000"/>
      <name val="Calibri Light"/>
      <family val="2"/>
      <scheme val="major"/>
    </font>
    <font>
      <sz val="10"/>
      <color rgb="FFFF0000"/>
      <name val="Tahoma"/>
      <family val="2"/>
    </font>
    <font>
      <sz val="12"/>
      <color theme="1"/>
      <name val="Calibri"/>
      <family val="2"/>
    </font>
    <font>
      <sz val="10"/>
      <color theme="1"/>
      <name val="Arial"/>
      <family val="2"/>
    </font>
    <font>
      <sz val="8"/>
      <name val="Arial"/>
      <family val="2"/>
    </font>
    <font>
      <sz val="10.5"/>
      <color theme="1"/>
      <name val="Franklin Gothic Book"/>
      <family val="2"/>
    </font>
    <font>
      <sz val="11"/>
      <color rgb="FF000000"/>
      <name val="Calibri"/>
      <family val="2"/>
    </font>
    <font>
      <sz val="8"/>
      <name val="Kohinoor Devanagari"/>
      <family val="3"/>
    </font>
    <font>
      <sz val="8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color theme="1"/>
      <name val="Tahoma"/>
      <family val="2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rgb="FF444444"/>
      <name val="Calibri"/>
      <family val="2"/>
      <scheme val="minor"/>
    </font>
    <font>
      <sz val="8"/>
      <color theme="1"/>
      <name val="Calibri Light"/>
      <family val="2"/>
      <scheme val="major"/>
    </font>
    <font>
      <b/>
      <sz val="14"/>
      <color theme="1"/>
      <name val="Calibri Light"/>
      <family val="2"/>
      <scheme val="major"/>
    </font>
    <font>
      <b/>
      <sz val="8"/>
      <color theme="0"/>
      <name val="Calibri Light"/>
      <family val="2"/>
      <scheme val="major"/>
    </font>
    <font>
      <b/>
      <u/>
      <sz val="9"/>
      <color theme="1"/>
      <name val="Kohinoor Devanagari"/>
    </font>
    <font>
      <sz val="9"/>
      <color theme="1"/>
      <name val="Kohinoor Devanagari"/>
    </font>
    <font>
      <b/>
      <sz val="9"/>
      <color rgb="FFFFFFFF"/>
      <name val="Kohinoor Devanagari"/>
    </font>
    <font>
      <b/>
      <sz val="9"/>
      <color theme="0"/>
      <name val="Kohinoor Devanagari"/>
    </font>
    <font>
      <b/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12"/>
      <color theme="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A9ECE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A4E7E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657C91"/>
        <bgColor indexed="64"/>
      </patternFill>
    </fill>
    <fill>
      <patternFill patternType="solid">
        <fgColor rgb="FF444444"/>
        <bgColor indexed="64"/>
      </patternFill>
    </fill>
    <fill>
      <patternFill patternType="solid">
        <fgColor rgb="FF22847C"/>
        <bgColor indexed="64"/>
      </patternFill>
    </fill>
    <fill>
      <patternFill patternType="solid">
        <fgColor rgb="FF18738A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188FBB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/>
      <bottom style="thick">
        <color rgb="FFC00000"/>
      </bottom>
      <diagonal/>
    </border>
    <border>
      <left/>
      <right/>
      <top/>
      <bottom style="thin">
        <color rgb="FFFF0000"/>
      </bottom>
      <diagonal/>
    </border>
    <border>
      <left/>
      <right/>
      <top style="thin">
        <color rgb="FFFF0000"/>
      </top>
      <bottom style="thin">
        <color rgb="FFFF0000"/>
      </bottom>
      <diagonal/>
    </border>
    <border>
      <left/>
      <right/>
      <top style="thin">
        <color rgb="FFFF0000"/>
      </top>
      <bottom/>
      <diagonal/>
    </border>
    <border>
      <left/>
      <right/>
      <top style="thick">
        <color rgb="FFC00000"/>
      </top>
      <bottom/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167" fontId="1" fillId="0" borderId="0" applyFont="0" applyFill="0" applyBorder="0" applyAlignment="0" applyProtection="0"/>
    <xf numFmtId="0" fontId="14" fillId="0" borderId="0"/>
    <xf numFmtId="0" fontId="17" fillId="0" borderId="0"/>
    <xf numFmtId="171" fontId="3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23" fillId="0" borderId="0"/>
    <xf numFmtId="0" fontId="24" fillId="0" borderId="0" applyNumberFormat="0" applyFill="0" applyBorder="0" applyAlignment="0" applyProtection="0"/>
    <xf numFmtId="171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/>
  </cellStyleXfs>
  <cellXfs count="196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164" fontId="2" fillId="0" borderId="1" xfId="1" applyNumberFormat="1" applyFont="1" applyBorder="1" applyAlignment="1">
      <alignment horizontal="center" vertical="center" wrapText="1"/>
    </xf>
    <xf numFmtId="0" fontId="4" fillId="2" borderId="1" xfId="3" applyFont="1" applyFill="1" applyBorder="1" applyAlignment="1">
      <alignment horizontal="center" vertical="center" wrapText="1"/>
    </xf>
    <xf numFmtId="0" fontId="4" fillId="0" borderId="1" xfId="3" applyFont="1" applyBorder="1" applyAlignment="1">
      <alignment horizontal="center" vertical="center" wrapText="1"/>
    </xf>
    <xf numFmtId="0" fontId="5" fillId="3" borderId="1" xfId="3" applyFont="1" applyFill="1" applyBorder="1" applyAlignment="1">
      <alignment horizontal="center" vertical="center" wrapText="1"/>
    </xf>
    <xf numFmtId="165" fontId="6" fillId="2" borderId="0" xfId="3" applyNumberFormat="1" applyFont="1" applyFill="1" applyAlignment="1">
      <alignment horizontal="left" vertical="center" wrapText="1"/>
    </xf>
    <xf numFmtId="0" fontId="4" fillId="2" borderId="2" xfId="3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6" fontId="7" fillId="0" borderId="1" xfId="0" applyNumberFormat="1" applyFont="1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167" fontId="7" fillId="0" borderId="1" xfId="0" applyNumberFormat="1" applyFont="1" applyBorder="1" applyAlignment="1">
      <alignment vertical="center"/>
    </xf>
    <xf numFmtId="0" fontId="7" fillId="0" borderId="1" xfId="0" applyFont="1" applyBorder="1" applyAlignment="1">
      <alignment vertical="center"/>
    </xf>
    <xf numFmtId="43" fontId="7" fillId="0" borderId="1" xfId="1" applyFont="1" applyBorder="1" applyAlignment="1">
      <alignment vertical="center"/>
    </xf>
    <xf numFmtId="43" fontId="7" fillId="0" borderId="2" xfId="1" applyFont="1" applyBorder="1" applyAlignment="1">
      <alignment vertical="center"/>
    </xf>
    <xf numFmtId="168" fontId="7" fillId="0" borderId="1" xfId="0" applyNumberFormat="1" applyFont="1" applyBorder="1" applyAlignment="1">
      <alignment vertical="center"/>
    </xf>
    <xf numFmtId="0" fontId="7" fillId="0" borderId="0" xfId="0" applyFont="1" applyAlignment="1">
      <alignment vertical="center"/>
    </xf>
    <xf numFmtId="0" fontId="9" fillId="0" borderId="1" xfId="0" applyFont="1" applyBorder="1" applyAlignment="1">
      <alignment horizontal="center" vertical="center"/>
    </xf>
    <xf numFmtId="167" fontId="7" fillId="0" borderId="1" xfId="0" applyNumberFormat="1" applyFont="1" applyBorder="1" applyAlignment="1">
      <alignment horizontal="center" vertical="center"/>
    </xf>
    <xf numFmtId="167" fontId="7" fillId="5" borderId="1" xfId="0" applyNumberFormat="1" applyFont="1" applyFill="1" applyBorder="1" applyAlignment="1">
      <alignment vertical="center"/>
    </xf>
    <xf numFmtId="9" fontId="10" fillId="0" borderId="1" xfId="2" applyFont="1" applyBorder="1" applyAlignment="1">
      <alignment horizontal="center" vertical="center"/>
    </xf>
    <xf numFmtId="3" fontId="7" fillId="0" borderId="1" xfId="0" applyNumberFormat="1" applyFont="1" applyBorder="1" applyAlignment="1">
      <alignment vertical="center"/>
    </xf>
    <xf numFmtId="167" fontId="7" fillId="0" borderId="0" xfId="4" applyFont="1" applyAlignment="1">
      <alignment vertical="center"/>
    </xf>
    <xf numFmtId="168" fontId="7" fillId="0" borderId="3" xfId="0" applyNumberFormat="1" applyFont="1" applyBorder="1" applyAlignment="1">
      <alignment vertical="center"/>
    </xf>
    <xf numFmtId="168" fontId="7" fillId="0" borderId="2" xfId="0" applyNumberFormat="1" applyFont="1" applyBorder="1" applyAlignment="1">
      <alignment vertical="center"/>
    </xf>
    <xf numFmtId="168" fontId="7" fillId="6" borderId="1" xfId="0" applyNumberFormat="1" applyFont="1" applyFill="1" applyBorder="1" applyAlignment="1">
      <alignment vertical="center"/>
    </xf>
    <xf numFmtId="168" fontId="7" fillId="0" borderId="6" xfId="0" applyNumberFormat="1" applyFont="1" applyBorder="1" applyAlignment="1">
      <alignment vertical="center"/>
    </xf>
    <xf numFmtId="167" fontId="7" fillId="0" borderId="0" xfId="0" applyNumberFormat="1" applyFont="1" applyAlignment="1">
      <alignment vertical="center"/>
    </xf>
    <xf numFmtId="43" fontId="7" fillId="0" borderId="0" xfId="1" applyFont="1" applyAlignment="1">
      <alignment vertical="center"/>
    </xf>
    <xf numFmtId="164" fontId="7" fillId="0" borderId="0" xfId="1" applyNumberFormat="1" applyFont="1" applyAlignment="1">
      <alignment vertical="center"/>
    </xf>
    <xf numFmtId="43" fontId="7" fillId="0" borderId="0" xfId="0" applyNumberFormat="1" applyFont="1" applyAlignment="1">
      <alignment vertical="center"/>
    </xf>
    <xf numFmtId="168" fontId="7" fillId="0" borderId="0" xfId="0" applyNumberFormat="1" applyFont="1" applyAlignment="1">
      <alignment vertical="center"/>
    </xf>
    <xf numFmtId="164" fontId="7" fillId="7" borderId="1" xfId="1" applyNumberFormat="1" applyFont="1" applyFill="1" applyBorder="1" applyAlignment="1">
      <alignment horizontal="center" vertical="center" wrapText="1"/>
    </xf>
    <xf numFmtId="165" fontId="11" fillId="2" borderId="0" xfId="3" applyNumberFormat="1" applyFont="1" applyFill="1" applyAlignment="1">
      <alignment horizontal="left" vertical="center" wrapText="1"/>
    </xf>
    <xf numFmtId="0" fontId="12" fillId="0" borderId="1" xfId="0" applyFont="1" applyBorder="1" applyAlignment="1">
      <alignment horizontal="center" vertical="center"/>
    </xf>
    <xf numFmtId="3" fontId="13" fillId="0" borderId="0" xfId="0" applyNumberFormat="1" applyFont="1"/>
    <xf numFmtId="169" fontId="15" fillId="8" borderId="0" xfId="5" applyNumberFormat="1" applyFont="1" applyFill="1" applyAlignment="1">
      <alignment vertical="center"/>
    </xf>
    <xf numFmtId="169" fontId="15" fillId="0" borderId="0" xfId="5" applyNumberFormat="1" applyFont="1" applyAlignment="1">
      <alignment vertical="center"/>
    </xf>
    <xf numFmtId="170" fontId="16" fillId="4" borderId="7" xfId="1" applyNumberFormat="1" applyFont="1" applyFill="1" applyBorder="1"/>
    <xf numFmtId="170" fontId="16" fillId="0" borderId="7" xfId="1" applyNumberFormat="1" applyFont="1" applyBorder="1"/>
    <xf numFmtId="169" fontId="6" fillId="2" borderId="0" xfId="6" applyNumberFormat="1" applyFont="1" applyFill="1" applyAlignment="1">
      <alignment vertical="center"/>
    </xf>
    <xf numFmtId="169" fontId="6" fillId="0" borderId="0" xfId="6" applyNumberFormat="1" applyFont="1" applyAlignment="1">
      <alignment vertical="center"/>
    </xf>
    <xf numFmtId="0" fontId="7" fillId="0" borderId="6" xfId="0" applyFont="1" applyBorder="1" applyAlignment="1">
      <alignment vertical="center"/>
    </xf>
    <xf numFmtId="169" fontId="6" fillId="2" borderId="1" xfId="6" applyNumberFormat="1" applyFont="1" applyFill="1" applyBorder="1" applyAlignment="1">
      <alignment vertical="center"/>
    </xf>
    <xf numFmtId="169" fontId="6" fillId="0" borderId="1" xfId="6" applyNumberFormat="1" applyFont="1" applyBorder="1" applyAlignment="1">
      <alignment vertical="center"/>
    </xf>
    <xf numFmtId="169" fontId="18" fillId="2" borderId="1" xfId="6" applyNumberFormat="1" applyFont="1" applyFill="1" applyBorder="1" applyAlignment="1">
      <alignment vertical="center"/>
    </xf>
    <xf numFmtId="169" fontId="18" fillId="0" borderId="1" xfId="6" applyNumberFormat="1" applyFont="1" applyBorder="1" applyAlignment="1">
      <alignment vertical="center"/>
    </xf>
    <xf numFmtId="169" fontId="18" fillId="2" borderId="0" xfId="6" applyNumberFormat="1" applyFont="1" applyFill="1" applyAlignment="1">
      <alignment vertical="center"/>
    </xf>
    <xf numFmtId="169" fontId="6" fillId="2" borderId="1" xfId="5" applyNumberFormat="1" applyFont="1" applyFill="1" applyBorder="1" applyAlignment="1">
      <alignment vertical="center"/>
    </xf>
    <xf numFmtId="169" fontId="6" fillId="0" borderId="1" xfId="5" applyNumberFormat="1" applyFont="1" applyBorder="1" applyAlignment="1">
      <alignment vertical="center"/>
    </xf>
    <xf numFmtId="169" fontId="6" fillId="2" borderId="0" xfId="5" applyNumberFormat="1" applyFont="1" applyFill="1" applyAlignment="1">
      <alignment vertical="center"/>
    </xf>
    <xf numFmtId="168" fontId="4" fillId="2" borderId="1" xfId="7" applyNumberFormat="1" applyFont="1" applyFill="1" applyBorder="1" applyAlignment="1">
      <alignment horizontal="left" vertical="center"/>
    </xf>
    <xf numFmtId="168" fontId="4" fillId="0" borderId="1" xfId="7" applyNumberFormat="1" applyFont="1" applyBorder="1" applyAlignment="1">
      <alignment horizontal="left" vertical="center"/>
    </xf>
    <xf numFmtId="168" fontId="5" fillId="6" borderId="0" xfId="7" applyNumberFormat="1" applyFont="1" applyFill="1" applyAlignment="1">
      <alignment vertical="center" wrapText="1"/>
    </xf>
    <xf numFmtId="168" fontId="4" fillId="2" borderId="0" xfId="7" applyNumberFormat="1" applyFont="1" applyFill="1" applyAlignment="1">
      <alignment horizontal="left" vertical="center"/>
    </xf>
    <xf numFmtId="168" fontId="19" fillId="9" borderId="1" xfId="7" applyNumberFormat="1" applyFont="1" applyFill="1" applyBorder="1" applyAlignment="1">
      <alignment vertical="center"/>
    </xf>
    <xf numFmtId="168" fontId="19" fillId="6" borderId="1" xfId="7" applyNumberFormat="1" applyFont="1" applyFill="1" applyBorder="1" applyAlignment="1">
      <alignment vertical="center"/>
    </xf>
    <xf numFmtId="167" fontId="7" fillId="6" borderId="1" xfId="0" applyNumberFormat="1" applyFont="1" applyFill="1" applyBorder="1" applyAlignment="1">
      <alignment vertical="center"/>
    </xf>
    <xf numFmtId="43" fontId="7" fillId="0" borderId="1" xfId="0" applyNumberFormat="1" applyFont="1" applyBorder="1" applyAlignment="1">
      <alignment vertical="center"/>
    </xf>
    <xf numFmtId="168" fontId="19" fillId="6" borderId="0" xfId="7" applyNumberFormat="1" applyFont="1" applyFill="1" applyAlignment="1">
      <alignment vertical="center"/>
    </xf>
    <xf numFmtId="166" fontId="7" fillId="0" borderId="0" xfId="0" applyNumberFormat="1" applyFont="1" applyAlignment="1">
      <alignment vertical="center"/>
    </xf>
    <xf numFmtId="169" fontId="18" fillId="0" borderId="0" xfId="6" applyNumberFormat="1" applyFont="1" applyAlignment="1">
      <alignment vertical="center"/>
    </xf>
    <xf numFmtId="0" fontId="7" fillId="0" borderId="2" xfId="0" applyFont="1" applyBorder="1" applyAlignment="1">
      <alignment vertical="center"/>
    </xf>
    <xf numFmtId="169" fontId="6" fillId="0" borderId="0" xfId="5" applyNumberFormat="1" applyFont="1" applyAlignment="1">
      <alignment vertical="center"/>
    </xf>
    <xf numFmtId="168" fontId="4" fillId="0" borderId="0" xfId="7" applyNumberFormat="1" applyFont="1" applyAlignment="1">
      <alignment horizontal="left" vertical="center"/>
    </xf>
    <xf numFmtId="168" fontId="5" fillId="3" borderId="0" xfId="7" applyNumberFormat="1" applyFont="1" applyFill="1" applyAlignment="1">
      <alignment vertical="center" wrapText="1"/>
    </xf>
    <xf numFmtId="168" fontId="19" fillId="9" borderId="0" xfId="7" applyNumberFormat="1" applyFont="1" applyFill="1" applyAlignment="1">
      <alignment vertical="center"/>
    </xf>
    <xf numFmtId="0" fontId="0" fillId="0" borderId="0" xfId="0" applyAlignment="1">
      <alignment wrapText="1"/>
    </xf>
    <xf numFmtId="167" fontId="0" fillId="0" borderId="0" xfId="8" applyFont="1" applyAlignment="1">
      <alignment horizontal="left"/>
    </xf>
    <xf numFmtId="0" fontId="2" fillId="0" borderId="8" xfId="0" applyFont="1" applyBorder="1" applyAlignment="1">
      <alignment horizontal="center" vertical="center" wrapText="1"/>
    </xf>
    <xf numFmtId="167" fontId="22" fillId="10" borderId="3" xfId="8" applyFont="1" applyFill="1" applyBorder="1" applyAlignment="1">
      <alignment horizontal="center" vertical="center" wrapText="1"/>
    </xf>
    <xf numFmtId="167" fontId="22" fillId="10" borderId="1" xfId="8" applyFont="1" applyFill="1" applyBorder="1" applyAlignment="1">
      <alignment horizontal="center" vertical="center" wrapText="1"/>
    </xf>
    <xf numFmtId="0" fontId="22" fillId="10" borderId="1" xfId="0" applyFont="1" applyFill="1" applyBorder="1" applyAlignment="1">
      <alignment horizontal="center" vertical="center" wrapText="1"/>
    </xf>
    <xf numFmtId="167" fontId="2" fillId="0" borderId="9" xfId="8" applyFont="1" applyBorder="1" applyAlignment="1">
      <alignment vertical="center" wrapText="1"/>
    </xf>
    <xf numFmtId="167" fontId="22" fillId="0" borderId="4" xfId="8" applyFont="1" applyBorder="1" applyAlignment="1">
      <alignment horizontal="left" vertical="center" wrapText="1"/>
    </xf>
    <xf numFmtId="167" fontId="22" fillId="0" borderId="0" xfId="8" applyFont="1" applyBorder="1" applyAlignment="1">
      <alignment horizontal="left" vertical="center" wrapText="1"/>
    </xf>
    <xf numFmtId="167" fontId="8" fillId="0" borderId="9" xfId="8" applyFont="1" applyBorder="1" applyAlignment="1">
      <alignment horizontal="left" vertical="center" wrapText="1"/>
    </xf>
    <xf numFmtId="167" fontId="7" fillId="0" borderId="4" xfId="8" applyFont="1" applyBorder="1" applyAlignment="1">
      <alignment vertical="center"/>
    </xf>
    <xf numFmtId="167" fontId="7" fillId="0" borderId="10" xfId="8" applyFont="1" applyBorder="1" applyAlignment="1">
      <alignment vertical="center"/>
    </xf>
    <xf numFmtId="167" fontId="2" fillId="0" borderId="11" xfId="8" applyFont="1" applyBorder="1" applyAlignment="1">
      <alignment vertical="center" wrapText="1"/>
    </xf>
    <xf numFmtId="167" fontId="22" fillId="0" borderId="5" xfId="8" applyFont="1" applyBorder="1" applyAlignment="1">
      <alignment horizontal="left" vertical="center" wrapText="1"/>
    </xf>
    <xf numFmtId="167" fontId="22" fillId="0" borderId="12" xfId="8" applyFont="1" applyBorder="1" applyAlignment="1">
      <alignment horizontal="left" vertical="center" wrapText="1"/>
    </xf>
    <xf numFmtId="10" fontId="7" fillId="0" borderId="11" xfId="8" applyNumberFormat="1" applyFont="1" applyBorder="1" applyAlignment="1">
      <alignment horizontal="center" vertical="center"/>
    </xf>
    <xf numFmtId="10" fontId="7" fillId="0" borderId="5" xfId="8" applyNumberFormat="1" applyFont="1" applyBorder="1" applyAlignment="1">
      <alignment horizontal="center" vertical="center"/>
    </xf>
    <xf numFmtId="10" fontId="7" fillId="0" borderId="13" xfId="8" applyNumberFormat="1" applyFont="1" applyBorder="1" applyAlignment="1">
      <alignment horizontal="center" vertical="center"/>
    </xf>
    <xf numFmtId="167" fontId="22" fillId="10" borderId="1" xfId="8" applyFont="1" applyFill="1" applyBorder="1" applyAlignment="1">
      <alignment horizontal="left" vertical="center" wrapText="1"/>
    </xf>
    <xf numFmtId="167" fontId="7" fillId="10" borderId="1" xfId="8" applyFont="1" applyFill="1" applyBorder="1" applyAlignment="1">
      <alignment vertical="center"/>
    </xf>
    <xf numFmtId="167" fontId="0" fillId="0" borderId="0" xfId="0" applyNumberFormat="1"/>
    <xf numFmtId="167" fontId="8" fillId="0" borderId="0" xfId="8" applyFont="1" applyBorder="1" applyAlignment="1">
      <alignment horizontal="left" vertical="center" wrapText="1"/>
    </xf>
    <xf numFmtId="167" fontId="8" fillId="0" borderId="4" xfId="8" applyFont="1" applyBorder="1" applyAlignment="1">
      <alignment horizontal="left" vertical="center" wrapText="1"/>
    </xf>
    <xf numFmtId="167" fontId="8" fillId="0" borderId="12" xfId="8" applyFont="1" applyBorder="1" applyAlignment="1">
      <alignment horizontal="left" vertical="center" wrapText="1"/>
    </xf>
    <xf numFmtId="167" fontId="8" fillId="0" borderId="11" xfId="8" applyFont="1" applyBorder="1" applyAlignment="1">
      <alignment horizontal="left" vertical="center" wrapText="1"/>
    </xf>
    <xf numFmtId="167" fontId="8" fillId="0" borderId="5" xfId="8" applyFont="1" applyBorder="1" applyAlignment="1">
      <alignment horizontal="left" vertical="center" wrapText="1"/>
    </xf>
    <xf numFmtId="167" fontId="7" fillId="0" borderId="13" xfId="8" applyFont="1" applyBorder="1" applyAlignment="1">
      <alignment vertical="center"/>
    </xf>
    <xf numFmtId="0" fontId="0" fillId="0" borderId="9" xfId="0" applyBorder="1" applyAlignment="1">
      <alignment vertical="center" wrapText="1"/>
    </xf>
    <xf numFmtId="167" fontId="8" fillId="10" borderId="6" xfId="8" applyFont="1" applyFill="1" applyBorder="1" applyAlignment="1">
      <alignment horizontal="left" vertical="center" wrapText="1"/>
    </xf>
    <xf numFmtId="167" fontId="2" fillId="0" borderId="9" xfId="8" applyFont="1" applyBorder="1" applyAlignment="1">
      <alignment horizontal="center" vertical="center" wrapText="1"/>
    </xf>
    <xf numFmtId="167" fontId="8" fillId="10" borderId="1" xfId="8" applyFont="1" applyFill="1" applyBorder="1" applyAlignment="1">
      <alignment horizontal="left" vertical="center" wrapText="1"/>
    </xf>
    <xf numFmtId="167" fontId="1" fillId="0" borderId="0" xfId="8" applyFont="1" applyAlignment="1">
      <alignment horizontal="left"/>
    </xf>
    <xf numFmtId="167" fontId="22" fillId="10" borderId="6" xfId="8" applyFont="1" applyFill="1" applyBorder="1" applyAlignment="1">
      <alignment horizontal="left" vertical="center" wrapText="1"/>
    </xf>
    <xf numFmtId="167" fontId="7" fillId="0" borderId="0" xfId="8" applyFont="1" applyBorder="1" applyAlignment="1">
      <alignment vertical="center"/>
    </xf>
    <xf numFmtId="167" fontId="0" fillId="0" borderId="0" xfId="8" applyFont="1"/>
    <xf numFmtId="167" fontId="7" fillId="10" borderId="6" xfId="8" applyFont="1" applyFill="1" applyBorder="1" applyAlignment="1">
      <alignment vertical="center"/>
    </xf>
    <xf numFmtId="167" fontId="8" fillId="0" borderId="10" xfId="8" applyFont="1" applyBorder="1" applyAlignment="1">
      <alignment horizontal="left" vertical="center" wrapText="1"/>
    </xf>
    <xf numFmtId="167" fontId="22" fillId="0" borderId="3" xfId="8" applyFont="1" applyBorder="1" applyAlignment="1">
      <alignment horizontal="left" vertical="center" wrapText="1"/>
    </xf>
    <xf numFmtId="167" fontId="22" fillId="0" borderId="14" xfId="8" applyFont="1" applyBorder="1" applyAlignment="1">
      <alignment horizontal="left" vertical="center" wrapText="1"/>
    </xf>
    <xf numFmtId="167" fontId="22" fillId="0" borderId="8" xfId="8" applyFont="1" applyBorder="1" applyAlignment="1">
      <alignment horizontal="left" vertical="center" wrapText="1"/>
    </xf>
    <xf numFmtId="167" fontId="8" fillId="0" borderId="8" xfId="8" applyFont="1" applyBorder="1" applyAlignment="1">
      <alignment horizontal="left" vertical="center" wrapText="1"/>
    </xf>
    <xf numFmtId="167" fontId="8" fillId="0" borderId="3" xfId="8" applyFont="1" applyBorder="1" applyAlignment="1">
      <alignment horizontal="left" vertical="center" wrapText="1"/>
    </xf>
    <xf numFmtId="167" fontId="22" fillId="0" borderId="9" xfId="8" applyFont="1" applyBorder="1" applyAlignment="1">
      <alignment horizontal="left" vertical="center" wrapText="1"/>
    </xf>
    <xf numFmtId="167" fontId="22" fillId="0" borderId="11" xfId="8" applyFont="1" applyBorder="1" applyAlignment="1">
      <alignment horizontal="left" vertical="center" wrapText="1"/>
    </xf>
    <xf numFmtId="167" fontId="7" fillId="0" borderId="5" xfId="8" applyFont="1" applyBorder="1" applyAlignment="1">
      <alignment vertical="center"/>
    </xf>
    <xf numFmtId="0" fontId="23" fillId="0" borderId="0" xfId="9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5" fillId="0" borderId="0" xfId="10" applyFont="1" applyAlignment="1">
      <alignment vertical="center"/>
    </xf>
    <xf numFmtId="0" fontId="26" fillId="0" borderId="0" xfId="0" applyFont="1" applyAlignment="1">
      <alignment vertical="center"/>
    </xf>
    <xf numFmtId="0" fontId="27" fillId="0" borderId="0" xfId="0" applyFont="1" applyAlignment="1">
      <alignment vertical="center"/>
    </xf>
    <xf numFmtId="0" fontId="28" fillId="11" borderId="15" xfId="0" applyFont="1" applyFill="1" applyBorder="1" applyAlignment="1">
      <alignment horizontal="center" vertical="center" wrapText="1"/>
    </xf>
    <xf numFmtId="0" fontId="28" fillId="11" borderId="16" xfId="0" applyFont="1" applyFill="1" applyBorder="1" applyAlignment="1">
      <alignment horizontal="center" vertical="center" wrapText="1"/>
    </xf>
    <xf numFmtId="0" fontId="28" fillId="11" borderId="16" xfId="11" applyNumberFormat="1" applyFont="1" applyFill="1" applyBorder="1" applyAlignment="1">
      <alignment horizontal="center" vertical="center" wrapText="1"/>
    </xf>
    <xf numFmtId="168" fontId="28" fillId="11" borderId="16" xfId="11" applyNumberFormat="1" applyFont="1" applyFill="1" applyBorder="1" applyAlignment="1">
      <alignment horizontal="center" vertical="center" wrapText="1"/>
    </xf>
    <xf numFmtId="0" fontId="28" fillId="11" borderId="17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vertical="center"/>
    </xf>
    <xf numFmtId="14" fontId="6" fillId="2" borderId="0" xfId="0" applyNumberFormat="1" applyFont="1" applyFill="1" applyAlignment="1">
      <alignment horizontal="left" vertical="center"/>
    </xf>
    <xf numFmtId="171" fontId="6" fillId="2" borderId="0" xfId="11" applyFont="1" applyFill="1" applyBorder="1" applyAlignment="1">
      <alignment vertical="center"/>
    </xf>
    <xf numFmtId="168" fontId="6" fillId="2" borderId="0" xfId="11" applyNumberFormat="1" applyFont="1" applyFill="1" applyBorder="1" applyAlignment="1">
      <alignment vertical="center"/>
    </xf>
    <xf numFmtId="0" fontId="6" fillId="2" borderId="0" xfId="0" applyFont="1" applyFill="1" applyAlignment="1">
      <alignment horizontal="left" vertical="center"/>
    </xf>
    <xf numFmtId="0" fontId="6" fillId="6" borderId="0" xfId="0" applyFont="1" applyFill="1" applyAlignment="1">
      <alignment vertical="center"/>
    </xf>
    <xf numFmtId="14" fontId="6" fillId="6" borderId="0" xfId="0" applyNumberFormat="1" applyFont="1" applyFill="1" applyAlignment="1">
      <alignment horizontal="left" vertical="center"/>
    </xf>
    <xf numFmtId="171" fontId="6" fillId="6" borderId="0" xfId="11" applyFont="1" applyFill="1" applyBorder="1" applyAlignment="1">
      <alignment vertical="center"/>
    </xf>
    <xf numFmtId="168" fontId="6" fillId="6" borderId="0" xfId="11" applyNumberFormat="1" applyFont="1" applyFill="1" applyBorder="1" applyAlignment="1">
      <alignment vertical="center"/>
    </xf>
    <xf numFmtId="0" fontId="6" fillId="6" borderId="0" xfId="0" applyFont="1" applyFill="1" applyAlignment="1">
      <alignment horizontal="left" vertical="center"/>
    </xf>
    <xf numFmtId="0" fontId="28" fillId="12" borderId="0" xfId="0" applyFont="1" applyFill="1" applyAlignment="1">
      <alignment vertical="center"/>
    </xf>
    <xf numFmtId="168" fontId="28" fillId="12" borderId="0" xfId="0" applyNumberFormat="1" applyFont="1" applyFill="1" applyAlignment="1">
      <alignment vertical="center"/>
    </xf>
    <xf numFmtId="0" fontId="29" fillId="0" borderId="0" xfId="0" applyFont="1" applyAlignment="1">
      <alignment vertical="center"/>
    </xf>
    <xf numFmtId="0" fontId="30" fillId="0" borderId="0" xfId="0" applyFont="1" applyAlignment="1">
      <alignment vertical="center"/>
    </xf>
    <xf numFmtId="0" fontId="31" fillId="11" borderId="18" xfId="0" applyFont="1" applyFill="1" applyBorder="1" applyAlignment="1">
      <alignment horizontal="center" vertical="center" wrapText="1"/>
    </xf>
    <xf numFmtId="0" fontId="30" fillId="2" borderId="19" xfId="0" applyFont="1" applyFill="1" applyBorder="1" applyAlignment="1">
      <alignment vertical="center"/>
    </xf>
    <xf numFmtId="172" fontId="30" fillId="2" borderId="19" xfId="1" applyNumberFormat="1" applyFont="1" applyFill="1" applyBorder="1" applyAlignment="1">
      <alignment vertical="center"/>
    </xf>
    <xf numFmtId="164" fontId="30" fillId="2" borderId="19" xfId="1" applyNumberFormat="1" applyFont="1" applyFill="1" applyBorder="1" applyAlignment="1">
      <alignment vertical="center"/>
    </xf>
    <xf numFmtId="0" fontId="30" fillId="2" borderId="20" xfId="0" applyFont="1" applyFill="1" applyBorder="1" applyAlignment="1">
      <alignment vertical="center"/>
    </xf>
    <xf numFmtId="172" fontId="30" fillId="2" borderId="20" xfId="1" applyNumberFormat="1" applyFont="1" applyFill="1" applyBorder="1" applyAlignment="1">
      <alignment vertical="center"/>
    </xf>
    <xf numFmtId="164" fontId="30" fillId="2" borderId="20" xfId="1" applyNumberFormat="1" applyFont="1" applyFill="1" applyBorder="1" applyAlignment="1">
      <alignment vertical="center"/>
    </xf>
    <xf numFmtId="0" fontId="32" fillId="13" borderId="20" xfId="0" applyFont="1" applyFill="1" applyBorder="1" applyAlignment="1">
      <alignment vertical="center"/>
    </xf>
    <xf numFmtId="172" fontId="32" fillId="13" borderId="20" xfId="1" applyNumberFormat="1" applyFont="1" applyFill="1" applyBorder="1" applyAlignment="1">
      <alignment vertical="center"/>
    </xf>
    <xf numFmtId="164" fontId="32" fillId="13" borderId="20" xfId="1" applyNumberFormat="1" applyFont="1" applyFill="1" applyBorder="1" applyAlignment="1">
      <alignment vertical="center"/>
    </xf>
    <xf numFmtId="0" fontId="30" fillId="6" borderId="20" xfId="0" applyFont="1" applyFill="1" applyBorder="1" applyAlignment="1">
      <alignment vertical="center"/>
    </xf>
    <xf numFmtId="164" fontId="30" fillId="6" borderId="20" xfId="1" applyNumberFormat="1" applyFont="1" applyFill="1" applyBorder="1" applyAlignment="1">
      <alignment vertical="center"/>
    </xf>
    <xf numFmtId="0" fontId="31" fillId="14" borderId="21" xfId="0" applyFont="1" applyFill="1" applyBorder="1" applyAlignment="1">
      <alignment vertical="center"/>
    </xf>
    <xf numFmtId="164" fontId="31" fillId="14" borderId="21" xfId="0" applyNumberFormat="1" applyFont="1" applyFill="1" applyBorder="1" applyAlignment="1">
      <alignment vertical="center"/>
    </xf>
    <xf numFmtId="0" fontId="31" fillId="11" borderId="0" xfId="0" applyFont="1" applyFill="1" applyBorder="1" applyAlignment="1">
      <alignment horizontal="center" vertical="center" wrapText="1"/>
    </xf>
    <xf numFmtId="0" fontId="30" fillId="2" borderId="22" xfId="0" applyFont="1" applyFill="1" applyBorder="1" applyAlignment="1">
      <alignment horizontal="center" vertical="center"/>
    </xf>
    <xf numFmtId="0" fontId="30" fillId="2" borderId="22" xfId="0" applyFont="1" applyFill="1" applyBorder="1" applyAlignment="1">
      <alignment horizontal="center" vertical="center"/>
    </xf>
    <xf numFmtId="164" fontId="31" fillId="11" borderId="18" xfId="1" applyNumberFormat="1" applyFont="1" applyFill="1" applyBorder="1" applyAlignment="1">
      <alignment horizontal="center" vertical="center" wrapText="1"/>
    </xf>
    <xf numFmtId="164" fontId="0" fillId="0" borderId="0" xfId="1" applyNumberFormat="1" applyFont="1"/>
    <xf numFmtId="164" fontId="30" fillId="2" borderId="22" xfId="1" applyNumberFormat="1" applyFont="1" applyFill="1" applyBorder="1" applyAlignment="1">
      <alignment horizontal="center" vertical="center"/>
    </xf>
    <xf numFmtId="0" fontId="33" fillId="0" borderId="0" xfId="0" applyFont="1"/>
    <xf numFmtId="4" fontId="34" fillId="0" borderId="0" xfId="0" applyNumberFormat="1" applyFont="1"/>
    <xf numFmtId="0" fontId="35" fillId="16" borderId="23" xfId="9" applyNumberFormat="1" applyFont="1" applyFill="1" applyBorder="1" applyAlignment="1"/>
    <xf numFmtId="0" fontId="23" fillId="17" borderId="25" xfId="9" applyNumberFormat="1" applyFont="1" applyFill="1" applyBorder="1" applyAlignment="1"/>
    <xf numFmtId="0" fontId="23" fillId="15" borderId="25" xfId="9" applyNumberFormat="1" applyFont="1" applyFill="1" applyBorder="1" applyAlignment="1"/>
    <xf numFmtId="0" fontId="23" fillId="15" borderId="30" xfId="9" applyNumberFormat="1" applyFont="1" applyFill="1" applyBorder="1" applyAlignment="1"/>
    <xf numFmtId="0" fontId="35" fillId="16" borderId="27" xfId="9" applyNumberFormat="1" applyFont="1" applyFill="1" applyBorder="1" applyAlignment="1"/>
    <xf numFmtId="0" fontId="23" fillId="15" borderId="28" xfId="9" applyNumberFormat="1" applyFont="1" applyFill="1" applyBorder="1" applyAlignment="1"/>
    <xf numFmtId="0" fontId="23" fillId="17" borderId="28" xfId="9" applyNumberFormat="1" applyFont="1" applyFill="1" applyBorder="1" applyAlignment="1"/>
    <xf numFmtId="0" fontId="35" fillId="16" borderId="24" xfId="9" applyNumberFormat="1" applyFont="1" applyFill="1" applyBorder="1" applyAlignment="1"/>
    <xf numFmtId="0" fontId="23" fillId="15" borderId="26" xfId="9" applyNumberFormat="1" applyFont="1" applyFill="1" applyBorder="1" applyAlignment="1"/>
    <xf numFmtId="0" fontId="23" fillId="17" borderId="26" xfId="9" applyNumberFormat="1" applyFont="1" applyFill="1" applyBorder="1" applyAlignment="1"/>
    <xf numFmtId="0" fontId="23" fillId="17" borderId="31" xfId="9" applyNumberFormat="1" applyFont="1" applyFill="1" applyBorder="1" applyAlignment="1"/>
    <xf numFmtId="0" fontId="23" fillId="17" borderId="29" xfId="9" applyNumberFormat="1" applyFont="1" applyFill="1" applyBorder="1" applyAlignment="1"/>
    <xf numFmtId="0" fontId="23" fillId="15" borderId="29" xfId="9" applyNumberFormat="1" applyFont="1" applyFill="1" applyBorder="1" applyAlignment="1"/>
    <xf numFmtId="0" fontId="23" fillId="17" borderId="32" xfId="9" applyNumberFormat="1" applyFont="1" applyFill="1" applyBorder="1" applyAlignment="1"/>
    <xf numFmtId="0" fontId="31" fillId="11" borderId="18" xfId="1" applyNumberFormat="1" applyFont="1" applyFill="1" applyBorder="1" applyAlignment="1">
      <alignment horizontal="center" vertical="center" wrapText="1"/>
    </xf>
    <xf numFmtId="164" fontId="31" fillId="11" borderId="18" xfId="0" applyNumberFormat="1" applyFont="1" applyFill="1" applyBorder="1" applyAlignment="1">
      <alignment horizontal="center" vertical="center" wrapText="1"/>
    </xf>
    <xf numFmtId="0" fontId="30" fillId="2" borderId="22" xfId="1" applyNumberFormat="1" applyFont="1" applyFill="1" applyBorder="1" applyAlignment="1">
      <alignment horizontal="center" vertical="center"/>
    </xf>
    <xf numFmtId="164" fontId="30" fillId="2" borderId="22" xfId="0" applyNumberFormat="1" applyFont="1" applyFill="1" applyBorder="1" applyAlignment="1">
      <alignment horizontal="center" vertical="center"/>
    </xf>
    <xf numFmtId="0" fontId="33" fillId="0" borderId="0" xfId="0" applyFont="1" applyAlignment="1">
      <alignment horizontal="center"/>
    </xf>
    <xf numFmtId="0" fontId="30" fillId="2" borderId="20" xfId="0" applyFont="1" applyFill="1" applyBorder="1" applyAlignment="1">
      <alignment horizontal="left" vertical="center"/>
    </xf>
    <xf numFmtId="0" fontId="30" fillId="6" borderId="20" xfId="0" applyFont="1" applyFill="1" applyBorder="1" applyAlignment="1">
      <alignment horizontal="left" vertical="center"/>
    </xf>
    <xf numFmtId="0" fontId="30" fillId="2" borderId="19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167" fontId="2" fillId="0" borderId="8" xfId="8" applyFont="1" applyBorder="1" applyAlignment="1">
      <alignment horizontal="center" vertical="center" wrapText="1"/>
    </xf>
    <xf numFmtId="167" fontId="2" fillId="0" borderId="11" xfId="8" applyFont="1" applyBorder="1" applyAlignment="1">
      <alignment horizontal="center" vertical="center" wrapText="1"/>
    </xf>
    <xf numFmtId="167" fontId="2" fillId="0" borderId="8" xfId="8" applyFont="1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167" fontId="2" fillId="0" borderId="9" xfId="8" applyFont="1" applyBorder="1" applyAlignment="1">
      <alignment horizontal="center" vertical="center" wrapText="1"/>
    </xf>
    <xf numFmtId="0" fontId="30" fillId="2" borderId="0" xfId="0" applyFont="1" applyFill="1" applyBorder="1" applyAlignment="1">
      <alignment horizontal="center" vertical="center"/>
    </xf>
    <xf numFmtId="0" fontId="0" fillId="0" borderId="0" xfId="0" applyAlignment="1">
      <alignment horizontal="left" indent="1"/>
    </xf>
    <xf numFmtId="174" fontId="0" fillId="0" borderId="0" xfId="13" applyNumberFormat="1" applyFont="1"/>
    <xf numFmtId="175" fontId="0" fillId="0" borderId="0" xfId="0" applyNumberFormat="1"/>
  </cellXfs>
  <cellStyles count="14">
    <cellStyle name="Lien hypertexte" xfId="10" builtinId="8"/>
    <cellStyle name="Milliers" xfId="1" builtinId="3"/>
    <cellStyle name="Milliers [0]" xfId="13" builtinId="6"/>
    <cellStyle name="Milliers [0] 2" xfId="4" xr:uid="{B100C134-F561-4191-9E7C-74E87F817BC5}"/>
    <cellStyle name="Milliers [0] 3" xfId="8" xr:uid="{ABF29D1B-DA25-4E82-B2CF-72BBFCE07A3E}"/>
    <cellStyle name="Milliers 2" xfId="11" xr:uid="{9F66CFFA-DFAC-4D77-BE2D-A2D19028836F}"/>
    <cellStyle name="Milliers 414" xfId="7" xr:uid="{45E8616D-9636-4C93-93E7-EE488EBEF75B}"/>
    <cellStyle name="Normal" xfId="0" builtinId="0"/>
    <cellStyle name="Normal 2" xfId="9" xr:uid="{5C800CD3-FB98-4E8B-B425-FA88787E1736}"/>
    <cellStyle name="Normal 2 2" xfId="12" xr:uid="{53E239EB-DAE4-4767-B2DA-59D9248FF9D0}"/>
    <cellStyle name="Normal 2 5" xfId="3" xr:uid="{5F7F0F49-E40E-43CA-865A-B3BEDD58CE00}"/>
    <cellStyle name="Normal 5" xfId="6" xr:uid="{E84B275B-B68A-471E-B433-619C24D083A8}"/>
    <cellStyle name="Normal 5 2" xfId="5" xr:uid="{3A8C28C6-C447-497C-B495-2DFD4FE59116}"/>
    <cellStyle name="Pourcentage" xfId="2" builtinId="5"/>
  </cellStyles>
  <dxfs count="24">
    <dxf>
      <numFmt numFmtId="175" formatCode="_-* #,##0.000_-;\-* #,##0.000_-;_-* &quot;-&quot;_-;_-@_-"/>
    </dxf>
    <dxf>
      <numFmt numFmtId="175" formatCode="_-* #,##0.000_-;\-* #,##0.000_-;_-* &quot;-&quot;_-;_-@_-"/>
    </dxf>
    <dxf>
      <numFmt numFmtId="174" formatCode="_-* #,##0.00_-;\-* #,##0.00_-;_-* &quot;-&quot;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Kohinoor Devanagari"/>
        <scheme val="none"/>
      </font>
      <numFmt numFmtId="0" formatCode="General"/>
      <fill>
        <patternFill patternType="solid">
          <fgColor indexed="64"/>
          <bgColor rgb="FFA9ECEF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ck">
          <color rgb="FFC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solid">
          <fgColor theme="4" tint="0.59999389629810485"/>
          <bgColor theme="4" tint="0.5999938962981048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solid">
          <fgColor theme="4" tint="0.59999389629810485"/>
          <bgColor theme="4" tint="0.5999938962981048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solid">
          <fgColor theme="4" tint="0.59999389629810485"/>
          <bgColor theme="4" tint="0.5999938962981048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solid">
          <fgColor theme="4" tint="0.59999389629810485"/>
          <bgColor theme="4" tint="0.5999938962981048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top style="thin">
          <color theme="0"/>
        </top>
      </border>
    </dxf>
    <dxf>
      <border outline="0">
        <left style="thin">
          <color theme="0"/>
        </left>
        <right style="thin">
          <color theme="0"/>
        </right>
        <bottom style="thin">
          <color theme="0"/>
        </bottom>
      </border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numFmt numFmtId="0" formatCode="General"/>
      <fill>
        <patternFill patternType="solid">
          <fgColor theme="4"/>
          <bgColor theme="4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Kohinoor Devanagari"/>
        <scheme val="none"/>
      </font>
      <fill>
        <patternFill patternType="solid">
          <fgColor indexed="64"/>
          <bgColor rgb="FFA9ECEF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ck">
          <color rgb="FFC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Kohinoor Devanagari"/>
        <scheme val="none"/>
      </font>
      <fill>
        <patternFill patternType="solid">
          <fgColor indexed="64"/>
          <bgColor rgb="FFA9ECEF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ck">
          <color rgb="FFC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Kohinoor Devanagari"/>
        <scheme val="none"/>
      </font>
      <fill>
        <patternFill patternType="solid">
          <fgColor indexed="64"/>
          <bgColor rgb="FFA9ECEF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ck">
          <color rgb="FFC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Kohinoor Devanagari"/>
        <scheme val="none"/>
      </font>
      <numFmt numFmtId="164" formatCode="_-* #,##0_-;\-* #,##0_-;_-* &quot;-&quot;??_-;_-@_-"/>
      <fill>
        <patternFill patternType="solid">
          <fgColor indexed="64"/>
          <bgColor rgb="FFA9ECEF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ck">
          <color rgb="FFC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Kohinoor Devanagari"/>
        <scheme val="none"/>
      </font>
      <fill>
        <patternFill patternType="solid">
          <fgColor indexed="64"/>
          <bgColor rgb="FFA9ECEF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ck">
          <color rgb="FFC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Kohinoor Devanagari"/>
        <scheme val="none"/>
      </font>
      <fill>
        <patternFill patternType="solid">
          <fgColor indexed="64"/>
          <bgColor rgb="FFA9ECEF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ck">
          <color rgb="FFC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Kohinoor Devanagari"/>
        <scheme val="none"/>
      </font>
      <fill>
        <patternFill patternType="solid">
          <fgColor indexed="64"/>
          <bgColor rgb="FFA9ECEF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ck">
          <color rgb="FFC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Kohinoor Devanagari"/>
        <scheme val="none"/>
      </font>
      <fill>
        <patternFill patternType="solid">
          <fgColor indexed="64"/>
          <bgColor rgb="FFA9ECEF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ck">
          <color rgb="FFC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Kohinoor Devanagari"/>
        <scheme val="none"/>
      </font>
      <fill>
        <patternFill patternType="solid">
          <fgColor indexed="64"/>
          <bgColor rgb="FFA9ECEF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ck">
          <color rgb="FFC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Kohinoor Devanagari"/>
        <scheme val="none"/>
      </font>
      <fill>
        <patternFill patternType="solid">
          <fgColor indexed="64"/>
          <bgColor rgb="FFA9ECEF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07/relationships/slicerCache" Target="slicerCaches/slicerCache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07/relationships/slicerCache" Target="slicerCaches/slicerCache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07/relationships/slicerCache" Target="slicerCaches/slicerCache1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2.xml"/><Relationship Id="rId27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[data.xlsx]table!Tableau croisé dynamique2</c:name>
    <c:fmtId val="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</c:pivotFmt>
      <c:pivotFmt>
        <c:idx val="6"/>
        <c:spPr>
          <a:solidFill>
            <a:schemeClr val="accent3"/>
          </a:solidFill>
          <a:ln>
            <a:noFill/>
          </a:ln>
          <a:effectLst/>
          <a:sp3d/>
        </c:spPr>
      </c:pivotFmt>
      <c:pivotFmt>
        <c:idx val="7"/>
        <c:spPr>
          <a:solidFill>
            <a:schemeClr val="accent3"/>
          </a:solidFill>
          <a:ln>
            <a:noFill/>
          </a:ln>
          <a:effectLst/>
          <a:sp3d/>
        </c:spPr>
      </c:pivotFmt>
      <c:pivotFmt>
        <c:idx val="8"/>
        <c:spPr>
          <a:solidFill>
            <a:schemeClr val="accent2"/>
          </a:solidFill>
          <a:ln>
            <a:noFill/>
          </a:ln>
          <a:effectLst/>
          <a:sp3d/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table!$B$3</c:f>
              <c:strCache>
                <c:ptCount val="1"/>
                <c:pt idx="0">
                  <c:v>Importation déclarée par les pays partenaires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table!$A$4:$A$9</c:f>
              <c:strCach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strCache>
            </c:strRef>
          </c:cat>
          <c:val>
            <c:numRef>
              <c:f>table!$B$4:$B$9</c:f>
              <c:numCache>
                <c:formatCode>General</c:formatCode>
                <c:ptCount val="5"/>
                <c:pt idx="0">
                  <c:v>24.897390000000005</c:v>
                </c:pt>
                <c:pt idx="1">
                  <c:v>20.127113000000001</c:v>
                </c:pt>
                <c:pt idx="2">
                  <c:v>18.989317</c:v>
                </c:pt>
                <c:pt idx="3">
                  <c:v>18.447341999999999</c:v>
                </c:pt>
                <c:pt idx="4">
                  <c:v>11.188336999999999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89-4856-A0A0-27311ECF88DB}"/>
            </c:ext>
          </c:extLst>
        </c:ser>
        <c:ser>
          <c:idx val="1"/>
          <c:order val="1"/>
          <c:tx>
            <c:strRef>
              <c:f>table!$C$3</c:f>
              <c:strCache>
                <c:ptCount val="1"/>
                <c:pt idx="0">
                  <c:v>Exportation déclarée par le Sénégal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table!$A$4:$A$9</c:f>
              <c:strCach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strCache>
            </c:strRef>
          </c:cat>
          <c:val>
            <c:numRef>
              <c:f>table!$C$4:$C$9</c:f>
              <c:numCache>
                <c:formatCode>General</c:formatCode>
                <c:ptCount val="5"/>
                <c:pt idx="0">
                  <c:v>12.354299666415248</c:v>
                </c:pt>
                <c:pt idx="1">
                  <c:v>15.873222242093886</c:v>
                </c:pt>
                <c:pt idx="2">
                  <c:v>16.371563062136971</c:v>
                </c:pt>
                <c:pt idx="3">
                  <c:v>12.959168915188604</c:v>
                </c:pt>
                <c:pt idx="4">
                  <c:v>10.669797749663696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89-4856-A0A0-27311ECF88DB}"/>
            </c:ext>
          </c:extLst>
        </c:ser>
        <c:ser>
          <c:idx val="2"/>
          <c:order val="2"/>
          <c:tx>
            <c:strRef>
              <c:f>table!$D$3</c:f>
              <c:strCache>
                <c:ptCount val="1"/>
                <c:pt idx="0">
                  <c:v>Ecart entre les déclarations (EMAPE non déclarée)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table!$A$4:$A$9</c:f>
              <c:strCach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strCache>
            </c:strRef>
          </c:cat>
          <c:val>
            <c:numRef>
              <c:f>table!$D$4:$D$9</c:f>
              <c:numCache>
                <c:formatCode>General</c:formatCode>
                <c:ptCount val="5"/>
                <c:pt idx="0">
                  <c:v>12.543090333584752</c:v>
                </c:pt>
                <c:pt idx="1">
                  <c:v>4.2538907579061132</c:v>
                </c:pt>
                <c:pt idx="2">
                  <c:v>2.6177539378630303</c:v>
                </c:pt>
                <c:pt idx="3">
                  <c:v>5.4881730848113968</c:v>
                </c:pt>
                <c:pt idx="4">
                  <c:v>0.51853925033630488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B89-4856-A0A0-27311ECF88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84692688"/>
        <c:axId val="184697488"/>
        <c:axId val="0"/>
      </c:bar3DChart>
      <c:catAx>
        <c:axId val="184692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4697488"/>
        <c:crosses val="autoZero"/>
        <c:auto val="1"/>
        <c:lblAlgn val="ctr"/>
        <c:lblOffset val="100"/>
        <c:noMultiLvlLbl val="0"/>
      </c:catAx>
      <c:valAx>
        <c:axId val="184697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4692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[data.xlsx]table!Tableau croisé dynamique3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0.##0;\-0.##0" sourceLinked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0.##0;\-0.##0" sourceLinked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0.##0;\-0.##0" sourceLinked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0.##0;\-0.##0" sourceLinked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0.##0;\-0.##0" sourceLinked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0.##0;\-0.##0" sourceLinked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 w="25400">
          <a:noFill/>
        </a:ln>
        <a:effectLst/>
        <a:sp3d/>
      </c:spPr>
    </c:sideWall>
    <c:backWall>
      <c:thickness val="0"/>
      <c:spPr>
        <a:noFill/>
        <a:ln w="25400"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table!$B$28</c:f>
              <c:strCache>
                <c:ptCount val="1"/>
                <c:pt idx="0">
                  <c:v>Importation déclarée par les pays partenaires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numFmt formatCode="0.##0;\-0.##0" sourceLinked="0"/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table!$A$29:$A$30</c:f>
              <c:strCache>
                <c:ptCount val="1"/>
                <c:pt idx="0">
                  <c:v>2024</c:v>
                </c:pt>
              </c:strCache>
            </c:strRef>
          </c:cat>
          <c:val>
            <c:numRef>
              <c:f>table!$B$29:$B$30</c:f>
              <c:numCache>
                <c:formatCode>General</c:formatCode>
                <c:ptCount val="1"/>
                <c:pt idx="0">
                  <c:v>11.188336999999999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B0-4479-9733-CDAD7BCBD4FB}"/>
            </c:ext>
          </c:extLst>
        </c:ser>
        <c:ser>
          <c:idx val="1"/>
          <c:order val="1"/>
          <c:tx>
            <c:strRef>
              <c:f>table!$C$28</c:f>
              <c:strCache>
                <c:ptCount val="1"/>
                <c:pt idx="0">
                  <c:v>Exportation déclarée par le Sénégal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numFmt formatCode="0.##0;\-0.##0" sourceLinked="0"/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table!$A$29:$A$30</c:f>
              <c:strCache>
                <c:ptCount val="1"/>
                <c:pt idx="0">
                  <c:v>2024</c:v>
                </c:pt>
              </c:strCache>
            </c:strRef>
          </c:cat>
          <c:val>
            <c:numRef>
              <c:f>table!$C$29:$C$30</c:f>
              <c:numCache>
                <c:formatCode>General</c:formatCode>
                <c:ptCount val="1"/>
                <c:pt idx="0">
                  <c:v>10.669797749663696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B0-4479-9733-CDAD7BCBD4FB}"/>
            </c:ext>
          </c:extLst>
        </c:ser>
        <c:ser>
          <c:idx val="2"/>
          <c:order val="2"/>
          <c:tx>
            <c:strRef>
              <c:f>table!$D$28</c:f>
              <c:strCache>
                <c:ptCount val="1"/>
                <c:pt idx="0">
                  <c:v>Ecart entre les déclarations (EMAPE non déclarée)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dLbls>
            <c:numFmt formatCode="0.##0;\-0.##0" sourceLinked="0"/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table!$A$29:$A$30</c:f>
              <c:strCache>
                <c:ptCount val="1"/>
                <c:pt idx="0">
                  <c:v>2024</c:v>
                </c:pt>
              </c:strCache>
            </c:strRef>
          </c:cat>
          <c:val>
            <c:numRef>
              <c:f>table!$D$29:$D$30</c:f>
              <c:numCache>
                <c:formatCode>General</c:formatCode>
                <c:ptCount val="1"/>
                <c:pt idx="0">
                  <c:v>0.51853925033630488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CB0-4479-9733-CDAD7BCBD4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88029152"/>
        <c:axId val="988030112"/>
        <c:axId val="0"/>
      </c:bar3DChart>
      <c:catAx>
        <c:axId val="988029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88030112"/>
        <c:crosses val="autoZero"/>
        <c:auto val="1"/>
        <c:lblAlgn val="ctr"/>
        <c:lblOffset val="100"/>
        <c:noMultiLvlLbl val="0"/>
      </c:catAx>
      <c:valAx>
        <c:axId val="988030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88029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[data.xlsx]table!Tableau croisé dynamique4</c:name>
    <c:fmtId val="8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0.##0;\-0.##0" sourceLinked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0.##0;\-0.##0" sourceLinked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0.##0;\-0.##0" sourceLinked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0.##0;\-0.##0" sourceLinked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0.##0;\-0.##0" sourceLinked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0.##0;\-0.##0" sourceLinked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0.##0;\-0.##0" sourceLinked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0.##0;\-0.##0" sourceLinked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0.##0;\-0.##0" sourceLinked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 w="25400">
          <a:noFill/>
        </a:ln>
        <a:effectLst/>
        <a:sp3d/>
      </c:spPr>
    </c:sideWall>
    <c:backWall>
      <c:thickness val="0"/>
      <c:spPr>
        <a:noFill/>
        <a:ln w="25400"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table!$B$53</c:f>
              <c:strCache>
                <c:ptCount val="1"/>
                <c:pt idx="0">
                  <c:v>Importation déclarée par les pays partenaires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numFmt formatCode="0.##0;\-0.##0" sourceLinked="0"/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table!$A$54:$A$55</c:f>
              <c:strCache>
                <c:ptCount val="1"/>
                <c:pt idx="0">
                  <c:v>2023</c:v>
                </c:pt>
              </c:strCache>
            </c:strRef>
          </c:cat>
          <c:val>
            <c:numRef>
              <c:f>table!$B$54:$B$55</c:f>
              <c:numCache>
                <c:formatCode>General</c:formatCode>
                <c:ptCount val="1"/>
                <c:pt idx="0">
                  <c:v>18.447341999999999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B0-4479-9733-CDAD7BCBD4FB}"/>
            </c:ext>
          </c:extLst>
        </c:ser>
        <c:ser>
          <c:idx val="1"/>
          <c:order val="1"/>
          <c:tx>
            <c:strRef>
              <c:f>table!$C$53</c:f>
              <c:strCache>
                <c:ptCount val="1"/>
                <c:pt idx="0">
                  <c:v>Exportation déclarée par le Sénégal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numFmt formatCode="0.##0;\-0.##0" sourceLinked="0"/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table!$A$54:$A$55</c:f>
              <c:strCache>
                <c:ptCount val="1"/>
                <c:pt idx="0">
                  <c:v>2023</c:v>
                </c:pt>
              </c:strCache>
            </c:strRef>
          </c:cat>
          <c:val>
            <c:numRef>
              <c:f>table!$C$54:$C$55</c:f>
              <c:numCache>
                <c:formatCode>General</c:formatCode>
                <c:ptCount val="1"/>
                <c:pt idx="0">
                  <c:v>12.959168915188604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B0-4479-9733-CDAD7BCBD4FB}"/>
            </c:ext>
          </c:extLst>
        </c:ser>
        <c:ser>
          <c:idx val="2"/>
          <c:order val="2"/>
          <c:tx>
            <c:strRef>
              <c:f>table!$D$53</c:f>
              <c:strCache>
                <c:ptCount val="1"/>
                <c:pt idx="0">
                  <c:v>Ecart entre les déclarations (EMAPE non déclarée)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dLbls>
            <c:numFmt formatCode="0.##0;\-0.##0" sourceLinked="0"/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table!$A$54:$A$55</c:f>
              <c:strCache>
                <c:ptCount val="1"/>
                <c:pt idx="0">
                  <c:v>2023</c:v>
                </c:pt>
              </c:strCache>
            </c:strRef>
          </c:cat>
          <c:val>
            <c:numRef>
              <c:f>table!$D$54:$D$55</c:f>
              <c:numCache>
                <c:formatCode>General</c:formatCode>
                <c:ptCount val="1"/>
                <c:pt idx="0">
                  <c:v>5.4881730848113977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CB0-4479-9733-CDAD7BCBD4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88029152"/>
        <c:axId val="988030112"/>
        <c:axId val="0"/>
      </c:bar3DChart>
      <c:catAx>
        <c:axId val="988029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88030112"/>
        <c:crosses val="autoZero"/>
        <c:auto val="1"/>
        <c:lblAlgn val="ctr"/>
        <c:lblOffset val="100"/>
        <c:noMultiLvlLbl val="0"/>
      </c:catAx>
      <c:valAx>
        <c:axId val="988030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88029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[data.xlsx]table!Tableau croisé dynamique6</c:name>
    <c:fmtId val="8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0.##0;\-0.##0" sourceLinked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0.##0;\-0.##0" sourceLinked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0.##0;\-0.##0" sourceLinked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0.##0;\-0.##0" sourceLinked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0.##0;\-0.##0" sourceLinked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0.##0;\-0.##0" sourceLinked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0.##0;\-0.##0" sourceLinked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0.##0;\-0.##0" sourceLinked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0.##0;\-0.##0" sourceLinked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 w="25400">
          <a:noFill/>
        </a:ln>
        <a:effectLst/>
        <a:sp3d/>
      </c:spPr>
    </c:sideWall>
    <c:backWall>
      <c:thickness val="0"/>
      <c:spPr>
        <a:noFill/>
        <a:ln w="25400"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table!$B$72</c:f>
              <c:strCache>
                <c:ptCount val="1"/>
                <c:pt idx="0">
                  <c:v>Importation déclarée par les pays partenaires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numFmt formatCode="0.##0;\-0.##0" sourceLinked="0"/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table!$A$73:$A$74</c:f>
              <c:strCache>
                <c:ptCount val="1"/>
                <c:pt idx="0">
                  <c:v>2022</c:v>
                </c:pt>
              </c:strCache>
            </c:strRef>
          </c:cat>
          <c:val>
            <c:numRef>
              <c:f>table!$B$73:$B$74</c:f>
              <c:numCache>
                <c:formatCode>General</c:formatCode>
                <c:ptCount val="1"/>
                <c:pt idx="0">
                  <c:v>18.989317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B0-4479-9733-CDAD7BCBD4FB}"/>
            </c:ext>
          </c:extLst>
        </c:ser>
        <c:ser>
          <c:idx val="1"/>
          <c:order val="1"/>
          <c:tx>
            <c:strRef>
              <c:f>table!$C$72</c:f>
              <c:strCache>
                <c:ptCount val="1"/>
                <c:pt idx="0">
                  <c:v>Exportation déclarée par le Sénégal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numFmt formatCode="0.##0;\-0.##0" sourceLinked="0"/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table!$A$73:$A$74</c:f>
              <c:strCache>
                <c:ptCount val="1"/>
                <c:pt idx="0">
                  <c:v>2022</c:v>
                </c:pt>
              </c:strCache>
            </c:strRef>
          </c:cat>
          <c:val>
            <c:numRef>
              <c:f>table!$C$73:$C$74</c:f>
              <c:numCache>
                <c:formatCode>General</c:formatCode>
                <c:ptCount val="1"/>
                <c:pt idx="0">
                  <c:v>16.371563062136971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B0-4479-9733-CDAD7BCBD4FB}"/>
            </c:ext>
          </c:extLst>
        </c:ser>
        <c:ser>
          <c:idx val="2"/>
          <c:order val="2"/>
          <c:tx>
            <c:strRef>
              <c:f>table!$D$72</c:f>
              <c:strCache>
                <c:ptCount val="1"/>
                <c:pt idx="0">
                  <c:v>Ecart entre les déclarations (EMAPE non déclarée)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dLbls>
            <c:numFmt formatCode="0.##0;\-0.##0" sourceLinked="0"/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table!$A$73:$A$74</c:f>
              <c:strCache>
                <c:ptCount val="1"/>
                <c:pt idx="0">
                  <c:v>2022</c:v>
                </c:pt>
              </c:strCache>
            </c:strRef>
          </c:cat>
          <c:val>
            <c:numRef>
              <c:f>table!$D$73:$D$74</c:f>
              <c:numCache>
                <c:formatCode>General</c:formatCode>
                <c:ptCount val="1"/>
                <c:pt idx="0">
                  <c:v>2.6177539378630308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CB0-4479-9733-CDAD7BCBD4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88029152"/>
        <c:axId val="988030112"/>
        <c:axId val="0"/>
      </c:bar3DChart>
      <c:catAx>
        <c:axId val="988029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88030112"/>
        <c:crosses val="autoZero"/>
        <c:auto val="1"/>
        <c:lblAlgn val="ctr"/>
        <c:lblOffset val="100"/>
        <c:noMultiLvlLbl val="0"/>
      </c:catAx>
      <c:valAx>
        <c:axId val="988030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88029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[data.xlsx]table!Tableau croisé dynamique8</c:name>
    <c:fmtId val="8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0.##0;\-0.##0" sourceLinked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0.##0;\-0.##0" sourceLinked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0.##0;\-0.##0" sourceLinked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0.##0;\-0.##0" sourceLinked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0.##0;\-0.##0" sourceLinked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0.##0;\-0.##0" sourceLinked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0.##0;\-0.##0" sourceLinked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0.##0;\-0.##0" sourceLinked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0.##0;\-0.##0" sourceLinked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 w="25400">
          <a:noFill/>
        </a:ln>
        <a:effectLst/>
        <a:sp3d/>
      </c:spPr>
    </c:sideWall>
    <c:backWall>
      <c:thickness val="0"/>
      <c:spPr>
        <a:noFill/>
        <a:ln w="25400"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table!$B$97</c:f>
              <c:strCache>
                <c:ptCount val="1"/>
                <c:pt idx="0">
                  <c:v>Importation déclarée par les pays partenaires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numFmt formatCode="0.##0;\-0.##0" sourceLinked="0"/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table!$A$98:$A$99</c:f>
              <c:strCache>
                <c:ptCount val="1"/>
                <c:pt idx="0">
                  <c:v>2021</c:v>
                </c:pt>
              </c:strCache>
            </c:strRef>
          </c:cat>
          <c:val>
            <c:numRef>
              <c:f>table!$B$98:$B$99</c:f>
              <c:numCache>
                <c:formatCode>General</c:formatCode>
                <c:ptCount val="1"/>
                <c:pt idx="0">
                  <c:v>20.127113000000001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B0-4479-9733-CDAD7BCBD4FB}"/>
            </c:ext>
          </c:extLst>
        </c:ser>
        <c:ser>
          <c:idx val="1"/>
          <c:order val="1"/>
          <c:tx>
            <c:strRef>
              <c:f>table!$C$97</c:f>
              <c:strCache>
                <c:ptCount val="1"/>
                <c:pt idx="0">
                  <c:v>Exportation déclarée par le Sénégal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numFmt formatCode="0.##0;\-0.##0" sourceLinked="0"/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table!$A$98:$A$99</c:f>
              <c:strCache>
                <c:ptCount val="1"/>
                <c:pt idx="0">
                  <c:v>2021</c:v>
                </c:pt>
              </c:strCache>
            </c:strRef>
          </c:cat>
          <c:val>
            <c:numRef>
              <c:f>table!$C$98:$C$99</c:f>
              <c:numCache>
                <c:formatCode>General</c:formatCode>
                <c:ptCount val="1"/>
                <c:pt idx="0">
                  <c:v>15.873222242093886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B0-4479-9733-CDAD7BCBD4FB}"/>
            </c:ext>
          </c:extLst>
        </c:ser>
        <c:ser>
          <c:idx val="2"/>
          <c:order val="2"/>
          <c:tx>
            <c:strRef>
              <c:f>table!$D$97</c:f>
              <c:strCache>
                <c:ptCount val="1"/>
                <c:pt idx="0">
                  <c:v>Ecart entre les déclarations (EMAPE non déclarée)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dLbls>
            <c:numFmt formatCode="0.##0;\-0.##0" sourceLinked="0"/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table!$A$98:$A$99</c:f>
              <c:strCache>
                <c:ptCount val="1"/>
                <c:pt idx="0">
                  <c:v>2021</c:v>
                </c:pt>
              </c:strCache>
            </c:strRef>
          </c:cat>
          <c:val>
            <c:numRef>
              <c:f>table!$D$98:$D$99</c:f>
              <c:numCache>
                <c:formatCode>General</c:formatCode>
                <c:ptCount val="1"/>
                <c:pt idx="0">
                  <c:v>4.2538907579061132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CB0-4479-9733-CDAD7BCBD4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88029152"/>
        <c:axId val="988030112"/>
        <c:axId val="0"/>
      </c:bar3DChart>
      <c:catAx>
        <c:axId val="988029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88030112"/>
        <c:crosses val="autoZero"/>
        <c:auto val="1"/>
        <c:lblAlgn val="ctr"/>
        <c:lblOffset val="100"/>
        <c:noMultiLvlLbl val="0"/>
      </c:catAx>
      <c:valAx>
        <c:axId val="988030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88029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[data.xlsx]table!Tableau croisé dynamique9</c:name>
    <c:fmtId val="8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0.##0;\-0.##0" sourceLinked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0.##0;\-0.##0" sourceLinked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0.##0;\-0.##0" sourceLinked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0.##0;\-0.##0" sourceLinked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0.##0;\-0.##0" sourceLinked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0.##0;\-0.##0" sourceLinked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0.##0;\-0.##0" sourceLinked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0.##0;\-0.##0" sourceLinked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0.##0;\-0.##0" sourceLinked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 w="25400">
          <a:noFill/>
        </a:ln>
        <a:effectLst/>
        <a:sp3d/>
      </c:spPr>
    </c:sideWall>
    <c:backWall>
      <c:thickness val="0"/>
      <c:spPr>
        <a:noFill/>
        <a:ln w="25400"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table!$B$119</c:f>
              <c:strCache>
                <c:ptCount val="1"/>
                <c:pt idx="0">
                  <c:v>Importation déclarée par les pays partenaires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numFmt formatCode="0.##0;\-0.##0" sourceLinked="0"/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table!$A$120:$A$121</c:f>
              <c:strCache>
                <c:ptCount val="1"/>
                <c:pt idx="0">
                  <c:v>2020</c:v>
                </c:pt>
              </c:strCache>
            </c:strRef>
          </c:cat>
          <c:val>
            <c:numRef>
              <c:f>table!$B$120:$B$121</c:f>
              <c:numCache>
                <c:formatCode>General</c:formatCode>
                <c:ptCount val="1"/>
                <c:pt idx="0">
                  <c:v>24.897390000000001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B0-4479-9733-CDAD7BCBD4FB}"/>
            </c:ext>
          </c:extLst>
        </c:ser>
        <c:ser>
          <c:idx val="1"/>
          <c:order val="1"/>
          <c:tx>
            <c:strRef>
              <c:f>table!$C$119</c:f>
              <c:strCache>
                <c:ptCount val="1"/>
                <c:pt idx="0">
                  <c:v>Exportation déclarée par le Sénégal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numFmt formatCode="0.##0;\-0.##0" sourceLinked="0"/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table!$A$120:$A$121</c:f>
              <c:strCache>
                <c:ptCount val="1"/>
                <c:pt idx="0">
                  <c:v>2020</c:v>
                </c:pt>
              </c:strCache>
            </c:strRef>
          </c:cat>
          <c:val>
            <c:numRef>
              <c:f>table!$C$120:$C$121</c:f>
              <c:numCache>
                <c:formatCode>General</c:formatCode>
                <c:ptCount val="1"/>
                <c:pt idx="0">
                  <c:v>12.354299666415248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B0-4479-9733-CDAD7BCBD4FB}"/>
            </c:ext>
          </c:extLst>
        </c:ser>
        <c:ser>
          <c:idx val="2"/>
          <c:order val="2"/>
          <c:tx>
            <c:strRef>
              <c:f>table!$D$119</c:f>
              <c:strCache>
                <c:ptCount val="1"/>
                <c:pt idx="0">
                  <c:v>Ecart entre les déclarations (EMAPE non déclarée)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dLbls>
            <c:numFmt formatCode="0.##0;\-0.##0" sourceLinked="0"/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table!$A$120:$A$121</c:f>
              <c:strCache>
                <c:ptCount val="1"/>
                <c:pt idx="0">
                  <c:v>2020</c:v>
                </c:pt>
              </c:strCache>
            </c:strRef>
          </c:cat>
          <c:val>
            <c:numRef>
              <c:f>table!$D$120:$D$121</c:f>
              <c:numCache>
                <c:formatCode>General</c:formatCode>
                <c:ptCount val="1"/>
                <c:pt idx="0">
                  <c:v>12.54309033358475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CB0-4479-9733-CDAD7BCBD4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88029152"/>
        <c:axId val="988030112"/>
        <c:axId val="0"/>
      </c:bar3DChart>
      <c:catAx>
        <c:axId val="988029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88030112"/>
        <c:crosses val="autoZero"/>
        <c:auto val="1"/>
        <c:lblAlgn val="ctr"/>
        <c:lblOffset val="100"/>
        <c:noMultiLvlLbl val="0"/>
      </c:catAx>
      <c:valAx>
        <c:axId val="988030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88029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[data.xlsx]table!Tableau croisé dynamique2</c:name>
    <c:fmtId val="6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table!$B$3</c:f>
              <c:strCache>
                <c:ptCount val="1"/>
                <c:pt idx="0">
                  <c:v>Importation déclarée par les pays partenaires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table!$A$4:$A$9</c:f>
              <c:strCach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strCache>
            </c:strRef>
          </c:cat>
          <c:val>
            <c:numRef>
              <c:f>table!$B$4:$B$9</c:f>
              <c:numCache>
                <c:formatCode>General</c:formatCode>
                <c:ptCount val="5"/>
                <c:pt idx="0">
                  <c:v>24.897390000000005</c:v>
                </c:pt>
                <c:pt idx="1">
                  <c:v>20.127113000000001</c:v>
                </c:pt>
                <c:pt idx="2">
                  <c:v>18.989317</c:v>
                </c:pt>
                <c:pt idx="3">
                  <c:v>18.447341999999999</c:v>
                </c:pt>
                <c:pt idx="4">
                  <c:v>11.188336999999999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4F-42D7-B78B-3869DAD45945}"/>
            </c:ext>
          </c:extLst>
        </c:ser>
        <c:ser>
          <c:idx val="1"/>
          <c:order val="1"/>
          <c:tx>
            <c:strRef>
              <c:f>table!$C$3</c:f>
              <c:strCache>
                <c:ptCount val="1"/>
                <c:pt idx="0">
                  <c:v>Exportation déclarée par le Sénégal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table!$A$4:$A$9</c:f>
              <c:strCach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strCache>
            </c:strRef>
          </c:cat>
          <c:val>
            <c:numRef>
              <c:f>table!$C$4:$C$9</c:f>
              <c:numCache>
                <c:formatCode>General</c:formatCode>
                <c:ptCount val="5"/>
                <c:pt idx="0">
                  <c:v>12.354299666415248</c:v>
                </c:pt>
                <c:pt idx="1">
                  <c:v>15.873222242093886</c:v>
                </c:pt>
                <c:pt idx="2">
                  <c:v>16.371563062136971</c:v>
                </c:pt>
                <c:pt idx="3">
                  <c:v>12.959168915188604</c:v>
                </c:pt>
                <c:pt idx="4">
                  <c:v>10.669797749663696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54F-42D7-B78B-3869DAD45945}"/>
            </c:ext>
          </c:extLst>
        </c:ser>
        <c:ser>
          <c:idx val="2"/>
          <c:order val="2"/>
          <c:tx>
            <c:strRef>
              <c:f>table!$D$3</c:f>
              <c:strCache>
                <c:ptCount val="1"/>
                <c:pt idx="0">
                  <c:v>Ecart entre les déclarations (EMAPE non déclarée)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table!$A$4:$A$9</c:f>
              <c:strCach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strCache>
            </c:strRef>
          </c:cat>
          <c:val>
            <c:numRef>
              <c:f>table!$D$4:$D$9</c:f>
              <c:numCache>
                <c:formatCode>General</c:formatCode>
                <c:ptCount val="5"/>
                <c:pt idx="0">
                  <c:v>12.543090333584752</c:v>
                </c:pt>
                <c:pt idx="1">
                  <c:v>4.2538907579061132</c:v>
                </c:pt>
                <c:pt idx="2">
                  <c:v>2.6177539378630303</c:v>
                </c:pt>
                <c:pt idx="3">
                  <c:v>5.4881730848113968</c:v>
                </c:pt>
                <c:pt idx="4">
                  <c:v>0.51853925033630488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54F-42D7-B78B-3869DAD459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22260160"/>
        <c:axId val="922261600"/>
      </c:lineChart>
      <c:catAx>
        <c:axId val="922260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22261600"/>
        <c:crosses val="autoZero"/>
        <c:auto val="1"/>
        <c:lblAlgn val="ctr"/>
        <c:lblOffset val="100"/>
        <c:noMultiLvlLbl val="0"/>
      </c:catAx>
      <c:valAx>
        <c:axId val="922261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22260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Prix à</a:t>
            </a:r>
            <a:r>
              <a:rPr lang="en-US" baseline="0"/>
              <a:t> la tonne</a:t>
            </a:r>
            <a:r>
              <a:rPr lang="en-US"/>
              <a:t> production or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'Or vf (2)'!$F$2</c:f>
              <c:strCache>
                <c:ptCount val="1"/>
                <c:pt idx="0">
                  <c:v>Pu/T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 prstMaterial="metal"/>
          </c:spPr>
          <c:invertIfNegative val="0"/>
          <c:dLbls>
            <c:delete val="1"/>
          </c:dLbls>
          <c:cat>
            <c:multiLvlStrRef>
              <c:f>'Or vf (2)'!$B$3:$C$10</c:f>
              <c:multiLvlStrCache>
                <c:ptCount val="8"/>
                <c:lvl>
                  <c:pt idx="0">
                    <c:v>2017</c:v>
                  </c:pt>
                  <c:pt idx="1">
                    <c:v>2018</c:v>
                  </c:pt>
                  <c:pt idx="2">
                    <c:v>2019</c:v>
                  </c:pt>
                  <c:pt idx="3">
                    <c:v>2020</c:v>
                  </c:pt>
                  <c:pt idx="4">
                    <c:v>2021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2024</c:v>
                  </c:pt>
                </c:lvl>
                <c:lvl>
                  <c:pt idx="0">
                    <c:v> SGO </c:v>
                  </c:pt>
                  <c:pt idx="1">
                    <c:v> SGO </c:v>
                  </c:pt>
                  <c:pt idx="2">
                    <c:v> SGO </c:v>
                  </c:pt>
                  <c:pt idx="3">
                    <c:v> SGO </c:v>
                  </c:pt>
                  <c:pt idx="4">
                    <c:v> SGO </c:v>
                  </c:pt>
                  <c:pt idx="5">
                    <c:v> SGO </c:v>
                  </c:pt>
                  <c:pt idx="6">
                    <c:v> SGO </c:v>
                  </c:pt>
                  <c:pt idx="7">
                    <c:v> SGO </c:v>
                  </c:pt>
                </c:lvl>
              </c:multiLvlStrCache>
            </c:multiLvlStrRef>
          </c:cat>
          <c:val>
            <c:numRef>
              <c:f>'Or vf (2)'!$F$3:$F$10</c:f>
              <c:numCache>
                <c:formatCode>_-* #\ ##0\ _C_F_A_-;\-* #\ ##0\ _C_F_A_-;_-* "-"\ _C_F_A_-;_-@_-</c:formatCode>
                <c:ptCount val="8"/>
                <c:pt idx="0">
                  <c:v>23461612286.722725</c:v>
                </c:pt>
                <c:pt idx="1">
                  <c:v>24930824052.812859</c:v>
                </c:pt>
                <c:pt idx="2">
                  <c:v>28313652042.360058</c:v>
                </c:pt>
                <c:pt idx="3">
                  <c:v>32904149298.673294</c:v>
                </c:pt>
                <c:pt idx="4">
                  <c:v>32133149917.763157</c:v>
                </c:pt>
                <c:pt idx="5">
                  <c:v>36050202479.338844</c:v>
                </c:pt>
                <c:pt idx="6">
                  <c:v>38348631181.619255</c:v>
                </c:pt>
                <c:pt idx="7">
                  <c:v>46991258896.551727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FF-4BAA-8AAA-ACE177EC1FC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41759055"/>
        <c:axId val="641761135"/>
      </c:barChart>
      <c:catAx>
        <c:axId val="641759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41761135"/>
        <c:crosses val="autoZero"/>
        <c:auto val="1"/>
        <c:lblAlgn val="ctr"/>
        <c:lblOffset val="100"/>
        <c:noMultiLvlLbl val="0"/>
      </c:catAx>
      <c:valAx>
        <c:axId val="641761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\ _C_F_A_-;\-* #\ ##0\ _C_F_A_-;_-* &quot;-&quot;\ _C_F_A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417590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Prix</a:t>
            </a:r>
            <a:r>
              <a:rPr lang="en-US" baseline="0"/>
              <a:t> à la tonne production or </a:t>
            </a:r>
            <a:endParaRPr lang="en-US"/>
          </a:p>
        </c:rich>
      </c:tx>
      <c:layout>
        <c:manualLayout>
          <c:xMode val="edge"/>
          <c:yMode val="edge"/>
          <c:x val="0.30040966754155729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'Or vf (2)'!$F$22</c:f>
              <c:strCache>
                <c:ptCount val="1"/>
                <c:pt idx="0">
                  <c:v>Pu/T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'Or vf (2)'!$D$23:$E$29</c:f>
              <c:multiLvlStrCache>
                <c:ptCount val="7"/>
                <c:lvl>
                  <c:pt idx="0">
                    <c:v>2018</c:v>
                  </c:pt>
                  <c:pt idx="1">
                    <c:v>2019</c:v>
                  </c:pt>
                  <c:pt idx="2">
                    <c:v>2020</c:v>
                  </c:pt>
                  <c:pt idx="3">
                    <c:v>2021</c:v>
                  </c:pt>
                  <c:pt idx="4">
                    <c:v>2022</c:v>
                  </c:pt>
                  <c:pt idx="5">
                    <c:v>2023</c:v>
                  </c:pt>
                  <c:pt idx="6">
                    <c:v>2024</c:v>
                  </c:pt>
                </c:lvl>
                <c:lvl>
                  <c:pt idx="0">
                    <c:v> PMC </c:v>
                  </c:pt>
                  <c:pt idx="1">
                    <c:v> PMC </c:v>
                  </c:pt>
                  <c:pt idx="2">
                    <c:v> PMC </c:v>
                  </c:pt>
                  <c:pt idx="3">
                    <c:v> PMC </c:v>
                  </c:pt>
                  <c:pt idx="4">
                    <c:v> PMC </c:v>
                  </c:pt>
                  <c:pt idx="5">
                    <c:v> PMC </c:v>
                  </c:pt>
                  <c:pt idx="6">
                    <c:v> PMC </c:v>
                  </c:pt>
                </c:lvl>
              </c:multiLvlStrCache>
            </c:multiLvlStrRef>
          </c:cat>
          <c:val>
            <c:numRef>
              <c:f>'Or vf (2)'!$F$23:$F$29</c:f>
              <c:numCache>
                <c:formatCode>_-* #\ ##0\ _C_F_A_-;\-* #\ ##0\ _C_F_A_-;_-* "-"\ _C_F_A_-;_-@_-</c:formatCode>
                <c:ptCount val="7"/>
                <c:pt idx="0">
                  <c:v>22503083108.715183</c:v>
                </c:pt>
                <c:pt idx="1">
                  <c:v>26207383363.28981</c:v>
                </c:pt>
                <c:pt idx="2">
                  <c:v>29511704762.008732</c:v>
                </c:pt>
                <c:pt idx="3">
                  <c:v>30893575059.471642</c:v>
                </c:pt>
                <c:pt idx="4">
                  <c:v>36672928044.361702</c:v>
                </c:pt>
                <c:pt idx="5">
                  <c:v>37920333744.363014</c:v>
                </c:pt>
                <c:pt idx="6">
                  <c:v>46397152320.679588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2B-4AF2-B63C-E39F13F345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1752815"/>
        <c:axId val="641747823"/>
      </c:barChart>
      <c:catAx>
        <c:axId val="641752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41747823"/>
        <c:crosses val="autoZero"/>
        <c:auto val="1"/>
        <c:lblAlgn val="ctr"/>
        <c:lblOffset val="100"/>
        <c:noMultiLvlLbl val="0"/>
      </c:catAx>
      <c:valAx>
        <c:axId val="641747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\ _C_F_A_-;\-* #\ ##0\ _C_F_A_-;_-* &quot;-&quot;\ _C_F_A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417528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69850</xdr:colOff>
      <xdr:row>10</xdr:row>
      <xdr:rowOff>92075</xdr:rowOff>
    </xdr:from>
    <xdr:to>
      <xdr:col>3</xdr:col>
      <xdr:colOff>647700</xdr:colOff>
      <xdr:row>25</xdr:row>
      <xdr:rowOff>73025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7B6F7850-B451-4B71-A434-A32C8CCBC5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114300</xdr:colOff>
      <xdr:row>35</xdr:row>
      <xdr:rowOff>12700</xdr:rowOff>
    </xdr:from>
    <xdr:to>
      <xdr:col>2</xdr:col>
      <xdr:colOff>571500</xdr:colOff>
      <xdr:row>50</xdr:row>
      <xdr:rowOff>53975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4379C26B-B150-4985-97B2-158910EF14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231775</xdr:colOff>
      <xdr:row>55</xdr:row>
      <xdr:rowOff>142875</xdr:rowOff>
    </xdr:from>
    <xdr:to>
      <xdr:col>2</xdr:col>
      <xdr:colOff>688975</xdr:colOff>
      <xdr:row>70</xdr:row>
      <xdr:rowOff>123825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397F35D9-DCD5-9A7E-3083-D214995AA6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606425</xdr:colOff>
      <xdr:row>76</xdr:row>
      <xdr:rowOff>133350</xdr:rowOff>
    </xdr:from>
    <xdr:to>
      <xdr:col>2</xdr:col>
      <xdr:colOff>1063625</xdr:colOff>
      <xdr:row>94</xdr:row>
      <xdr:rowOff>63500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EAE5A6C5-3709-9035-40F1-DEB5F4F212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549275</xdr:colOff>
      <xdr:row>99</xdr:row>
      <xdr:rowOff>88900</xdr:rowOff>
    </xdr:from>
    <xdr:to>
      <xdr:col>3</xdr:col>
      <xdr:colOff>238125</xdr:colOff>
      <xdr:row>117</xdr:row>
      <xdr:rowOff>38100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DD69C988-9461-4570-4930-39AA5E948E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549275</xdr:colOff>
      <xdr:row>121</xdr:row>
      <xdr:rowOff>117475</xdr:rowOff>
    </xdr:from>
    <xdr:to>
      <xdr:col>3</xdr:col>
      <xdr:colOff>238125</xdr:colOff>
      <xdr:row>136</xdr:row>
      <xdr:rowOff>98425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E0E36CC4-D001-2A7B-B695-A74EB21CA1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1203325</xdr:colOff>
      <xdr:row>9</xdr:row>
      <xdr:rowOff>174625</xdr:rowOff>
    </xdr:from>
    <xdr:to>
      <xdr:col>9</xdr:col>
      <xdr:colOff>34925</xdr:colOff>
      <xdr:row>24</xdr:row>
      <xdr:rowOff>155575</xdr:rowOff>
    </xdr:to>
    <xdr:graphicFrame macro="">
      <xdr:nvGraphicFramePr>
        <xdr:cNvPr id="8" name="Graphique 7">
          <a:extLst>
            <a:ext uri="{FF2B5EF4-FFF2-40B4-BE49-F238E27FC236}">
              <a16:creationId xmlns:a16="http://schemas.microsoft.com/office/drawing/2014/main" id="{8FC267FF-A3B2-B471-3E3E-E750D3EA42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68</xdr:col>
      <xdr:colOff>733425</xdr:colOff>
      <xdr:row>69</xdr:row>
      <xdr:rowOff>133350</xdr:rowOff>
    </xdr:from>
    <xdr:to>
      <xdr:col>71</xdr:col>
      <xdr:colOff>276225</xdr:colOff>
      <xdr:row>82</xdr:row>
      <xdr:rowOff>57150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" name="refYear 1">
              <a:extLst>
                <a:ext uri="{FF2B5EF4-FFF2-40B4-BE49-F238E27FC236}">
                  <a16:creationId xmlns:a16="http://schemas.microsoft.com/office/drawing/2014/main" id="{BAFDF423-8D5A-405C-A84A-735B426F5E1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fYear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590525" y="733425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 de table. Les segments de table ne sont pas pris en charge dans cette version d’Excel.
En revanche, si la forme a été modifiée dans une version antérieure d’Excel, ou si le classeur a été enregistré dans Excel 2007 ou une version antérieure, vous ne pouvez pas utiliser le segment.</a:t>
              </a:r>
            </a:p>
          </xdr:txBody>
        </xdr:sp>
      </mc:Fallback>
    </mc:AlternateContent>
    <xdr:clientData/>
  </xdr:twoCellAnchor>
  <xdr:twoCellAnchor editAs="absolute">
    <xdr:from>
      <xdr:col>64</xdr:col>
      <xdr:colOff>133350</xdr:colOff>
      <xdr:row>72</xdr:row>
      <xdr:rowOff>85725</xdr:rowOff>
    </xdr:from>
    <xdr:to>
      <xdr:col>66</xdr:col>
      <xdr:colOff>228600</xdr:colOff>
      <xdr:row>85</xdr:row>
      <xdr:rowOff>9525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3" name="reporterDesc 1">
              <a:extLst>
                <a:ext uri="{FF2B5EF4-FFF2-40B4-BE49-F238E27FC236}">
                  <a16:creationId xmlns:a16="http://schemas.microsoft.com/office/drawing/2014/main" id="{0A28B48E-EFD0-42BA-9D9E-5798A07C3D3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porterDesc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2732900" y="788670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 de table. Les segments de table ne sont pas pris en charge dans cette version d’Excel.
En revanche, si la forme a été modifiée dans une version antérieure d’Excel, ou si le classeur a été enregistré dans Excel 2007 ou une version antérieure, vous ne pouvez pas utiliser le segment.</a:t>
              </a:r>
            </a:p>
          </xdr:txBody>
        </xdr:sp>
      </mc:Fallback>
    </mc:AlternateContent>
    <xdr:clientData/>
  </xdr:twoCellAnchor>
  <xdr:twoCellAnchor editAs="absolute">
    <xdr:from>
      <xdr:col>66</xdr:col>
      <xdr:colOff>742950</xdr:colOff>
      <xdr:row>72</xdr:row>
      <xdr:rowOff>85725</xdr:rowOff>
    </xdr:from>
    <xdr:to>
      <xdr:col>69</xdr:col>
      <xdr:colOff>285750</xdr:colOff>
      <xdr:row>85</xdr:row>
      <xdr:rowOff>9525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4" name="partnerDesc 1">
              <a:extLst>
                <a:ext uri="{FF2B5EF4-FFF2-40B4-BE49-F238E27FC236}">
                  <a16:creationId xmlns:a16="http://schemas.microsoft.com/office/drawing/2014/main" id="{22988576-5D33-4825-A217-8046A938551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artnerDesc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5076050" y="788670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 de table. Les segments de table ne sont pas pris en charge dans cette version d’Excel.
En revanche, si la forme a été modifiée dans une version antérieure d’Excel, ou si le classeur a été enregistré dans Excel 2007 ou une version antérieure, vous ne pouvez pas utiliser le segment.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0</xdr:colOff>
      <xdr:row>14</xdr:row>
      <xdr:rowOff>76200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5C876E7-A705-43FA-86B7-D4C404B103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276225</xdr:colOff>
      <xdr:row>0</xdr:row>
      <xdr:rowOff>47625</xdr:rowOff>
    </xdr:from>
    <xdr:to>
      <xdr:col>12</xdr:col>
      <xdr:colOff>276225</xdr:colOff>
      <xdr:row>14</xdr:row>
      <xdr:rowOff>123825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3E5FB667-E27A-4DBD-B955-623EB559DC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P/Downloads/Senegal-2018_eiti_summary_data_template_2.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duction"/>
      <sheetName val="Partie 1 - Présentation"/>
      <sheetName val="Partie 2 - Liste de pointage"/>
      <sheetName val="Partie 3 - Entités déclarantes"/>
      <sheetName val="Partie 4 - Recettes de l’État"/>
      <sheetName val="Partie 5 - Données d’entreprise"/>
      <sheetName val="Listes"/>
      <sheetName val="Senegal-2018_eiti_summary_data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Bmd/Documents/ISE/Cours/ISE3/Stage%20ITIE/Analyse%20miroir/data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Bmd/Documents/ISE/Cours/ISE3/Stage%20ITIE/Analyse%20miroir/mes_bases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e rachid traore" refreshedDate="46148.439122337964" createdVersion="7" refreshedVersion="7" minRefreshableVersion="3" recordCount="15" xr:uid="{1DCCE263-72FF-4FCD-A90E-5E80F31C7A4D}">
  <cacheSource type="worksheet">
    <worksheetSource ref="B2:BS17" sheet="DATA_2" r:id="rId2"/>
  </cacheSource>
  <cacheFields count="70">
    <cacheField name="Société" numFmtId="166">
      <sharedItems/>
    </cacheField>
    <cacheField name="Exercice" numFmtId="0">
      <sharedItems containsSemiMixedTypes="0" containsString="0" containsNumber="1" containsInteger="1" minValue="2017" maxValue="2024" count="8">
        <n v="2017"/>
        <n v="2018"/>
        <n v="2019"/>
        <n v="2020"/>
        <n v="2021"/>
        <n v="2022"/>
        <n v="2023"/>
        <n v="2024"/>
      </sharedItems>
    </cacheField>
    <cacheField name="Production vendue (Tonne)" numFmtId="166">
      <sharedItems containsSemiMixedTypes="0" containsString="0" containsNumber="1" minValue="3.7307999999999999" maxValue="12.16"/>
    </cacheField>
    <cacheField name="Valeur marchande (FCFA)" numFmtId="167">
      <sharedItems containsSemiMixedTypes="0" containsString="0" containsNumber="1" minValue="100183726000" maxValue="392586705000"/>
    </cacheField>
    <cacheField name="Pu/T" numFmtId="167">
      <sharedItems containsSemiMixedTypes="0" containsString="0" containsNumber="1" minValue="22503083108.715183" maxValue="46991258896.551727"/>
    </cacheField>
    <cacheField name="Charges supportées (FCFA)" numFmtId="167">
      <sharedItems containsNonDate="0" containsString="0" containsBlank="1"/>
    </cacheField>
    <cacheField name="Redevance minière (FCFA)" numFmtId="167">
      <sharedItems containsSemiMixedTypes="0" containsString="0" containsNumber="1" minValue="5008589699" maxValue="19583213628.882149"/>
    </cacheField>
    <cacheField name="Frais supportés (FCFA) (Frais de traitement et transport)" numFmtId="167">
      <sharedItems containsMixedTypes="1" containsNumber="1" minValue="11932020" maxValue="1304700722.6600001"/>
    </cacheField>
    <cacheField name="Redevance minière " numFmtId="167">
      <sharedItems containsSemiMixedTypes="0" containsString="0" containsNumber="1" containsInteger="1" minValue="2479808997" maxValue="19563971740"/>
    </cacheField>
    <cacheField name="Appui institutionnel/DGMG" numFmtId="167">
      <sharedItems containsString="0" containsBlank="1" containsNumber="1" minValue="0" maxValue="760258440"/>
    </cacheField>
    <cacheField name="Droits d'entrée fixes" numFmtId="167">
      <sharedItems containsString="0" containsBlank="1" containsNumber="1" containsInteger="1" minValue="1000000" maxValue="10000000"/>
    </cacheField>
    <cacheField name="Bonus (DMG)" numFmtId="167">
      <sharedItems containsNonDate="0" containsString="0" containsBlank="1"/>
    </cacheField>
    <cacheField name="Redevance superficiaire/DGMG" numFmtId="167">
      <sharedItems containsString="0" containsBlank="1" containsNumber="1" containsInteger="1" minValue="81430000" maxValue="339510000"/>
    </cacheField>
    <cacheField name="DGCPT" numFmtId="167">
      <sharedItems containsNonDate="0" containsString="0" containsBlank="1"/>
    </cacheField>
    <cacheField name="Revenus issus de la commercialisation de la Part de la production de l'État " numFmtId="167">
      <sharedItems containsNonDate="0" containsString="0" containsBlank="1"/>
    </cacheField>
    <cacheField name="Patente (DGCPT)" numFmtId="167">
      <sharedItems containsString="0" containsBlank="1" containsNumber="1" containsInteger="1" minValue="700210162" maxValue="5156057429"/>
    </cacheField>
    <cacheField name="Contribution foncière des propriétés bâties (CFPB)" numFmtId="167">
      <sharedItems containsNonDate="0" containsString="0" containsBlank="1"/>
    </cacheField>
    <cacheField name="Contribution foncière des propriétés non bâties (CFPNB)" numFmtId="0">
      <sharedItems containsNonDate="0" containsString="0" containsBlank="1"/>
    </cacheField>
    <cacheField name="Appui institutionnel aux collectivités locales " numFmtId="0">
      <sharedItems containsNonDate="0" containsString="0" containsBlank="1"/>
    </cacheField>
    <cacheField name="Impôt du minimum fiscal " numFmtId="0">
      <sharedItems containsNonDate="0" containsString="0" containsBlank="1"/>
    </cacheField>
    <cacheField name="Dividendes versés à l'Etat (DGCPT)" numFmtId="43">
      <sharedItems containsString="0" containsBlank="1" containsNumber="1" containsInteger="1" minValue="872000000" maxValue="13745906089"/>
    </cacheField>
    <cacheField name="Frais d'inscription d'une concession minière ou d'un permis d'exploitation" numFmtId="43">
      <sharedItems containsNonDate="0" containsString="0" containsBlank="1"/>
    </cacheField>
    <cacheField name="Bonus (DGCPT)" numFmtId="43">
      <sharedItems containsString="0" containsBlank="1" containsNumber="1" containsInteger="1" minValue="8943645000" maxValue="8943645000"/>
    </cacheField>
    <cacheField name="Contribution économique locale (CEL VA et CEL VL) " numFmtId="43">
      <sharedItems containsNonDate="0" containsString="0" containsBlank="1"/>
    </cacheField>
    <cacheField name="DGID" numFmtId="43">
      <sharedItems containsNonDate="0" containsString="0" containsBlank="1"/>
    </cacheField>
    <cacheField name="Taxe sur la valeur ajoutée reversée" numFmtId="43">
      <sharedItems containsString="0" containsBlank="1" containsNumber="1" containsInteger="1" minValue="782693" maxValue="3552753938"/>
    </cacheField>
    <cacheField name="Retenues à la source sur salaires (IR, TRIMF et CFCE)" numFmtId="43">
      <sharedItems containsSemiMixedTypes="0" containsString="0" containsNumber="1" containsInteger="1" minValue="1017412247" maxValue="7765358367"/>
    </cacheField>
    <cacheField name="Redressements fiscaux" numFmtId="43">
      <sharedItems containsString="0" containsBlank="1" containsNumber="1" containsInteger="1" minValue="300000" maxValue="14165870891"/>
    </cacheField>
    <cacheField name="Impôt sur les sociétés (DGID)" numFmtId="43">
      <sharedItems containsString="0" containsBlank="1" containsNumber="1" containsInteger="1" minValue="2417260000" maxValue="56031664385"/>
    </cacheField>
    <cacheField name="Impôt sur les sociétés (bénéfices non pétroliers/miniers )" numFmtId="43">
      <sharedItems containsString="0" containsBlank="1" containsNumber="1" containsInteger="1" minValue="7298587337" maxValue="8753036627"/>
    </cacheField>
    <cacheField name="Retenues à la source sur bénéfice non commercial" numFmtId="43">
      <sharedItems containsSemiMixedTypes="0" containsString="0" containsNumber="1" containsInteger="1" minValue="139425849" maxValue="2798450495"/>
    </cacheField>
    <cacheField name="Contribution spéciale sur les produits des mines et des carrières (CSMC)" numFmtId="43">
      <sharedItems containsNonDate="0" containsString="0" containsBlank="1"/>
    </cacheField>
    <cacheField name="Retenue à la source sur sommes versées à des tiers" numFmtId="43">
      <sharedItems containsSemiMixedTypes="0" containsString="0" containsNumber="1" containsInteger="1" minValue="1358135" maxValue="355809766"/>
    </cacheField>
    <cacheField name="Taxe sur la valeur ajoutée précomptée" numFmtId="43">
      <sharedItems containsString="0" containsBlank="1" containsNumber="1" containsInteger="1" minValue="189710162" maxValue="189710162"/>
    </cacheField>
    <cacheField name="Impôt minimum forfaitaire" numFmtId="43">
      <sharedItems containsNonDate="0" containsString="0" containsBlank="1"/>
    </cacheField>
    <cacheField name="Bonus (DGID)" numFmtId="43">
      <sharedItems containsNonDate="0" containsString="0" containsBlank="1"/>
    </cacheField>
    <cacheField name="Surtaxe foncière " numFmtId="43">
      <sharedItems containsNonDate="0" containsString="0" containsBlank="1"/>
    </cacheField>
    <cacheField name="Impôt sur le revenu des valeurs mobilières" numFmtId="43">
      <sharedItems containsSemiMixedTypes="0" containsString="0" containsNumber="1" containsInteger="1" minValue="2492341" maxValue="19512723643"/>
    </cacheField>
    <cacheField name="Frais d'inscription d'une concession minière ou d'un permis d'exploitation " numFmtId="43">
      <sharedItems containsString="0" containsBlank="1" containsNumber="1" containsInteger="1" minValue="342009500" maxValue="342009500"/>
    </cacheField>
    <cacheField name="DGD" numFmtId="43">
      <sharedItems containsNonDate="0" containsString="0" containsBlank="1"/>
    </cacheField>
    <cacheField name="Taxe sur la valeur ajoutée (DGD)" numFmtId="43">
      <sharedItems containsString="0" containsBlank="1" containsNumber="1" containsInteger="1" minValue="5811395" maxValue="12479862303"/>
    </cacheField>
    <cacheField name="Prélèvement communautaire solidaire UEMOA " numFmtId="43">
      <sharedItems containsString="0" containsBlank="1" containsNumber="1" containsInteger="1" minValue="46802333" maxValue="128405812"/>
    </cacheField>
    <cacheField name="Redevance statistique UEMOA" numFmtId="43">
      <sharedItems containsString="0" containsBlank="1" containsNumber="1" containsInteger="1" minValue="58501550" maxValue="160501755"/>
    </cacheField>
    <cacheField name="Droits de douane" numFmtId="43">
      <sharedItems containsString="0" containsBlank="1" containsNumber="1" containsInteger="1" minValue="3788630" maxValue="14790586394"/>
    </cacheField>
    <cacheField name="Prélèvement communautaire CEDEAO " numFmtId="43">
      <sharedItems containsString="0" containsBlank="1" containsNumber="1" containsInteger="1" minValue="29242348" maxValue="304667880"/>
    </cacheField>
    <cacheField name="Prélèvement pour le Conseil Sénégalais des Chargeurs (COSEC) " numFmtId="43">
      <sharedItems containsString="0" containsBlank="1" containsNumber="1" containsInteger="1" minValue="237106" maxValue="60533931"/>
    </cacheField>
    <cacheField name="Taxe d'enregistrement des véhicules " numFmtId="43">
      <sharedItems containsString="0" containsBlank="1" containsNumber="1" containsInteger="1" minValue="124975" maxValue="39601445"/>
    </cacheField>
    <cacheField name="Prélèvement PROMAD" numFmtId="43">
      <sharedItems containsString="0" containsBlank="1" containsNumber="1" containsInteger="1" minValue="3131508" maxValue="197604113"/>
    </cacheField>
    <cacheField name="Amendes, pénalités et redressements douaniers" numFmtId="43">
      <sharedItems containsString="0" containsBlank="1" containsNumber="1" containsInteger="1" minValue="306905" maxValue="8101133842"/>
    </cacheField>
    <cacheField name="DEEC" numFmtId="43">
      <sharedItems containsNonDate="0" containsString="0" containsBlank="1"/>
    </cacheField>
    <cacheField name="Taxe superficiaire (DEEC)" numFmtId="43">
      <sharedItems containsString="0" containsBlank="1" containsNumber="1" containsInteger="1" minValue="9736200" maxValue="1200349100"/>
    </cacheField>
    <cacheField name="Taxe à la pollution" numFmtId="43">
      <sharedItems containsNonDate="0" containsString="0" containsBlank="1"/>
    </cacheField>
    <cacheField name="Appui Institutionnel (DEEC) " numFmtId="43">
      <sharedItems containsString="0" containsBlank="1" containsNumber="1" containsInteger="1" minValue="272585030" maxValue="272585030"/>
    </cacheField>
    <cacheField name="DEFCCS" numFmtId="43">
      <sharedItems containsNonDate="0" containsString="0" containsBlank="1"/>
    </cacheField>
    <cacheField name="Taxes d'abattage" numFmtId="43">
      <sharedItems containsString="0" containsBlank="1" containsNumber="1" containsInteger="1" minValue="2539000" maxValue="2539000"/>
    </cacheField>
    <cacheField name="Appui Institutionnel (Fonds d'appui au Mini. De l'Env) " numFmtId="43">
      <sharedItems containsString="0" containsBlank="1" containsNumber="1" containsInteger="1" minValue="88454020" maxValue="278981251"/>
    </cacheField>
    <cacheField name="CSS" numFmtId="43">
      <sharedItems containsNonDate="0" containsString="0" containsBlank="1"/>
    </cacheField>
    <cacheField name="Cotisations sociales (y compris les pénalités) " numFmtId="43">
      <sharedItems containsSemiMixedTypes="0" containsString="0" containsNumber="1" containsInteger="1" minValue="22099694" maxValue="109702542"/>
    </cacheField>
    <cacheField name="IPRES" numFmtId="43">
      <sharedItems containsNonDate="0" containsString="0" containsBlank="1"/>
    </cacheField>
    <cacheField name="Cotisations sociales (y compris les pénalités)(IPRES)" numFmtId="43">
      <sharedItems containsSemiMixedTypes="0" containsString="0" containsNumber="1" containsInteger="1" minValue="59159110" maxValue="1054051350"/>
    </cacheField>
    <cacheField name="CDC" numFmtId="43">
      <sharedItems containsNonDate="0" containsString="0" containsBlank="1"/>
    </cacheField>
    <cacheField name="Garanties données par les entreprises extractives " numFmtId="43">
      <sharedItems containsNonDate="0" containsString="0" containsBlank="1"/>
    </cacheField>
    <cacheField name="CNSCL" numFmtId="43">
      <sharedItems containsNonDate="0" containsString="0" containsBlank="1"/>
    </cacheField>
    <cacheField name="Paiements effectués aux fournisseurs locaux et étrangers" numFmtId="43">
      <sharedItems containsNonDate="0" containsString="0" containsBlank="1"/>
    </cacheField>
    <cacheField name="Autres" numFmtId="0">
      <sharedItems containsNonDate="0" containsString="0" containsBlank="1"/>
    </cacheField>
    <cacheField name="Autres flux de paiements significatifs (&gt; 25 millions de  FCFA) (reconciliables)" numFmtId="43">
      <sharedItems containsString="0" containsBlank="1" containsNumber="1" containsInteger="1" minValue="96210" maxValue="177051978"/>
    </cacheField>
    <cacheField name="Total" numFmtId="168">
      <sharedItems containsSemiMixedTypes="0" containsString="0" containsNumber="1" minValue="5356897360" maxValue="125600480515.20999"/>
    </cacheField>
    <cacheField name="Paiments totaux  annuels du secteur extractif" numFmtId="0">
      <sharedItems containsBlank="1" containsMixedTypes="1" containsNumber="1" minValue="147576129768" maxValue="380028721353.51093"/>
    </cacheField>
    <cacheField name="Total Revenues auriféres" numFmtId="0">
      <sharedItems containsString="0" containsBlank="1" containsNumber="1" minValue="24287028552.720001" maxValue="166559302911"/>
    </cacheField>
    <cacheField name="%Revenues auriféres" numFmtId="0">
      <sharedItems containsBlank="1" containsMixedTypes="1" containsNumber="1" minValue="0.2823215318324081" maxValue="0.7386586167565720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md" refreshedDate="46159.017749537037" createdVersion="8" refreshedVersion="8" minRefreshableVersion="3" recordCount="32" xr:uid="{1B091770-3C15-4069-B5BF-D9BD400EC7D9}">
  <cacheSource type="worksheet">
    <worksheetSource ref="A1:N33" sheet="data_merge" r:id="rId2"/>
  </cacheSource>
  <cacheFields count="14">
    <cacheField name="Opérateur" numFmtId="0">
      <sharedItems containsBlank="1" count="3">
        <s v="SGO"/>
        <s v="PMC"/>
        <m/>
      </sharedItems>
    </cacheField>
    <cacheField name="Projet" numFmtId="0">
      <sharedItems containsBlank="1"/>
    </cacheField>
    <cacheField name="Unité" numFmtId="0">
      <sharedItems/>
    </cacheField>
    <cacheField name="Poids_exp" numFmtId="0">
      <sharedItems containsSemiMixedTypes="0" containsString="0" containsNumber="1" minValue="0" maxValue="11.879753971524771"/>
    </cacheField>
    <cacheField name="Valeur_x000d__x000a_Total FCFA" numFmtId="0">
      <sharedItems containsString="0" containsBlank="1" containsNumber="1" containsInteger="1" minValue="8692666730" maxValue="381693870501"/>
    </cacheField>
    <cacheField name="Valeur_x000d__x000a_Total USD (**)" numFmtId="0">
      <sharedItems containsString="0" containsBlank="1" containsNumber="1" minValue="15125240.110200001" maxValue="687048966.90180004"/>
    </cacheField>
    <cacheField name="cours moyen annuel" numFmtId="0">
      <sharedItems containsString="0" containsBlank="1" containsNumber="1" minValue="1.61" maxValue="1.8"/>
    </cacheField>
    <cacheField name="Année" numFmtId="0">
      <sharedItems containsSemiMixedTypes="0" containsString="0" containsNumber="1" containsInteger="1" minValue="2020" maxValue="2024" count="5">
        <n v="2024"/>
        <n v="2023"/>
        <n v="2022"/>
        <n v="2021"/>
        <n v="2020"/>
      </sharedItems>
    </cacheField>
    <cacheField name="Pays" numFmtId="0">
      <sharedItems count="11">
        <s v="Suisse"/>
        <s v="Australie"/>
        <s v="Senegal"/>
        <s v="Sénégal"/>
        <s v="Chine"/>
        <s v="Italie"/>
        <s v="Thaïlande"/>
        <s v="Turquie"/>
        <s v="Mali"/>
        <s v="Émirats arabes unis"/>
        <s v="Espagne"/>
      </sharedItems>
    </cacheField>
    <cacheField name="Unite" numFmtId="0">
      <sharedItems/>
    </cacheField>
    <cacheField name="Poids_imp" numFmtId="0">
      <sharedItems containsSemiMixedTypes="0" containsString="0" containsNumber="1" minValue="0" maxValue="13.581" count="28">
        <n v="8.1029999999999998"/>
        <n v="3.0426289999999998"/>
        <n v="0"/>
        <n v="10.566000000000001"/>
        <n v="3.7972039999999998"/>
        <n v="12.081"/>
        <n v="3.6604030000000001"/>
        <n v="13.581"/>
        <n v="3.8843809999999999"/>
        <n v="9.5120000000000005"/>
        <n v="3.6344569999999998"/>
        <n v="1.0012E-2"/>
        <n v="1.0697E-2"/>
        <n v="0.02"/>
        <n v="1.9989999999999999E-3"/>
        <n v="2.8239E-2"/>
        <n v="6.6109999999999997E-3"/>
        <n v="4.01464"/>
        <n v="3.4648000000000012E-2"/>
        <n v="3.2393999999999999E-2"/>
        <n v="3.2155200000000002"/>
        <n v="2.7383999999999999E-2"/>
        <n v="9.9799999999999997E-4"/>
        <n v="2.6259000000000001"/>
        <n v="7.45E-3"/>
        <n v="7.7575999999999992E-2"/>
        <n v="2.1188699999999998"/>
        <n v="4.2486999999999997E-2"/>
      </sharedItems>
    </cacheField>
    <cacheField name="Valeur_CIF_USD" numFmtId="0">
      <sharedItems containsString="0" containsBlank="1" containsNumber="1" minValue="47763.417999999998" maxValue="710234464.13499999"/>
    </cacheField>
    <cacheField name="Valeur_USD" numFmtId="0">
      <sharedItems containsString="0" containsBlank="1" containsNumber="1" minValue="47763.417999999998" maxValue="710234464.13499999"/>
    </cacheField>
    <cacheField name="ecart" numFmtId="0">
      <sharedItems containsSemiMixedTypes="0" containsString="0" containsNumber="1" minValue="-3.7828977551068022" maxValue="8.191502033389578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s v="SGO"/>
    <x v="0"/>
    <n v="7.1873198399999998"/>
    <n v="168626111466.75"/>
    <n v="23461612286.722725"/>
    <m/>
    <n v="8410964582.4034996"/>
    <n v="406819818.68000001"/>
    <n v="2479808997"/>
    <n v="9100000"/>
    <m/>
    <m/>
    <m/>
    <m/>
    <m/>
    <m/>
    <m/>
    <m/>
    <m/>
    <m/>
    <m/>
    <m/>
    <m/>
    <m/>
    <m/>
    <n v="782693"/>
    <n v="2137933345"/>
    <m/>
    <m/>
    <m/>
    <n v="139425849"/>
    <m/>
    <n v="5783535"/>
    <m/>
    <m/>
    <m/>
    <m/>
    <n v="7557669"/>
    <m/>
    <m/>
    <m/>
    <m/>
    <m/>
    <n v="331647642"/>
    <m/>
    <m/>
    <m/>
    <m/>
    <m/>
    <m/>
    <n v="9736200"/>
    <m/>
    <m/>
    <m/>
    <m/>
    <m/>
    <m/>
    <n v="62695166"/>
    <m/>
    <n v="448178395"/>
    <m/>
    <m/>
    <m/>
    <m/>
    <m/>
    <m/>
    <n v="5632649491"/>
    <m/>
    <m/>
    <m/>
  </r>
  <r>
    <s v="SGO"/>
    <x v="1"/>
    <n v="6.968"/>
    <n v="173717982000"/>
    <n v="24930824052.812859"/>
    <m/>
    <n v="8662737321.3855"/>
    <n v="463235572.28999996"/>
    <n v="8910427032"/>
    <n v="362016085.72000003"/>
    <m/>
    <m/>
    <m/>
    <m/>
    <m/>
    <m/>
    <m/>
    <m/>
    <m/>
    <m/>
    <m/>
    <m/>
    <m/>
    <m/>
    <m/>
    <n v="1224083825"/>
    <n v="2076603631"/>
    <m/>
    <n v="4054035730"/>
    <m/>
    <n v="357095620"/>
    <m/>
    <n v="15512539"/>
    <m/>
    <m/>
    <m/>
    <m/>
    <n v="64477064"/>
    <m/>
    <m/>
    <m/>
    <m/>
    <m/>
    <n v="1436326081"/>
    <m/>
    <m/>
    <m/>
    <m/>
    <m/>
    <m/>
    <n v="101670000"/>
    <m/>
    <m/>
    <m/>
    <m/>
    <n v="88454020"/>
    <m/>
    <n v="22846320"/>
    <m/>
    <n v="216583245"/>
    <m/>
    <m/>
    <m/>
    <m/>
    <m/>
    <m/>
    <n v="18930131192.720001"/>
    <m/>
    <m/>
    <m/>
  </r>
  <r>
    <s v="SGO"/>
    <x v="2"/>
    <n v="6.61"/>
    <n v="187153240000"/>
    <n v="28313652042.360058"/>
    <m/>
    <n v="9328166761.8085003"/>
    <n v="589904763.83000004"/>
    <n v="9509162069"/>
    <n v="322273120"/>
    <n v="1000000"/>
    <m/>
    <m/>
    <m/>
    <m/>
    <n v="700210162"/>
    <m/>
    <m/>
    <m/>
    <m/>
    <m/>
    <m/>
    <m/>
    <m/>
    <m/>
    <n v="832010864"/>
    <n v="2484239231"/>
    <n v="5000070562"/>
    <m/>
    <n v="7298587337"/>
    <n v="393361415"/>
    <m/>
    <n v="19995187"/>
    <m/>
    <m/>
    <m/>
    <m/>
    <n v="47637296"/>
    <m/>
    <m/>
    <n v="197063568"/>
    <n v="128405812"/>
    <n v="160501755"/>
    <n v="1073636380"/>
    <n v="80203586"/>
    <n v="60533931"/>
    <n v="4053977"/>
    <m/>
    <n v="352157"/>
    <m/>
    <n v="101670000"/>
    <m/>
    <m/>
    <m/>
    <m/>
    <n v="176714059"/>
    <m/>
    <n v="27760320"/>
    <m/>
    <n v="267853395"/>
    <m/>
    <m/>
    <m/>
    <m/>
    <m/>
    <n v="88369155"/>
    <n v="28975665338"/>
    <m/>
    <m/>
    <m/>
  </r>
  <r>
    <s v="SGO"/>
    <x v="3"/>
    <n v="7.04"/>
    <n v="231645211062.66"/>
    <n v="32904149298.673294"/>
    <m/>
    <n v="11517025517"/>
    <n v="1304700722.6600001"/>
    <n v="9540850131"/>
    <n v="186233247"/>
    <m/>
    <m/>
    <m/>
    <m/>
    <m/>
    <n v="700212162"/>
    <m/>
    <m/>
    <m/>
    <m/>
    <m/>
    <m/>
    <n v="8943645000"/>
    <m/>
    <m/>
    <n v="246192713"/>
    <n v="3409680254"/>
    <n v="50000000"/>
    <n v="9388018145"/>
    <m/>
    <n v="387349761"/>
    <m/>
    <n v="30370439"/>
    <m/>
    <m/>
    <m/>
    <m/>
    <n v="96697263"/>
    <n v="342009500"/>
    <m/>
    <m/>
    <m/>
    <m/>
    <n v="1027439597"/>
    <m/>
    <m/>
    <m/>
    <m/>
    <m/>
    <m/>
    <n v="101670000"/>
    <m/>
    <m/>
    <m/>
    <m/>
    <n v="91247209"/>
    <m/>
    <n v="36915282"/>
    <m/>
    <n v="349602388"/>
    <m/>
    <m/>
    <m/>
    <m/>
    <m/>
    <n v="13981000"/>
    <n v="34942114091"/>
    <m/>
    <m/>
    <m/>
  </r>
  <r>
    <s v="SGO"/>
    <x v="4"/>
    <n v="12.16"/>
    <n v="390739103000"/>
    <n v="32133149917.763157"/>
    <m/>
    <n v="19491926231.734631"/>
    <n v="900578365"/>
    <n v="18095052888"/>
    <n v="381674925"/>
    <n v="2000000"/>
    <m/>
    <n v="99930000"/>
    <m/>
    <m/>
    <n v="700210162"/>
    <m/>
    <m/>
    <m/>
    <m/>
    <n v="930240585"/>
    <m/>
    <m/>
    <m/>
    <m/>
    <n v="101736910"/>
    <n v="5623462277"/>
    <m/>
    <n v="10470001250"/>
    <m/>
    <n v="739979589"/>
    <m/>
    <n v="184824593"/>
    <m/>
    <m/>
    <m/>
    <m/>
    <n v="1074843449"/>
    <m/>
    <m/>
    <m/>
    <m/>
    <m/>
    <n v="601569229"/>
    <m/>
    <m/>
    <m/>
    <m/>
    <m/>
    <m/>
    <n v="102506250"/>
    <m/>
    <m/>
    <m/>
    <m/>
    <n v="244113282"/>
    <m/>
    <n v="91733040"/>
    <m/>
    <n v="739969819"/>
    <m/>
    <m/>
    <m/>
    <m/>
    <m/>
    <n v="12875000"/>
    <n v="40196723248"/>
    <m/>
    <m/>
    <m/>
  </r>
  <r>
    <s v="SGO"/>
    <x v="5"/>
    <n v="10.89"/>
    <n v="392586705000"/>
    <n v="36050202479.338844"/>
    <m/>
    <n v="19583213628.882149"/>
    <n v="922432422"/>
    <n v="19563971740"/>
    <n v="344657753"/>
    <m/>
    <m/>
    <n v="81430000"/>
    <m/>
    <m/>
    <n v="700210162"/>
    <m/>
    <m/>
    <m/>
    <m/>
    <n v="13745906089"/>
    <m/>
    <m/>
    <m/>
    <m/>
    <n v="1159716473"/>
    <n v="5214687204"/>
    <n v="300000"/>
    <n v="10209148561"/>
    <m/>
    <n v="1272817806"/>
    <m/>
    <n v="23197229"/>
    <m/>
    <m/>
    <m/>
    <m/>
    <n v="19512723643"/>
    <m/>
    <m/>
    <n v="5060698358"/>
    <n v="82821682"/>
    <n v="103417232"/>
    <n v="432572906"/>
    <n v="51435059"/>
    <n v="33147645"/>
    <n v="28354930"/>
    <n v="197604113"/>
    <n v="71300044"/>
    <m/>
    <n v="102506250"/>
    <m/>
    <m/>
    <m/>
    <n v="2539000"/>
    <n v="273526547"/>
    <m/>
    <n v="92413440"/>
    <m/>
    <n v="824145628"/>
    <m/>
    <m/>
    <m/>
    <m/>
    <m/>
    <n v="177051978"/>
    <n v="79362301472"/>
    <m/>
    <m/>
    <m/>
  </r>
  <r>
    <s v="SGO"/>
    <x v="6"/>
    <n v="9.14"/>
    <n v="350506489000"/>
    <n v="38348631181.619255"/>
    <m/>
    <n v="17483287112.941906"/>
    <n v="840746741"/>
    <n v="17983379589"/>
    <n v="394603655.20999998"/>
    <n v="2000000"/>
    <m/>
    <n v="339510000"/>
    <m/>
    <m/>
    <n v="700210162"/>
    <m/>
    <m/>
    <m/>
    <m/>
    <n v="3780409704"/>
    <m/>
    <m/>
    <m/>
    <m/>
    <n v="3552753938"/>
    <n v="6547939856"/>
    <n v="14165870891"/>
    <n v="56031664385"/>
    <m/>
    <n v="2416973413"/>
    <m/>
    <n v="355809766"/>
    <m/>
    <m/>
    <m/>
    <m/>
    <n v="598684575"/>
    <m/>
    <m/>
    <m/>
    <m/>
    <m/>
    <n v="14790586394"/>
    <m/>
    <m/>
    <m/>
    <m/>
    <n v="1356080521"/>
    <m/>
    <n v="1200349100"/>
    <m/>
    <m/>
    <m/>
    <m/>
    <n v="278981251"/>
    <m/>
    <n v="101160360"/>
    <m/>
    <n v="982516892"/>
    <m/>
    <m/>
    <m/>
    <m/>
    <m/>
    <n v="20996063"/>
    <n v="125600480515.20999"/>
    <m/>
    <m/>
    <m/>
  </r>
  <r>
    <s v="SGO"/>
    <x v="7"/>
    <n v="7.25"/>
    <n v="340686627000"/>
    <n v="46991258896.551727"/>
    <m/>
    <n v="17034331350"/>
    <s v="NA"/>
    <n v="12982245458"/>
    <n v="0"/>
    <n v="10000000"/>
    <m/>
    <n v="165308750"/>
    <m/>
    <m/>
    <n v="5156057429"/>
    <m/>
    <m/>
    <m/>
    <m/>
    <n v="8550085532"/>
    <m/>
    <m/>
    <m/>
    <m/>
    <n v="2961595410"/>
    <n v="7765358367"/>
    <m/>
    <n v="37354442924"/>
    <n v="8753036627"/>
    <n v="2798450495"/>
    <m/>
    <n v="17817365"/>
    <n v="189710162"/>
    <m/>
    <m/>
    <m/>
    <n v="9719760854"/>
    <m/>
    <m/>
    <n v="12479862303"/>
    <n v="47512057"/>
    <n v="59390072"/>
    <n v="360813765"/>
    <n v="29695037"/>
    <n v="51467044"/>
    <n v="39601445"/>
    <n v="118255043"/>
    <n v="8101133842"/>
    <m/>
    <n v="645548107"/>
    <m/>
    <n v="272585030"/>
    <m/>
    <m/>
    <m/>
    <m/>
    <n v="109702542"/>
    <m/>
    <n v="1054051350"/>
    <m/>
    <m/>
    <m/>
    <m/>
    <m/>
    <m/>
    <n v="119793487010"/>
    <m/>
    <m/>
    <m/>
  </r>
  <r>
    <s v="PMC"/>
    <x v="1"/>
    <n v="4.452"/>
    <n v="100183726000"/>
    <n v="22503083108.715183"/>
    <m/>
    <n v="5008589699"/>
    <n v="11932020"/>
    <n v="3248958243"/>
    <n v="99386000"/>
    <m/>
    <m/>
    <m/>
    <m/>
    <m/>
    <m/>
    <m/>
    <m/>
    <m/>
    <m/>
    <m/>
    <m/>
    <m/>
    <m/>
    <m/>
    <m/>
    <n v="1017412247"/>
    <m/>
    <m/>
    <m/>
    <n v="362594359"/>
    <m/>
    <n v="9074720"/>
    <m/>
    <m/>
    <m/>
    <m/>
    <n v="44148316"/>
    <m/>
    <m/>
    <m/>
    <m/>
    <m/>
    <n v="225016261"/>
    <m/>
    <m/>
    <m/>
    <m/>
    <m/>
    <m/>
    <n v="123768300"/>
    <m/>
    <m/>
    <m/>
    <m/>
    <m/>
    <m/>
    <n v="24151176"/>
    <m/>
    <n v="202387738"/>
    <m/>
    <m/>
    <m/>
    <m/>
    <m/>
    <m/>
    <n v="5356897360"/>
    <e v="#REF!"/>
    <n v="24287028552.720001"/>
    <e v="#REF!"/>
  </r>
  <r>
    <s v="PMC"/>
    <x v="2"/>
    <n v="5.7919"/>
    <n v="151790543701.83826"/>
    <n v="26207383363.28981"/>
    <m/>
    <n v="7576735998"/>
    <n v="255823739.503295"/>
    <n v="7491544126"/>
    <n v="113941440"/>
    <m/>
    <m/>
    <m/>
    <m/>
    <m/>
    <m/>
    <m/>
    <m/>
    <m/>
    <m/>
    <m/>
    <m/>
    <m/>
    <m/>
    <m/>
    <m/>
    <n v="3891381765"/>
    <m/>
    <m/>
    <m/>
    <n v="682759738"/>
    <m/>
    <n v="5797753"/>
    <m/>
    <m/>
    <m/>
    <m/>
    <n v="39774221"/>
    <m/>
    <m/>
    <n v="5811395"/>
    <n v="90404467"/>
    <n v="112863713"/>
    <n v="3788630"/>
    <n v="56408654"/>
    <n v="573846"/>
    <m/>
    <m/>
    <m/>
    <m/>
    <m/>
    <m/>
    <m/>
    <m/>
    <m/>
    <m/>
    <m/>
    <n v="22099694"/>
    <m/>
    <n v="171008028"/>
    <m/>
    <m/>
    <m/>
    <m/>
    <m/>
    <n v="96210"/>
    <n v="12688253680"/>
    <n v="147576129768"/>
    <n v="41663919018"/>
    <n v="0.2823215318324081"/>
  </r>
  <r>
    <s v="PMC"/>
    <x v="3"/>
    <n v="5.3128000000000002"/>
    <n v="156789785059.60001"/>
    <n v="29511704762.008732"/>
    <m/>
    <n v="8679348430"/>
    <n v="488750421.1055975"/>
    <n v="8306948342"/>
    <n v="137579025"/>
    <m/>
    <m/>
    <m/>
    <m/>
    <m/>
    <m/>
    <m/>
    <m/>
    <m/>
    <m/>
    <n v="3780000000"/>
    <m/>
    <m/>
    <m/>
    <m/>
    <m/>
    <n v="3169904533"/>
    <m/>
    <m/>
    <m/>
    <n v="683472246"/>
    <m/>
    <n v="6996835"/>
    <m/>
    <m/>
    <m/>
    <m/>
    <n v="5250761904"/>
    <m/>
    <m/>
    <m/>
    <m/>
    <m/>
    <m/>
    <n v="304667880"/>
    <m/>
    <m/>
    <m/>
    <m/>
    <m/>
    <m/>
    <m/>
    <m/>
    <m/>
    <m/>
    <m/>
    <m/>
    <n v="22819482"/>
    <m/>
    <n v="59159110"/>
    <m/>
    <m/>
    <m/>
    <m/>
    <m/>
    <m/>
    <n v="21722309357"/>
    <n v="167753230229"/>
    <n v="56664423448"/>
    <n v="0.33778439539225191"/>
  </r>
  <r>
    <s v="PMC"/>
    <x v="4"/>
    <n v="3.9935"/>
    <n v="123373492000"/>
    <n v="30893575059.471642"/>
    <m/>
    <n v="6168674600"/>
    <s v="NA"/>
    <n v="6906222357"/>
    <n v="166923900"/>
    <m/>
    <m/>
    <m/>
    <m/>
    <m/>
    <m/>
    <m/>
    <m/>
    <m/>
    <m/>
    <n v="2889000000"/>
    <m/>
    <m/>
    <m/>
    <m/>
    <m/>
    <n v="2947069880"/>
    <n v="5011458749"/>
    <m/>
    <m/>
    <n v="313859540"/>
    <m/>
    <n v="2289333"/>
    <m/>
    <m/>
    <m/>
    <m/>
    <n v="3601523810"/>
    <m/>
    <m/>
    <m/>
    <m/>
    <m/>
    <n v="237349568"/>
    <m/>
    <m/>
    <m/>
    <m/>
    <m/>
    <m/>
    <m/>
    <m/>
    <m/>
    <m/>
    <m/>
    <m/>
    <m/>
    <n v="23344848"/>
    <m/>
    <n v="63131627"/>
    <m/>
    <m/>
    <m/>
    <m/>
    <m/>
    <m/>
    <n v="22162173612"/>
    <n v="206035594541"/>
    <n v="62358896860"/>
    <n v="0.30266079508699117"/>
  </r>
  <r>
    <s v="PMC"/>
    <x v="5"/>
    <n v="4.0319337419999997"/>
    <n v="147862816000"/>
    <n v="36672928044.361702"/>
    <m/>
    <n v="7393140800"/>
    <s v="NA"/>
    <n v="7519284055"/>
    <n v="67395700"/>
    <m/>
    <m/>
    <m/>
    <m/>
    <m/>
    <m/>
    <m/>
    <m/>
    <m/>
    <m/>
    <n v="2854000000"/>
    <m/>
    <m/>
    <m/>
    <m/>
    <m/>
    <n v="4017092953"/>
    <m/>
    <m/>
    <m/>
    <n v="366124044"/>
    <m/>
    <n v="2452751"/>
    <m/>
    <m/>
    <m/>
    <m/>
    <n v="2700640000"/>
    <m/>
    <m/>
    <n v="46982080"/>
    <n v="92565977"/>
    <n v="115733943"/>
    <n v="29117848"/>
    <n v="57671634"/>
    <n v="1406632"/>
    <n v="162957"/>
    <n v="5331137"/>
    <n v="329737"/>
    <m/>
    <m/>
    <m/>
    <m/>
    <m/>
    <m/>
    <m/>
    <m/>
    <n v="23806442"/>
    <m/>
    <n v="208157611"/>
    <m/>
    <m/>
    <m/>
    <m/>
    <m/>
    <n v="3051789"/>
    <n v="18111307290"/>
    <n v="242300744937"/>
    <n v="97473608762"/>
    <n v="0.40228357030988027"/>
  </r>
  <r>
    <s v="PMC"/>
    <x v="6"/>
    <n v="3.7307999999999999"/>
    <n v="141473181133.46954"/>
    <n v="37920333744.363014"/>
    <m/>
    <n v="7073659453"/>
    <s v="NA"/>
    <n v="7008278087"/>
    <n v="760258440"/>
    <m/>
    <m/>
    <m/>
    <m/>
    <m/>
    <m/>
    <m/>
    <m/>
    <m/>
    <m/>
    <n v="872000000"/>
    <m/>
    <m/>
    <m/>
    <m/>
    <m/>
    <n v="2855678236"/>
    <m/>
    <n v="2417260000"/>
    <m/>
    <n v="207284343"/>
    <m/>
    <n v="5898351"/>
    <m/>
    <m/>
    <m/>
    <m/>
    <n v="2492341"/>
    <m/>
    <m/>
    <n v="26926197"/>
    <n v="46802333"/>
    <n v="58501550"/>
    <n v="14114945"/>
    <n v="29242348"/>
    <n v="237106"/>
    <n v="124975"/>
    <n v="3131508"/>
    <n v="306905"/>
    <m/>
    <m/>
    <m/>
    <m/>
    <m/>
    <m/>
    <m/>
    <m/>
    <n v="25200924"/>
    <m/>
    <n v="246360435"/>
    <m/>
    <m/>
    <m/>
    <m/>
    <m/>
    <n v="809852"/>
    <n v="14580908876"/>
    <n v="380028721353.51093"/>
    <n v="140181389391.20999"/>
    <n v="0.36887051297580803"/>
  </r>
  <r>
    <s v="PMC"/>
    <x v="7"/>
    <n v="3.7669999999999999"/>
    <n v="174778072792"/>
    <n v="46397152320.679588"/>
    <m/>
    <n v="8738903639.6000004"/>
    <s v="NA"/>
    <n v="8454646351"/>
    <m/>
    <m/>
    <m/>
    <m/>
    <m/>
    <m/>
    <n v="756332380"/>
    <m/>
    <m/>
    <m/>
    <m/>
    <n v="3368856498"/>
    <m/>
    <m/>
    <m/>
    <m/>
    <n v="209733459"/>
    <n v="2377240218"/>
    <n v="3000000000"/>
    <n v="10226889219"/>
    <m/>
    <n v="223062855"/>
    <m/>
    <n v="1358135"/>
    <m/>
    <m/>
    <m/>
    <m/>
    <n v="8299828097"/>
    <m/>
    <m/>
    <n v="758414389"/>
    <n v="63440364"/>
    <n v="79300466"/>
    <n v="292634038"/>
    <n v="39424980"/>
    <n v="11585412"/>
    <n v="7911392"/>
    <n v="79642143"/>
    <n v="7818637552"/>
    <m/>
    <n v="433189050"/>
    <m/>
    <m/>
    <m/>
    <m/>
    <m/>
    <m/>
    <n v="22716501"/>
    <m/>
    <n v="240972402"/>
    <m/>
    <m/>
    <m/>
    <m/>
    <m/>
    <m/>
    <n v="46765815901"/>
    <n v="225488878262"/>
    <n v="166559302911"/>
    <n v="0.7386586167565720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>
  <r>
    <x v="0"/>
    <s v="Sabodala"/>
    <s v="tonnes"/>
    <n v="3.265895818915578"/>
    <n v="176892827875"/>
    <n v="254705218"/>
    <n v="1.6547367049999999"/>
    <x v="0"/>
    <x v="0"/>
    <s v="tonnes"/>
    <x v="0"/>
    <n v="548487309.28999996"/>
    <n v="548487309.28999996"/>
    <n v="4.8371041810844222"/>
  </r>
  <r>
    <x v="1"/>
    <s v="Mako"/>
    <s v="tonnes"/>
    <n v="3.6210041756413149"/>
    <n v="171988995312"/>
    <n v="287722269"/>
    <n v="1.6547367049999999"/>
    <x v="0"/>
    <x v="1"/>
    <s v="tonnes"/>
    <x v="1"/>
    <n v="201071815.89399999"/>
    <n v="201071815.89399999"/>
    <n v="-0.57837517564131513"/>
  </r>
  <r>
    <x v="0"/>
    <s v="Sabodala"/>
    <s v="tonnes"/>
    <n v="3.7828977551068022"/>
    <n v="153070817850"/>
    <n v="292498604"/>
    <n v="1.6547367049999999"/>
    <x v="0"/>
    <x v="2"/>
    <s v="tonnes"/>
    <x v="2"/>
    <m/>
    <m/>
    <n v="-3.7828977551068022"/>
  </r>
  <r>
    <x v="0"/>
    <s v="Sabodala"/>
    <s v="tonnes"/>
    <n v="8.9794794833713052"/>
    <n v="344273384269"/>
    <n v="569681805"/>
    <n v="1.65"/>
    <x v="1"/>
    <x v="0"/>
    <s v="tonnes"/>
    <x v="3"/>
    <n v="593906011.35000002"/>
    <n v="593906011.35000002"/>
    <n v="1.5865205166286955"/>
  </r>
  <r>
    <x v="1"/>
    <s v="Mako"/>
    <s v="tonnes"/>
    <n v="3.7308616439740909"/>
    <n v="138107655558"/>
    <n v="228531807"/>
    <n v="1.65"/>
    <x v="1"/>
    <x v="1"/>
    <s v="tonnes"/>
    <x v="4"/>
    <n v="230374640.12099999"/>
    <n v="230374640.12099999"/>
    <n v="6.6342356025908877E-2"/>
  </r>
  <r>
    <x v="0"/>
    <s v="Sabodala"/>
    <s v="tonnes"/>
    <n v="0.24882778784320739"/>
    <n v="9494006760"/>
    <n v="15710081"/>
    <n v="1.65"/>
    <x v="1"/>
    <x v="2"/>
    <s v="tonnes"/>
    <x v="2"/>
    <m/>
    <m/>
    <n v="-0.24882778784320739"/>
  </r>
  <r>
    <x v="0"/>
    <s v="Sabodala"/>
    <s v="tonnes"/>
    <n v="11.565639269255"/>
    <n v="380045730082"/>
    <n v="611873625.43202007"/>
    <n v="1.61"/>
    <x v="2"/>
    <x v="0"/>
    <s v="tonnes"/>
    <x v="5"/>
    <n v="631954371.199"/>
    <n v="631954371.199"/>
    <n v="0.51536073074499988"/>
  </r>
  <r>
    <x v="1"/>
    <s v="Mako"/>
    <s v="tonnes"/>
    <n v="4.4235695691080297"/>
    <n v="147954684761"/>
    <n v="238207042.46520999"/>
    <n v="1.61"/>
    <x v="2"/>
    <x v="1"/>
    <s v="tonnes"/>
    <x v="6"/>
    <n v="206548068.21599999"/>
    <n v="206548068.21599999"/>
    <n v="-0.7631665691080296"/>
  </r>
  <r>
    <x v="0"/>
    <s v="Sabodala"/>
    <s v="tonnes"/>
    <n v="0.38235422377393991"/>
    <n v="12540974385"/>
    <n v="20190968.759849999"/>
    <n v="1.61"/>
    <x v="2"/>
    <x v="2"/>
    <s v="tonnes"/>
    <x v="2"/>
    <m/>
    <m/>
    <n v="-0.38235422377393991"/>
  </r>
  <r>
    <x v="0"/>
    <s v="Sabodala"/>
    <s v="tonnes"/>
    <n v="11.879753971524771"/>
    <n v="381693870501"/>
    <n v="687048966.90180004"/>
    <n v="1.8"/>
    <x v="3"/>
    <x v="0"/>
    <s v="tonnes"/>
    <x v="7"/>
    <n v="710234464.13499999"/>
    <n v="710234464.13499999"/>
    <n v="1.7012460284752287"/>
  </r>
  <r>
    <x v="1"/>
    <s v="Mako"/>
    <s v="tonnes"/>
    <n v="3.993468270569116"/>
    <n v="123373225492"/>
    <n v="222071805.8856"/>
    <n v="1.8"/>
    <x v="3"/>
    <x v="1"/>
    <s v="tonnes"/>
    <x v="8"/>
    <n v="219808451.24000001"/>
    <n v="219808451.24000001"/>
    <n v="-0.10908727056911616"/>
  </r>
  <r>
    <x v="0"/>
    <s v="Sabodala"/>
    <s v="tonnes"/>
    <n v="6.7771358366445584"/>
    <n v="220079268751"/>
    <n v="382937927.62673998"/>
    <n v="1.74"/>
    <x v="4"/>
    <x v="0"/>
    <s v="tonnes"/>
    <x v="9"/>
    <n v="485160797.29100001"/>
    <n v="485160797.29100001"/>
    <n v="2.734864163355442"/>
  </r>
  <r>
    <x v="0"/>
    <s v="Sabodala"/>
    <s v="tonnes"/>
    <n v="0.26437952458340791"/>
    <n v="8692666730"/>
    <n v="15125240.110200001"/>
    <n v="1.74"/>
    <x v="4"/>
    <x v="3"/>
    <s v="tonnes"/>
    <x v="2"/>
    <m/>
    <m/>
    <n v="-0.26437952458340791"/>
  </r>
  <r>
    <x v="1"/>
    <s v="Mako"/>
    <s v="tonnes"/>
    <n v="1.3204979666104211"/>
    <n v="39522643736"/>
    <n v="68769400.100639999"/>
    <n v="1.74"/>
    <x v="4"/>
    <x v="0"/>
    <s v="tonnes"/>
    <x v="9"/>
    <n v="485160797.29100001"/>
    <n v="485160797.29100001"/>
    <n v="8.1915020333895789"/>
  </r>
  <r>
    <x v="1"/>
    <s v="Mako"/>
    <s v="tonnes"/>
    <n v="3.9922863385768612"/>
    <n v="117267141286"/>
    <n v="204044825.83763999"/>
    <n v="1.74"/>
    <x v="4"/>
    <x v="1"/>
    <s v="tonnes"/>
    <x v="10"/>
    <n v="194991546.08899999"/>
    <n v="194991546.08899999"/>
    <n v="-0.35782933857686139"/>
  </r>
  <r>
    <x v="2"/>
    <m/>
    <s v="tonnes"/>
    <n v="0"/>
    <m/>
    <m/>
    <m/>
    <x v="0"/>
    <x v="4"/>
    <s v="tonnes"/>
    <x v="11"/>
    <n v="819980"/>
    <n v="819980"/>
    <n v="1.0012E-2"/>
  </r>
  <r>
    <x v="2"/>
    <m/>
    <s v="tonnes"/>
    <n v="0"/>
    <m/>
    <m/>
    <m/>
    <x v="0"/>
    <x v="5"/>
    <s v="tonnes"/>
    <x v="12"/>
    <n v="676674.71200000006"/>
    <n v="676674.71200000006"/>
    <n v="1.0697E-2"/>
  </r>
  <r>
    <x v="2"/>
    <m/>
    <s v="tonnes"/>
    <n v="0"/>
    <m/>
    <m/>
    <m/>
    <x v="0"/>
    <x v="6"/>
    <s v="tonnes"/>
    <x v="13"/>
    <n v="1764637.62"/>
    <n v="1764637.62"/>
    <n v="0.02"/>
  </r>
  <r>
    <x v="2"/>
    <m/>
    <s v="tonnes"/>
    <n v="0"/>
    <m/>
    <m/>
    <m/>
    <x v="0"/>
    <x v="7"/>
    <s v="tonnes"/>
    <x v="14"/>
    <n v="99765"/>
    <n v="99765"/>
    <n v="1.9989999999999999E-3"/>
  </r>
  <r>
    <x v="2"/>
    <m/>
    <s v="tonnes"/>
    <n v="0"/>
    <m/>
    <m/>
    <m/>
    <x v="1"/>
    <x v="5"/>
    <s v="tonnes"/>
    <x v="15"/>
    <n v="1335454.328"/>
    <n v="1335454.328"/>
    <n v="2.8239E-2"/>
  </r>
  <r>
    <x v="2"/>
    <m/>
    <s v="tonnes"/>
    <n v="0"/>
    <m/>
    <m/>
    <m/>
    <x v="1"/>
    <x v="8"/>
    <s v="tonnes"/>
    <x v="16"/>
    <n v="337980.12400000001"/>
    <n v="337980.12400000001"/>
    <n v="6.6109999999999997E-3"/>
  </r>
  <r>
    <x v="2"/>
    <m/>
    <s v="tonnes"/>
    <n v="0"/>
    <m/>
    <m/>
    <m/>
    <x v="1"/>
    <x v="9"/>
    <s v="tonnes"/>
    <x v="17"/>
    <n v="238406106.84299999"/>
    <n v="238406106.84299999"/>
    <n v="4.01464"/>
  </r>
  <r>
    <x v="2"/>
    <m/>
    <s v="tonnes"/>
    <n v="0"/>
    <m/>
    <m/>
    <m/>
    <x v="1"/>
    <x v="7"/>
    <s v="tonnes"/>
    <x v="18"/>
    <n v="1695971"/>
    <n v="1695971"/>
    <n v="3.4648000000000012E-2"/>
  </r>
  <r>
    <x v="2"/>
    <m/>
    <s v="tonnes"/>
    <n v="0"/>
    <m/>
    <m/>
    <m/>
    <x v="2"/>
    <x v="5"/>
    <s v="tonnes"/>
    <x v="19"/>
    <n v="1541344.121"/>
    <n v="1541344.121"/>
    <n v="3.2393999999999999E-2"/>
  </r>
  <r>
    <x v="2"/>
    <m/>
    <s v="tonnes"/>
    <n v="0"/>
    <m/>
    <m/>
    <m/>
    <x v="2"/>
    <x v="9"/>
    <s v="tonnes"/>
    <x v="20"/>
    <n v="171934926.44400001"/>
    <n v="171934926.44400001"/>
    <n v="3.2155200000000002"/>
  </r>
  <r>
    <x v="2"/>
    <m/>
    <s v="tonnes"/>
    <n v="0"/>
    <m/>
    <m/>
    <m/>
    <x v="3"/>
    <x v="5"/>
    <s v="tonnes"/>
    <x v="21"/>
    <n v="1297177.531"/>
    <n v="1297177.531"/>
    <n v="2.7383999999999999E-2"/>
  </r>
  <r>
    <x v="2"/>
    <m/>
    <s v="tonnes"/>
    <n v="0"/>
    <m/>
    <m/>
    <m/>
    <x v="3"/>
    <x v="10"/>
    <s v="tonnes"/>
    <x v="22"/>
    <n v="47763.417999999998"/>
    <n v="47763.417999999998"/>
    <n v="9.9799999999999997E-4"/>
  </r>
  <r>
    <x v="2"/>
    <m/>
    <s v="tonnes"/>
    <n v="0"/>
    <m/>
    <m/>
    <m/>
    <x v="3"/>
    <x v="9"/>
    <s v="tonnes"/>
    <x v="23"/>
    <n v="144258311.833"/>
    <n v="144258311.833"/>
    <n v="2.6259000000000001"/>
  </r>
  <r>
    <x v="2"/>
    <m/>
    <s v="tonnes"/>
    <n v="0"/>
    <m/>
    <m/>
    <m/>
    <x v="3"/>
    <x v="7"/>
    <s v="tonnes"/>
    <x v="24"/>
    <n v="332900"/>
    <n v="332900"/>
    <n v="7.45E-3"/>
  </r>
  <r>
    <x v="2"/>
    <m/>
    <s v="tonnes"/>
    <n v="0"/>
    <m/>
    <m/>
    <m/>
    <x v="4"/>
    <x v="5"/>
    <s v="tonnes"/>
    <x v="25"/>
    <n v="3560493.3480000002"/>
    <n v="3560493.3480000002"/>
    <n v="7.7575999999999992E-2"/>
  </r>
  <r>
    <x v="2"/>
    <m/>
    <s v="tonnes"/>
    <n v="0"/>
    <m/>
    <m/>
    <m/>
    <x v="4"/>
    <x v="9"/>
    <s v="tonnes"/>
    <x v="26"/>
    <n v="104357473.52599999"/>
    <n v="104357473.52599999"/>
    <n v="2.1188699999999998"/>
  </r>
  <r>
    <x v="2"/>
    <m/>
    <s v="tonnes"/>
    <n v="0"/>
    <m/>
    <m/>
    <m/>
    <x v="4"/>
    <x v="7"/>
    <s v="tonnes"/>
    <x v="27"/>
    <n v="1765487"/>
    <n v="1765487"/>
    <n v="4.2486999999999997E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9B39B8-A8D0-41FC-A01D-2D0BEB522DBB}" name="Tableau croisé dynamique1" cacheId="3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8">
  <location ref="B158:E195" firstHeaderRow="0" firstDataRow="1" firstDataCol="1"/>
  <pivotFields count="14">
    <pivotField showAll="0">
      <items count="4">
        <item x="1"/>
        <item x="0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  <pivotField axis="axisRow" showAll="0">
      <items count="6">
        <item x="4"/>
        <item x="3"/>
        <item x="2"/>
        <item x="1"/>
        <item x="0"/>
        <item t="default"/>
      </items>
    </pivotField>
    <pivotField axis="axisRow" showAll="0">
      <items count="12">
        <item x="1"/>
        <item x="4"/>
        <item x="9"/>
        <item x="10"/>
        <item x="5"/>
        <item x="8"/>
        <item x="2"/>
        <item x="3"/>
        <item x="0"/>
        <item x="6"/>
        <item x="7"/>
        <item t="default"/>
      </items>
    </pivotField>
    <pivotField showAll="0"/>
    <pivotField dataField="1" showAll="0">
      <items count="29">
        <item x="2"/>
        <item x="22"/>
        <item x="14"/>
        <item x="16"/>
        <item x="24"/>
        <item x="11"/>
        <item x="12"/>
        <item x="13"/>
        <item x="21"/>
        <item x="15"/>
        <item x="19"/>
        <item x="18"/>
        <item x="27"/>
        <item x="25"/>
        <item x="26"/>
        <item x="23"/>
        <item x="1"/>
        <item x="20"/>
        <item x="10"/>
        <item x="6"/>
        <item x="4"/>
        <item x="8"/>
        <item x="17"/>
        <item x="0"/>
        <item x="9"/>
        <item x="3"/>
        <item x="5"/>
        <item x="7"/>
        <item t="default"/>
      </items>
    </pivotField>
    <pivotField showAll="0"/>
    <pivotField showAll="0"/>
    <pivotField dataField="1" showAll="0"/>
  </pivotFields>
  <rowFields count="2">
    <field x="7"/>
    <field x="8"/>
  </rowFields>
  <rowItems count="37">
    <i>
      <x/>
    </i>
    <i r="1">
      <x/>
    </i>
    <i r="1">
      <x v="2"/>
    </i>
    <i r="1">
      <x v="4"/>
    </i>
    <i r="1">
      <x v="7"/>
    </i>
    <i r="1">
      <x v="8"/>
    </i>
    <i r="1">
      <x v="10"/>
    </i>
    <i>
      <x v="1"/>
    </i>
    <i r="1">
      <x/>
    </i>
    <i r="1">
      <x v="2"/>
    </i>
    <i r="1">
      <x v="3"/>
    </i>
    <i r="1">
      <x v="4"/>
    </i>
    <i r="1">
      <x v="8"/>
    </i>
    <i r="1">
      <x v="10"/>
    </i>
    <i>
      <x v="2"/>
    </i>
    <i r="1">
      <x/>
    </i>
    <i r="1">
      <x v="2"/>
    </i>
    <i r="1">
      <x v="4"/>
    </i>
    <i r="1">
      <x v="6"/>
    </i>
    <i r="1">
      <x v="8"/>
    </i>
    <i>
      <x v="3"/>
    </i>
    <i r="1">
      <x/>
    </i>
    <i r="1">
      <x v="2"/>
    </i>
    <i r="1">
      <x v="4"/>
    </i>
    <i r="1">
      <x v="5"/>
    </i>
    <i r="1">
      <x v="6"/>
    </i>
    <i r="1">
      <x v="8"/>
    </i>
    <i r="1">
      <x v="10"/>
    </i>
    <i>
      <x v="4"/>
    </i>
    <i r="1">
      <x/>
    </i>
    <i r="1">
      <x v="1"/>
    </i>
    <i r="1">
      <x v="4"/>
    </i>
    <i r="1">
      <x v="6"/>
    </i>
    <i r="1">
      <x v="8"/>
    </i>
    <i r="1">
      <x v="9"/>
    </i>
    <i r="1">
      <x v="10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Importation déclarée par les pays partenaires" fld="10" baseField="0" baseItem="0"/>
    <dataField name="Exportation déclarée par le Sénégal" fld="3" baseField="0" baseItem="0"/>
    <dataField name="Ecart entre les déclarations (EMAPE non déclarée)" fld="13" baseField="0" baseItem="0" numFmtId="174"/>
  </dataFields>
  <formats count="3">
    <format dxfId="2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">
      <pivotArea outline="0" collapsedLevelsAreSubtotals="1" fieldPosition="0"/>
    </format>
    <format dxfId="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hartFormats count="1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1"/>
          </reference>
          <reference field="7" count="1" selected="0">
            <x v="4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2"/>
          </reference>
          <reference field="7" count="1" selected="0">
            <x v="4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2"/>
          </reference>
          <reference field="7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1"/>
          </reference>
          <reference field="7" count="1" selected="0">
            <x v="0"/>
          </reference>
        </references>
      </pivotArea>
    </chartFormat>
    <chartFormat chart="5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1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86CDE9-D4BA-416A-B53B-209F3E5FC1D5}" name="Tableau croisé dynamique4" cacheId="3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10">
  <location ref="A53:D55" firstHeaderRow="0" firstDataRow="1" firstDataCol="1"/>
  <pivotFields count="14"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6">
        <item h="1" x="4"/>
        <item h="1" x="3"/>
        <item h="1" x="2"/>
        <item x="1"/>
        <item h="1" x="0"/>
        <item t="default"/>
      </items>
    </pivotField>
    <pivotField showAll="0"/>
    <pivotField showAll="0"/>
    <pivotField dataField="1" showAll="0">
      <items count="29">
        <item x="2"/>
        <item x="22"/>
        <item x="14"/>
        <item x="16"/>
        <item x="24"/>
        <item x="11"/>
        <item x="12"/>
        <item x="13"/>
        <item x="21"/>
        <item x="15"/>
        <item x="19"/>
        <item x="18"/>
        <item x="27"/>
        <item x="25"/>
        <item x="26"/>
        <item x="23"/>
        <item x="1"/>
        <item x="20"/>
        <item x="10"/>
        <item x="6"/>
        <item x="4"/>
        <item x="8"/>
        <item x="17"/>
        <item x="0"/>
        <item x="9"/>
        <item x="3"/>
        <item x="5"/>
        <item x="7"/>
        <item t="default"/>
      </items>
    </pivotField>
    <pivotField showAll="0"/>
    <pivotField showAll="0"/>
    <pivotField dataField="1" showAll="0"/>
  </pivotFields>
  <rowFields count="1">
    <field x="7"/>
  </rowFields>
  <rowItems count="2"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Importation déclarée par les pays partenaires" fld="10" baseField="0" baseItem="0"/>
    <dataField name="Exportation déclarée par le Sénégal" fld="3" baseField="0" baseItem="0"/>
    <dataField name="Ecart entre les déclarations (EMAPE non déclarée)" fld="13" baseField="0" baseItem="0"/>
  </dataFields>
  <chartFormats count="2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1"/>
          </reference>
          <reference field="7" count="1" selected="0">
            <x v="4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2"/>
          </reference>
          <reference field="7" count="1" selected="0">
            <x v="4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2"/>
          </reference>
          <reference field="7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1"/>
          </reference>
          <reference field="7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7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11ED4D-F844-4922-AC91-ADA62203588F}" name="Tableau croisé dynamique2" cacheId="3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8">
  <location ref="A3:D9" firstHeaderRow="0" firstDataRow="1" firstDataCol="1"/>
  <pivotFields count="14"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6">
        <item x="4"/>
        <item x="3"/>
        <item x="2"/>
        <item x="1"/>
        <item x="0"/>
        <item t="default"/>
      </items>
    </pivotField>
    <pivotField showAll="0"/>
    <pivotField showAll="0"/>
    <pivotField dataField="1" showAll="0">
      <items count="29">
        <item x="2"/>
        <item x="22"/>
        <item x="14"/>
        <item x="16"/>
        <item x="24"/>
        <item x="11"/>
        <item x="12"/>
        <item x="13"/>
        <item x="21"/>
        <item x="15"/>
        <item x="19"/>
        <item x="18"/>
        <item x="27"/>
        <item x="25"/>
        <item x="26"/>
        <item x="23"/>
        <item x="1"/>
        <item x="20"/>
        <item x="10"/>
        <item x="6"/>
        <item x="4"/>
        <item x="8"/>
        <item x="17"/>
        <item x="0"/>
        <item x="9"/>
        <item x="3"/>
        <item x="5"/>
        <item x="7"/>
        <item t="default"/>
      </items>
    </pivotField>
    <pivotField showAll="0"/>
    <pivotField showAll="0"/>
    <pivotField dataField="1"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Importation déclarée par les pays partenaires" fld="10" baseField="0" baseItem="0"/>
    <dataField name="Exportation déclarée par le Sénégal" fld="3" baseField="0" baseItem="0"/>
    <dataField name="Ecart entre les déclarations (EMAPE non déclarée)" fld="13" baseField="0" baseItem="0"/>
  </dataFields>
  <chartFormats count="1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1"/>
          </reference>
          <reference field="7" count="1" selected="0">
            <x v="4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2"/>
          </reference>
          <reference field="7" count="1" selected="0">
            <x v="4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2"/>
          </reference>
          <reference field="7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1"/>
          </reference>
          <reference field="7" count="1" selected="0">
            <x v="0"/>
          </reference>
        </references>
      </pivotArea>
    </chartFormat>
    <chartFormat chart="5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1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9E4193-94D7-4953-87D3-95621893C50A}" name="Tableau croisé dynamique10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7" indent="0" outline="1" outlineData="1" multipleFieldFilters="0">
  <location ref="H3:I9" firstHeaderRow="1" firstDataRow="1" firstDataCol="1"/>
  <pivotFields count="70">
    <pivotField showAll="0"/>
    <pivotField axis="axisRow" showAll="0">
      <items count="9">
        <item h="1" x="0"/>
        <item h="1" x="1"/>
        <item h="1" x="2"/>
        <item x="3"/>
        <item x="4"/>
        <item x="5"/>
        <item x="6"/>
        <item x="7"/>
        <item t="default"/>
      </items>
    </pivotField>
    <pivotField dataField="1" numFmtId="166" showAll="0"/>
    <pivotField numFmtId="167" showAll="0"/>
    <pivotField numFmtId="167" showAll="0"/>
    <pivotField showAll="0"/>
    <pivotField numFmtId="167" showAll="0"/>
    <pivotField showAll="0"/>
    <pivotField numFmtId="167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3" showAll="0"/>
    <pivotField showAll="0"/>
    <pivotField showAll="0"/>
    <pivotField showAll="0"/>
    <pivotField numFmtId="43" showAll="0"/>
    <pivotField showAll="0"/>
    <pivotField numFmtId="43" showAll="0"/>
    <pivotField showAll="0"/>
    <pivotField showAll="0"/>
    <pivotField showAll="0"/>
    <pivotField showAll="0"/>
    <pivotField numFmtId="4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3" showAll="0"/>
    <pivotField showAll="0"/>
    <pivotField numFmtId="43" showAll="0"/>
    <pivotField showAll="0"/>
    <pivotField showAll="0"/>
    <pivotField showAll="0"/>
    <pivotField showAll="0"/>
    <pivotField showAll="0"/>
    <pivotField showAll="0"/>
    <pivotField numFmtId="168" showAll="0"/>
    <pivotField showAll="0"/>
    <pivotField showAll="0"/>
    <pivotField showAll="0"/>
  </pivotFields>
  <rowFields count="1">
    <field x="1"/>
  </rowFields>
  <rowItems count="6"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omme de Production vendue (Tonne)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714542-3613-4AA4-957B-A1D8B5C2231D}" name="Tableau croisé dynamique9" cacheId="3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10">
  <location ref="A119:D121" firstHeaderRow="0" firstDataRow="1" firstDataCol="1"/>
  <pivotFields count="14"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6">
        <item x="4"/>
        <item h="1" x="3"/>
        <item h="1" x="2"/>
        <item h="1" x="1"/>
        <item h="1" x="0"/>
        <item t="default"/>
      </items>
    </pivotField>
    <pivotField showAll="0"/>
    <pivotField showAll="0"/>
    <pivotField dataField="1" showAll="0">
      <items count="29">
        <item x="2"/>
        <item x="22"/>
        <item x="14"/>
        <item x="16"/>
        <item x="24"/>
        <item x="11"/>
        <item x="12"/>
        <item x="13"/>
        <item x="21"/>
        <item x="15"/>
        <item x="19"/>
        <item x="18"/>
        <item x="27"/>
        <item x="25"/>
        <item x="26"/>
        <item x="23"/>
        <item x="1"/>
        <item x="20"/>
        <item x="10"/>
        <item x="6"/>
        <item x="4"/>
        <item x="8"/>
        <item x="17"/>
        <item x="0"/>
        <item x="9"/>
        <item x="3"/>
        <item x="5"/>
        <item x="7"/>
        <item t="default"/>
      </items>
    </pivotField>
    <pivotField showAll="0"/>
    <pivotField showAll="0"/>
    <pivotField dataField="1" showAll="0"/>
  </pivotFields>
  <rowFields count="1">
    <field x="7"/>
  </rowFields>
  <rowItems count="2">
    <i>
      <x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Importation déclarée par les pays partenaires" fld="10" baseField="0" baseItem="0"/>
    <dataField name="Exportation déclarée par le Sénégal" fld="3" baseField="0" baseItem="0"/>
    <dataField name="Ecart entre les déclarations (EMAPE non déclarée)" fld="13" baseField="0" baseItem="0"/>
  </dataFields>
  <chartFormats count="2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1"/>
          </reference>
          <reference field="7" count="1" selected="0">
            <x v="4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2"/>
          </reference>
          <reference field="7" count="1" selected="0">
            <x v="4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2"/>
          </reference>
          <reference field="7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1"/>
          </reference>
          <reference field="7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7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9A172F-573F-4065-BA0B-E4D79C23F7C4}" name="Tableau croisé dynamique3" cacheId="3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8">
  <location ref="A28:D30" firstHeaderRow="0" firstDataRow="1" firstDataCol="1"/>
  <pivotFields count="14"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6">
        <item h="1" x="4"/>
        <item h="1" x="3"/>
        <item h="1" x="2"/>
        <item h="1" x="1"/>
        <item x="0"/>
        <item t="default"/>
      </items>
    </pivotField>
    <pivotField showAll="0"/>
    <pivotField showAll="0"/>
    <pivotField dataField="1" showAll="0">
      <items count="29">
        <item x="2"/>
        <item x="22"/>
        <item x="14"/>
        <item x="16"/>
        <item x="24"/>
        <item x="11"/>
        <item x="12"/>
        <item x="13"/>
        <item x="21"/>
        <item x="15"/>
        <item x="19"/>
        <item x="18"/>
        <item x="27"/>
        <item x="25"/>
        <item x="26"/>
        <item x="23"/>
        <item x="1"/>
        <item x="20"/>
        <item x="10"/>
        <item x="6"/>
        <item x="4"/>
        <item x="8"/>
        <item x="17"/>
        <item x="0"/>
        <item x="9"/>
        <item x="3"/>
        <item x="5"/>
        <item x="7"/>
        <item t="default"/>
      </items>
    </pivotField>
    <pivotField showAll="0"/>
    <pivotField showAll="0"/>
    <pivotField dataField="1" showAll="0"/>
  </pivotFields>
  <rowFields count="1">
    <field x="7"/>
  </rowFields>
  <rowItems count="2"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Importation déclarée par les pays partenaires" fld="10" baseField="0" baseItem="0"/>
    <dataField name="Exportation déclarée par le Sénégal" fld="3" baseField="0" baseItem="0"/>
    <dataField name="Ecart entre les déclarations (EMAPE non déclarée)" fld="13" baseField="0" baseItem="0"/>
  </dataFields>
  <chartFormats count="1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1"/>
          </reference>
          <reference field="7" count="1" selected="0">
            <x v="4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2"/>
          </reference>
          <reference field="7" count="1" selected="0">
            <x v="4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2"/>
          </reference>
          <reference field="7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1"/>
          </reference>
          <reference field="7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7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4F91DD-7AFD-4433-B755-DB95B06A9359}" name="Tableau croisé dynamique8" cacheId="3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10">
  <location ref="A97:D99" firstHeaderRow="0" firstDataRow="1" firstDataCol="1"/>
  <pivotFields count="14"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6">
        <item h="1" x="4"/>
        <item x="3"/>
        <item h="1" x="2"/>
        <item h="1" x="1"/>
        <item h="1" x="0"/>
        <item t="default"/>
      </items>
    </pivotField>
    <pivotField showAll="0"/>
    <pivotField showAll="0"/>
    <pivotField dataField="1" showAll="0">
      <items count="29">
        <item x="2"/>
        <item x="22"/>
        <item x="14"/>
        <item x="16"/>
        <item x="24"/>
        <item x="11"/>
        <item x="12"/>
        <item x="13"/>
        <item x="21"/>
        <item x="15"/>
        <item x="19"/>
        <item x="18"/>
        <item x="27"/>
        <item x="25"/>
        <item x="26"/>
        <item x="23"/>
        <item x="1"/>
        <item x="20"/>
        <item x="10"/>
        <item x="6"/>
        <item x="4"/>
        <item x="8"/>
        <item x="17"/>
        <item x="0"/>
        <item x="9"/>
        <item x="3"/>
        <item x="5"/>
        <item x="7"/>
        <item t="default"/>
      </items>
    </pivotField>
    <pivotField showAll="0"/>
    <pivotField showAll="0"/>
    <pivotField dataField="1" showAll="0"/>
  </pivotFields>
  <rowFields count="1">
    <field x="7"/>
  </rowFields>
  <rowItems count="2"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Importation déclarée par les pays partenaires" fld="10" baseField="0" baseItem="0"/>
    <dataField name="Exportation déclarée par le Sénégal" fld="3" baseField="0" baseItem="0"/>
    <dataField name="Ecart entre les déclarations (EMAPE non déclarée)" fld="13" baseField="0" baseItem="0"/>
  </dataFields>
  <chartFormats count="2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1"/>
          </reference>
          <reference field="7" count="1" selected="0">
            <x v="4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2"/>
          </reference>
          <reference field="7" count="1" selected="0">
            <x v="4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2"/>
          </reference>
          <reference field="7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1"/>
          </reference>
          <reference field="7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7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49901B-790C-41E8-BBD1-5A1A913EB65C}" name="Tableau croisé dynamique6" cacheId="3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10">
  <location ref="A72:D74" firstHeaderRow="0" firstDataRow="1" firstDataCol="1"/>
  <pivotFields count="14"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6">
        <item h="1" x="4"/>
        <item h="1" x="3"/>
        <item x="2"/>
        <item h="1" x="1"/>
        <item h="1" x="0"/>
        <item t="default"/>
      </items>
    </pivotField>
    <pivotField showAll="0"/>
    <pivotField showAll="0"/>
    <pivotField dataField="1" showAll="0">
      <items count="29">
        <item x="2"/>
        <item x="22"/>
        <item x="14"/>
        <item x="16"/>
        <item x="24"/>
        <item x="11"/>
        <item x="12"/>
        <item x="13"/>
        <item x="21"/>
        <item x="15"/>
        <item x="19"/>
        <item x="18"/>
        <item x="27"/>
        <item x="25"/>
        <item x="26"/>
        <item x="23"/>
        <item x="1"/>
        <item x="20"/>
        <item x="10"/>
        <item x="6"/>
        <item x="4"/>
        <item x="8"/>
        <item x="17"/>
        <item x="0"/>
        <item x="9"/>
        <item x="3"/>
        <item x="5"/>
        <item x="7"/>
        <item t="default"/>
      </items>
    </pivotField>
    <pivotField showAll="0"/>
    <pivotField showAll="0"/>
    <pivotField dataField="1" showAll="0"/>
  </pivotFields>
  <rowFields count="1">
    <field x="7"/>
  </rowFields>
  <rowItems count="2"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Importation déclarée par les pays partenaires" fld="10" baseField="0" baseItem="0"/>
    <dataField name="Exportation déclarée par le Sénégal" fld="3" baseField="0" baseItem="0"/>
    <dataField name="Ecart entre les déclarations (EMAPE non déclarée)" fld="13" baseField="0" baseItem="0"/>
  </dataFields>
  <chartFormats count="2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1"/>
          </reference>
          <reference field="7" count="1" selected="0">
            <x v="4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2"/>
          </reference>
          <reference field="7" count="1" selected="0">
            <x v="4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2"/>
          </reference>
          <reference field="7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1"/>
          </reference>
          <reference field="7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7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237246-6BA1-4B35-BB66-4400F726FE22}" name="Tableau croisé dynamique2" cacheId="0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>
  <location ref="A3:C12" firstHeaderRow="0" firstDataRow="1" firstDataCol="1"/>
  <pivotFields count="70">
    <pivotField showAll="0"/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dataField="1" numFmtId="166" showAll="0"/>
    <pivotField dataField="1" numFmtId="167" showAll="0"/>
    <pivotField numFmtId="167" showAll="0"/>
    <pivotField showAll="0"/>
    <pivotField numFmtId="167" showAll="0"/>
    <pivotField showAll="0"/>
    <pivotField numFmtId="167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3" showAll="0"/>
    <pivotField showAll="0"/>
    <pivotField showAll="0"/>
    <pivotField showAll="0"/>
    <pivotField numFmtId="43" showAll="0"/>
    <pivotField showAll="0"/>
    <pivotField numFmtId="43" showAll="0"/>
    <pivotField showAll="0"/>
    <pivotField showAll="0"/>
    <pivotField showAll="0"/>
    <pivotField showAll="0"/>
    <pivotField numFmtId="4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3" showAll="0"/>
    <pivotField showAll="0"/>
    <pivotField numFmtId="43" showAll="0"/>
    <pivotField showAll="0"/>
    <pivotField showAll="0"/>
    <pivotField showAll="0"/>
    <pivotField showAll="0"/>
    <pivotField showAll="0"/>
    <pivotField showAll="0"/>
    <pivotField numFmtId="168" showAll="0"/>
    <pivotField showAll="0"/>
    <pivotField showAll="0"/>
    <pivotField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omme de Production vendue (Tonne)" fld="2" baseField="0" baseItem="0"/>
    <dataField name="Somme de Valeur marchande (FCFA)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refYear1" xr10:uid="{514B065E-A91F-4388-BDC9-227EC01C5A76}" sourceName="refYear">
  <extLst>
    <x:ext xmlns:x15="http://schemas.microsoft.com/office/spreadsheetml/2010/11/main" uri="{2F2917AC-EB37-4324-AD4E-5DD8C200BD13}">
      <x15:tableSlicerCache tableId="1" column="4"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reporterDesc1" xr10:uid="{8F248916-A6DD-498A-B072-5F0D64A892A6}" sourceName="reporterDesc">
  <extLst>
    <x:ext xmlns:x15="http://schemas.microsoft.com/office/spreadsheetml/2010/11/main" uri="{2F2917AC-EB37-4324-AD4E-5DD8C200BD13}">
      <x15:tableSlicerCache tableId="1" column="9"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partnerDesc1" xr10:uid="{09EEC949-764B-4747-B27D-755AAC72F5ED}" sourceName="partnerDesc">
  <extLst>
    <x:ext xmlns:x15="http://schemas.microsoft.com/office/spreadsheetml/2010/11/main" uri="{2F2917AC-EB37-4324-AD4E-5DD8C200BD13}">
      <x15:tableSlicerCache tableId="1" column="14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fYear 1" xr10:uid="{5E2C3D26-17C4-4C67-AE68-B9C783A7B088}" cache="Segment_refYear1" caption="refYear" rowHeight="241300"/>
  <slicer name="reporterDesc 1" xr10:uid="{87FE4527-45D0-4927-92DA-BF3CA061132B}" cache="Segment_reporterDesc1" caption="reporterDesc" rowHeight="241300"/>
  <slicer name="partnerDesc 1" xr10:uid="{6CC1CDCD-2C61-4C1E-B2A4-D3E060C9D0A3}" cache="Segment_partnerDesc1" caption="partnerDesc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12731B3-C543-495F-BD7E-B0E36BE4D4B0}" name="Tableau2" displayName="Tableau2" ref="A1:BM72" totalsRowShown="0" headerRowCellStyle="Normal 2" dataCellStyle="Normal 2">
  <autoFilter ref="A1:BM72" xr:uid="{D12731B3-C543-495F-BD7E-B0E36BE4D4B0}"/>
  <tableColumns count="65">
    <tableColumn id="1" xr3:uid="{525062E4-B176-4130-AD2A-65564DA044A0}" name="typeCode" dataCellStyle="Normal 2"/>
    <tableColumn id="2" xr3:uid="{E3DA10FA-85AD-4DC8-954B-F9AC725D9AD9}" name="freqCode" dataCellStyle="Normal 2"/>
    <tableColumn id="3" xr3:uid="{B3164E85-2DB4-40F2-9970-BB2B5F9164C0}" name="refPeriodId" dataCellStyle="Normal 2"/>
    <tableColumn id="4" xr3:uid="{508B6868-680C-43E3-810D-C56A9A79C0BD}" name="refYear" dataCellStyle="Normal 2"/>
    <tableColumn id="5" xr3:uid="{F6CE6F95-DD07-4C36-A319-AD9D10C766FC}" name="refMonth" dataCellStyle="Normal 2"/>
    <tableColumn id="6" xr3:uid="{6CBDADE9-7CC2-42DB-9842-0B7D49FC35E7}" name="period" dataCellStyle="Normal 2"/>
    <tableColumn id="7" xr3:uid="{573444F9-D2DE-464D-BBAE-B0ED5E6BADA5}" name="reporterCode" dataCellStyle="Normal 2"/>
    <tableColumn id="8" xr3:uid="{8A31AB5A-AF66-4348-B042-6580AFFDAB2A}" name="reporterISO" dataCellStyle="Normal 2"/>
    <tableColumn id="9" xr3:uid="{47D27AA4-02D4-4FAC-8C84-A1A80E95E0F9}" name="reporterDesc" dataCellStyle="Normal 2"/>
    <tableColumn id="10" xr3:uid="{AD0C17A3-BD68-4179-BC18-B6960E4C2DDC}" name="flowCode" dataCellStyle="Normal 2"/>
    <tableColumn id="11" xr3:uid="{4C333E53-52B4-4FE8-BD8B-0DD3B1E66FBA}" name="flowDesc" dataCellStyle="Normal 2"/>
    <tableColumn id="12" xr3:uid="{F046064D-A76B-4116-9C06-6499C5375825}" name="partnerCode" dataCellStyle="Normal 2"/>
    <tableColumn id="13" xr3:uid="{D3BE3A6C-578A-4C6C-A713-98E2B32E8437}" name="partnerISO" dataCellStyle="Normal 2"/>
    <tableColumn id="14" xr3:uid="{81186461-4C88-46E9-9FBD-04180EA10E7F}" name="partnerDesc" dataCellStyle="Normal 2"/>
    <tableColumn id="15" xr3:uid="{B9FC04CB-E398-418B-B22A-540D2FB82BB6}" name="classificationCode" dataCellStyle="Normal 2"/>
    <tableColumn id="16" xr3:uid="{600A06DD-1266-46BF-8969-8C3EDA4B73B1}" name="classificationSearchCode" dataCellStyle="Normal 2"/>
    <tableColumn id="17" xr3:uid="{15AD573C-8AC4-48BE-8313-042AB8665AF5}" name="isOriginalClassification" dataCellStyle="Normal 2"/>
    <tableColumn id="18" xr3:uid="{A9E854E0-4AD2-4CA8-A1AF-796DE8922BB3}" name="cmdCode" dataCellStyle="Normal 2"/>
    <tableColumn id="19" xr3:uid="{53169327-220C-4221-AB5D-16F2EFE7996D}" name="cmdDesc" dataCellStyle="Normal 2"/>
    <tableColumn id="20" xr3:uid="{B278D7A8-4C7A-44E7-855F-D8C45DAACCA3}" name="aggrLevel" dataCellStyle="Normal 2"/>
    <tableColumn id="21" xr3:uid="{D1DD673D-DBB6-437A-AAC5-15466BC97A9C}" name="isLeaf" dataCellStyle="Normal 2"/>
    <tableColumn id="22" xr3:uid="{ABCFD65E-7AFF-496E-A823-54BD0AFB6139}" name="customsCode" dataCellStyle="Normal 2"/>
    <tableColumn id="23" xr3:uid="{1A95F311-2F60-4780-9B1A-EADB741CE535}" name="customsDesc" dataCellStyle="Normal 2"/>
    <tableColumn id="24" xr3:uid="{00DC351C-C61F-436D-B8C9-2731D7FA2AA4}" name="mosCode" dataCellStyle="Normal 2"/>
    <tableColumn id="25" xr3:uid="{1FAF604A-1BC1-4EDE-BFC5-CD365FFE48B0}" name="motCode" dataCellStyle="Normal 2"/>
    <tableColumn id="26" xr3:uid="{AFA35C80-7B19-46B9-AD80-8283628C3A52}" name="motDesc" dataCellStyle="Normal 2"/>
    <tableColumn id="27" xr3:uid="{DCAA7948-CFD0-4CFA-B0AD-FC261000F7B9}" name="qtyUnitCode" dataCellStyle="Normal 2"/>
    <tableColumn id="28" xr3:uid="{CDD3A56A-3619-4BAA-94A1-F5C6768747AF}" name="qtyUnitAbbr" dataCellStyle="Normal 2"/>
    <tableColumn id="29" xr3:uid="{9E2C471B-1ABD-4B35-BAF0-9D768CAC0026}" name="mirrorQtyUnitCode" dataCellStyle="Normal 2"/>
    <tableColumn id="30" xr3:uid="{EDBE02C4-6E7B-474D-B2BC-753487C882C5}" name="mirrorQtyUnitAbbr" dataCellStyle="Normal 2"/>
    <tableColumn id="31" xr3:uid="{B9AFB82D-1FEB-4330-854D-91B949B31DBA}" name="mirror2QtyUnitCode" dataCellStyle="Normal 2"/>
    <tableColumn id="32" xr3:uid="{42223F2F-54A4-4E9D-B32A-6C48FC561A3F}" name="mirror2QtyUnitAbbr" dataCellStyle="Normal 2"/>
    <tableColumn id="33" xr3:uid="{D810BC17-07D0-4F93-A4AE-2B86E08BF9E8}" name="qty" dataCellStyle="Normal 2"/>
    <tableColumn id="34" xr3:uid="{A1A47F49-B7E6-456F-AF15-DEA325401326}" name="mirrorQty" dataCellStyle="Normal 2"/>
    <tableColumn id="35" xr3:uid="{47C54C2B-93C6-47D0-8C7E-27A495EA2B3A}" name="mirror2Qty" dataCellStyle="Normal 2"/>
    <tableColumn id="36" xr3:uid="{97AD7F1C-3A6C-400C-BE26-BE1A8897A0B0}" name="isQtyEstimated" dataCellStyle="Normal 2"/>
    <tableColumn id="37" xr3:uid="{F6426225-A3A9-478D-A3C1-B3EAFD023A45}" name="altQtyUnitCode" dataCellStyle="Normal 2"/>
    <tableColumn id="38" xr3:uid="{1D0AC077-68D2-49F4-B809-3960128BE51C}" name="altQtyUnitAbbr" dataCellStyle="Normal 2"/>
    <tableColumn id="39" xr3:uid="{7AB91508-B862-46B4-B38A-C4835C2F6F26}" name="altQty" dataCellStyle="Normal 2"/>
    <tableColumn id="40" xr3:uid="{B313A51A-4555-4B76-ADB0-08679DD07A6F}" name="mirrorAltQtyUnitCode" dataCellStyle="Normal 2"/>
    <tableColumn id="41" xr3:uid="{B6A90BD2-2DAB-453B-BD9E-FA93B6C68A68}" name="mirrorAltQtyUnitAbbr" dataCellStyle="Normal 2"/>
    <tableColumn id="42" xr3:uid="{DBD0C9C5-2069-4784-B838-D574D5FA0950}" name="mirror2AltQtyUnitCode" dataCellStyle="Normal 2"/>
    <tableColumn id="43" xr3:uid="{BAF975AD-F8EE-4506-B91E-511F2B65E4F0}" name="mirror2AltQtyUnitAbbr" dataCellStyle="Normal 2"/>
    <tableColumn id="44" xr3:uid="{353D4B54-3CB5-4709-BA0E-75BAA274A7AE}" name="mirrorAltQty" dataCellStyle="Normal 2"/>
    <tableColumn id="45" xr3:uid="{6645195B-DDB9-435D-843C-D2A1681462B1}" name="mirror2AltQty" dataCellStyle="Normal 2"/>
    <tableColumn id="46" xr3:uid="{8991E981-2C08-4368-903F-8ECA70F3E10D}" name="isAltQtyEstimated" dataCellStyle="Normal 2"/>
    <tableColumn id="47" xr3:uid="{927142FA-EB45-4199-91B3-5EFDF6A414B2}" name="netWgt" dataCellStyle="Normal 2"/>
    <tableColumn id="48" xr3:uid="{3A8968C0-89B4-4802-A44B-DDAAE2B2BDBA}" name="mirrorNetWgt" dataCellStyle="Normal 2"/>
    <tableColumn id="49" xr3:uid="{AED5198B-D3B2-40D4-8182-AA0F4AC20FE9}" name="mirror2NetWgt" dataCellStyle="Normal 2"/>
    <tableColumn id="50" xr3:uid="{E3D4E3A1-5CBB-43A4-A7D5-1ACC400B20AA}" name="isNetWgtEstimated" dataCellStyle="Normal 2"/>
    <tableColumn id="51" xr3:uid="{8E24EFF2-4031-4BB1-A228-34E3277B873A}" name="grossWgt" dataCellStyle="Normal 2"/>
    <tableColumn id="52" xr3:uid="{5099B2B4-E144-4014-9B05-F1F33CCF4B9C}" name="mirrorGrossWgt" dataCellStyle="Normal 2"/>
    <tableColumn id="53" xr3:uid="{0D411032-09E9-44F7-90D4-477E4E25CEB6}" name="mirror2GrossWgt" dataCellStyle="Normal 2"/>
    <tableColumn id="54" xr3:uid="{0DA81442-B60E-433F-9135-8663E93C9D84}" name="isGrossWgtEstimated" dataCellStyle="Normal 2"/>
    <tableColumn id="55" xr3:uid="{7559F88B-4F6B-45E4-920D-3D055CC2D607}" name="cifvalue" dataCellStyle="Normal 2"/>
    <tableColumn id="56" xr3:uid="{7E0C7A7A-6742-4A54-9B5B-7C2A15AF2398}" name="fobvalue" dataCellStyle="Normal 2"/>
    <tableColumn id="57" xr3:uid="{4B9E142A-B36C-4429-88BE-8700F7ADE7BF}" name="primaryValue" dataCellStyle="Normal 2"/>
    <tableColumn id="58" xr3:uid="{E2BBDFF2-DE2A-4BE2-93B1-8DA8B25DF553}" name="isExtendedPartnerCode" dataCellStyle="Normal 2"/>
    <tableColumn id="59" xr3:uid="{B0D92864-5680-4617-BFA1-DDEA008BFC1B}" name="mirrorPrimaryValue" dataCellStyle="Normal 2"/>
    <tableColumn id="60" xr3:uid="{6D1AF4EE-25E4-4FFB-AD98-2F11390676AF}" name="primaryValueDisc" dataCellStyle="Normal 2"/>
    <tableColumn id="61" xr3:uid="{9D49F5A4-7C2F-45C8-AEC3-9FADA48290C9}" name="mirror2PrimaryValue" dataCellStyle="Normal 2"/>
    <tableColumn id="62" xr3:uid="{5DF7A80E-7549-47A3-B68D-3F118F78C1B0}" name="isExtendedPartner2Code" dataCellStyle="Normal 2"/>
    <tableColumn id="63" xr3:uid="{E7C28C7F-7343-4746-ACA2-961B303715C9}" name="legacyEstimationFlag" dataCellStyle="Normal 2"/>
    <tableColumn id="64" xr3:uid="{D7B2FB4D-ED3C-419F-85CE-E90D7DB850C9}" name="isReported" dataCellStyle="Normal 2"/>
    <tableColumn id="65" xr3:uid="{04AE8D26-0AA4-4A0A-AD50-8DAA38C0F854}" name="isAggregate" dataCellStyle="Normal 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A7E36F1-82B3-4005-831A-E4D0576C53EF}" name="Tableau3" displayName="Tableau3" ref="N1:W16" totalsRowShown="0" dataDxfId="23">
  <autoFilter ref="N1:W16" xr:uid="{BA7E36F1-82B3-4005-831A-E4D0576C53EF}"/>
  <tableColumns count="10">
    <tableColumn id="1" xr3:uid="{0484DB5C-E410-44E7-860B-2C614C8DDD9B}" name="Substance" dataDxfId="22"/>
    <tableColumn id="2" xr3:uid="{65FF9445-D106-43A4-8170-CADBCC83C82F}" name="Opérateur " dataDxfId="21"/>
    <tableColumn id="3" xr3:uid="{428198BB-0375-4E67-B148-77F7F0FD4A2D}" name="Projet" dataDxfId="20"/>
    <tableColumn id="4" xr3:uid="{58114822-3EDA-46B3-8EAF-7981EC722E96}" name="Pays_x000a_destinataire" dataDxfId="19"/>
    <tableColumn id="5" xr3:uid="{0F68DC15-0C06-4DED-BFD5-99210991CFDD}" name="Unité" dataDxfId="18"/>
    <tableColumn id="6" xr3:uid="{BCAB3D6C-6CA8-4102-B1A1-8BC2FBB6FAF0}" name="Poids" dataDxfId="3">
      <calculatedColumnFormula>F2/$L$4</calculatedColumnFormula>
    </tableColumn>
    <tableColumn id="7" xr3:uid="{7DDC1E10-B86E-48DD-BB6F-74B78174D2ED}" name="Valeur_x000a_Total FCFA" dataDxfId="17" dataCellStyle="Milliers"/>
    <tableColumn id="8" xr3:uid="{E30AED77-E5CB-44BC-BE30-F1180E903EFC}" name="Valeur_x000a_Total USD (**)" dataDxfId="16"/>
    <tableColumn id="9" xr3:uid="{DECF64AE-2266-44D0-94C2-70F92A5AF093}" name="cours moyen annuel" dataDxfId="15"/>
    <tableColumn id="10" xr3:uid="{FC1D31B0-1BAD-44D4-A99A-0507720AFE9B}" name="Année" dataDxfId="1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DFA4C31-E902-4D72-B37D-3064625FEAC5}" name="Tableau4" displayName="Tableau4" ref="J1:O28" totalsRowShown="0" headerRowDxfId="13" headerRowBorderDxfId="12" tableBorderDxfId="11" totalsRowBorderDxfId="10" headerRowCellStyle="Normal 2">
  <autoFilter ref="J1:O28" xr:uid="{FDFA4C31-E902-4D72-B37D-3064625FEAC5}"/>
  <tableColumns count="6">
    <tableColumn id="1" xr3:uid="{30DBB581-296B-4176-B409-8A8044F495E5}" name="period" dataDxfId="9" dataCellStyle="Normal 2"/>
    <tableColumn id="2" xr3:uid="{093157C0-BAAE-417F-BFE4-A6235C20D205}" name="reporterDesc" dataDxfId="8" dataCellStyle="Normal 2"/>
    <tableColumn id="3" xr3:uid="{E6D35BF1-E3DD-4B68-A3D9-3CDB013B4EAF}" name="qtyUnitAbbr" dataDxfId="7" dataCellStyle="Normal 2"/>
    <tableColumn id="4" xr3:uid="{086F1833-2A63-4459-A09A-0072C51ADB8B}" name="qty" dataDxfId="6" dataCellStyle="Normal 2">
      <calculatedColumnFormula>D2/$H$2</calculatedColumnFormula>
    </tableColumn>
    <tableColumn id="5" xr3:uid="{B20B5318-B42D-4E05-8E1D-700A22BAFE77}" name="cifvalue" dataDxfId="5" dataCellStyle="Normal 2"/>
    <tableColumn id="6" xr3:uid="{08F03570-4497-4166-9467-829903A29D2C}" name="primaryValue" dataDxfId="4" dataCellStyle="Normal 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94BBCE-684E-40BD-BF02-E51C55461C06}" name="Tableau1" displayName="Tableau1" ref="A1:BM61" totalsRowShown="0">
  <autoFilter ref="A1:BM61" xr:uid="{4736E301-2539-4261-B59E-0842E52F0A7F}">
    <filterColumn colId="5">
      <filters>
        <filter val="2020"/>
        <filter val="2021"/>
        <filter val="2022"/>
        <filter val="2023"/>
        <filter val="2024"/>
      </filters>
    </filterColumn>
  </autoFilter>
  <tableColumns count="65">
    <tableColumn id="1" xr3:uid="{96157F2C-EDDB-412E-B7F5-CCE4F9DC0692}" name="typeCode"/>
    <tableColumn id="2" xr3:uid="{8B19A3AF-B655-4C8B-A96C-610AB49BE848}" name="freqCode"/>
    <tableColumn id="3" xr3:uid="{B0234558-3670-4096-B30C-1B1843F450C3}" name="refPeriodId"/>
    <tableColumn id="4" xr3:uid="{747DE861-DF9B-4976-AD30-1D7B0705A3FB}" name="refYear"/>
    <tableColumn id="5" xr3:uid="{0D4CB00D-E453-40C3-BB71-384CD139787C}" name="refMonth"/>
    <tableColumn id="6" xr3:uid="{5AAE4105-FC1D-4D03-A359-737E6911BFE2}" name="period"/>
    <tableColumn id="7" xr3:uid="{EF65F746-5266-48BE-ADE9-7512C6B18C24}" name="reporterCode"/>
    <tableColumn id="8" xr3:uid="{3F7D5895-ED6A-44E5-A2A4-D1F1D2C6D982}" name="reporterISO"/>
    <tableColumn id="9" xr3:uid="{8407D981-34BA-4A8F-AC1B-4DD813068494}" name="reporterDesc"/>
    <tableColumn id="10" xr3:uid="{46C2046F-4D65-4E75-B71E-53479C101B23}" name="flowCode"/>
    <tableColumn id="11" xr3:uid="{6E98BDE5-F878-4611-824E-324787805E15}" name="flowDesc"/>
    <tableColumn id="12" xr3:uid="{6D0A6EC0-8FB8-4F4F-94C4-2C337EFF6F07}" name="partnerCode"/>
    <tableColumn id="13" xr3:uid="{0CDF4B51-0AED-402B-AEF7-0CA0A8165325}" name="partnerISO"/>
    <tableColumn id="14" xr3:uid="{BBD4B8F9-32A1-4FCE-BB08-84010EB1496C}" name="partnerDesc"/>
    <tableColumn id="15" xr3:uid="{5BA5423D-31A2-4C16-822A-F8A17AC95C76}" name="classificationCode"/>
    <tableColumn id="16" xr3:uid="{7A421012-DF1C-4F8B-814F-B6BAC9A6CA53}" name="classificationSearchCode"/>
    <tableColumn id="17" xr3:uid="{1B58175E-87F2-4AFA-B6AD-CE4135BF5D88}" name="isOriginalClassification"/>
    <tableColumn id="18" xr3:uid="{B22DE00B-3211-401B-A378-01FB62F9E79D}" name="cmdCode"/>
    <tableColumn id="19" xr3:uid="{6534D255-E0F4-41E2-8384-DF78F382BCF1}" name="cmdDesc"/>
    <tableColumn id="20" xr3:uid="{3E170AA1-7857-4A7C-96EA-6923FA506094}" name="aggrLevel"/>
    <tableColumn id="21" xr3:uid="{00B94D21-39F9-4C52-B7E9-984B93F4B766}" name="isLeaf"/>
    <tableColumn id="22" xr3:uid="{2DD67BA8-7055-45A8-A816-0ECA205B61CC}" name="customsCode"/>
    <tableColumn id="23" xr3:uid="{12C71239-170A-4A97-AEA1-B5AD5DD07DB2}" name="customsDesc"/>
    <tableColumn id="24" xr3:uid="{27A7D714-918E-4DBF-B4CB-142F6824C1EC}" name="mosCode"/>
    <tableColumn id="25" xr3:uid="{D3BD39E5-A7BD-4E7D-AF8A-3708974A150E}" name="motCode"/>
    <tableColumn id="26" xr3:uid="{587430D7-924A-4320-8D8F-F84F63CA37E3}" name="motDesc"/>
    <tableColumn id="27" xr3:uid="{E75A77AB-ECCE-4915-9C22-1DC8717384FB}" name="qtyUnitCode"/>
    <tableColumn id="28" xr3:uid="{039C8708-293C-4382-9159-B1C1BC000237}" name="qtyUnitAbbr"/>
    <tableColumn id="29" xr3:uid="{523FF69F-FE17-4790-AA27-D0FEAD2D0DFC}" name="mirrorQtyUnitCode"/>
    <tableColumn id="30" xr3:uid="{B4C0DC0C-1FF5-44FA-86D9-452B78764640}" name="mirrorQtyUnitAbbr"/>
    <tableColumn id="31" xr3:uid="{949FF2E2-E925-4B55-9E3E-C324579C977E}" name="mirror2QtyUnitCode"/>
    <tableColumn id="32" xr3:uid="{5668C43B-7580-4A7A-B782-5DD0CB135176}" name="mirror2QtyUnitAbbr"/>
    <tableColumn id="33" xr3:uid="{58978380-A3A2-4FA7-BA26-D9342C4F65C5}" name="qty"/>
    <tableColumn id="34" xr3:uid="{E153D187-5765-4041-8EB0-9B3F6F0C441F}" name="mirrorQty"/>
    <tableColumn id="35" xr3:uid="{CD39FB33-3D35-4907-8ED4-4F65BF80ACDB}" name="mirror2Qty"/>
    <tableColumn id="36" xr3:uid="{FF9DAACA-F79A-43C8-9B92-8AD4D0B5D4F9}" name="isQtyEstimated"/>
    <tableColumn id="37" xr3:uid="{FC6D1BDA-251A-4867-A1B8-4CC5A205B5FC}" name="altQtyUnitCode"/>
    <tableColumn id="38" xr3:uid="{326A3F25-9285-4C8B-943F-FF437642A078}" name="altQtyUnitAbbr"/>
    <tableColumn id="39" xr3:uid="{FE74F0DF-E3CC-4DAF-B95D-97C9772E93E9}" name="altQty"/>
    <tableColumn id="40" xr3:uid="{9F0E08BD-8554-40C5-91DF-F3DD3552D1FD}" name="mirrorAltQtyUnitCode"/>
    <tableColumn id="41" xr3:uid="{92A48E3A-AAA5-4F5A-81DE-8BB633177E96}" name="mirrorAltQtyUnitAbbr"/>
    <tableColumn id="42" xr3:uid="{A1D18D94-6E5F-422A-A74B-5F8A3A697593}" name="mirror2AltQtyUnitCode"/>
    <tableColumn id="43" xr3:uid="{48A3BE38-3499-49A8-A0C5-861AE9F3B686}" name="mirror2AltQtyUnitAbbr"/>
    <tableColumn id="44" xr3:uid="{F79B0FF2-27B6-406C-9C5B-C4A6F25A7822}" name="mirrorAltQty"/>
    <tableColumn id="45" xr3:uid="{27741036-763E-40C0-A24D-29BF517C4CA6}" name="mirror2AltQty"/>
    <tableColumn id="46" xr3:uid="{52474D61-BA63-45C0-890D-2F2CD1FADD29}" name="isAltQtyEstimated"/>
    <tableColumn id="47" xr3:uid="{68082726-BB34-4CFA-9739-D8D1E5B4163F}" name="netWgt"/>
    <tableColumn id="48" xr3:uid="{4983D3F7-BD7A-490A-827F-8A38EA8B2798}" name="mirrorNetWgt"/>
    <tableColumn id="49" xr3:uid="{5D0CE2C4-1822-40C5-844D-90FFC0D7646B}" name="mirror2NetWgt"/>
    <tableColumn id="50" xr3:uid="{7B47F46E-7B7C-434F-AE2D-4A7D28422149}" name="isNetWgtEstimated"/>
    <tableColumn id="51" xr3:uid="{06D5C870-8916-4E81-9F80-486A7D16A453}" name="grossWgt"/>
    <tableColumn id="52" xr3:uid="{257028A9-A059-4992-B9B8-FE2546E04CA8}" name="mirrorGrossWgt"/>
    <tableColumn id="53" xr3:uid="{99CF8C53-9CA3-4BBC-9A8D-2AFCD32D3ADD}" name="mirror2GrossWgt"/>
    <tableColumn id="54" xr3:uid="{B4907951-20E5-44E8-9FCF-305E90F714B9}" name="isGrossWgtEstimated"/>
    <tableColumn id="55" xr3:uid="{089BCD64-8FBA-41B0-9185-7806561E3502}" name="cifvalue"/>
    <tableColumn id="56" xr3:uid="{D0FE8171-5316-4647-98DF-2A3D39581AEA}" name="fobvalue"/>
    <tableColumn id="57" xr3:uid="{6EDE520F-A088-4112-8196-000D54BA4894}" name="primaryValue"/>
    <tableColumn id="58" xr3:uid="{E9EB37FD-FD69-4CF0-90D0-16CD8B5C12BE}" name="isExtendedPartnerCode"/>
    <tableColumn id="59" xr3:uid="{F6329620-C804-4D8B-BC47-609DBA3B9438}" name="mirrorPrimaryValue"/>
    <tableColumn id="60" xr3:uid="{D2225A5E-D3C3-42E2-BEB1-8D414AC4AD93}" name="primaryValueDisc"/>
    <tableColumn id="61" xr3:uid="{6FDE4783-D7AB-4106-A7FB-6507E042D225}" name="mirror2PrimaryValue"/>
    <tableColumn id="62" xr3:uid="{24DA8D28-6176-4966-B57A-6B2CB0FF5FA3}" name="isExtendedPartner2Code"/>
    <tableColumn id="63" xr3:uid="{F63B5554-D761-4DE4-B0C4-DAB7BBB0F630}" name="legacyEstimationFlag"/>
    <tableColumn id="64" xr3:uid="{05EEEA5D-56CF-4BEC-B91B-8AB3165DC8B6}" name="isReported"/>
    <tableColumn id="65" xr3:uid="{B473EAD7-D47A-4E9C-BDB9-10B1380EECD2}" name="isAggregat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Yu Gothic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Yu Gothic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Yu Gothic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Yu Gothic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Yu Gothic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Yu Gothic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Yu Gothic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Yu Gothic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table" Target="../tables/table4.xml"/><Relationship Id="rId1" Type="http://schemas.openxmlformats.org/officeDocument/2006/relationships/drawing" Target="../drawings/drawing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6BBDE-44DA-49DE-A25B-670EA81F6823}">
  <dimension ref="A1:K16"/>
  <sheetViews>
    <sheetView showOutlineSymbols="0" defaultGridColor="0" workbookViewId="0"/>
  </sheetViews>
  <sheetFormatPr baseColWidth="10" defaultColWidth="8.7265625" defaultRowHeight="21.75"/>
  <cols>
    <col min="6" max="6" width="11.81640625" bestFit="1" customWidth="1"/>
  </cols>
  <sheetData>
    <row r="1" spans="1:11" s="178" customFormat="1">
      <c r="A1" s="178" t="s">
        <v>660</v>
      </c>
      <c r="B1" s="178" t="s">
        <v>719</v>
      </c>
      <c r="C1" s="178" t="s">
        <v>662</v>
      </c>
      <c r="D1" s="178" t="s">
        <v>720</v>
      </c>
      <c r="E1" s="178" t="s">
        <v>276</v>
      </c>
      <c r="F1" s="178" t="s">
        <v>664</v>
      </c>
      <c r="G1" s="178" t="s">
        <v>721</v>
      </c>
      <c r="H1" s="178" t="s">
        <v>722</v>
      </c>
      <c r="I1" s="178" t="s">
        <v>716</v>
      </c>
      <c r="J1" s="178" t="s">
        <v>84</v>
      </c>
      <c r="K1" s="178" t="s">
        <v>723</v>
      </c>
    </row>
    <row r="2" spans="1:11">
      <c r="A2" t="s">
        <v>333</v>
      </c>
      <c r="B2" t="s">
        <v>70</v>
      </c>
      <c r="C2" t="s">
        <v>336</v>
      </c>
      <c r="D2" t="s">
        <v>338</v>
      </c>
      <c r="E2" t="s">
        <v>717</v>
      </c>
      <c r="F2">
        <v>3.265895818915578</v>
      </c>
      <c r="G2">
        <v>176892827875</v>
      </c>
      <c r="H2">
        <v>254705218</v>
      </c>
      <c r="I2">
        <v>1.6547367049999999</v>
      </c>
      <c r="J2">
        <v>2024</v>
      </c>
      <c r="K2" t="s">
        <v>338</v>
      </c>
    </row>
    <row r="3" spans="1:11">
      <c r="A3" t="s">
        <v>333</v>
      </c>
      <c r="B3" t="s">
        <v>72</v>
      </c>
      <c r="C3" t="s">
        <v>532</v>
      </c>
      <c r="D3" t="s">
        <v>534</v>
      </c>
      <c r="E3" t="s">
        <v>717</v>
      </c>
      <c r="F3">
        <v>3.6210041756413149</v>
      </c>
      <c r="G3">
        <v>171988995312</v>
      </c>
      <c r="H3">
        <v>287722269</v>
      </c>
      <c r="I3">
        <v>1.6547367049999999</v>
      </c>
      <c r="J3">
        <v>2024</v>
      </c>
      <c r="K3" t="s">
        <v>534</v>
      </c>
    </row>
    <row r="4" spans="1:11">
      <c r="A4" t="s">
        <v>333</v>
      </c>
      <c r="B4" t="s">
        <v>70</v>
      </c>
      <c r="C4" t="s">
        <v>336</v>
      </c>
      <c r="D4" t="s">
        <v>191</v>
      </c>
      <c r="E4" t="s">
        <v>717</v>
      </c>
      <c r="F4">
        <v>3.7828977551068022</v>
      </c>
      <c r="G4">
        <v>153070817850</v>
      </c>
      <c r="H4">
        <v>292498604</v>
      </c>
      <c r="I4">
        <v>1.6547367049999999</v>
      </c>
      <c r="J4">
        <v>2024</v>
      </c>
      <c r="K4" t="s">
        <v>191</v>
      </c>
    </row>
    <row r="5" spans="1:11">
      <c r="A5" t="s">
        <v>333</v>
      </c>
      <c r="B5" t="s">
        <v>70</v>
      </c>
      <c r="C5" t="s">
        <v>336</v>
      </c>
      <c r="D5" t="s">
        <v>338</v>
      </c>
      <c r="E5" t="s">
        <v>717</v>
      </c>
      <c r="F5">
        <v>8.9794794833713052</v>
      </c>
      <c r="G5">
        <v>344273384269</v>
      </c>
      <c r="H5">
        <v>569681805</v>
      </c>
      <c r="I5">
        <v>1.65</v>
      </c>
      <c r="J5">
        <v>2023</v>
      </c>
      <c r="K5" t="s">
        <v>338</v>
      </c>
    </row>
    <row r="6" spans="1:11">
      <c r="A6" t="s">
        <v>333</v>
      </c>
      <c r="B6" t="s">
        <v>72</v>
      </c>
      <c r="C6" t="s">
        <v>532</v>
      </c>
      <c r="D6" t="s">
        <v>534</v>
      </c>
      <c r="E6" t="s">
        <v>717</v>
      </c>
      <c r="F6">
        <v>3.7308616439740909</v>
      </c>
      <c r="G6">
        <v>138107655558</v>
      </c>
      <c r="H6">
        <v>228531807</v>
      </c>
      <c r="I6">
        <v>1.65</v>
      </c>
      <c r="J6">
        <v>2023</v>
      </c>
      <c r="K6" t="s">
        <v>534</v>
      </c>
    </row>
    <row r="7" spans="1:11">
      <c r="A7" t="s">
        <v>333</v>
      </c>
      <c r="B7" t="s">
        <v>70</v>
      </c>
      <c r="C7" t="s">
        <v>336</v>
      </c>
      <c r="D7" t="s">
        <v>191</v>
      </c>
      <c r="E7" t="s">
        <v>717</v>
      </c>
      <c r="F7">
        <v>0.24882778784320739</v>
      </c>
      <c r="G7">
        <v>9494006760</v>
      </c>
      <c r="H7">
        <v>15710081</v>
      </c>
      <c r="I7">
        <v>1.65</v>
      </c>
      <c r="J7">
        <v>2023</v>
      </c>
      <c r="K7" t="s">
        <v>191</v>
      </c>
    </row>
    <row r="8" spans="1:11">
      <c r="A8" t="s">
        <v>333</v>
      </c>
      <c r="B8" t="s">
        <v>70</v>
      </c>
      <c r="C8" t="s">
        <v>336</v>
      </c>
      <c r="D8" t="s">
        <v>338</v>
      </c>
      <c r="E8" t="s">
        <v>717</v>
      </c>
      <c r="F8">
        <v>11.565639269255</v>
      </c>
      <c r="G8">
        <v>380045730082</v>
      </c>
      <c r="H8">
        <v>611873625.43202007</v>
      </c>
      <c r="I8">
        <v>1.61</v>
      </c>
      <c r="J8">
        <v>2022</v>
      </c>
      <c r="K8" t="s">
        <v>338</v>
      </c>
    </row>
    <row r="9" spans="1:11">
      <c r="A9" t="s">
        <v>333</v>
      </c>
      <c r="B9" t="s">
        <v>72</v>
      </c>
      <c r="C9" t="s">
        <v>532</v>
      </c>
      <c r="D9" t="s">
        <v>534</v>
      </c>
      <c r="E9" t="s">
        <v>717</v>
      </c>
      <c r="F9">
        <v>4.4235695691080297</v>
      </c>
      <c r="G9">
        <v>147954684761</v>
      </c>
      <c r="H9">
        <v>238207042.46520999</v>
      </c>
      <c r="I9">
        <v>1.61</v>
      </c>
      <c r="J9">
        <v>2022</v>
      </c>
      <c r="K9" t="s">
        <v>534</v>
      </c>
    </row>
    <row r="10" spans="1:11">
      <c r="A10" t="s">
        <v>333</v>
      </c>
      <c r="B10" t="s">
        <v>70</v>
      </c>
      <c r="C10" t="s">
        <v>336</v>
      </c>
      <c r="D10" t="s">
        <v>191</v>
      </c>
      <c r="E10" t="s">
        <v>717</v>
      </c>
      <c r="F10">
        <v>0.38235422377393991</v>
      </c>
      <c r="G10">
        <v>12540974385</v>
      </c>
      <c r="H10">
        <v>20190968.759849999</v>
      </c>
      <c r="I10">
        <v>1.61</v>
      </c>
      <c r="J10">
        <v>2022</v>
      </c>
      <c r="K10" t="s">
        <v>191</v>
      </c>
    </row>
    <row r="11" spans="1:11">
      <c r="A11" t="s">
        <v>333</v>
      </c>
      <c r="B11" t="s">
        <v>70</v>
      </c>
      <c r="C11" t="s">
        <v>336</v>
      </c>
      <c r="D11" t="s">
        <v>338</v>
      </c>
      <c r="E11" t="s">
        <v>717</v>
      </c>
      <c r="F11">
        <v>11.879753971524771</v>
      </c>
      <c r="G11">
        <v>381693870501</v>
      </c>
      <c r="H11">
        <v>687048966.90180004</v>
      </c>
      <c r="I11">
        <v>1.8</v>
      </c>
      <c r="J11">
        <v>2021</v>
      </c>
      <c r="K11" t="s">
        <v>338</v>
      </c>
    </row>
    <row r="12" spans="1:11">
      <c r="A12" t="s">
        <v>333</v>
      </c>
      <c r="B12" t="s">
        <v>72</v>
      </c>
      <c r="C12" t="s">
        <v>532</v>
      </c>
      <c r="D12" t="s">
        <v>534</v>
      </c>
      <c r="E12" t="s">
        <v>717</v>
      </c>
      <c r="F12">
        <v>3.993468270569116</v>
      </c>
      <c r="G12">
        <v>123373225492</v>
      </c>
      <c r="H12">
        <v>222071805.8856</v>
      </c>
      <c r="I12">
        <v>1.8</v>
      </c>
      <c r="J12">
        <v>2021</v>
      </c>
      <c r="K12" t="s">
        <v>534</v>
      </c>
    </row>
    <row r="13" spans="1:11">
      <c r="A13" t="s">
        <v>333</v>
      </c>
      <c r="B13" t="s">
        <v>70</v>
      </c>
      <c r="C13" t="s">
        <v>336</v>
      </c>
      <c r="D13" t="s">
        <v>338</v>
      </c>
      <c r="E13" t="s">
        <v>717</v>
      </c>
      <c r="F13">
        <v>6.7771358366445584</v>
      </c>
      <c r="G13">
        <v>220079268751</v>
      </c>
      <c r="H13">
        <v>382937927.62673998</v>
      </c>
      <c r="I13">
        <v>1.74</v>
      </c>
      <c r="J13">
        <v>2020</v>
      </c>
      <c r="K13" t="s">
        <v>338</v>
      </c>
    </row>
    <row r="14" spans="1:11">
      <c r="A14" t="s">
        <v>333</v>
      </c>
      <c r="B14" t="s">
        <v>70</v>
      </c>
      <c r="C14" t="s">
        <v>336</v>
      </c>
      <c r="D14" t="s">
        <v>652</v>
      </c>
      <c r="E14" t="s">
        <v>717</v>
      </c>
      <c r="F14">
        <v>0.26437952458340791</v>
      </c>
      <c r="G14">
        <v>8692666730</v>
      </c>
      <c r="H14">
        <v>15125240.110200001</v>
      </c>
      <c r="I14">
        <v>1.74</v>
      </c>
      <c r="J14">
        <v>2020</v>
      </c>
      <c r="K14" t="s">
        <v>652</v>
      </c>
    </row>
    <row r="15" spans="1:11">
      <c r="A15" t="s">
        <v>333</v>
      </c>
      <c r="B15" t="s">
        <v>72</v>
      </c>
      <c r="C15" t="s">
        <v>532</v>
      </c>
      <c r="D15" t="s">
        <v>338</v>
      </c>
      <c r="E15" t="s">
        <v>717</v>
      </c>
      <c r="F15">
        <v>1.3204979666104211</v>
      </c>
      <c r="G15">
        <v>39522643736</v>
      </c>
      <c r="H15">
        <v>68769400.100639999</v>
      </c>
      <c r="I15">
        <v>1.74</v>
      </c>
      <c r="J15">
        <v>2020</v>
      </c>
      <c r="K15" t="s">
        <v>338</v>
      </c>
    </row>
    <row r="16" spans="1:11">
      <c r="A16" t="s">
        <v>333</v>
      </c>
      <c r="B16" t="s">
        <v>72</v>
      </c>
      <c r="C16" t="s">
        <v>532</v>
      </c>
      <c r="D16" t="s">
        <v>534</v>
      </c>
      <c r="E16" t="s">
        <v>717</v>
      </c>
      <c r="F16">
        <v>3.9922863385768612</v>
      </c>
      <c r="G16">
        <v>117267141286</v>
      </c>
      <c r="H16">
        <v>204044825.83763999</v>
      </c>
      <c r="I16">
        <v>1.74</v>
      </c>
      <c r="J16">
        <v>2020</v>
      </c>
      <c r="K16" t="s">
        <v>534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F08A8-C5D1-4617-970E-A44472C6A3E4}">
  <dimension ref="A1:G28"/>
  <sheetViews>
    <sheetView showOutlineSymbols="0" defaultGridColor="0" workbookViewId="0"/>
  </sheetViews>
  <sheetFormatPr baseColWidth="10" defaultColWidth="8.7265625" defaultRowHeight="21.75"/>
  <sheetData>
    <row r="1" spans="1:7" s="178" customFormat="1">
      <c r="A1" s="178" t="s">
        <v>84</v>
      </c>
      <c r="B1" s="178" t="s">
        <v>130</v>
      </c>
      <c r="C1" s="178" t="s">
        <v>724</v>
      </c>
      <c r="D1" s="178" t="s">
        <v>725</v>
      </c>
      <c r="E1" s="178" t="s">
        <v>726</v>
      </c>
      <c r="F1" s="178" t="s">
        <v>727</v>
      </c>
      <c r="G1" s="178" t="s">
        <v>723</v>
      </c>
    </row>
    <row r="2" spans="1:7">
      <c r="A2">
        <v>2024</v>
      </c>
      <c r="B2" t="s">
        <v>195</v>
      </c>
      <c r="C2" t="s">
        <v>717</v>
      </c>
      <c r="D2">
        <v>3.0426289999999998</v>
      </c>
      <c r="E2">
        <v>201071815.89399999</v>
      </c>
      <c r="F2">
        <v>201071815.89399999</v>
      </c>
      <c r="G2" t="s">
        <v>534</v>
      </c>
    </row>
    <row r="3" spans="1:7">
      <c r="A3">
        <v>2024</v>
      </c>
      <c r="B3" t="s">
        <v>242</v>
      </c>
      <c r="C3" t="s">
        <v>717</v>
      </c>
      <c r="D3">
        <v>1.0012E-2</v>
      </c>
      <c r="E3">
        <v>819980</v>
      </c>
      <c r="F3">
        <v>819980</v>
      </c>
      <c r="G3" t="s">
        <v>728</v>
      </c>
    </row>
    <row r="4" spans="1:7">
      <c r="A4">
        <v>2024</v>
      </c>
      <c r="B4" t="s">
        <v>219</v>
      </c>
      <c r="C4" t="s">
        <v>717</v>
      </c>
      <c r="D4">
        <v>1.0697E-2</v>
      </c>
      <c r="E4">
        <v>676674.71200000006</v>
      </c>
      <c r="F4">
        <v>676674.71200000006</v>
      </c>
      <c r="G4" t="s">
        <v>638</v>
      </c>
    </row>
    <row r="5" spans="1:7">
      <c r="A5">
        <v>2024</v>
      </c>
      <c r="B5" t="s">
        <v>226</v>
      </c>
      <c r="C5" t="s">
        <v>717</v>
      </c>
      <c r="D5">
        <v>8.1029999999999998</v>
      </c>
      <c r="E5">
        <v>548487309.28999996</v>
      </c>
      <c r="F5">
        <v>548487309.28999996</v>
      </c>
      <c r="G5" t="s">
        <v>338</v>
      </c>
    </row>
    <row r="6" spans="1:7">
      <c r="A6">
        <v>2024</v>
      </c>
      <c r="B6" t="s">
        <v>263</v>
      </c>
      <c r="C6" t="s">
        <v>717</v>
      </c>
      <c r="D6">
        <v>0.02</v>
      </c>
      <c r="E6">
        <v>1764637.62</v>
      </c>
      <c r="F6">
        <v>1764637.62</v>
      </c>
      <c r="G6" t="s">
        <v>729</v>
      </c>
    </row>
    <row r="7" spans="1:7">
      <c r="A7">
        <v>2024</v>
      </c>
      <c r="B7" t="s">
        <v>212</v>
      </c>
      <c r="C7" t="s">
        <v>717</v>
      </c>
      <c r="D7">
        <v>1.9989999999999999E-3</v>
      </c>
      <c r="E7">
        <v>99765</v>
      </c>
      <c r="F7">
        <v>99765</v>
      </c>
      <c r="G7" t="s">
        <v>730</v>
      </c>
    </row>
    <row r="8" spans="1:7">
      <c r="A8">
        <v>2023</v>
      </c>
      <c r="B8" t="s">
        <v>195</v>
      </c>
      <c r="C8" t="s">
        <v>717</v>
      </c>
      <c r="D8">
        <v>3.7972039999999998</v>
      </c>
      <c r="E8">
        <v>230374640.12099999</v>
      </c>
      <c r="F8">
        <v>230374640.12099999</v>
      </c>
      <c r="G8" t="s">
        <v>534</v>
      </c>
    </row>
    <row r="9" spans="1:7">
      <c r="A9">
        <v>2023</v>
      </c>
      <c r="B9" t="s">
        <v>219</v>
      </c>
      <c r="C9" t="s">
        <v>717</v>
      </c>
      <c r="D9">
        <v>2.8239E-2</v>
      </c>
      <c r="E9">
        <v>1335454.328</v>
      </c>
      <c r="F9">
        <v>1335454.328</v>
      </c>
      <c r="G9" t="s">
        <v>638</v>
      </c>
    </row>
    <row r="10" spans="1:7">
      <c r="A10">
        <v>2023</v>
      </c>
      <c r="B10" t="s">
        <v>261</v>
      </c>
      <c r="C10" t="s">
        <v>717</v>
      </c>
      <c r="D10">
        <v>6.6109999999999997E-3</v>
      </c>
      <c r="E10">
        <v>337980.12400000001</v>
      </c>
      <c r="F10">
        <v>337980.12400000001</v>
      </c>
      <c r="G10" t="s">
        <v>261</v>
      </c>
    </row>
    <row r="11" spans="1:7">
      <c r="A11">
        <v>2023</v>
      </c>
      <c r="B11" t="s">
        <v>226</v>
      </c>
      <c r="C11" t="s">
        <v>717</v>
      </c>
      <c r="D11">
        <v>10.566000000000001</v>
      </c>
      <c r="E11">
        <v>593906011.35000002</v>
      </c>
      <c r="F11">
        <v>593906011.35000002</v>
      </c>
      <c r="G11" t="s">
        <v>338</v>
      </c>
    </row>
    <row r="12" spans="1:7">
      <c r="A12">
        <v>2023</v>
      </c>
      <c r="B12" t="s">
        <v>235</v>
      </c>
      <c r="C12" t="s">
        <v>717</v>
      </c>
      <c r="D12">
        <v>4.01464</v>
      </c>
      <c r="E12">
        <v>238406106.84299999</v>
      </c>
      <c r="F12">
        <v>238406106.84299999</v>
      </c>
      <c r="G12" t="s">
        <v>731</v>
      </c>
    </row>
    <row r="13" spans="1:7">
      <c r="A13">
        <v>2023</v>
      </c>
      <c r="B13" t="s">
        <v>212</v>
      </c>
      <c r="C13" t="s">
        <v>717</v>
      </c>
      <c r="D13">
        <v>3.4648000000000012E-2</v>
      </c>
      <c r="E13">
        <v>1695971</v>
      </c>
      <c r="F13">
        <v>1695971</v>
      </c>
      <c r="G13" t="s">
        <v>730</v>
      </c>
    </row>
    <row r="14" spans="1:7">
      <c r="A14">
        <v>2022</v>
      </c>
      <c r="B14" t="s">
        <v>195</v>
      </c>
      <c r="C14" t="s">
        <v>717</v>
      </c>
      <c r="D14">
        <v>3.6604030000000001</v>
      </c>
      <c r="E14">
        <v>206548068.21599999</v>
      </c>
      <c r="F14">
        <v>206548068.21599999</v>
      </c>
      <c r="G14" t="s">
        <v>534</v>
      </c>
    </row>
    <row r="15" spans="1:7">
      <c r="A15">
        <v>2022</v>
      </c>
      <c r="B15" t="s">
        <v>219</v>
      </c>
      <c r="C15" t="s">
        <v>717</v>
      </c>
      <c r="D15">
        <v>3.2393999999999999E-2</v>
      </c>
      <c r="E15">
        <v>1541344.121</v>
      </c>
      <c r="F15">
        <v>1541344.121</v>
      </c>
      <c r="G15" t="s">
        <v>638</v>
      </c>
    </row>
    <row r="16" spans="1:7">
      <c r="A16">
        <v>2022</v>
      </c>
      <c r="B16" t="s">
        <v>226</v>
      </c>
      <c r="C16" t="s">
        <v>717</v>
      </c>
      <c r="D16">
        <v>12.081</v>
      </c>
      <c r="E16">
        <v>631954371.199</v>
      </c>
      <c r="F16">
        <v>631954371.199</v>
      </c>
      <c r="G16" t="s">
        <v>338</v>
      </c>
    </row>
    <row r="17" spans="1:7">
      <c r="A17">
        <v>2022</v>
      </c>
      <c r="B17" t="s">
        <v>235</v>
      </c>
      <c r="C17" t="s">
        <v>717</v>
      </c>
      <c r="D17">
        <v>3.2155200000000002</v>
      </c>
      <c r="E17">
        <v>171934926.44400001</v>
      </c>
      <c r="F17">
        <v>171934926.44400001</v>
      </c>
      <c r="G17" t="s">
        <v>731</v>
      </c>
    </row>
    <row r="18" spans="1:7">
      <c r="A18">
        <v>2021</v>
      </c>
      <c r="B18" t="s">
        <v>195</v>
      </c>
      <c r="C18" t="s">
        <v>717</v>
      </c>
      <c r="D18">
        <v>3.8843809999999999</v>
      </c>
      <c r="E18">
        <v>219808451.24000001</v>
      </c>
      <c r="F18">
        <v>219808451.24000001</v>
      </c>
      <c r="G18" t="s">
        <v>534</v>
      </c>
    </row>
    <row r="19" spans="1:7">
      <c r="A19">
        <v>2021</v>
      </c>
      <c r="B19" t="s">
        <v>219</v>
      </c>
      <c r="C19" t="s">
        <v>717</v>
      </c>
      <c r="D19">
        <v>2.7383999999999999E-2</v>
      </c>
      <c r="E19">
        <v>1297177.531</v>
      </c>
      <c r="F19">
        <v>1297177.531</v>
      </c>
      <c r="G19" t="s">
        <v>638</v>
      </c>
    </row>
    <row r="20" spans="1:7">
      <c r="A20">
        <v>2021</v>
      </c>
      <c r="B20" t="s">
        <v>208</v>
      </c>
      <c r="C20" t="s">
        <v>717</v>
      </c>
      <c r="D20">
        <v>9.9799999999999997E-4</v>
      </c>
      <c r="E20">
        <v>47763.417999999998</v>
      </c>
      <c r="F20">
        <v>47763.417999999998</v>
      </c>
      <c r="G20" t="s">
        <v>634</v>
      </c>
    </row>
    <row r="21" spans="1:7">
      <c r="A21">
        <v>2021</v>
      </c>
      <c r="B21" t="s">
        <v>226</v>
      </c>
      <c r="C21" t="s">
        <v>717</v>
      </c>
      <c r="D21">
        <v>13.581</v>
      </c>
      <c r="E21">
        <v>710234464.13499999</v>
      </c>
      <c r="F21">
        <v>710234464.13499999</v>
      </c>
      <c r="G21" t="s">
        <v>338</v>
      </c>
    </row>
    <row r="22" spans="1:7">
      <c r="A22">
        <v>2021</v>
      </c>
      <c r="B22" t="s">
        <v>235</v>
      </c>
      <c r="C22" t="s">
        <v>717</v>
      </c>
      <c r="D22">
        <v>2.6259000000000001</v>
      </c>
      <c r="E22">
        <v>144258311.833</v>
      </c>
      <c r="F22">
        <v>144258311.833</v>
      </c>
      <c r="G22" t="s">
        <v>731</v>
      </c>
    </row>
    <row r="23" spans="1:7">
      <c r="A23">
        <v>2021</v>
      </c>
      <c r="B23" t="s">
        <v>212</v>
      </c>
      <c r="C23" t="s">
        <v>717</v>
      </c>
      <c r="D23">
        <v>7.45E-3</v>
      </c>
      <c r="E23">
        <v>332900</v>
      </c>
      <c r="F23">
        <v>332900</v>
      </c>
      <c r="G23" t="s">
        <v>730</v>
      </c>
    </row>
    <row r="24" spans="1:7">
      <c r="A24">
        <v>2020</v>
      </c>
      <c r="B24" t="s">
        <v>195</v>
      </c>
      <c r="C24" t="s">
        <v>717</v>
      </c>
      <c r="D24">
        <v>3.6344569999999998</v>
      </c>
      <c r="E24">
        <v>194991546.08899999</v>
      </c>
      <c r="F24">
        <v>194991546.08899999</v>
      </c>
      <c r="G24" t="s">
        <v>534</v>
      </c>
    </row>
    <row r="25" spans="1:7">
      <c r="A25">
        <v>2020</v>
      </c>
      <c r="B25" t="s">
        <v>219</v>
      </c>
      <c r="C25" t="s">
        <v>717</v>
      </c>
      <c r="D25">
        <v>7.7575999999999992E-2</v>
      </c>
      <c r="E25">
        <v>3560493.3480000002</v>
      </c>
      <c r="F25">
        <v>3560493.3480000002</v>
      </c>
      <c r="G25" t="s">
        <v>638</v>
      </c>
    </row>
    <row r="26" spans="1:7">
      <c r="A26">
        <v>2020</v>
      </c>
      <c r="B26" t="s">
        <v>226</v>
      </c>
      <c r="C26" t="s">
        <v>717</v>
      </c>
      <c r="D26">
        <v>9.5120000000000005</v>
      </c>
      <c r="E26">
        <v>485160797.29100001</v>
      </c>
      <c r="F26">
        <v>485160797.29100001</v>
      </c>
      <c r="G26" t="s">
        <v>338</v>
      </c>
    </row>
    <row r="27" spans="1:7">
      <c r="A27">
        <v>2020</v>
      </c>
      <c r="B27" t="s">
        <v>235</v>
      </c>
      <c r="C27" t="s">
        <v>717</v>
      </c>
      <c r="D27">
        <v>2.1188699999999998</v>
      </c>
      <c r="E27">
        <v>104357473.52599999</v>
      </c>
      <c r="F27">
        <v>104357473.52599999</v>
      </c>
      <c r="G27" t="s">
        <v>731</v>
      </c>
    </row>
    <row r="28" spans="1:7">
      <c r="A28">
        <v>2020</v>
      </c>
      <c r="B28" t="s">
        <v>212</v>
      </c>
      <c r="C28" t="s">
        <v>717</v>
      </c>
      <c r="D28">
        <v>4.2486999999999997E-2</v>
      </c>
      <c r="E28">
        <v>1765487</v>
      </c>
      <c r="F28">
        <v>1765487</v>
      </c>
      <c r="G28" t="s">
        <v>730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3730A-E3C4-4CB5-92B5-B470B4502154}">
  <dimension ref="A3:I195"/>
  <sheetViews>
    <sheetView showOutlineSymbols="0" defaultGridColor="0" workbookViewId="0"/>
  </sheetViews>
  <sheetFormatPr baseColWidth="10" defaultRowHeight="21.75"/>
  <cols>
    <col min="1" max="1" width="19.54296875" bestFit="1" customWidth="1"/>
    <col min="2" max="2" width="21" bestFit="1" customWidth="1"/>
    <col min="3" max="3" width="40.6328125" bestFit="1" customWidth="1"/>
    <col min="4" max="4" width="43.08984375" bestFit="1" customWidth="1"/>
    <col min="5" max="5" width="44.36328125" style="194" bestFit="1" customWidth="1"/>
    <col min="6" max="6" width="7.81640625" bestFit="1" customWidth="1"/>
    <col min="7" max="7" width="8.81640625" bestFit="1" customWidth="1"/>
    <col min="8" max="8" width="19.54296875" bestFit="1" customWidth="1"/>
    <col min="9" max="9" width="33.36328125" bestFit="1" customWidth="1"/>
    <col min="10" max="10" width="31.6328125" bestFit="1" customWidth="1"/>
    <col min="11" max="15" width="8.81640625" bestFit="1" customWidth="1"/>
    <col min="16" max="16" width="7.81640625" bestFit="1" customWidth="1"/>
    <col min="17" max="17" width="6.81640625" bestFit="1" customWidth="1"/>
    <col min="18" max="18" width="8.81640625" bestFit="1" customWidth="1"/>
    <col min="19" max="19" width="7.81640625" bestFit="1" customWidth="1"/>
    <col min="20" max="23" width="8.81640625" bestFit="1" customWidth="1"/>
    <col min="24" max="24" width="7.81640625" bestFit="1" customWidth="1"/>
    <col min="25" max="26" width="5.81640625" bestFit="1" customWidth="1"/>
    <col min="27" max="29" width="6.81640625" bestFit="1" customWidth="1"/>
    <col min="30" max="30" width="11.7265625" bestFit="1" customWidth="1"/>
  </cols>
  <sheetData>
    <row r="3" spans="1:9">
      <c r="A3" t="s">
        <v>265</v>
      </c>
      <c r="B3" t="s">
        <v>732</v>
      </c>
      <c r="C3" t="s">
        <v>733</v>
      </c>
      <c r="D3" t="s">
        <v>734</v>
      </c>
      <c r="H3" s="113" t="s">
        <v>265</v>
      </c>
      <c r="I3" t="s">
        <v>267</v>
      </c>
    </row>
    <row r="4" spans="1:9">
      <c r="A4" s="114">
        <v>2020</v>
      </c>
      <c r="B4">
        <v>24.897390000000005</v>
      </c>
      <c r="C4">
        <v>12.354299666415248</v>
      </c>
      <c r="D4">
        <v>12.543090333584752</v>
      </c>
      <c r="H4" s="114">
        <v>2020</v>
      </c>
      <c r="I4" s="115">
        <v>12.3528</v>
      </c>
    </row>
    <row r="5" spans="1:9">
      <c r="A5" s="114">
        <v>2021</v>
      </c>
      <c r="B5">
        <v>20.127113000000001</v>
      </c>
      <c r="C5">
        <v>15.873222242093886</v>
      </c>
      <c r="D5">
        <v>4.2538907579061132</v>
      </c>
      <c r="H5" s="114">
        <v>2021</v>
      </c>
      <c r="I5" s="115">
        <v>16.153500000000001</v>
      </c>
    </row>
    <row r="6" spans="1:9">
      <c r="A6" s="114">
        <v>2022</v>
      </c>
      <c r="B6">
        <v>18.989317</v>
      </c>
      <c r="C6">
        <v>16.371563062136971</v>
      </c>
      <c r="D6">
        <v>2.6177539378630303</v>
      </c>
      <c r="H6" s="114">
        <v>2022</v>
      </c>
      <c r="I6" s="115">
        <v>14.921933742</v>
      </c>
    </row>
    <row r="7" spans="1:9">
      <c r="A7" s="114">
        <v>2023</v>
      </c>
      <c r="B7">
        <v>18.447341999999999</v>
      </c>
      <c r="C7">
        <v>12.959168915188604</v>
      </c>
      <c r="D7">
        <v>5.4881730848113968</v>
      </c>
      <c r="H7" s="114">
        <v>2023</v>
      </c>
      <c r="I7" s="115">
        <v>12.870800000000001</v>
      </c>
    </row>
    <row r="8" spans="1:9">
      <c r="A8" s="114">
        <v>2024</v>
      </c>
      <c r="B8">
        <v>11.188336999999999</v>
      </c>
      <c r="C8">
        <v>10.669797749663696</v>
      </c>
      <c r="D8">
        <v>0.51853925033630488</v>
      </c>
      <c r="H8" s="114">
        <v>2024</v>
      </c>
      <c r="I8" s="115">
        <v>11.016999999999999</v>
      </c>
    </row>
    <row r="9" spans="1:9">
      <c r="A9" s="114" t="s">
        <v>266</v>
      </c>
      <c r="B9">
        <v>93.649499000000006</v>
      </c>
      <c r="C9">
        <v>68.228051635498403</v>
      </c>
      <c r="D9">
        <v>25.421447364501592</v>
      </c>
      <c r="H9" s="114" t="s">
        <v>266</v>
      </c>
      <c r="I9" s="115">
        <v>67.316033742000002</v>
      </c>
    </row>
    <row r="27" spans="1:4" ht="25.5" customHeight="1"/>
    <row r="28" spans="1:4">
      <c r="A28" t="s">
        <v>265</v>
      </c>
      <c r="B28" t="s">
        <v>732</v>
      </c>
      <c r="C28" t="s">
        <v>733</v>
      </c>
      <c r="D28" t="s">
        <v>734</v>
      </c>
    </row>
    <row r="29" spans="1:4">
      <c r="A29" s="114">
        <v>2024</v>
      </c>
      <c r="B29">
        <v>11.188336999999999</v>
      </c>
      <c r="C29">
        <v>10.669797749663696</v>
      </c>
      <c r="D29">
        <v>0.51853925033630488</v>
      </c>
    </row>
    <row r="30" spans="1:4">
      <c r="A30" s="114" t="s">
        <v>266</v>
      </c>
      <c r="B30">
        <v>11.188336999999999</v>
      </c>
      <c r="C30">
        <v>10.669797749663696</v>
      </c>
      <c r="D30">
        <v>0.51853925033630488</v>
      </c>
    </row>
    <row r="53" spans="1:4">
      <c r="A53" s="113" t="s">
        <v>265</v>
      </c>
      <c r="B53" t="s">
        <v>732</v>
      </c>
      <c r="C53" t="s">
        <v>733</v>
      </c>
      <c r="D53" t="s">
        <v>734</v>
      </c>
    </row>
    <row r="54" spans="1:4">
      <c r="A54" s="114">
        <v>2023</v>
      </c>
      <c r="B54" s="115">
        <v>18.447341999999999</v>
      </c>
      <c r="C54" s="115">
        <v>12.959168915188604</v>
      </c>
      <c r="D54" s="115">
        <v>5.4881730848113977</v>
      </c>
    </row>
    <row r="55" spans="1:4">
      <c r="A55" s="114" t="s">
        <v>266</v>
      </c>
      <c r="B55" s="115">
        <v>18.447341999999999</v>
      </c>
      <c r="C55" s="115">
        <v>12.959168915188604</v>
      </c>
      <c r="D55" s="115">
        <v>5.4881730848113977</v>
      </c>
    </row>
    <row r="56" spans="1:4">
      <c r="A56" s="114"/>
      <c r="B56" s="115"/>
      <c r="C56" s="115"/>
      <c r="D56" s="115"/>
    </row>
    <row r="57" spans="1:4">
      <c r="A57" s="114"/>
      <c r="B57" s="115"/>
      <c r="C57" s="115"/>
      <c r="D57" s="115"/>
    </row>
    <row r="58" spans="1:4">
      <c r="A58" s="114"/>
      <c r="B58" s="115"/>
      <c r="C58" s="115"/>
      <c r="D58" s="115"/>
    </row>
    <row r="59" spans="1:4">
      <c r="A59" s="114"/>
      <c r="B59" s="115"/>
      <c r="C59" s="115"/>
      <c r="D59" s="115"/>
    </row>
    <row r="60" spans="1:4">
      <c r="A60" s="114"/>
      <c r="B60" s="115"/>
      <c r="C60" s="115"/>
      <c r="D60" s="115"/>
    </row>
    <row r="61" spans="1:4">
      <c r="A61" s="114"/>
      <c r="B61" s="115"/>
      <c r="C61" s="115"/>
      <c r="D61" s="115"/>
    </row>
    <row r="62" spans="1:4">
      <c r="A62" s="114"/>
      <c r="B62" s="115"/>
      <c r="C62" s="115"/>
      <c r="D62" s="115"/>
    </row>
    <row r="63" spans="1:4">
      <c r="A63" s="114"/>
      <c r="B63" s="115"/>
      <c r="C63" s="115"/>
      <c r="D63" s="115"/>
    </row>
    <row r="64" spans="1:4">
      <c r="A64" s="114"/>
      <c r="B64" s="115"/>
      <c r="C64" s="115"/>
      <c r="D64" s="115"/>
    </row>
    <row r="65" spans="1:4">
      <c r="A65" s="114"/>
      <c r="B65" s="115"/>
      <c r="C65" s="115"/>
      <c r="D65" s="115"/>
    </row>
    <row r="66" spans="1:4">
      <c r="A66" s="114"/>
      <c r="B66" s="115"/>
      <c r="C66" s="115"/>
      <c r="D66" s="115"/>
    </row>
    <row r="67" spans="1:4">
      <c r="A67" s="114"/>
      <c r="B67" s="115"/>
      <c r="C67" s="115"/>
      <c r="D67" s="115"/>
    </row>
    <row r="68" spans="1:4">
      <c r="A68" s="114"/>
      <c r="B68" s="115"/>
      <c r="C68" s="115"/>
      <c r="D68" s="115"/>
    </row>
    <row r="69" spans="1:4">
      <c r="A69" s="114"/>
      <c r="B69" s="115"/>
      <c r="C69" s="115"/>
      <c r="D69" s="115"/>
    </row>
    <row r="70" spans="1:4">
      <c r="A70" s="114"/>
      <c r="B70" s="115"/>
      <c r="C70" s="115"/>
      <c r="D70" s="115"/>
    </row>
    <row r="72" spans="1:4">
      <c r="A72" s="113" t="s">
        <v>265</v>
      </c>
      <c r="B72" t="s">
        <v>732</v>
      </c>
      <c r="C72" t="s">
        <v>733</v>
      </c>
      <c r="D72" t="s">
        <v>734</v>
      </c>
    </row>
    <row r="73" spans="1:4">
      <c r="A73" s="114">
        <v>2022</v>
      </c>
      <c r="B73" s="115">
        <v>18.989317</v>
      </c>
      <c r="C73" s="115">
        <v>16.371563062136971</v>
      </c>
      <c r="D73" s="115">
        <v>2.6177539378630308</v>
      </c>
    </row>
    <row r="74" spans="1:4">
      <c r="A74" s="114" t="s">
        <v>266</v>
      </c>
      <c r="B74" s="115">
        <v>18.989317</v>
      </c>
      <c r="C74" s="115">
        <v>16.371563062136971</v>
      </c>
      <c r="D74" s="115">
        <v>2.6177539378630308</v>
      </c>
    </row>
    <row r="75" spans="1:4">
      <c r="A75" s="114"/>
      <c r="B75" s="115"/>
      <c r="C75" s="115"/>
      <c r="D75" s="115"/>
    </row>
    <row r="76" spans="1:4">
      <c r="A76" s="114"/>
      <c r="B76" s="115"/>
      <c r="C76" s="115"/>
      <c r="D76" s="115"/>
    </row>
    <row r="77" spans="1:4">
      <c r="A77" s="114"/>
      <c r="B77" s="115"/>
      <c r="C77" s="115"/>
      <c r="D77" s="115"/>
    </row>
    <row r="78" spans="1:4">
      <c r="A78" s="114"/>
      <c r="B78" s="115"/>
      <c r="C78" s="115"/>
      <c r="D78" s="115"/>
    </row>
    <row r="79" spans="1:4">
      <c r="A79" s="114"/>
      <c r="B79" s="115"/>
      <c r="C79" s="115"/>
      <c r="D79" s="115"/>
    </row>
    <row r="80" spans="1:4">
      <c r="A80" s="114"/>
      <c r="B80" s="115"/>
      <c r="C80" s="115"/>
      <c r="D80" s="115"/>
    </row>
    <row r="81" spans="1:4">
      <c r="A81" s="114"/>
      <c r="B81" s="115"/>
      <c r="C81" s="115"/>
      <c r="D81" s="115"/>
    </row>
    <row r="82" spans="1:4">
      <c r="A82" s="114"/>
      <c r="B82" s="115"/>
      <c r="C82" s="115"/>
      <c r="D82" s="115"/>
    </row>
    <row r="83" spans="1:4">
      <c r="A83" s="114"/>
      <c r="B83" s="115"/>
      <c r="C83" s="115"/>
      <c r="D83" s="115"/>
    </row>
    <row r="84" spans="1:4">
      <c r="A84" s="114"/>
      <c r="B84" s="115"/>
      <c r="C84" s="115"/>
      <c r="D84" s="115"/>
    </row>
    <row r="85" spans="1:4">
      <c r="A85" s="114"/>
      <c r="B85" s="115"/>
      <c r="C85" s="115"/>
      <c r="D85" s="115"/>
    </row>
    <row r="97" spans="1:4">
      <c r="A97" s="113" t="s">
        <v>265</v>
      </c>
      <c r="B97" t="s">
        <v>732</v>
      </c>
      <c r="C97" t="s">
        <v>733</v>
      </c>
      <c r="D97" t="s">
        <v>734</v>
      </c>
    </row>
    <row r="98" spans="1:4">
      <c r="A98" s="114">
        <v>2021</v>
      </c>
      <c r="B98" s="115">
        <v>20.127113000000001</v>
      </c>
      <c r="C98" s="115">
        <v>15.873222242093886</v>
      </c>
      <c r="D98" s="115">
        <v>4.2538907579061132</v>
      </c>
    </row>
    <row r="99" spans="1:4">
      <c r="A99" s="114" t="s">
        <v>266</v>
      </c>
      <c r="B99" s="115">
        <v>20.127113000000001</v>
      </c>
      <c r="C99" s="115">
        <v>15.873222242093886</v>
      </c>
      <c r="D99" s="115">
        <v>4.2538907579061132</v>
      </c>
    </row>
    <row r="119" spans="1:4">
      <c r="A119" s="113" t="s">
        <v>265</v>
      </c>
      <c r="B119" t="s">
        <v>732</v>
      </c>
      <c r="C119" t="s">
        <v>733</v>
      </c>
      <c r="D119" t="s">
        <v>734</v>
      </c>
    </row>
    <row r="120" spans="1:4">
      <c r="A120" s="114">
        <v>2020</v>
      </c>
      <c r="B120" s="115">
        <v>24.897390000000001</v>
      </c>
      <c r="C120" s="115">
        <v>12.354299666415248</v>
      </c>
      <c r="D120" s="115">
        <v>12.54309033358475</v>
      </c>
    </row>
    <row r="121" spans="1:4">
      <c r="A121" s="114" t="s">
        <v>266</v>
      </c>
      <c r="B121" s="115">
        <v>24.897390000000001</v>
      </c>
      <c r="C121" s="115">
        <v>12.354299666415248</v>
      </c>
      <c r="D121" s="115">
        <v>12.54309033358475</v>
      </c>
    </row>
    <row r="158" spans="2:5">
      <c r="B158" s="113" t="s">
        <v>265</v>
      </c>
      <c r="C158" s="195" t="s">
        <v>732</v>
      </c>
      <c r="D158" s="195" t="s">
        <v>733</v>
      </c>
      <c r="E158" s="195" t="s">
        <v>734</v>
      </c>
    </row>
    <row r="159" spans="2:5">
      <c r="B159" s="114">
        <v>2020</v>
      </c>
      <c r="C159" s="195">
        <v>24.897390000000001</v>
      </c>
      <c r="D159" s="195">
        <v>12.354299666415248</v>
      </c>
      <c r="E159" s="195">
        <v>12.543090333584752</v>
      </c>
    </row>
    <row r="160" spans="2:5">
      <c r="B160" s="193" t="s">
        <v>534</v>
      </c>
      <c r="C160" s="195">
        <v>3.6344569999999998</v>
      </c>
      <c r="D160" s="195">
        <v>3.9922863385768612</v>
      </c>
      <c r="E160" s="195">
        <v>-0.35782933857686139</v>
      </c>
    </row>
    <row r="161" spans="2:5">
      <c r="B161" s="193" t="s">
        <v>731</v>
      </c>
      <c r="C161" s="195">
        <v>2.1188699999999998</v>
      </c>
      <c r="D161" s="195">
        <v>0</v>
      </c>
      <c r="E161" s="195">
        <v>2.1188699999999998</v>
      </c>
    </row>
    <row r="162" spans="2:5">
      <c r="B162" s="193" t="s">
        <v>638</v>
      </c>
      <c r="C162" s="195">
        <v>7.7575999999999992E-2</v>
      </c>
      <c r="D162" s="195">
        <v>0</v>
      </c>
      <c r="E162" s="195">
        <v>7.7575999999999992E-2</v>
      </c>
    </row>
    <row r="163" spans="2:5">
      <c r="B163" s="193" t="s">
        <v>652</v>
      </c>
      <c r="C163" s="195">
        <v>0</v>
      </c>
      <c r="D163" s="195">
        <v>0.26437952458340791</v>
      </c>
      <c r="E163" s="195">
        <v>-0.26437952458340791</v>
      </c>
    </row>
    <row r="164" spans="2:5">
      <c r="B164" s="193" t="s">
        <v>338</v>
      </c>
      <c r="C164" s="195">
        <v>19.024000000000001</v>
      </c>
      <c r="D164" s="195">
        <v>8.0976338032549791</v>
      </c>
      <c r="E164" s="195">
        <v>10.926366196745022</v>
      </c>
    </row>
    <row r="165" spans="2:5">
      <c r="B165" s="193" t="s">
        <v>730</v>
      </c>
      <c r="C165" s="195">
        <v>4.2486999999999997E-2</v>
      </c>
      <c r="D165" s="195">
        <v>0</v>
      </c>
      <c r="E165" s="195">
        <v>4.2486999999999997E-2</v>
      </c>
    </row>
    <row r="166" spans="2:5">
      <c r="B166" s="114">
        <v>2021</v>
      </c>
      <c r="C166" s="195">
        <v>20.127112999999998</v>
      </c>
      <c r="D166" s="195">
        <v>15.873222242093886</v>
      </c>
      <c r="E166" s="195">
        <v>4.2538907579061132</v>
      </c>
    </row>
    <row r="167" spans="2:5">
      <c r="B167" s="193" t="s">
        <v>534</v>
      </c>
      <c r="C167" s="195">
        <v>3.8843809999999999</v>
      </c>
      <c r="D167" s="195">
        <v>3.993468270569116</v>
      </c>
      <c r="E167" s="195">
        <v>-0.10908727056911616</v>
      </c>
    </row>
    <row r="168" spans="2:5">
      <c r="B168" s="193" t="s">
        <v>731</v>
      </c>
      <c r="C168" s="195">
        <v>2.6259000000000001</v>
      </c>
      <c r="D168" s="195">
        <v>0</v>
      </c>
      <c r="E168" s="195">
        <v>2.6259000000000001</v>
      </c>
    </row>
    <row r="169" spans="2:5">
      <c r="B169" s="193" t="s">
        <v>634</v>
      </c>
      <c r="C169" s="195">
        <v>9.9799999999999997E-4</v>
      </c>
      <c r="D169" s="195">
        <v>0</v>
      </c>
      <c r="E169" s="195">
        <v>9.9799999999999997E-4</v>
      </c>
    </row>
    <row r="170" spans="2:5">
      <c r="B170" s="193" t="s">
        <v>638</v>
      </c>
      <c r="C170" s="195">
        <v>2.7383999999999999E-2</v>
      </c>
      <c r="D170" s="195">
        <v>0</v>
      </c>
      <c r="E170" s="195">
        <v>2.7383999999999999E-2</v>
      </c>
    </row>
    <row r="171" spans="2:5">
      <c r="B171" s="193" t="s">
        <v>338</v>
      </c>
      <c r="C171" s="195">
        <v>13.581</v>
      </c>
      <c r="D171" s="195">
        <v>11.879753971524771</v>
      </c>
      <c r="E171" s="195">
        <v>1.7012460284752287</v>
      </c>
    </row>
    <row r="172" spans="2:5">
      <c r="B172" s="193" t="s">
        <v>730</v>
      </c>
      <c r="C172" s="195">
        <v>7.45E-3</v>
      </c>
      <c r="D172" s="195">
        <v>0</v>
      </c>
      <c r="E172" s="195">
        <v>7.45E-3</v>
      </c>
    </row>
    <row r="173" spans="2:5">
      <c r="B173" s="114">
        <v>2022</v>
      </c>
      <c r="C173" s="195">
        <v>18.989317</v>
      </c>
      <c r="D173" s="195">
        <v>16.371563062136971</v>
      </c>
      <c r="E173" s="195">
        <v>2.6177539378630303</v>
      </c>
    </row>
    <row r="174" spans="2:5">
      <c r="B174" s="193" t="s">
        <v>534</v>
      </c>
      <c r="C174" s="195">
        <v>3.6604030000000001</v>
      </c>
      <c r="D174" s="195">
        <v>4.4235695691080297</v>
      </c>
      <c r="E174" s="195">
        <v>-0.7631665691080296</v>
      </c>
    </row>
    <row r="175" spans="2:5">
      <c r="B175" s="193" t="s">
        <v>731</v>
      </c>
      <c r="C175" s="195">
        <v>3.2155200000000002</v>
      </c>
      <c r="D175" s="195">
        <v>0</v>
      </c>
      <c r="E175" s="195">
        <v>3.2155200000000002</v>
      </c>
    </row>
    <row r="176" spans="2:5">
      <c r="B176" s="193" t="s">
        <v>638</v>
      </c>
      <c r="C176" s="195">
        <v>3.2393999999999999E-2</v>
      </c>
      <c r="D176" s="195">
        <v>0</v>
      </c>
      <c r="E176" s="195">
        <v>3.2393999999999999E-2</v>
      </c>
    </row>
    <row r="177" spans="2:5">
      <c r="B177" s="193" t="s">
        <v>191</v>
      </c>
      <c r="C177" s="195">
        <v>0</v>
      </c>
      <c r="D177" s="195">
        <v>0.38235422377393991</v>
      </c>
      <c r="E177" s="195">
        <v>-0.38235422377393991</v>
      </c>
    </row>
    <row r="178" spans="2:5">
      <c r="B178" s="193" t="s">
        <v>338</v>
      </c>
      <c r="C178" s="195">
        <v>12.081</v>
      </c>
      <c r="D178" s="195">
        <v>11.565639269255</v>
      </c>
      <c r="E178" s="195">
        <v>0.51536073074499988</v>
      </c>
    </row>
    <row r="179" spans="2:5">
      <c r="B179" s="114">
        <v>2023</v>
      </c>
      <c r="C179" s="195">
        <v>18.447342000000003</v>
      </c>
      <c r="D179" s="195">
        <v>12.959168915188604</v>
      </c>
      <c r="E179" s="195">
        <v>5.4881730848113977</v>
      </c>
    </row>
    <row r="180" spans="2:5">
      <c r="B180" s="193" t="s">
        <v>534</v>
      </c>
      <c r="C180" s="195">
        <v>3.7972039999999998</v>
      </c>
      <c r="D180" s="195">
        <v>3.7308616439740909</v>
      </c>
      <c r="E180" s="195">
        <v>6.6342356025908877E-2</v>
      </c>
    </row>
    <row r="181" spans="2:5">
      <c r="B181" s="193" t="s">
        <v>731</v>
      </c>
      <c r="C181" s="195">
        <v>4.01464</v>
      </c>
      <c r="D181" s="195">
        <v>0</v>
      </c>
      <c r="E181" s="195">
        <v>4.01464</v>
      </c>
    </row>
    <row r="182" spans="2:5">
      <c r="B182" s="193" t="s">
        <v>638</v>
      </c>
      <c r="C182" s="195">
        <v>2.8239E-2</v>
      </c>
      <c r="D182" s="195">
        <v>0</v>
      </c>
      <c r="E182" s="195">
        <v>2.8239E-2</v>
      </c>
    </row>
    <row r="183" spans="2:5">
      <c r="B183" s="193" t="s">
        <v>261</v>
      </c>
      <c r="C183" s="195">
        <v>6.6109999999999997E-3</v>
      </c>
      <c r="D183" s="195">
        <v>0</v>
      </c>
      <c r="E183" s="195">
        <v>6.6109999999999997E-3</v>
      </c>
    </row>
    <row r="184" spans="2:5">
      <c r="B184" s="193" t="s">
        <v>191</v>
      </c>
      <c r="C184" s="195">
        <v>0</v>
      </c>
      <c r="D184" s="195">
        <v>0.24882778784320739</v>
      </c>
      <c r="E184" s="195">
        <v>-0.24882778784320739</v>
      </c>
    </row>
    <row r="185" spans="2:5">
      <c r="B185" s="193" t="s">
        <v>338</v>
      </c>
      <c r="C185" s="195">
        <v>10.566000000000001</v>
      </c>
      <c r="D185" s="195">
        <v>8.9794794833713052</v>
      </c>
      <c r="E185" s="195">
        <v>1.5865205166286955</v>
      </c>
    </row>
    <row r="186" spans="2:5">
      <c r="B186" s="193" t="s">
        <v>730</v>
      </c>
      <c r="C186" s="195">
        <v>3.4648000000000012E-2</v>
      </c>
      <c r="D186" s="195">
        <v>0</v>
      </c>
      <c r="E186" s="195">
        <v>3.4648000000000012E-2</v>
      </c>
    </row>
    <row r="187" spans="2:5">
      <c r="B187" s="114">
        <v>2024</v>
      </c>
      <c r="C187" s="195">
        <v>11.188336999999999</v>
      </c>
      <c r="D187" s="195">
        <v>10.669797749663696</v>
      </c>
      <c r="E187" s="195">
        <v>0.51853925033630499</v>
      </c>
    </row>
    <row r="188" spans="2:5">
      <c r="B188" s="193" t="s">
        <v>534</v>
      </c>
      <c r="C188" s="195">
        <v>3.0426289999999998</v>
      </c>
      <c r="D188" s="195">
        <v>3.6210041756413149</v>
      </c>
      <c r="E188" s="195">
        <v>-0.57837517564131513</v>
      </c>
    </row>
    <row r="189" spans="2:5">
      <c r="B189" s="193" t="s">
        <v>728</v>
      </c>
      <c r="C189" s="195">
        <v>1.0012E-2</v>
      </c>
      <c r="D189" s="195">
        <v>0</v>
      </c>
      <c r="E189" s="195">
        <v>1.0012E-2</v>
      </c>
    </row>
    <row r="190" spans="2:5">
      <c r="B190" s="193" t="s">
        <v>638</v>
      </c>
      <c r="C190" s="195">
        <v>1.0697E-2</v>
      </c>
      <c r="D190" s="195">
        <v>0</v>
      </c>
      <c r="E190" s="195">
        <v>1.0697E-2</v>
      </c>
    </row>
    <row r="191" spans="2:5">
      <c r="B191" s="193" t="s">
        <v>191</v>
      </c>
      <c r="C191" s="195">
        <v>0</v>
      </c>
      <c r="D191" s="195">
        <v>3.7828977551068022</v>
      </c>
      <c r="E191" s="195">
        <v>-3.7828977551068022</v>
      </c>
    </row>
    <row r="192" spans="2:5">
      <c r="B192" s="193" t="s">
        <v>338</v>
      </c>
      <c r="C192" s="195">
        <v>8.1029999999999998</v>
      </c>
      <c r="D192" s="195">
        <v>3.265895818915578</v>
      </c>
      <c r="E192" s="195">
        <v>4.8371041810844222</v>
      </c>
    </row>
    <row r="193" spans="2:5">
      <c r="B193" s="193" t="s">
        <v>729</v>
      </c>
      <c r="C193" s="195">
        <v>0.02</v>
      </c>
      <c r="D193" s="195">
        <v>0</v>
      </c>
      <c r="E193" s="195">
        <v>0.02</v>
      </c>
    </row>
    <row r="194" spans="2:5">
      <c r="B194" s="193" t="s">
        <v>730</v>
      </c>
      <c r="C194" s="195">
        <v>1.9989999999999999E-3</v>
      </c>
      <c r="D194" s="195">
        <v>0</v>
      </c>
      <c r="E194" s="195">
        <v>1.9989999999999999E-3</v>
      </c>
    </row>
    <row r="195" spans="2:5">
      <c r="B195" s="114" t="s">
        <v>266</v>
      </c>
      <c r="C195" s="195">
        <v>93.649498999999992</v>
      </c>
      <c r="D195" s="195">
        <v>68.228051635498403</v>
      </c>
      <c r="E195" s="195">
        <v>25.421447364501596</v>
      </c>
    </row>
  </sheetData>
  <pageMargins left="0.7" right="0.7" top="0.75" bottom="0.75" header="0.3" footer="0.3"/>
  <drawing r:id="rId9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031B5-B5BB-4131-9BE9-2C6471DD6727}">
  <dimension ref="A1:N33"/>
  <sheetViews>
    <sheetView showOutlineSymbols="0" defaultGridColor="0" workbookViewId="0"/>
  </sheetViews>
  <sheetFormatPr baseColWidth="10" defaultColWidth="8.7265625" defaultRowHeight="21.75"/>
  <cols>
    <col min="4" max="4" width="12.26953125" bestFit="1" customWidth="1"/>
    <col min="5" max="5" width="16.26953125" bestFit="1" customWidth="1"/>
    <col min="6" max="6" width="19.36328125" bestFit="1" customWidth="1"/>
    <col min="7" max="7" width="17.90625" bestFit="1" customWidth="1"/>
    <col min="8" max="8" width="8.81640625" bestFit="1" customWidth="1"/>
    <col min="11" max="11" width="8.81640625" bestFit="1" customWidth="1"/>
    <col min="12" max="12" width="14.36328125" bestFit="1" customWidth="1"/>
    <col min="13" max="13" width="15.26953125" bestFit="1" customWidth="1"/>
    <col min="14" max="14" width="8.81640625" bestFit="1" customWidth="1"/>
  </cols>
  <sheetData>
    <row r="1" spans="1:14" s="178" customFormat="1">
      <c r="A1" s="178" t="s">
        <v>719</v>
      </c>
      <c r="B1" s="178" t="s">
        <v>662</v>
      </c>
      <c r="C1" s="178" t="s">
        <v>276</v>
      </c>
      <c r="D1" s="178" t="s">
        <v>735</v>
      </c>
      <c r="E1" s="178" t="s">
        <v>721</v>
      </c>
      <c r="F1" s="178" t="s">
        <v>722</v>
      </c>
      <c r="G1" s="178" t="s">
        <v>716</v>
      </c>
      <c r="H1" s="178" t="s">
        <v>84</v>
      </c>
      <c r="I1" s="178" t="s">
        <v>723</v>
      </c>
      <c r="J1" s="178" t="s">
        <v>724</v>
      </c>
      <c r="K1" s="178" t="s">
        <v>736</v>
      </c>
      <c r="L1" s="178" t="s">
        <v>726</v>
      </c>
      <c r="M1" s="178" t="s">
        <v>727</v>
      </c>
      <c r="N1" s="178" t="s">
        <v>737</v>
      </c>
    </row>
    <row r="2" spans="1:14">
      <c r="A2" t="s">
        <v>70</v>
      </c>
      <c r="B2" t="s">
        <v>336</v>
      </c>
      <c r="C2" t="s">
        <v>717</v>
      </c>
      <c r="D2">
        <v>3.265895818915578</v>
      </c>
      <c r="E2">
        <v>176892827875</v>
      </c>
      <c r="F2">
        <v>254705218</v>
      </c>
      <c r="G2">
        <v>1.6547367049999999</v>
      </c>
      <c r="H2">
        <v>2024</v>
      </c>
      <c r="I2" t="s">
        <v>338</v>
      </c>
      <c r="J2" t="s">
        <v>717</v>
      </c>
      <c r="K2">
        <v>8.1029999999999998</v>
      </c>
      <c r="L2">
        <v>548487309.28999996</v>
      </c>
      <c r="M2">
        <v>548487309.28999996</v>
      </c>
      <c r="N2">
        <f t="shared" ref="N2:N33" si="0">K2-D2</f>
        <v>4.8371041810844222</v>
      </c>
    </row>
    <row r="3" spans="1:14">
      <c r="A3" t="s">
        <v>72</v>
      </c>
      <c r="B3" t="s">
        <v>532</v>
      </c>
      <c r="C3" t="s">
        <v>717</v>
      </c>
      <c r="D3">
        <v>3.6210041756413149</v>
      </c>
      <c r="E3">
        <v>171988995312</v>
      </c>
      <c r="F3">
        <v>287722269</v>
      </c>
      <c r="G3">
        <v>1.6547367049999999</v>
      </c>
      <c r="H3">
        <v>2024</v>
      </c>
      <c r="I3" t="s">
        <v>534</v>
      </c>
      <c r="J3" t="s">
        <v>717</v>
      </c>
      <c r="K3">
        <v>3.0426289999999998</v>
      </c>
      <c r="L3">
        <v>201071815.89399999</v>
      </c>
      <c r="M3">
        <v>201071815.89399999</v>
      </c>
      <c r="N3">
        <f t="shared" si="0"/>
        <v>-0.57837517564131513</v>
      </c>
    </row>
    <row r="4" spans="1:14">
      <c r="A4" t="s">
        <v>70</v>
      </c>
      <c r="B4" t="s">
        <v>336</v>
      </c>
      <c r="C4" t="s">
        <v>717</v>
      </c>
      <c r="D4">
        <v>3.7828977551068022</v>
      </c>
      <c r="E4">
        <v>153070817850</v>
      </c>
      <c r="F4">
        <v>292498604</v>
      </c>
      <c r="G4">
        <v>1.6547367049999999</v>
      </c>
      <c r="H4">
        <v>2024</v>
      </c>
      <c r="I4" t="s">
        <v>191</v>
      </c>
      <c r="J4" t="s">
        <v>717</v>
      </c>
      <c r="K4">
        <v>0</v>
      </c>
      <c r="N4">
        <f t="shared" si="0"/>
        <v>-3.7828977551068022</v>
      </c>
    </row>
    <row r="5" spans="1:14">
      <c r="A5" t="s">
        <v>70</v>
      </c>
      <c r="B5" t="s">
        <v>336</v>
      </c>
      <c r="C5" t="s">
        <v>717</v>
      </c>
      <c r="D5">
        <v>8.9794794833713052</v>
      </c>
      <c r="E5">
        <v>344273384269</v>
      </c>
      <c r="F5">
        <v>569681805</v>
      </c>
      <c r="G5">
        <v>1.65</v>
      </c>
      <c r="H5">
        <v>2023</v>
      </c>
      <c r="I5" t="s">
        <v>338</v>
      </c>
      <c r="J5" t="s">
        <v>717</v>
      </c>
      <c r="K5">
        <v>10.566000000000001</v>
      </c>
      <c r="L5">
        <v>593906011.35000002</v>
      </c>
      <c r="M5">
        <v>593906011.35000002</v>
      </c>
      <c r="N5">
        <f t="shared" si="0"/>
        <v>1.5865205166286955</v>
      </c>
    </row>
    <row r="6" spans="1:14">
      <c r="A6" t="s">
        <v>72</v>
      </c>
      <c r="B6" t="s">
        <v>532</v>
      </c>
      <c r="C6" t="s">
        <v>717</v>
      </c>
      <c r="D6">
        <v>3.7308616439740909</v>
      </c>
      <c r="E6">
        <v>138107655558</v>
      </c>
      <c r="F6">
        <v>228531807</v>
      </c>
      <c r="G6">
        <v>1.65</v>
      </c>
      <c r="H6">
        <v>2023</v>
      </c>
      <c r="I6" t="s">
        <v>534</v>
      </c>
      <c r="J6" t="s">
        <v>717</v>
      </c>
      <c r="K6">
        <v>3.7972039999999998</v>
      </c>
      <c r="L6">
        <v>230374640.12099999</v>
      </c>
      <c r="M6">
        <v>230374640.12099999</v>
      </c>
      <c r="N6">
        <f t="shared" si="0"/>
        <v>6.6342356025908877E-2</v>
      </c>
    </row>
    <row r="7" spans="1:14">
      <c r="A7" t="s">
        <v>70</v>
      </c>
      <c r="B7" t="s">
        <v>336</v>
      </c>
      <c r="C7" t="s">
        <v>717</v>
      </c>
      <c r="D7">
        <v>0.24882778784320739</v>
      </c>
      <c r="E7">
        <v>9494006760</v>
      </c>
      <c r="F7">
        <v>15710081</v>
      </c>
      <c r="G7">
        <v>1.65</v>
      </c>
      <c r="H7">
        <v>2023</v>
      </c>
      <c r="I7" t="s">
        <v>191</v>
      </c>
      <c r="J7" t="s">
        <v>717</v>
      </c>
      <c r="K7">
        <v>0</v>
      </c>
      <c r="N7">
        <f t="shared" si="0"/>
        <v>-0.24882778784320739</v>
      </c>
    </row>
    <row r="8" spans="1:14">
      <c r="A8" t="s">
        <v>70</v>
      </c>
      <c r="B8" t="s">
        <v>336</v>
      </c>
      <c r="C8" t="s">
        <v>717</v>
      </c>
      <c r="D8">
        <v>11.565639269255</v>
      </c>
      <c r="E8">
        <v>380045730082</v>
      </c>
      <c r="F8">
        <v>611873625.43202007</v>
      </c>
      <c r="G8">
        <v>1.61</v>
      </c>
      <c r="H8">
        <v>2022</v>
      </c>
      <c r="I8" t="s">
        <v>338</v>
      </c>
      <c r="J8" t="s">
        <v>717</v>
      </c>
      <c r="K8">
        <v>12.081</v>
      </c>
      <c r="L8">
        <v>631954371.199</v>
      </c>
      <c r="M8">
        <v>631954371.199</v>
      </c>
      <c r="N8">
        <f t="shared" si="0"/>
        <v>0.51536073074499988</v>
      </c>
    </row>
    <row r="9" spans="1:14">
      <c r="A9" t="s">
        <v>72</v>
      </c>
      <c r="B9" t="s">
        <v>532</v>
      </c>
      <c r="C9" t="s">
        <v>717</v>
      </c>
      <c r="D9">
        <v>4.4235695691080297</v>
      </c>
      <c r="E9">
        <v>147954684761</v>
      </c>
      <c r="F9">
        <v>238207042.46520999</v>
      </c>
      <c r="G9">
        <v>1.61</v>
      </c>
      <c r="H9">
        <v>2022</v>
      </c>
      <c r="I9" t="s">
        <v>534</v>
      </c>
      <c r="J9" t="s">
        <v>717</v>
      </c>
      <c r="K9">
        <v>3.6604030000000001</v>
      </c>
      <c r="L9">
        <v>206548068.21599999</v>
      </c>
      <c r="M9">
        <v>206548068.21599999</v>
      </c>
      <c r="N9">
        <f t="shared" si="0"/>
        <v>-0.7631665691080296</v>
      </c>
    </row>
    <row r="10" spans="1:14">
      <c r="A10" t="s">
        <v>70</v>
      </c>
      <c r="B10" t="s">
        <v>336</v>
      </c>
      <c r="C10" t="s">
        <v>717</v>
      </c>
      <c r="D10">
        <v>0.38235422377393991</v>
      </c>
      <c r="E10">
        <v>12540974385</v>
      </c>
      <c r="F10">
        <v>20190968.759849999</v>
      </c>
      <c r="G10">
        <v>1.61</v>
      </c>
      <c r="H10">
        <v>2022</v>
      </c>
      <c r="I10" t="s">
        <v>191</v>
      </c>
      <c r="J10" t="s">
        <v>717</v>
      </c>
      <c r="K10">
        <v>0</v>
      </c>
      <c r="N10">
        <f t="shared" si="0"/>
        <v>-0.38235422377393991</v>
      </c>
    </row>
    <row r="11" spans="1:14">
      <c r="A11" t="s">
        <v>70</v>
      </c>
      <c r="B11" t="s">
        <v>336</v>
      </c>
      <c r="C11" t="s">
        <v>717</v>
      </c>
      <c r="D11">
        <v>11.879753971524771</v>
      </c>
      <c r="E11">
        <v>381693870501</v>
      </c>
      <c r="F11">
        <v>687048966.90180004</v>
      </c>
      <c r="G11">
        <v>1.8</v>
      </c>
      <c r="H11">
        <v>2021</v>
      </c>
      <c r="I11" t="s">
        <v>338</v>
      </c>
      <c r="J11" t="s">
        <v>717</v>
      </c>
      <c r="K11">
        <v>13.581</v>
      </c>
      <c r="L11">
        <v>710234464.13499999</v>
      </c>
      <c r="M11">
        <v>710234464.13499999</v>
      </c>
      <c r="N11">
        <f t="shared" si="0"/>
        <v>1.7012460284752287</v>
      </c>
    </row>
    <row r="12" spans="1:14">
      <c r="A12" t="s">
        <v>72</v>
      </c>
      <c r="B12" t="s">
        <v>532</v>
      </c>
      <c r="C12" t="s">
        <v>717</v>
      </c>
      <c r="D12">
        <v>3.993468270569116</v>
      </c>
      <c r="E12">
        <v>123373225492</v>
      </c>
      <c r="F12">
        <v>222071805.8856</v>
      </c>
      <c r="G12">
        <v>1.8</v>
      </c>
      <c r="H12">
        <v>2021</v>
      </c>
      <c r="I12" t="s">
        <v>534</v>
      </c>
      <c r="J12" t="s">
        <v>717</v>
      </c>
      <c r="K12">
        <v>3.8843809999999999</v>
      </c>
      <c r="L12">
        <v>219808451.24000001</v>
      </c>
      <c r="M12">
        <v>219808451.24000001</v>
      </c>
      <c r="N12">
        <f t="shared" si="0"/>
        <v>-0.10908727056911616</v>
      </c>
    </row>
    <row r="13" spans="1:14">
      <c r="A13" t="s">
        <v>70</v>
      </c>
      <c r="B13" t="s">
        <v>336</v>
      </c>
      <c r="C13" t="s">
        <v>717</v>
      </c>
      <c r="D13">
        <v>6.7771358366445584</v>
      </c>
      <c r="E13">
        <v>220079268751</v>
      </c>
      <c r="F13">
        <v>382937927.62673998</v>
      </c>
      <c r="G13">
        <v>1.74</v>
      </c>
      <c r="H13">
        <v>2020</v>
      </c>
      <c r="I13" t="s">
        <v>338</v>
      </c>
      <c r="J13" t="s">
        <v>717</v>
      </c>
      <c r="K13">
        <v>9.5120000000000005</v>
      </c>
      <c r="L13">
        <v>485160797.29100001</v>
      </c>
      <c r="M13">
        <v>485160797.29100001</v>
      </c>
      <c r="N13">
        <f t="shared" si="0"/>
        <v>2.734864163355442</v>
      </c>
    </row>
    <row r="14" spans="1:14">
      <c r="A14" t="s">
        <v>70</v>
      </c>
      <c r="B14" t="s">
        <v>336</v>
      </c>
      <c r="C14" t="s">
        <v>717</v>
      </c>
      <c r="D14">
        <v>0.26437952458340791</v>
      </c>
      <c r="E14">
        <v>8692666730</v>
      </c>
      <c r="F14">
        <v>15125240.110200001</v>
      </c>
      <c r="G14">
        <v>1.74</v>
      </c>
      <c r="H14">
        <v>2020</v>
      </c>
      <c r="I14" t="s">
        <v>652</v>
      </c>
      <c r="J14" t="s">
        <v>717</v>
      </c>
      <c r="K14">
        <v>0</v>
      </c>
      <c r="N14">
        <f t="shared" si="0"/>
        <v>-0.26437952458340791</v>
      </c>
    </row>
    <row r="15" spans="1:14">
      <c r="A15" t="s">
        <v>72</v>
      </c>
      <c r="B15" t="s">
        <v>532</v>
      </c>
      <c r="C15" t="s">
        <v>717</v>
      </c>
      <c r="D15">
        <v>1.3204979666104211</v>
      </c>
      <c r="E15">
        <v>39522643736</v>
      </c>
      <c r="F15">
        <v>68769400.100639999</v>
      </c>
      <c r="G15">
        <v>1.74</v>
      </c>
      <c r="H15">
        <v>2020</v>
      </c>
      <c r="I15" t="s">
        <v>338</v>
      </c>
      <c r="J15" t="s">
        <v>717</v>
      </c>
      <c r="K15">
        <v>9.5120000000000005</v>
      </c>
      <c r="L15">
        <v>485160797.29100001</v>
      </c>
      <c r="M15">
        <v>485160797.29100001</v>
      </c>
      <c r="N15">
        <f t="shared" si="0"/>
        <v>8.1915020333895789</v>
      </c>
    </row>
    <row r="16" spans="1:14">
      <c r="A16" t="s">
        <v>72</v>
      </c>
      <c r="B16" t="s">
        <v>532</v>
      </c>
      <c r="C16" t="s">
        <v>717</v>
      </c>
      <c r="D16">
        <v>3.9922863385768612</v>
      </c>
      <c r="E16">
        <v>117267141286</v>
      </c>
      <c r="F16">
        <v>204044825.83763999</v>
      </c>
      <c r="G16">
        <v>1.74</v>
      </c>
      <c r="H16">
        <v>2020</v>
      </c>
      <c r="I16" t="s">
        <v>534</v>
      </c>
      <c r="J16" t="s">
        <v>717</v>
      </c>
      <c r="K16">
        <v>3.6344569999999998</v>
      </c>
      <c r="L16">
        <v>194991546.08899999</v>
      </c>
      <c r="M16">
        <v>194991546.08899999</v>
      </c>
      <c r="N16">
        <f t="shared" si="0"/>
        <v>-0.35782933857686139</v>
      </c>
    </row>
    <row r="17" spans="3:14">
      <c r="C17" t="s">
        <v>717</v>
      </c>
      <c r="D17">
        <v>0</v>
      </c>
      <c r="H17">
        <v>2024</v>
      </c>
      <c r="I17" t="s">
        <v>728</v>
      </c>
      <c r="J17" t="s">
        <v>717</v>
      </c>
      <c r="K17">
        <v>1.0012E-2</v>
      </c>
      <c r="L17">
        <v>819980</v>
      </c>
      <c r="M17">
        <v>819980</v>
      </c>
      <c r="N17">
        <f t="shared" si="0"/>
        <v>1.0012E-2</v>
      </c>
    </row>
    <row r="18" spans="3:14">
      <c r="C18" t="s">
        <v>717</v>
      </c>
      <c r="D18">
        <v>0</v>
      </c>
      <c r="H18">
        <v>2024</v>
      </c>
      <c r="I18" t="s">
        <v>638</v>
      </c>
      <c r="J18" t="s">
        <v>717</v>
      </c>
      <c r="K18">
        <v>1.0697E-2</v>
      </c>
      <c r="L18">
        <v>676674.71200000006</v>
      </c>
      <c r="M18">
        <v>676674.71200000006</v>
      </c>
      <c r="N18">
        <f t="shared" si="0"/>
        <v>1.0697E-2</v>
      </c>
    </row>
    <row r="19" spans="3:14">
      <c r="C19" t="s">
        <v>717</v>
      </c>
      <c r="D19">
        <v>0</v>
      </c>
      <c r="H19">
        <v>2024</v>
      </c>
      <c r="I19" t="s">
        <v>729</v>
      </c>
      <c r="J19" t="s">
        <v>717</v>
      </c>
      <c r="K19">
        <v>0.02</v>
      </c>
      <c r="L19">
        <v>1764637.62</v>
      </c>
      <c r="M19">
        <v>1764637.62</v>
      </c>
      <c r="N19">
        <f t="shared" si="0"/>
        <v>0.02</v>
      </c>
    </row>
    <row r="20" spans="3:14">
      <c r="C20" t="s">
        <v>717</v>
      </c>
      <c r="D20">
        <v>0</v>
      </c>
      <c r="H20">
        <v>2024</v>
      </c>
      <c r="I20" t="s">
        <v>730</v>
      </c>
      <c r="J20" t="s">
        <v>717</v>
      </c>
      <c r="K20">
        <v>1.9989999999999999E-3</v>
      </c>
      <c r="L20">
        <v>99765</v>
      </c>
      <c r="M20">
        <v>99765</v>
      </c>
      <c r="N20">
        <f t="shared" si="0"/>
        <v>1.9989999999999999E-3</v>
      </c>
    </row>
    <row r="21" spans="3:14">
      <c r="C21" t="s">
        <v>717</v>
      </c>
      <c r="D21">
        <v>0</v>
      </c>
      <c r="H21">
        <v>2023</v>
      </c>
      <c r="I21" t="s">
        <v>638</v>
      </c>
      <c r="J21" t="s">
        <v>717</v>
      </c>
      <c r="K21">
        <v>2.8239E-2</v>
      </c>
      <c r="L21">
        <v>1335454.328</v>
      </c>
      <c r="M21">
        <v>1335454.328</v>
      </c>
      <c r="N21">
        <f t="shared" si="0"/>
        <v>2.8239E-2</v>
      </c>
    </row>
    <row r="22" spans="3:14">
      <c r="C22" t="s">
        <v>717</v>
      </c>
      <c r="D22">
        <v>0</v>
      </c>
      <c r="H22">
        <v>2023</v>
      </c>
      <c r="I22" t="s">
        <v>261</v>
      </c>
      <c r="J22" t="s">
        <v>717</v>
      </c>
      <c r="K22">
        <v>6.6109999999999997E-3</v>
      </c>
      <c r="L22">
        <v>337980.12400000001</v>
      </c>
      <c r="M22">
        <v>337980.12400000001</v>
      </c>
      <c r="N22">
        <f t="shared" si="0"/>
        <v>6.6109999999999997E-3</v>
      </c>
    </row>
    <row r="23" spans="3:14">
      <c r="C23" t="s">
        <v>717</v>
      </c>
      <c r="D23">
        <v>0</v>
      </c>
      <c r="H23">
        <v>2023</v>
      </c>
      <c r="I23" t="s">
        <v>731</v>
      </c>
      <c r="J23" t="s">
        <v>717</v>
      </c>
      <c r="K23">
        <v>4.01464</v>
      </c>
      <c r="L23">
        <v>238406106.84299999</v>
      </c>
      <c r="M23">
        <v>238406106.84299999</v>
      </c>
      <c r="N23">
        <f t="shared" si="0"/>
        <v>4.01464</v>
      </c>
    </row>
    <row r="24" spans="3:14">
      <c r="C24" t="s">
        <v>717</v>
      </c>
      <c r="D24">
        <v>0</v>
      </c>
      <c r="H24">
        <v>2023</v>
      </c>
      <c r="I24" t="s">
        <v>730</v>
      </c>
      <c r="J24" t="s">
        <v>717</v>
      </c>
      <c r="K24">
        <v>3.4648000000000012E-2</v>
      </c>
      <c r="L24">
        <v>1695971</v>
      </c>
      <c r="M24">
        <v>1695971</v>
      </c>
      <c r="N24">
        <f t="shared" si="0"/>
        <v>3.4648000000000012E-2</v>
      </c>
    </row>
    <row r="25" spans="3:14">
      <c r="C25" t="s">
        <v>717</v>
      </c>
      <c r="D25">
        <v>0</v>
      </c>
      <c r="H25">
        <v>2022</v>
      </c>
      <c r="I25" t="s">
        <v>638</v>
      </c>
      <c r="J25" t="s">
        <v>717</v>
      </c>
      <c r="K25">
        <v>3.2393999999999999E-2</v>
      </c>
      <c r="L25">
        <v>1541344.121</v>
      </c>
      <c r="M25">
        <v>1541344.121</v>
      </c>
      <c r="N25">
        <f t="shared" si="0"/>
        <v>3.2393999999999999E-2</v>
      </c>
    </row>
    <row r="26" spans="3:14">
      <c r="C26" t="s">
        <v>717</v>
      </c>
      <c r="D26">
        <v>0</v>
      </c>
      <c r="H26">
        <v>2022</v>
      </c>
      <c r="I26" t="s">
        <v>731</v>
      </c>
      <c r="J26" t="s">
        <v>717</v>
      </c>
      <c r="K26">
        <v>3.2155200000000002</v>
      </c>
      <c r="L26">
        <v>171934926.44400001</v>
      </c>
      <c r="M26">
        <v>171934926.44400001</v>
      </c>
      <c r="N26">
        <f t="shared" si="0"/>
        <v>3.2155200000000002</v>
      </c>
    </row>
    <row r="27" spans="3:14">
      <c r="C27" t="s">
        <v>717</v>
      </c>
      <c r="D27">
        <v>0</v>
      </c>
      <c r="H27">
        <v>2021</v>
      </c>
      <c r="I27" t="s">
        <v>638</v>
      </c>
      <c r="J27" t="s">
        <v>717</v>
      </c>
      <c r="K27">
        <v>2.7383999999999999E-2</v>
      </c>
      <c r="L27">
        <v>1297177.531</v>
      </c>
      <c r="M27">
        <v>1297177.531</v>
      </c>
      <c r="N27">
        <f t="shared" si="0"/>
        <v>2.7383999999999999E-2</v>
      </c>
    </row>
    <row r="28" spans="3:14">
      <c r="C28" t="s">
        <v>717</v>
      </c>
      <c r="D28">
        <v>0</v>
      </c>
      <c r="H28">
        <v>2021</v>
      </c>
      <c r="I28" t="s">
        <v>634</v>
      </c>
      <c r="J28" t="s">
        <v>717</v>
      </c>
      <c r="K28">
        <v>9.9799999999999997E-4</v>
      </c>
      <c r="L28">
        <v>47763.417999999998</v>
      </c>
      <c r="M28">
        <v>47763.417999999998</v>
      </c>
      <c r="N28">
        <f t="shared" si="0"/>
        <v>9.9799999999999997E-4</v>
      </c>
    </row>
    <row r="29" spans="3:14">
      <c r="C29" t="s">
        <v>717</v>
      </c>
      <c r="D29">
        <v>0</v>
      </c>
      <c r="H29">
        <v>2021</v>
      </c>
      <c r="I29" t="s">
        <v>731</v>
      </c>
      <c r="J29" t="s">
        <v>717</v>
      </c>
      <c r="K29">
        <v>2.6259000000000001</v>
      </c>
      <c r="L29">
        <v>144258311.833</v>
      </c>
      <c r="M29">
        <v>144258311.833</v>
      </c>
      <c r="N29">
        <f t="shared" si="0"/>
        <v>2.6259000000000001</v>
      </c>
    </row>
    <row r="30" spans="3:14">
      <c r="C30" t="s">
        <v>717</v>
      </c>
      <c r="D30">
        <v>0</v>
      </c>
      <c r="H30">
        <v>2021</v>
      </c>
      <c r="I30" t="s">
        <v>730</v>
      </c>
      <c r="J30" t="s">
        <v>717</v>
      </c>
      <c r="K30">
        <v>7.45E-3</v>
      </c>
      <c r="L30">
        <v>332900</v>
      </c>
      <c r="M30">
        <v>332900</v>
      </c>
      <c r="N30">
        <f t="shared" si="0"/>
        <v>7.45E-3</v>
      </c>
    </row>
    <row r="31" spans="3:14">
      <c r="C31" t="s">
        <v>717</v>
      </c>
      <c r="D31">
        <v>0</v>
      </c>
      <c r="H31">
        <v>2020</v>
      </c>
      <c r="I31" t="s">
        <v>638</v>
      </c>
      <c r="J31" t="s">
        <v>717</v>
      </c>
      <c r="K31">
        <v>7.7575999999999992E-2</v>
      </c>
      <c r="L31">
        <v>3560493.3480000002</v>
      </c>
      <c r="M31">
        <v>3560493.3480000002</v>
      </c>
      <c r="N31">
        <f t="shared" si="0"/>
        <v>7.7575999999999992E-2</v>
      </c>
    </row>
    <row r="32" spans="3:14">
      <c r="C32" t="s">
        <v>717</v>
      </c>
      <c r="D32">
        <v>0</v>
      </c>
      <c r="H32">
        <v>2020</v>
      </c>
      <c r="I32" t="s">
        <v>731</v>
      </c>
      <c r="J32" t="s">
        <v>717</v>
      </c>
      <c r="K32">
        <v>2.1188699999999998</v>
      </c>
      <c r="L32">
        <v>104357473.52599999</v>
      </c>
      <c r="M32">
        <v>104357473.52599999</v>
      </c>
      <c r="N32">
        <f t="shared" si="0"/>
        <v>2.1188699999999998</v>
      </c>
    </row>
    <row r="33" spans="3:14">
      <c r="C33" t="s">
        <v>717</v>
      </c>
      <c r="D33">
        <v>0</v>
      </c>
      <c r="H33">
        <v>2020</v>
      </c>
      <c r="I33" t="s">
        <v>730</v>
      </c>
      <c r="J33" t="s">
        <v>717</v>
      </c>
      <c r="K33">
        <v>4.2486999999999997E-2</v>
      </c>
      <c r="L33">
        <v>1765487</v>
      </c>
      <c r="M33">
        <v>1765487</v>
      </c>
      <c r="N33">
        <f t="shared" si="0"/>
        <v>4.2486999999999997E-2</v>
      </c>
    </row>
  </sheetData>
  <autoFilter ref="A1:N33" xr:uid="{C78031B5-B5BB-4131-9BE9-2C6471DD6727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981E5-31F9-403D-93CB-3096DCD9CE51}">
  <dimension ref="A1:BM72"/>
  <sheetViews>
    <sheetView showOutlineSymbols="0" defaultGridColor="0" workbookViewId="0"/>
  </sheetViews>
  <sheetFormatPr baseColWidth="10" defaultColWidth="11.453125" defaultRowHeight="23.25"/>
  <cols>
    <col min="1" max="1" width="12.453125" style="112" customWidth="1"/>
    <col min="2" max="2" width="12" style="112" customWidth="1"/>
    <col min="3" max="3" width="14.1796875" style="112" customWidth="1"/>
    <col min="4" max="4" width="11.453125" style="112"/>
    <col min="5" max="5" width="12.54296875" style="112" customWidth="1"/>
    <col min="6" max="6" width="11.453125" style="112"/>
    <col min="7" max="7" width="16.26953125" style="112" customWidth="1"/>
    <col min="8" max="8" width="14.7265625" style="112" customWidth="1"/>
    <col min="9" max="9" width="15.81640625" style="112" customWidth="1"/>
    <col min="10" max="10" width="12.26953125" style="112" customWidth="1"/>
    <col min="11" max="11" width="11.81640625" style="112" customWidth="1"/>
    <col min="12" max="12" width="15.453125" style="112" customWidth="1"/>
    <col min="13" max="13" width="13.81640625" style="112" customWidth="1"/>
    <col min="14" max="14" width="15" style="112" customWidth="1"/>
    <col min="15" max="15" width="20.453125" style="112" customWidth="1"/>
    <col min="16" max="16" width="27" style="112" customWidth="1"/>
    <col min="17" max="17" width="24.81640625" style="112" customWidth="1"/>
    <col min="18" max="18" width="12.1796875" style="112" customWidth="1"/>
    <col min="19" max="19" width="97.1796875" style="112" bestFit="1" customWidth="1"/>
    <col min="20" max="20" width="12.453125" style="112" customWidth="1"/>
    <col min="21" max="21" width="11.453125" style="112"/>
    <col min="22" max="22" width="16" style="112" customWidth="1"/>
    <col min="23" max="23" width="15.54296875" style="112" customWidth="1"/>
    <col min="24" max="25" width="12" style="112" customWidth="1"/>
    <col min="26" max="26" width="11.54296875" style="112" customWidth="1"/>
    <col min="27" max="28" width="15.453125" style="112" customWidth="1"/>
    <col min="29" max="30" width="22" style="112" customWidth="1"/>
    <col min="31" max="32" width="23.1796875" style="112" customWidth="1"/>
    <col min="33" max="33" width="11.453125" style="112"/>
    <col min="34" max="34" width="13" style="112" customWidth="1"/>
    <col min="35" max="35" width="14.1796875" style="112" customWidth="1"/>
    <col min="36" max="36" width="17.81640625" style="112" customWidth="1"/>
    <col min="37" max="38" width="18.26953125" style="112" customWidth="1"/>
    <col min="39" max="39" width="11.453125" style="112"/>
    <col min="40" max="41" width="24.81640625" style="112" customWidth="1"/>
    <col min="42" max="43" width="26" style="112" customWidth="1"/>
    <col min="44" max="44" width="15.81640625" style="112" customWidth="1"/>
    <col min="45" max="45" width="17" style="112" customWidth="1"/>
    <col min="46" max="46" width="20.7265625" style="112" customWidth="1"/>
    <col min="47" max="47" width="11.453125" style="112"/>
    <col min="48" max="48" width="17.1796875" style="112" customWidth="1"/>
    <col min="49" max="49" width="18.26953125" style="112" customWidth="1"/>
    <col min="50" max="50" width="22" style="112" customWidth="1"/>
    <col min="51" max="51" width="12.26953125" style="112" customWidth="1"/>
    <col min="52" max="52" width="18.81640625" style="112" customWidth="1"/>
    <col min="53" max="53" width="20" style="112" customWidth="1"/>
    <col min="54" max="54" width="23.7265625" style="112" customWidth="1"/>
    <col min="55" max="55" width="11.453125" style="112"/>
    <col min="56" max="56" width="11.7265625" style="112" customWidth="1"/>
    <col min="57" max="57" width="16.26953125" style="112" customWidth="1"/>
    <col min="58" max="58" width="26" style="112" customWidth="1"/>
    <col min="59" max="59" width="22.54296875" style="112" customWidth="1"/>
    <col min="60" max="60" width="20.1796875" style="112" customWidth="1"/>
    <col min="61" max="61" width="23.7265625" style="112" customWidth="1"/>
    <col min="62" max="62" width="27.1796875" style="112" customWidth="1"/>
    <col min="63" max="63" width="23.54296875" style="112" customWidth="1"/>
    <col min="64" max="64" width="13.7265625" style="112" customWidth="1"/>
    <col min="65" max="65" width="14.54296875" style="112" customWidth="1"/>
    <col min="66" max="16384" width="11.453125" style="112"/>
  </cols>
  <sheetData>
    <row r="1" spans="1:65">
      <c r="A1" s="112" t="s">
        <v>122</v>
      </c>
      <c r="B1" s="112" t="s">
        <v>123</v>
      </c>
      <c r="C1" s="112" t="s">
        <v>124</v>
      </c>
      <c r="D1" s="112" t="s">
        <v>125</v>
      </c>
      <c r="E1" s="112" t="s">
        <v>126</v>
      </c>
      <c r="F1" s="112" t="s">
        <v>127</v>
      </c>
      <c r="G1" s="112" t="s">
        <v>128</v>
      </c>
      <c r="H1" s="112" t="s">
        <v>129</v>
      </c>
      <c r="I1" s="112" t="s">
        <v>130</v>
      </c>
      <c r="J1" s="112" t="s">
        <v>131</v>
      </c>
      <c r="K1" s="112" t="s">
        <v>132</v>
      </c>
      <c r="L1" s="112" t="s">
        <v>133</v>
      </c>
      <c r="M1" s="112" t="s">
        <v>134</v>
      </c>
      <c r="N1" s="112" t="s">
        <v>135</v>
      </c>
      <c r="O1" s="112" t="s">
        <v>136</v>
      </c>
      <c r="P1" s="112" t="s">
        <v>137</v>
      </c>
      <c r="Q1" s="112" t="s">
        <v>138</v>
      </c>
      <c r="R1" s="112" t="s">
        <v>139</v>
      </c>
      <c r="S1" s="112" t="s">
        <v>140</v>
      </c>
      <c r="T1" s="112" t="s">
        <v>141</v>
      </c>
      <c r="U1" s="112" t="s">
        <v>142</v>
      </c>
      <c r="V1" s="112" t="s">
        <v>143</v>
      </c>
      <c r="W1" s="112" t="s">
        <v>144</v>
      </c>
      <c r="X1" s="112" t="s">
        <v>145</v>
      </c>
      <c r="Y1" s="112" t="s">
        <v>146</v>
      </c>
      <c r="Z1" s="112" t="s">
        <v>147</v>
      </c>
      <c r="AA1" s="112" t="s">
        <v>148</v>
      </c>
      <c r="AB1" s="112" t="s">
        <v>149</v>
      </c>
      <c r="AC1" s="112" t="s">
        <v>150</v>
      </c>
      <c r="AD1" s="112" t="s">
        <v>151</v>
      </c>
      <c r="AE1" s="112" t="s">
        <v>152</v>
      </c>
      <c r="AF1" s="112" t="s">
        <v>153</v>
      </c>
      <c r="AG1" s="112" t="s">
        <v>154</v>
      </c>
      <c r="AH1" s="112" t="s">
        <v>155</v>
      </c>
      <c r="AI1" s="112" t="s">
        <v>156</v>
      </c>
      <c r="AJ1" s="112" t="s">
        <v>157</v>
      </c>
      <c r="AK1" s="112" t="s">
        <v>158</v>
      </c>
      <c r="AL1" s="112" t="s">
        <v>159</v>
      </c>
      <c r="AM1" s="112" t="s">
        <v>160</v>
      </c>
      <c r="AN1" s="112" t="s">
        <v>161</v>
      </c>
      <c r="AO1" s="112" t="s">
        <v>162</v>
      </c>
      <c r="AP1" s="112" t="s">
        <v>163</v>
      </c>
      <c r="AQ1" s="112" t="s">
        <v>164</v>
      </c>
      <c r="AR1" s="112" t="s">
        <v>165</v>
      </c>
      <c r="AS1" s="112" t="s">
        <v>166</v>
      </c>
      <c r="AT1" s="112" t="s">
        <v>167</v>
      </c>
      <c r="AU1" s="112" t="s">
        <v>168</v>
      </c>
      <c r="AV1" s="112" t="s">
        <v>169</v>
      </c>
      <c r="AW1" s="112" t="s">
        <v>170</v>
      </c>
      <c r="AX1" s="112" t="s">
        <v>171</v>
      </c>
      <c r="AY1" s="112" t="s">
        <v>172</v>
      </c>
      <c r="AZ1" s="112" t="s">
        <v>173</v>
      </c>
      <c r="BA1" s="112" t="s">
        <v>174</v>
      </c>
      <c r="BB1" s="112" t="s">
        <v>175</v>
      </c>
      <c r="BC1" s="112" t="s">
        <v>176</v>
      </c>
      <c r="BD1" s="112" t="s">
        <v>177</v>
      </c>
      <c r="BE1" s="112" t="s">
        <v>178</v>
      </c>
      <c r="BF1" s="112" t="s">
        <v>179</v>
      </c>
      <c r="BG1" s="112" t="s">
        <v>180</v>
      </c>
      <c r="BH1" s="112" t="s">
        <v>181</v>
      </c>
      <c r="BI1" s="112" t="s">
        <v>182</v>
      </c>
      <c r="BJ1" s="112" t="s">
        <v>183</v>
      </c>
      <c r="BK1" s="112" t="s">
        <v>184</v>
      </c>
      <c r="BL1" s="112" t="s">
        <v>185</v>
      </c>
      <c r="BM1" s="112" t="s">
        <v>186</v>
      </c>
    </row>
    <row r="2" spans="1:65">
      <c r="A2" s="112" t="s">
        <v>187</v>
      </c>
      <c r="B2" s="112" t="s">
        <v>188</v>
      </c>
      <c r="C2" s="112">
        <v>20210101</v>
      </c>
      <c r="D2" s="112">
        <v>2021</v>
      </c>
      <c r="E2" s="112">
        <v>52</v>
      </c>
      <c r="F2" s="112" t="s">
        <v>189</v>
      </c>
      <c r="G2" s="112">
        <v>686</v>
      </c>
      <c r="H2" s="112" t="s">
        <v>190</v>
      </c>
      <c r="I2" s="112" t="s">
        <v>191</v>
      </c>
      <c r="J2" s="112" t="s">
        <v>192</v>
      </c>
      <c r="K2" s="112" t="s">
        <v>193</v>
      </c>
      <c r="L2" s="112">
        <v>36</v>
      </c>
      <c r="M2" s="112" t="s">
        <v>194</v>
      </c>
      <c r="N2" s="112" t="s">
        <v>195</v>
      </c>
      <c r="O2" s="112" t="s">
        <v>196</v>
      </c>
      <c r="P2" s="112" t="s">
        <v>197</v>
      </c>
      <c r="Q2" s="112" t="b">
        <v>1</v>
      </c>
      <c r="R2" s="112" t="s">
        <v>198</v>
      </c>
      <c r="S2" s="112" t="s">
        <v>199</v>
      </c>
      <c r="T2" s="112">
        <v>4</v>
      </c>
      <c r="U2" s="112" t="b">
        <v>0</v>
      </c>
      <c r="V2" s="112" t="s">
        <v>200</v>
      </c>
      <c r="W2" s="112" t="s">
        <v>201</v>
      </c>
      <c r="X2" s="112" t="s">
        <v>202</v>
      </c>
      <c r="Y2" s="112">
        <v>0</v>
      </c>
      <c r="Z2" s="112" t="s">
        <v>203</v>
      </c>
      <c r="AA2" s="112">
        <v>8</v>
      </c>
      <c r="AB2" s="112" t="s">
        <v>204</v>
      </c>
      <c r="AC2" s="112">
        <v>8</v>
      </c>
      <c r="AD2" s="112" t="s">
        <v>204</v>
      </c>
      <c r="AG2" s="112">
        <v>4003</v>
      </c>
      <c r="AH2" s="112">
        <v>3884.3809999999999</v>
      </c>
      <c r="AJ2" s="112" t="b">
        <v>0</v>
      </c>
      <c r="AK2" s="112">
        <v>8</v>
      </c>
      <c r="AL2" s="112" t="s">
        <v>204</v>
      </c>
      <c r="AM2" s="112">
        <v>4003</v>
      </c>
      <c r="AN2" s="112">
        <v>-1</v>
      </c>
      <c r="AO2" s="112" t="s">
        <v>205</v>
      </c>
      <c r="AR2" s="112">
        <v>0</v>
      </c>
      <c r="AT2" s="112" t="b">
        <v>0</v>
      </c>
      <c r="AU2" s="112">
        <v>4003</v>
      </c>
      <c r="AV2" s="112">
        <v>3884.3809999999999</v>
      </c>
      <c r="AX2" s="112" t="b">
        <v>0</v>
      </c>
      <c r="AY2" s="112">
        <v>0</v>
      </c>
      <c r="AZ2" s="112">
        <v>4600.33</v>
      </c>
      <c r="BB2" s="112" t="b">
        <v>0</v>
      </c>
      <c r="BC2" s="112">
        <v>0</v>
      </c>
      <c r="BD2" s="112">
        <v>213315372.09999999</v>
      </c>
      <c r="BE2" s="112">
        <v>213315372.09999999</v>
      </c>
      <c r="BF2" s="112" t="b">
        <v>1</v>
      </c>
      <c r="BG2" s="112">
        <v>219808451.24000001</v>
      </c>
      <c r="BH2" s="112">
        <v>3.0438871217195462E-2</v>
      </c>
      <c r="BI2" s="112">
        <v>0</v>
      </c>
      <c r="BJ2" s="112" t="b">
        <v>0</v>
      </c>
      <c r="BK2" s="112">
        <v>0</v>
      </c>
      <c r="BL2" s="112" t="b">
        <v>0</v>
      </c>
      <c r="BM2" s="112" t="b">
        <v>1</v>
      </c>
    </row>
    <row r="3" spans="1:65">
      <c r="A3" s="112" t="s">
        <v>187</v>
      </c>
      <c r="B3" s="112" t="s">
        <v>188</v>
      </c>
      <c r="C3" s="112">
        <v>20140101</v>
      </c>
      <c r="D3" s="112">
        <v>2014</v>
      </c>
      <c r="E3" s="112">
        <v>52</v>
      </c>
      <c r="F3" s="112" t="s">
        <v>206</v>
      </c>
      <c r="G3" s="112">
        <v>686</v>
      </c>
      <c r="H3" s="112" t="s">
        <v>190</v>
      </c>
      <c r="I3" s="112" t="s">
        <v>191</v>
      </c>
      <c r="J3" s="112" t="s">
        <v>192</v>
      </c>
      <c r="K3" s="112" t="s">
        <v>193</v>
      </c>
      <c r="L3" s="112">
        <v>724</v>
      </c>
      <c r="M3" s="112" t="s">
        <v>207</v>
      </c>
      <c r="N3" s="112" t="s">
        <v>208</v>
      </c>
      <c r="O3" s="112" t="s">
        <v>209</v>
      </c>
      <c r="P3" s="112" t="s">
        <v>197</v>
      </c>
      <c r="Q3" s="112" t="b">
        <v>1</v>
      </c>
      <c r="R3" s="112" t="s">
        <v>198</v>
      </c>
      <c r="S3" s="112" t="s">
        <v>199</v>
      </c>
      <c r="T3" s="112">
        <v>4</v>
      </c>
      <c r="U3" s="112" t="b">
        <v>0</v>
      </c>
      <c r="V3" s="112" t="s">
        <v>200</v>
      </c>
      <c r="W3" s="112" t="s">
        <v>201</v>
      </c>
      <c r="X3" s="112" t="s">
        <v>202</v>
      </c>
      <c r="Y3" s="112">
        <v>0</v>
      </c>
      <c r="Z3" s="112" t="s">
        <v>203</v>
      </c>
      <c r="AA3" s="112">
        <v>8</v>
      </c>
      <c r="AB3" s="112" t="s">
        <v>204</v>
      </c>
      <c r="AG3" s="112">
        <v>1</v>
      </c>
      <c r="AJ3" s="112" t="b">
        <v>0</v>
      </c>
      <c r="AK3" s="112">
        <v>-1</v>
      </c>
      <c r="AL3" s="112" t="s">
        <v>205</v>
      </c>
      <c r="AT3" s="112" t="b">
        <v>0</v>
      </c>
      <c r="AU3" s="112">
        <v>1</v>
      </c>
      <c r="AX3" s="112" t="b">
        <v>0</v>
      </c>
      <c r="BB3" s="112" t="b">
        <v>0</v>
      </c>
      <c r="BD3" s="112">
        <v>21295</v>
      </c>
      <c r="BE3" s="112">
        <v>21295</v>
      </c>
      <c r="BF3" s="112" t="b">
        <v>1</v>
      </c>
      <c r="BG3" s="112">
        <v>0</v>
      </c>
      <c r="BH3" s="112">
        <v>-1</v>
      </c>
      <c r="BI3" s="112">
        <v>0</v>
      </c>
      <c r="BJ3" s="112" t="b">
        <v>1</v>
      </c>
      <c r="BK3" s="112">
        <v>0</v>
      </c>
      <c r="BL3" s="112" t="b">
        <v>1</v>
      </c>
      <c r="BM3" s="112" t="b">
        <v>0</v>
      </c>
    </row>
    <row r="4" spans="1:65">
      <c r="A4" s="112" t="s">
        <v>187</v>
      </c>
      <c r="B4" s="112" t="s">
        <v>188</v>
      </c>
      <c r="C4" s="112">
        <v>20200101</v>
      </c>
      <c r="D4" s="112">
        <v>2020</v>
      </c>
      <c r="E4" s="112">
        <v>52</v>
      </c>
      <c r="F4" s="112" t="s">
        <v>210</v>
      </c>
      <c r="G4" s="112">
        <v>686</v>
      </c>
      <c r="H4" s="112" t="s">
        <v>190</v>
      </c>
      <c r="I4" s="112" t="s">
        <v>191</v>
      </c>
      <c r="J4" s="112" t="s">
        <v>192</v>
      </c>
      <c r="K4" s="112" t="s">
        <v>193</v>
      </c>
      <c r="L4" s="112">
        <v>792</v>
      </c>
      <c r="M4" s="112" t="s">
        <v>211</v>
      </c>
      <c r="N4" s="112" t="s">
        <v>212</v>
      </c>
      <c r="O4" s="112" t="s">
        <v>196</v>
      </c>
      <c r="P4" s="112" t="s">
        <v>197</v>
      </c>
      <c r="Q4" s="112" t="b">
        <v>1</v>
      </c>
      <c r="R4" s="112" t="s">
        <v>198</v>
      </c>
      <c r="S4" s="112" t="s">
        <v>199</v>
      </c>
      <c r="T4" s="112">
        <v>4</v>
      </c>
      <c r="U4" s="112" t="b">
        <v>0</v>
      </c>
      <c r="V4" s="112" t="s">
        <v>200</v>
      </c>
      <c r="W4" s="112" t="s">
        <v>201</v>
      </c>
      <c r="X4" s="112" t="s">
        <v>202</v>
      </c>
      <c r="Y4" s="112">
        <v>0</v>
      </c>
      <c r="Z4" s="112" t="s">
        <v>203</v>
      </c>
      <c r="AA4" s="112">
        <v>8</v>
      </c>
      <c r="AB4" s="112" t="s">
        <v>204</v>
      </c>
      <c r="AC4" s="112">
        <v>8</v>
      </c>
      <c r="AD4" s="112" t="s">
        <v>204</v>
      </c>
      <c r="AE4" s="112">
        <v>8</v>
      </c>
      <c r="AF4" s="112" t="s">
        <v>204</v>
      </c>
      <c r="AG4" s="112">
        <v>4</v>
      </c>
      <c r="AH4" s="112">
        <v>42.487000000000002</v>
      </c>
      <c r="AI4" s="112">
        <v>42.487000000000002</v>
      </c>
      <c r="AJ4" s="112" t="b">
        <v>0</v>
      </c>
      <c r="AK4" s="112">
        <v>8</v>
      </c>
      <c r="AL4" s="112" t="s">
        <v>204</v>
      </c>
      <c r="AM4" s="112">
        <v>4</v>
      </c>
      <c r="AN4" s="112">
        <v>15</v>
      </c>
      <c r="AO4" s="112" t="s">
        <v>213</v>
      </c>
      <c r="AP4" s="112">
        <v>15</v>
      </c>
      <c r="AQ4" s="112" t="s">
        <v>213</v>
      </c>
      <c r="AR4" s="112">
        <v>42487</v>
      </c>
      <c r="AS4" s="112">
        <v>42.487000000000002</v>
      </c>
      <c r="AT4" s="112" t="b">
        <v>0</v>
      </c>
      <c r="AU4" s="112">
        <v>4</v>
      </c>
      <c r="AV4" s="112">
        <v>42</v>
      </c>
      <c r="AW4" s="112">
        <v>42.487000000000002</v>
      </c>
      <c r="AX4" s="112" t="b">
        <v>0</v>
      </c>
      <c r="AY4" s="112">
        <v>0</v>
      </c>
      <c r="AZ4" s="112">
        <v>0</v>
      </c>
      <c r="BA4" s="112">
        <v>42.487000000000002</v>
      </c>
      <c r="BB4" s="112" t="b">
        <v>0</v>
      </c>
      <c r="BC4" s="112">
        <v>0</v>
      </c>
      <c r="BD4" s="112">
        <v>69427.692999999999</v>
      </c>
      <c r="BE4" s="112">
        <v>69427.692999999999</v>
      </c>
      <c r="BF4" s="112" t="b">
        <v>1</v>
      </c>
      <c r="BG4" s="112">
        <v>1765487</v>
      </c>
      <c r="BH4" s="112">
        <v>24.429146839143858</v>
      </c>
      <c r="BI4" s="112">
        <v>1765487</v>
      </c>
      <c r="BJ4" s="112" t="b">
        <v>1</v>
      </c>
      <c r="BK4" s="112">
        <v>0</v>
      </c>
      <c r="BL4" s="112" t="b">
        <v>0</v>
      </c>
      <c r="BM4" s="112" t="b">
        <v>1</v>
      </c>
    </row>
    <row r="5" spans="1:65">
      <c r="A5" s="112" t="s">
        <v>187</v>
      </c>
      <c r="B5" s="112" t="s">
        <v>188</v>
      </c>
      <c r="C5" s="112">
        <v>20200101</v>
      </c>
      <c r="D5" s="112">
        <v>2020</v>
      </c>
      <c r="E5" s="112">
        <v>52</v>
      </c>
      <c r="F5" s="112" t="s">
        <v>210</v>
      </c>
      <c r="G5" s="112">
        <v>686</v>
      </c>
      <c r="H5" s="112" t="s">
        <v>190</v>
      </c>
      <c r="I5" s="112" t="s">
        <v>191</v>
      </c>
      <c r="J5" s="112" t="s">
        <v>192</v>
      </c>
      <c r="K5" s="112" t="s">
        <v>193</v>
      </c>
      <c r="L5" s="112">
        <v>36</v>
      </c>
      <c r="M5" s="112" t="s">
        <v>194</v>
      </c>
      <c r="N5" s="112" t="s">
        <v>195</v>
      </c>
      <c r="O5" s="112" t="s">
        <v>196</v>
      </c>
      <c r="P5" s="112" t="s">
        <v>197</v>
      </c>
      <c r="Q5" s="112" t="b">
        <v>1</v>
      </c>
      <c r="R5" s="112" t="s">
        <v>198</v>
      </c>
      <c r="S5" s="112" t="s">
        <v>199</v>
      </c>
      <c r="T5" s="112">
        <v>4</v>
      </c>
      <c r="U5" s="112" t="b">
        <v>0</v>
      </c>
      <c r="V5" s="112" t="s">
        <v>200</v>
      </c>
      <c r="W5" s="112" t="s">
        <v>201</v>
      </c>
      <c r="X5" s="112" t="s">
        <v>202</v>
      </c>
      <c r="Y5" s="112">
        <v>0</v>
      </c>
      <c r="Z5" s="112" t="s">
        <v>203</v>
      </c>
      <c r="AA5" s="112">
        <v>8</v>
      </c>
      <c r="AB5" s="112" t="s">
        <v>204</v>
      </c>
      <c r="AC5" s="112">
        <v>8</v>
      </c>
      <c r="AD5" s="112" t="s">
        <v>204</v>
      </c>
      <c r="AG5" s="112">
        <v>3980</v>
      </c>
      <c r="AH5" s="112">
        <v>3634.4569999999999</v>
      </c>
      <c r="AJ5" s="112" t="b">
        <v>0</v>
      </c>
      <c r="AK5" s="112">
        <v>8</v>
      </c>
      <c r="AL5" s="112" t="s">
        <v>204</v>
      </c>
      <c r="AM5" s="112">
        <v>3980</v>
      </c>
      <c r="AN5" s="112">
        <v>-1</v>
      </c>
      <c r="AO5" s="112" t="s">
        <v>205</v>
      </c>
      <c r="AR5" s="112">
        <v>0</v>
      </c>
      <c r="AT5" s="112" t="b">
        <v>0</v>
      </c>
      <c r="AU5" s="112">
        <v>3980</v>
      </c>
      <c r="AV5" s="112">
        <v>3634.4569999999999</v>
      </c>
      <c r="AX5" s="112" t="b">
        <v>0</v>
      </c>
      <c r="AY5" s="112">
        <v>0</v>
      </c>
      <c r="AZ5" s="112">
        <v>3279.1</v>
      </c>
      <c r="BB5" s="112" t="b">
        <v>0</v>
      </c>
      <c r="BC5" s="112">
        <v>0</v>
      </c>
      <c r="BD5" s="112">
        <v>212750667.588</v>
      </c>
      <c r="BE5" s="112">
        <v>212750667.588</v>
      </c>
      <c r="BF5" s="112" t="b">
        <v>1</v>
      </c>
      <c r="BG5" s="112">
        <v>194991546.08899999</v>
      </c>
      <c r="BH5" s="112">
        <v>-8.3473869672603063E-2</v>
      </c>
      <c r="BI5" s="112">
        <v>0</v>
      </c>
      <c r="BJ5" s="112" t="b">
        <v>0</v>
      </c>
      <c r="BK5" s="112">
        <v>0</v>
      </c>
      <c r="BL5" s="112" t="b">
        <v>0</v>
      </c>
      <c r="BM5" s="112" t="b">
        <v>1</v>
      </c>
    </row>
    <row r="6" spans="1:65">
      <c r="A6" s="112" t="s">
        <v>187</v>
      </c>
      <c r="B6" s="112" t="s">
        <v>188</v>
      </c>
      <c r="C6" s="112">
        <v>20190101</v>
      </c>
      <c r="D6" s="112">
        <v>2019</v>
      </c>
      <c r="E6" s="112">
        <v>52</v>
      </c>
      <c r="F6" s="112" t="s">
        <v>214</v>
      </c>
      <c r="G6" s="112">
        <v>686</v>
      </c>
      <c r="H6" s="112" t="s">
        <v>190</v>
      </c>
      <c r="I6" s="112" t="s">
        <v>191</v>
      </c>
      <c r="J6" s="112" t="s">
        <v>192</v>
      </c>
      <c r="K6" s="112" t="s">
        <v>193</v>
      </c>
      <c r="L6" s="112">
        <v>56</v>
      </c>
      <c r="M6" s="112" t="s">
        <v>215</v>
      </c>
      <c r="N6" s="112" t="s">
        <v>216</v>
      </c>
      <c r="O6" s="112" t="s">
        <v>196</v>
      </c>
      <c r="P6" s="112" t="s">
        <v>197</v>
      </c>
      <c r="Q6" s="112" t="b">
        <v>1</v>
      </c>
      <c r="R6" s="112" t="s">
        <v>198</v>
      </c>
      <c r="S6" s="112" t="s">
        <v>199</v>
      </c>
      <c r="T6" s="112">
        <v>4</v>
      </c>
      <c r="U6" s="112" t="b">
        <v>0</v>
      </c>
      <c r="V6" s="112" t="s">
        <v>200</v>
      </c>
      <c r="W6" s="112" t="s">
        <v>201</v>
      </c>
      <c r="X6" s="112" t="s">
        <v>202</v>
      </c>
      <c r="Y6" s="112">
        <v>0</v>
      </c>
      <c r="Z6" s="112" t="s">
        <v>203</v>
      </c>
      <c r="AA6" s="112">
        <v>8</v>
      </c>
      <c r="AB6" s="112" t="s">
        <v>204</v>
      </c>
      <c r="AG6" s="112">
        <v>6</v>
      </c>
      <c r="AJ6" s="112" t="b">
        <v>0</v>
      </c>
      <c r="AK6" s="112">
        <v>8</v>
      </c>
      <c r="AL6" s="112" t="s">
        <v>204</v>
      </c>
      <c r="AM6" s="112">
        <v>6</v>
      </c>
      <c r="AT6" s="112" t="b">
        <v>0</v>
      </c>
      <c r="AU6" s="112">
        <v>6</v>
      </c>
      <c r="AX6" s="112" t="b">
        <v>0</v>
      </c>
      <c r="AY6" s="112">
        <v>0</v>
      </c>
      <c r="BB6" s="112" t="b">
        <v>0</v>
      </c>
      <c r="BD6" s="112">
        <v>95905.466</v>
      </c>
      <c r="BE6" s="112">
        <v>95905.466</v>
      </c>
      <c r="BF6" s="112" t="b">
        <v>1</v>
      </c>
      <c r="BG6" s="112">
        <v>0</v>
      </c>
      <c r="BH6" s="112">
        <v>-1</v>
      </c>
      <c r="BI6" s="112">
        <v>0</v>
      </c>
      <c r="BJ6" s="112" t="b">
        <v>0</v>
      </c>
      <c r="BK6" s="112">
        <v>0</v>
      </c>
      <c r="BL6" s="112" t="b">
        <v>0</v>
      </c>
      <c r="BM6" s="112" t="b">
        <v>1</v>
      </c>
    </row>
    <row r="7" spans="1:65">
      <c r="A7" s="112" t="s">
        <v>187</v>
      </c>
      <c r="B7" s="112" t="s">
        <v>188</v>
      </c>
      <c r="C7" s="112">
        <v>20160101</v>
      </c>
      <c r="D7" s="112">
        <v>2016</v>
      </c>
      <c r="E7" s="112">
        <v>52</v>
      </c>
      <c r="F7" s="112" t="s">
        <v>217</v>
      </c>
      <c r="G7" s="112">
        <v>686</v>
      </c>
      <c r="H7" s="112" t="s">
        <v>190</v>
      </c>
      <c r="I7" s="112" t="s">
        <v>191</v>
      </c>
      <c r="J7" s="112" t="s">
        <v>192</v>
      </c>
      <c r="K7" s="112" t="s">
        <v>193</v>
      </c>
      <c r="L7" s="112">
        <v>380</v>
      </c>
      <c r="M7" s="112" t="s">
        <v>218</v>
      </c>
      <c r="N7" s="112" t="s">
        <v>219</v>
      </c>
      <c r="O7" s="112" t="s">
        <v>220</v>
      </c>
      <c r="P7" s="112" t="s">
        <v>197</v>
      </c>
      <c r="Q7" s="112" t="b">
        <v>1</v>
      </c>
      <c r="R7" s="112" t="s">
        <v>198</v>
      </c>
      <c r="S7" s="112" t="s">
        <v>199</v>
      </c>
      <c r="T7" s="112">
        <v>4</v>
      </c>
      <c r="U7" s="112" t="b">
        <v>0</v>
      </c>
      <c r="V7" s="112" t="s">
        <v>200</v>
      </c>
      <c r="W7" s="112" t="s">
        <v>201</v>
      </c>
      <c r="X7" s="112" t="s">
        <v>202</v>
      </c>
      <c r="Y7" s="112">
        <v>0</v>
      </c>
      <c r="Z7" s="112" t="s">
        <v>203</v>
      </c>
      <c r="AA7" s="112">
        <v>8</v>
      </c>
      <c r="AB7" s="112" t="s">
        <v>204</v>
      </c>
      <c r="AC7" s="112">
        <v>8</v>
      </c>
      <c r="AD7" s="112" t="s">
        <v>204</v>
      </c>
      <c r="AG7" s="112">
        <v>149</v>
      </c>
      <c r="AH7" s="112">
        <v>116</v>
      </c>
      <c r="AJ7" s="112" t="b">
        <v>0</v>
      </c>
      <c r="AK7" s="112">
        <v>-1</v>
      </c>
      <c r="AL7" s="112" t="s">
        <v>205</v>
      </c>
      <c r="AN7" s="112">
        <v>15</v>
      </c>
      <c r="AO7" s="112" t="s">
        <v>213</v>
      </c>
      <c r="AR7" s="112">
        <v>112612</v>
      </c>
      <c r="AT7" s="112" t="b">
        <v>0</v>
      </c>
      <c r="AU7" s="112">
        <v>149</v>
      </c>
      <c r="AV7" s="112">
        <v>116</v>
      </c>
      <c r="AX7" s="112" t="b">
        <v>0</v>
      </c>
      <c r="BB7" s="112" t="b">
        <v>0</v>
      </c>
      <c r="BD7" s="112">
        <v>3055700</v>
      </c>
      <c r="BE7" s="112">
        <v>3055700</v>
      </c>
      <c r="BF7" s="112" t="b">
        <v>1</v>
      </c>
      <c r="BG7" s="112">
        <v>4226896.3430000003</v>
      </c>
      <c r="BH7" s="112">
        <v>0.38328250253624385</v>
      </c>
      <c r="BI7" s="112">
        <v>0</v>
      </c>
      <c r="BJ7" s="112" t="b">
        <v>0</v>
      </c>
      <c r="BK7" s="112">
        <v>0</v>
      </c>
      <c r="BL7" s="112" t="b">
        <v>1</v>
      </c>
      <c r="BM7" s="112" t="b">
        <v>0</v>
      </c>
    </row>
    <row r="8" spans="1:65">
      <c r="A8" s="112" t="s">
        <v>187</v>
      </c>
      <c r="B8" s="112" t="s">
        <v>188</v>
      </c>
      <c r="C8" s="112">
        <v>20140101</v>
      </c>
      <c r="D8" s="112">
        <v>2014</v>
      </c>
      <c r="E8" s="112">
        <v>52</v>
      </c>
      <c r="F8" s="112" t="s">
        <v>206</v>
      </c>
      <c r="G8" s="112">
        <v>686</v>
      </c>
      <c r="H8" s="112" t="s">
        <v>190</v>
      </c>
      <c r="I8" s="112" t="s">
        <v>191</v>
      </c>
      <c r="J8" s="112" t="s">
        <v>192</v>
      </c>
      <c r="K8" s="112" t="s">
        <v>193</v>
      </c>
      <c r="L8" s="112">
        <v>276</v>
      </c>
      <c r="M8" s="112" t="s">
        <v>221</v>
      </c>
      <c r="N8" s="112" t="s">
        <v>222</v>
      </c>
      <c r="O8" s="112" t="s">
        <v>209</v>
      </c>
      <c r="P8" s="112" t="s">
        <v>197</v>
      </c>
      <c r="Q8" s="112" t="b">
        <v>1</v>
      </c>
      <c r="R8" s="112" t="s">
        <v>198</v>
      </c>
      <c r="S8" s="112" t="s">
        <v>199</v>
      </c>
      <c r="T8" s="112">
        <v>4</v>
      </c>
      <c r="U8" s="112" t="b">
        <v>0</v>
      </c>
      <c r="V8" s="112" t="s">
        <v>200</v>
      </c>
      <c r="W8" s="112" t="s">
        <v>201</v>
      </c>
      <c r="X8" s="112" t="s">
        <v>202</v>
      </c>
      <c r="Y8" s="112">
        <v>0</v>
      </c>
      <c r="Z8" s="112" t="s">
        <v>203</v>
      </c>
      <c r="AA8" s="112">
        <v>8</v>
      </c>
      <c r="AB8" s="112" t="s">
        <v>204</v>
      </c>
      <c r="AG8" s="112">
        <v>16</v>
      </c>
      <c r="AJ8" s="112" t="b">
        <v>0</v>
      </c>
      <c r="AK8" s="112">
        <v>-1</v>
      </c>
      <c r="AL8" s="112" t="s">
        <v>205</v>
      </c>
      <c r="AT8" s="112" t="b">
        <v>0</v>
      </c>
      <c r="AU8" s="112">
        <v>16</v>
      </c>
      <c r="AX8" s="112" t="b">
        <v>0</v>
      </c>
      <c r="BB8" s="112" t="b">
        <v>0</v>
      </c>
      <c r="BD8" s="112">
        <v>377579</v>
      </c>
      <c r="BE8" s="112">
        <v>377579</v>
      </c>
      <c r="BF8" s="112" t="b">
        <v>1</v>
      </c>
      <c r="BG8" s="112">
        <v>0</v>
      </c>
      <c r="BH8" s="112">
        <v>-1</v>
      </c>
      <c r="BI8" s="112">
        <v>0</v>
      </c>
      <c r="BJ8" s="112" t="b">
        <v>1</v>
      </c>
      <c r="BK8" s="112">
        <v>0</v>
      </c>
      <c r="BL8" s="112" t="b">
        <v>1</v>
      </c>
      <c r="BM8" s="112" t="b">
        <v>0</v>
      </c>
    </row>
    <row r="9" spans="1:65">
      <c r="A9" s="112" t="s">
        <v>187</v>
      </c>
      <c r="B9" s="112" t="s">
        <v>188</v>
      </c>
      <c r="C9" s="112">
        <v>20220101</v>
      </c>
      <c r="D9" s="112">
        <v>2022</v>
      </c>
      <c r="E9" s="112">
        <v>52</v>
      </c>
      <c r="F9" s="112" t="s">
        <v>223</v>
      </c>
      <c r="G9" s="112">
        <v>686</v>
      </c>
      <c r="H9" s="112" t="s">
        <v>190</v>
      </c>
      <c r="I9" s="112" t="s">
        <v>191</v>
      </c>
      <c r="J9" s="112" t="s">
        <v>192</v>
      </c>
      <c r="K9" s="112" t="s">
        <v>193</v>
      </c>
      <c r="L9" s="112">
        <v>36</v>
      </c>
      <c r="M9" s="112" t="s">
        <v>194</v>
      </c>
      <c r="N9" s="112" t="s">
        <v>195</v>
      </c>
      <c r="O9" s="112" t="s">
        <v>224</v>
      </c>
      <c r="P9" s="112" t="s">
        <v>197</v>
      </c>
      <c r="Q9" s="112" t="b">
        <v>1</v>
      </c>
      <c r="R9" s="112" t="s">
        <v>198</v>
      </c>
      <c r="S9" s="112" t="s">
        <v>199</v>
      </c>
      <c r="T9" s="112">
        <v>4</v>
      </c>
      <c r="U9" s="112" t="b">
        <v>0</v>
      </c>
      <c r="V9" s="112" t="s">
        <v>200</v>
      </c>
      <c r="W9" s="112" t="s">
        <v>201</v>
      </c>
      <c r="X9" s="112" t="s">
        <v>202</v>
      </c>
      <c r="Y9" s="112">
        <v>0</v>
      </c>
      <c r="Z9" s="112" t="s">
        <v>203</v>
      </c>
      <c r="AA9" s="112">
        <v>8</v>
      </c>
      <c r="AB9" s="112" t="s">
        <v>204</v>
      </c>
      <c r="AC9" s="112">
        <v>8</v>
      </c>
      <c r="AD9" s="112" t="s">
        <v>204</v>
      </c>
      <c r="AG9" s="112">
        <v>3791</v>
      </c>
      <c r="AH9" s="112">
        <v>3660.4029999999998</v>
      </c>
      <c r="AJ9" s="112" t="b">
        <v>0</v>
      </c>
      <c r="AK9" s="112">
        <v>8</v>
      </c>
      <c r="AL9" s="112" t="s">
        <v>204</v>
      </c>
      <c r="AM9" s="112">
        <v>3791</v>
      </c>
      <c r="AN9" s="112">
        <v>-1</v>
      </c>
      <c r="AO9" s="112" t="s">
        <v>205</v>
      </c>
      <c r="AR9" s="112">
        <v>0</v>
      </c>
      <c r="AT9" s="112" t="b">
        <v>0</v>
      </c>
      <c r="AU9" s="112">
        <v>3791</v>
      </c>
      <c r="AV9" s="112">
        <v>3660.4029999999998</v>
      </c>
      <c r="AX9" s="112" t="b">
        <v>0</v>
      </c>
      <c r="AY9" s="112">
        <v>0</v>
      </c>
      <c r="AZ9" s="112">
        <v>4089.05</v>
      </c>
      <c r="BB9" s="112" t="b">
        <v>0</v>
      </c>
      <c r="BD9" s="112">
        <v>219061845.338</v>
      </c>
      <c r="BE9" s="112">
        <v>219061845.338</v>
      </c>
      <c r="BF9" s="112" t="b">
        <v>1</v>
      </c>
      <c r="BG9" s="112">
        <v>206548068.21599999</v>
      </c>
      <c r="BH9" s="112">
        <v>-5.7124402940603169E-2</v>
      </c>
      <c r="BI9" s="112">
        <v>0</v>
      </c>
      <c r="BJ9" s="112" t="b">
        <v>0</v>
      </c>
      <c r="BK9" s="112">
        <v>0</v>
      </c>
      <c r="BL9" s="112" t="b">
        <v>0</v>
      </c>
      <c r="BM9" s="112" t="b">
        <v>1</v>
      </c>
    </row>
    <row r="10" spans="1:65">
      <c r="A10" s="112" t="s">
        <v>187</v>
      </c>
      <c r="B10" s="112" t="s">
        <v>188</v>
      </c>
      <c r="C10" s="112">
        <v>20160101</v>
      </c>
      <c r="D10" s="112">
        <v>2016</v>
      </c>
      <c r="E10" s="112">
        <v>52</v>
      </c>
      <c r="F10" s="112" t="s">
        <v>217</v>
      </c>
      <c r="G10" s="112">
        <v>686</v>
      </c>
      <c r="H10" s="112" t="s">
        <v>190</v>
      </c>
      <c r="I10" s="112" t="s">
        <v>191</v>
      </c>
      <c r="J10" s="112" t="s">
        <v>192</v>
      </c>
      <c r="K10" s="112" t="s">
        <v>193</v>
      </c>
      <c r="L10" s="112">
        <v>757</v>
      </c>
      <c r="M10" s="112" t="s">
        <v>225</v>
      </c>
      <c r="N10" s="112" t="s">
        <v>226</v>
      </c>
      <c r="O10" s="112" t="s">
        <v>220</v>
      </c>
      <c r="P10" s="112" t="s">
        <v>197</v>
      </c>
      <c r="Q10" s="112" t="b">
        <v>1</v>
      </c>
      <c r="R10" s="112" t="s">
        <v>198</v>
      </c>
      <c r="S10" s="112" t="s">
        <v>199</v>
      </c>
      <c r="T10" s="112">
        <v>4</v>
      </c>
      <c r="U10" s="112" t="b">
        <v>0</v>
      </c>
      <c r="V10" s="112" t="s">
        <v>200</v>
      </c>
      <c r="W10" s="112" t="s">
        <v>201</v>
      </c>
      <c r="X10" s="112" t="s">
        <v>202</v>
      </c>
      <c r="Y10" s="112">
        <v>0</v>
      </c>
      <c r="Z10" s="112" t="s">
        <v>203</v>
      </c>
      <c r="AA10" s="112">
        <v>8</v>
      </c>
      <c r="AB10" s="112" t="s">
        <v>204</v>
      </c>
      <c r="AC10" s="112">
        <v>8</v>
      </c>
      <c r="AD10" s="112" t="s">
        <v>204</v>
      </c>
      <c r="AG10" s="112">
        <v>6638</v>
      </c>
      <c r="AH10" s="112">
        <v>7294</v>
      </c>
      <c r="AJ10" s="112" t="b">
        <v>0</v>
      </c>
      <c r="AK10" s="112">
        <v>-1</v>
      </c>
      <c r="AL10" s="112" t="s">
        <v>205</v>
      </c>
      <c r="AN10" s="112">
        <v>8</v>
      </c>
      <c r="AO10" s="112" t="s">
        <v>204</v>
      </c>
      <c r="AR10" s="112">
        <v>7294</v>
      </c>
      <c r="AT10" s="112" t="b">
        <v>0</v>
      </c>
      <c r="AU10" s="112">
        <v>6638</v>
      </c>
      <c r="AV10" s="112">
        <v>7294</v>
      </c>
      <c r="AX10" s="112" t="b">
        <v>0</v>
      </c>
      <c r="AZ10" s="112">
        <v>0</v>
      </c>
      <c r="BB10" s="112" t="b">
        <v>0</v>
      </c>
      <c r="BD10" s="112">
        <v>264199274</v>
      </c>
      <c r="BE10" s="112">
        <v>264199274</v>
      </c>
      <c r="BF10" s="112" t="b">
        <v>1</v>
      </c>
      <c r="BG10" s="112">
        <v>270646104.97600001</v>
      </c>
      <c r="BH10" s="112">
        <v>2.4401395501185252E-2</v>
      </c>
      <c r="BI10" s="112">
        <v>0</v>
      </c>
      <c r="BJ10" s="112" t="b">
        <v>0</v>
      </c>
      <c r="BK10" s="112">
        <v>0</v>
      </c>
      <c r="BL10" s="112" t="b">
        <v>1</v>
      </c>
      <c r="BM10" s="112" t="b">
        <v>0</v>
      </c>
    </row>
    <row r="11" spans="1:65">
      <c r="A11" s="112" t="s">
        <v>187</v>
      </c>
      <c r="B11" s="112" t="s">
        <v>188</v>
      </c>
      <c r="C11" s="112">
        <v>20180101</v>
      </c>
      <c r="D11" s="112">
        <v>2018</v>
      </c>
      <c r="E11" s="112">
        <v>52</v>
      </c>
      <c r="F11" s="112" t="s">
        <v>227</v>
      </c>
      <c r="G11" s="112">
        <v>686</v>
      </c>
      <c r="H11" s="112" t="s">
        <v>190</v>
      </c>
      <c r="I11" s="112" t="s">
        <v>191</v>
      </c>
      <c r="J11" s="112" t="s">
        <v>192</v>
      </c>
      <c r="K11" s="112" t="s">
        <v>193</v>
      </c>
      <c r="L11" s="112">
        <v>757</v>
      </c>
      <c r="M11" s="112" t="s">
        <v>225</v>
      </c>
      <c r="N11" s="112" t="s">
        <v>226</v>
      </c>
      <c r="O11" s="112" t="s">
        <v>220</v>
      </c>
      <c r="P11" s="112" t="s">
        <v>197</v>
      </c>
      <c r="Q11" s="112" t="b">
        <v>1</v>
      </c>
      <c r="R11" s="112" t="s">
        <v>198</v>
      </c>
      <c r="S11" s="112" t="s">
        <v>199</v>
      </c>
      <c r="T11" s="112">
        <v>4</v>
      </c>
      <c r="U11" s="112" t="b">
        <v>0</v>
      </c>
      <c r="V11" s="112" t="s">
        <v>200</v>
      </c>
      <c r="W11" s="112" t="s">
        <v>201</v>
      </c>
      <c r="X11" s="112" t="s">
        <v>228</v>
      </c>
      <c r="Y11" s="112">
        <v>0</v>
      </c>
      <c r="Z11" s="112" t="s">
        <v>203</v>
      </c>
      <c r="AA11" s="112">
        <v>8</v>
      </c>
      <c r="AB11" s="112" t="s">
        <v>204</v>
      </c>
      <c r="AC11" s="112">
        <v>8</v>
      </c>
      <c r="AD11" s="112" t="s">
        <v>204</v>
      </c>
      <c r="AG11" s="112">
        <v>12446</v>
      </c>
      <c r="AH11" s="112">
        <v>13436</v>
      </c>
      <c r="AJ11" s="112" t="b">
        <v>0</v>
      </c>
      <c r="AK11" s="112">
        <v>8</v>
      </c>
      <c r="AL11" s="112" t="s">
        <v>204</v>
      </c>
      <c r="AM11" s="112">
        <v>12446</v>
      </c>
      <c r="AN11" s="112">
        <v>8</v>
      </c>
      <c r="AO11" s="112" t="s">
        <v>204</v>
      </c>
      <c r="AR11" s="112">
        <v>13436</v>
      </c>
      <c r="AT11" s="112" t="b">
        <v>0</v>
      </c>
      <c r="AU11" s="112">
        <v>12446</v>
      </c>
      <c r="AV11" s="112">
        <v>13436</v>
      </c>
      <c r="AX11" s="112" t="b">
        <v>0</v>
      </c>
      <c r="AZ11" s="112">
        <v>0</v>
      </c>
      <c r="BB11" s="112" t="b">
        <v>0</v>
      </c>
      <c r="BD11" s="112">
        <v>512503505.18400002</v>
      </c>
      <c r="BE11" s="112">
        <v>512503505.18400002</v>
      </c>
      <c r="BF11" s="112" t="b">
        <v>1</v>
      </c>
      <c r="BG11" s="112">
        <v>500809858.685</v>
      </c>
      <c r="BH11" s="112">
        <v>-2.2816715165297707E-2</v>
      </c>
      <c r="BI11" s="112">
        <v>0</v>
      </c>
      <c r="BJ11" s="112" t="b">
        <v>0</v>
      </c>
      <c r="BK11" s="112">
        <v>0</v>
      </c>
      <c r="BL11" s="112" t="b">
        <v>0</v>
      </c>
      <c r="BM11" s="112" t="b">
        <v>1</v>
      </c>
    </row>
    <row r="12" spans="1:65">
      <c r="A12" s="112" t="s">
        <v>187</v>
      </c>
      <c r="B12" s="112" t="s">
        <v>188</v>
      </c>
      <c r="C12" s="112">
        <v>20160101</v>
      </c>
      <c r="D12" s="112">
        <v>2016</v>
      </c>
      <c r="E12" s="112">
        <v>52</v>
      </c>
      <c r="F12" s="112" t="s">
        <v>217</v>
      </c>
      <c r="G12" s="112">
        <v>686</v>
      </c>
      <c r="H12" s="112" t="s">
        <v>190</v>
      </c>
      <c r="I12" s="112" t="s">
        <v>191</v>
      </c>
      <c r="J12" s="112" t="s">
        <v>192</v>
      </c>
      <c r="K12" s="112" t="s">
        <v>193</v>
      </c>
      <c r="L12" s="112">
        <v>616</v>
      </c>
      <c r="M12" s="112" t="s">
        <v>229</v>
      </c>
      <c r="N12" s="112" t="s">
        <v>230</v>
      </c>
      <c r="O12" s="112" t="s">
        <v>220</v>
      </c>
      <c r="P12" s="112" t="s">
        <v>197</v>
      </c>
      <c r="Q12" s="112" t="b">
        <v>1</v>
      </c>
      <c r="R12" s="112" t="s">
        <v>198</v>
      </c>
      <c r="S12" s="112" t="s">
        <v>199</v>
      </c>
      <c r="T12" s="112">
        <v>4</v>
      </c>
      <c r="U12" s="112" t="b">
        <v>0</v>
      </c>
      <c r="V12" s="112" t="s">
        <v>200</v>
      </c>
      <c r="W12" s="112" t="s">
        <v>201</v>
      </c>
      <c r="X12" s="112" t="s">
        <v>202</v>
      </c>
      <c r="Y12" s="112">
        <v>0</v>
      </c>
      <c r="Z12" s="112" t="s">
        <v>203</v>
      </c>
      <c r="AA12" s="112">
        <v>8</v>
      </c>
      <c r="AB12" s="112" t="s">
        <v>204</v>
      </c>
      <c r="AC12" s="112">
        <v>8</v>
      </c>
      <c r="AD12" s="112" t="s">
        <v>204</v>
      </c>
      <c r="AG12" s="112">
        <v>2</v>
      </c>
      <c r="AH12" s="112">
        <v>2</v>
      </c>
      <c r="AJ12" s="112" t="b">
        <v>0</v>
      </c>
      <c r="AK12" s="112">
        <v>-1</v>
      </c>
      <c r="AL12" s="112" t="s">
        <v>205</v>
      </c>
      <c r="AN12" s="112">
        <v>-1</v>
      </c>
      <c r="AO12" s="112" t="s">
        <v>205</v>
      </c>
      <c r="AT12" s="112" t="b">
        <v>0</v>
      </c>
      <c r="AU12" s="112">
        <v>2</v>
      </c>
      <c r="AV12" s="112">
        <v>2</v>
      </c>
      <c r="AX12" s="112" t="b">
        <v>0</v>
      </c>
      <c r="BB12" s="112" t="b">
        <v>0</v>
      </c>
      <c r="BD12" s="112">
        <v>78279</v>
      </c>
      <c r="BE12" s="112">
        <v>78279</v>
      </c>
      <c r="BF12" s="112" t="b">
        <v>1</v>
      </c>
      <c r="BG12" s="112">
        <v>79584</v>
      </c>
      <c r="BH12" s="112">
        <v>1.6671137853063955E-2</v>
      </c>
      <c r="BI12" s="112">
        <v>0</v>
      </c>
      <c r="BJ12" s="112" t="b">
        <v>0</v>
      </c>
      <c r="BK12" s="112">
        <v>0</v>
      </c>
      <c r="BL12" s="112" t="b">
        <v>1</v>
      </c>
      <c r="BM12" s="112" t="b">
        <v>0</v>
      </c>
    </row>
    <row r="13" spans="1:65">
      <c r="A13" s="112" t="s">
        <v>187</v>
      </c>
      <c r="B13" s="112" t="s">
        <v>188</v>
      </c>
      <c r="C13" s="112">
        <v>20200101</v>
      </c>
      <c r="D13" s="112">
        <v>2020</v>
      </c>
      <c r="E13" s="112">
        <v>52</v>
      </c>
      <c r="F13" s="112" t="s">
        <v>210</v>
      </c>
      <c r="G13" s="112">
        <v>686</v>
      </c>
      <c r="H13" s="112" t="s">
        <v>190</v>
      </c>
      <c r="I13" s="112" t="s">
        <v>191</v>
      </c>
      <c r="J13" s="112" t="s">
        <v>192</v>
      </c>
      <c r="K13" s="112" t="s">
        <v>193</v>
      </c>
      <c r="L13" s="112">
        <v>380</v>
      </c>
      <c r="M13" s="112" t="s">
        <v>218</v>
      </c>
      <c r="N13" s="112" t="s">
        <v>219</v>
      </c>
      <c r="O13" s="112" t="s">
        <v>196</v>
      </c>
      <c r="P13" s="112" t="s">
        <v>197</v>
      </c>
      <c r="Q13" s="112" t="b">
        <v>1</v>
      </c>
      <c r="R13" s="112" t="s">
        <v>198</v>
      </c>
      <c r="S13" s="112" t="s">
        <v>199</v>
      </c>
      <c r="T13" s="112">
        <v>4</v>
      </c>
      <c r="U13" s="112" t="b">
        <v>0</v>
      </c>
      <c r="V13" s="112" t="s">
        <v>200</v>
      </c>
      <c r="W13" s="112" t="s">
        <v>201</v>
      </c>
      <c r="X13" s="112" t="s">
        <v>202</v>
      </c>
      <c r="Y13" s="112">
        <v>0</v>
      </c>
      <c r="Z13" s="112" t="s">
        <v>203</v>
      </c>
      <c r="AA13" s="112">
        <v>8</v>
      </c>
      <c r="AB13" s="112" t="s">
        <v>204</v>
      </c>
      <c r="AC13" s="112">
        <v>8</v>
      </c>
      <c r="AD13" s="112" t="s">
        <v>204</v>
      </c>
      <c r="AG13" s="112">
        <v>81</v>
      </c>
      <c r="AH13" s="112">
        <v>77.575999999999993</v>
      </c>
      <c r="AJ13" s="112" t="b">
        <v>0</v>
      </c>
      <c r="AK13" s="112">
        <v>8</v>
      </c>
      <c r="AL13" s="112" t="s">
        <v>204</v>
      </c>
      <c r="AM13" s="112">
        <v>81</v>
      </c>
      <c r="AN13" s="112">
        <v>-1</v>
      </c>
      <c r="AO13" s="112" t="s">
        <v>205</v>
      </c>
      <c r="AR13" s="112">
        <v>0</v>
      </c>
      <c r="AT13" s="112" t="b">
        <v>0</v>
      </c>
      <c r="AU13" s="112">
        <v>81</v>
      </c>
      <c r="AV13" s="112">
        <v>78</v>
      </c>
      <c r="AX13" s="112" t="b">
        <v>0</v>
      </c>
      <c r="AY13" s="112">
        <v>0</v>
      </c>
      <c r="AZ13" s="112">
        <v>0</v>
      </c>
      <c r="BB13" s="112" t="b">
        <v>0</v>
      </c>
      <c r="BC13" s="112">
        <v>0</v>
      </c>
      <c r="BD13" s="112">
        <v>1696984.7690000001</v>
      </c>
      <c r="BE13" s="112">
        <v>1696984.7690000001</v>
      </c>
      <c r="BF13" s="112" t="b">
        <v>1</v>
      </c>
      <c r="BG13" s="112">
        <v>3560493.3480000002</v>
      </c>
      <c r="BH13" s="112">
        <v>1.0981292307638855</v>
      </c>
      <c r="BI13" s="112">
        <v>0</v>
      </c>
      <c r="BJ13" s="112" t="b">
        <v>0</v>
      </c>
      <c r="BK13" s="112">
        <v>0</v>
      </c>
      <c r="BL13" s="112" t="b">
        <v>0</v>
      </c>
      <c r="BM13" s="112" t="b">
        <v>1</v>
      </c>
    </row>
    <row r="14" spans="1:65">
      <c r="A14" s="112" t="s">
        <v>187</v>
      </c>
      <c r="B14" s="112" t="s">
        <v>188</v>
      </c>
      <c r="C14" s="112">
        <v>20230101</v>
      </c>
      <c r="D14" s="112">
        <v>2023</v>
      </c>
      <c r="E14" s="112">
        <v>52</v>
      </c>
      <c r="F14" s="112" t="s">
        <v>231</v>
      </c>
      <c r="G14" s="112">
        <v>686</v>
      </c>
      <c r="H14" s="112" t="s">
        <v>190</v>
      </c>
      <c r="I14" s="112" t="s">
        <v>191</v>
      </c>
      <c r="J14" s="112" t="s">
        <v>192</v>
      </c>
      <c r="K14" s="112" t="s">
        <v>193</v>
      </c>
      <c r="L14" s="112">
        <v>792</v>
      </c>
      <c r="M14" s="112" t="s">
        <v>211</v>
      </c>
      <c r="N14" s="112" t="s">
        <v>212</v>
      </c>
      <c r="O14" s="112" t="s">
        <v>224</v>
      </c>
      <c r="P14" s="112" t="s">
        <v>197</v>
      </c>
      <c r="Q14" s="112" t="b">
        <v>1</v>
      </c>
      <c r="R14" s="112" t="s">
        <v>198</v>
      </c>
      <c r="S14" s="112" t="s">
        <v>199</v>
      </c>
      <c r="T14" s="112">
        <v>4</v>
      </c>
      <c r="U14" s="112" t="b">
        <v>0</v>
      </c>
      <c r="V14" s="112" t="s">
        <v>200</v>
      </c>
      <c r="W14" s="112" t="s">
        <v>201</v>
      </c>
      <c r="X14" s="112" t="s">
        <v>202</v>
      </c>
      <c r="Y14" s="112">
        <v>0</v>
      </c>
      <c r="Z14" s="112" t="s">
        <v>203</v>
      </c>
      <c r="AA14" s="112">
        <v>8</v>
      </c>
      <c r="AB14" s="112" t="s">
        <v>204</v>
      </c>
      <c r="AC14" s="112">
        <v>8</v>
      </c>
      <c r="AD14" s="112" t="s">
        <v>204</v>
      </c>
      <c r="AE14" s="112">
        <v>8</v>
      </c>
      <c r="AF14" s="112" t="s">
        <v>204</v>
      </c>
      <c r="AG14" s="112">
        <v>9</v>
      </c>
      <c r="AH14" s="112">
        <v>34.648000000000003</v>
      </c>
      <c r="AI14" s="112">
        <v>34.648000000000003</v>
      </c>
      <c r="AJ14" s="112" t="b">
        <v>0</v>
      </c>
      <c r="AK14" s="112">
        <v>8</v>
      </c>
      <c r="AL14" s="112" t="s">
        <v>204</v>
      </c>
      <c r="AM14" s="112">
        <v>9</v>
      </c>
      <c r="AN14" s="112">
        <v>8</v>
      </c>
      <c r="AO14" s="112" t="s">
        <v>204</v>
      </c>
      <c r="AP14" s="112">
        <v>8</v>
      </c>
      <c r="AQ14" s="112" t="s">
        <v>204</v>
      </c>
      <c r="AR14" s="112">
        <v>34.648000000000003</v>
      </c>
      <c r="AS14" s="112">
        <v>34.648000000000003</v>
      </c>
      <c r="AT14" s="112" t="b">
        <v>0</v>
      </c>
      <c r="AU14" s="112">
        <v>9</v>
      </c>
      <c r="AV14" s="112">
        <v>35</v>
      </c>
      <c r="AW14" s="112">
        <v>34.648000000000003</v>
      </c>
      <c r="AX14" s="112" t="b">
        <v>0</v>
      </c>
      <c r="AY14" s="112">
        <v>0</v>
      </c>
      <c r="AZ14" s="112">
        <v>0</v>
      </c>
      <c r="BA14" s="112">
        <v>34.648000000000003</v>
      </c>
      <c r="BB14" s="112" t="b">
        <v>0</v>
      </c>
      <c r="BD14" s="112">
        <v>176649.51800000001</v>
      </c>
      <c r="BE14" s="112">
        <v>176649.51800000001</v>
      </c>
      <c r="BF14" s="112" t="b">
        <v>1</v>
      </c>
      <c r="BG14" s="112">
        <v>1695971</v>
      </c>
      <c r="BH14" s="112">
        <v>8.6007677756584648</v>
      </c>
      <c r="BI14" s="112">
        <v>1695971</v>
      </c>
      <c r="BJ14" s="112" t="b">
        <v>1</v>
      </c>
      <c r="BK14" s="112">
        <v>0</v>
      </c>
      <c r="BL14" s="112" t="b">
        <v>0</v>
      </c>
      <c r="BM14" s="112" t="b">
        <v>1</v>
      </c>
    </row>
    <row r="15" spans="1:65">
      <c r="A15" s="112" t="s">
        <v>187</v>
      </c>
      <c r="B15" s="112" t="s">
        <v>188</v>
      </c>
      <c r="C15" s="112">
        <v>20140101</v>
      </c>
      <c r="D15" s="112">
        <v>2014</v>
      </c>
      <c r="E15" s="112">
        <v>52</v>
      </c>
      <c r="F15" s="112" t="s">
        <v>206</v>
      </c>
      <c r="G15" s="112">
        <v>686</v>
      </c>
      <c r="H15" s="112" t="s">
        <v>190</v>
      </c>
      <c r="I15" s="112" t="s">
        <v>191</v>
      </c>
      <c r="J15" s="112" t="s">
        <v>192</v>
      </c>
      <c r="K15" s="112" t="s">
        <v>193</v>
      </c>
      <c r="L15" s="112">
        <v>757</v>
      </c>
      <c r="M15" s="112" t="s">
        <v>225</v>
      </c>
      <c r="N15" s="112" t="s">
        <v>226</v>
      </c>
      <c r="O15" s="112" t="s">
        <v>209</v>
      </c>
      <c r="P15" s="112" t="s">
        <v>197</v>
      </c>
      <c r="Q15" s="112" t="b">
        <v>1</v>
      </c>
      <c r="R15" s="112" t="s">
        <v>198</v>
      </c>
      <c r="S15" s="112" t="s">
        <v>199</v>
      </c>
      <c r="T15" s="112">
        <v>4</v>
      </c>
      <c r="U15" s="112" t="b">
        <v>0</v>
      </c>
      <c r="V15" s="112" t="s">
        <v>200</v>
      </c>
      <c r="W15" s="112" t="s">
        <v>201</v>
      </c>
      <c r="X15" s="112" t="s">
        <v>202</v>
      </c>
      <c r="Y15" s="112">
        <v>0</v>
      </c>
      <c r="Z15" s="112" t="s">
        <v>203</v>
      </c>
      <c r="AA15" s="112">
        <v>8</v>
      </c>
      <c r="AB15" s="112" t="s">
        <v>204</v>
      </c>
      <c r="AC15" s="112">
        <v>8</v>
      </c>
      <c r="AD15" s="112" t="s">
        <v>204</v>
      </c>
      <c r="AG15" s="112">
        <v>6572</v>
      </c>
      <c r="AH15" s="112">
        <v>7789</v>
      </c>
      <c r="AJ15" s="112" t="b">
        <v>0</v>
      </c>
      <c r="AK15" s="112">
        <v>-1</v>
      </c>
      <c r="AL15" s="112" t="s">
        <v>205</v>
      </c>
      <c r="AN15" s="112">
        <v>8</v>
      </c>
      <c r="AO15" s="112" t="s">
        <v>204</v>
      </c>
      <c r="AR15" s="112">
        <v>7789</v>
      </c>
      <c r="AT15" s="112" t="b">
        <v>0</v>
      </c>
      <c r="AU15" s="112">
        <v>6572</v>
      </c>
      <c r="AV15" s="112">
        <v>7789</v>
      </c>
      <c r="AX15" s="112" t="b">
        <v>0</v>
      </c>
      <c r="AZ15" s="112">
        <v>0</v>
      </c>
      <c r="BB15" s="112" t="b">
        <v>0</v>
      </c>
      <c r="BD15" s="112">
        <v>255134940</v>
      </c>
      <c r="BE15" s="112">
        <v>255134940</v>
      </c>
      <c r="BF15" s="112" t="b">
        <v>1</v>
      </c>
      <c r="BG15" s="112">
        <v>271006543.37199998</v>
      </c>
      <c r="BH15" s="112">
        <v>6.2208662490523592E-2</v>
      </c>
      <c r="BI15" s="112">
        <v>0</v>
      </c>
      <c r="BJ15" s="112" t="b">
        <v>0</v>
      </c>
      <c r="BK15" s="112">
        <v>0</v>
      </c>
      <c r="BL15" s="112" t="b">
        <v>1</v>
      </c>
      <c r="BM15" s="112" t="b">
        <v>0</v>
      </c>
    </row>
    <row r="16" spans="1:65">
      <c r="A16" s="112" t="s">
        <v>187</v>
      </c>
      <c r="B16" s="112" t="s">
        <v>188</v>
      </c>
      <c r="C16" s="112">
        <v>20210101</v>
      </c>
      <c r="D16" s="112">
        <v>2021</v>
      </c>
      <c r="E16" s="112">
        <v>52</v>
      </c>
      <c r="F16" s="112" t="s">
        <v>189</v>
      </c>
      <c r="G16" s="112">
        <v>686</v>
      </c>
      <c r="H16" s="112" t="s">
        <v>190</v>
      </c>
      <c r="I16" s="112" t="s">
        <v>191</v>
      </c>
      <c r="J16" s="112" t="s">
        <v>192</v>
      </c>
      <c r="K16" s="112" t="s">
        <v>193</v>
      </c>
      <c r="L16" s="112">
        <v>757</v>
      </c>
      <c r="M16" s="112" t="s">
        <v>225</v>
      </c>
      <c r="N16" s="112" t="s">
        <v>226</v>
      </c>
      <c r="O16" s="112" t="s">
        <v>196</v>
      </c>
      <c r="P16" s="112" t="s">
        <v>197</v>
      </c>
      <c r="Q16" s="112" t="b">
        <v>1</v>
      </c>
      <c r="R16" s="112" t="s">
        <v>198</v>
      </c>
      <c r="S16" s="112" t="s">
        <v>199</v>
      </c>
      <c r="T16" s="112">
        <v>4</v>
      </c>
      <c r="U16" s="112" t="b">
        <v>0</v>
      </c>
      <c r="V16" s="112" t="s">
        <v>200</v>
      </c>
      <c r="W16" s="112" t="s">
        <v>201</v>
      </c>
      <c r="X16" s="112" t="s">
        <v>202</v>
      </c>
      <c r="Y16" s="112">
        <v>0</v>
      </c>
      <c r="Z16" s="112" t="s">
        <v>203</v>
      </c>
      <c r="AA16" s="112">
        <v>8</v>
      </c>
      <c r="AB16" s="112" t="s">
        <v>204</v>
      </c>
      <c r="AC16" s="112">
        <v>8</v>
      </c>
      <c r="AD16" s="112" t="s">
        <v>204</v>
      </c>
      <c r="AG16" s="112">
        <v>12121</v>
      </c>
      <c r="AH16" s="112">
        <v>13581</v>
      </c>
      <c r="AJ16" s="112" t="b">
        <v>0</v>
      </c>
      <c r="AK16" s="112">
        <v>8</v>
      </c>
      <c r="AL16" s="112" t="s">
        <v>204</v>
      </c>
      <c r="AM16" s="112">
        <v>12121</v>
      </c>
      <c r="AN16" s="112">
        <v>8</v>
      </c>
      <c r="AO16" s="112" t="s">
        <v>204</v>
      </c>
      <c r="AR16" s="112">
        <v>13581</v>
      </c>
      <c r="AT16" s="112" t="b">
        <v>0</v>
      </c>
      <c r="AU16" s="112">
        <v>12121</v>
      </c>
      <c r="AV16" s="112">
        <v>13581</v>
      </c>
      <c r="AX16" s="112" t="b">
        <v>0</v>
      </c>
      <c r="AY16" s="112">
        <v>0</v>
      </c>
      <c r="AZ16" s="112">
        <v>0</v>
      </c>
      <c r="BB16" s="112" t="b">
        <v>0</v>
      </c>
      <c r="BC16" s="112">
        <v>0</v>
      </c>
      <c r="BD16" s="112">
        <v>703332965.41400003</v>
      </c>
      <c r="BE16" s="112">
        <v>703332965.41400003</v>
      </c>
      <c r="BF16" s="112" t="b">
        <v>1</v>
      </c>
      <c r="BG16" s="112">
        <v>710234464.13499999</v>
      </c>
      <c r="BH16" s="112">
        <v>9.8125625562532903E-3</v>
      </c>
      <c r="BI16" s="112">
        <v>0</v>
      </c>
      <c r="BJ16" s="112" t="b">
        <v>0</v>
      </c>
      <c r="BK16" s="112">
        <v>0</v>
      </c>
      <c r="BL16" s="112" t="b">
        <v>0</v>
      </c>
      <c r="BM16" s="112" t="b">
        <v>1</v>
      </c>
    </row>
    <row r="17" spans="1:65">
      <c r="A17" s="112" t="s">
        <v>187</v>
      </c>
      <c r="B17" s="112" t="s">
        <v>188</v>
      </c>
      <c r="C17" s="112">
        <v>20190101</v>
      </c>
      <c r="D17" s="112">
        <v>2019</v>
      </c>
      <c r="E17" s="112">
        <v>52</v>
      </c>
      <c r="F17" s="112" t="s">
        <v>214</v>
      </c>
      <c r="G17" s="112">
        <v>686</v>
      </c>
      <c r="H17" s="112" t="s">
        <v>190</v>
      </c>
      <c r="I17" s="112" t="s">
        <v>191</v>
      </c>
      <c r="J17" s="112" t="s">
        <v>192</v>
      </c>
      <c r="K17" s="112" t="s">
        <v>193</v>
      </c>
      <c r="L17" s="112">
        <v>380</v>
      </c>
      <c r="M17" s="112" t="s">
        <v>218</v>
      </c>
      <c r="N17" s="112" t="s">
        <v>219</v>
      </c>
      <c r="O17" s="112" t="s">
        <v>196</v>
      </c>
      <c r="P17" s="112" t="s">
        <v>197</v>
      </c>
      <c r="Q17" s="112" t="b">
        <v>1</v>
      </c>
      <c r="R17" s="112" t="s">
        <v>198</v>
      </c>
      <c r="S17" s="112" t="s">
        <v>199</v>
      </c>
      <c r="T17" s="112">
        <v>4</v>
      </c>
      <c r="U17" s="112" t="b">
        <v>0</v>
      </c>
      <c r="V17" s="112" t="s">
        <v>200</v>
      </c>
      <c r="W17" s="112" t="s">
        <v>201</v>
      </c>
      <c r="X17" s="112" t="s">
        <v>202</v>
      </c>
      <c r="Y17" s="112">
        <v>0</v>
      </c>
      <c r="Z17" s="112" t="s">
        <v>203</v>
      </c>
      <c r="AA17" s="112">
        <v>8</v>
      </c>
      <c r="AB17" s="112" t="s">
        <v>204</v>
      </c>
      <c r="AC17" s="112">
        <v>8</v>
      </c>
      <c r="AD17" s="112" t="s">
        <v>204</v>
      </c>
      <c r="AG17" s="112">
        <v>211</v>
      </c>
      <c r="AH17" s="112">
        <v>165.702</v>
      </c>
      <c r="AJ17" s="112" t="b">
        <v>0</v>
      </c>
      <c r="AK17" s="112">
        <v>8</v>
      </c>
      <c r="AL17" s="112" t="s">
        <v>204</v>
      </c>
      <c r="AM17" s="112">
        <v>211</v>
      </c>
      <c r="AN17" s="112">
        <v>-1</v>
      </c>
      <c r="AO17" s="112" t="s">
        <v>205</v>
      </c>
      <c r="AR17" s="112">
        <v>0</v>
      </c>
      <c r="AT17" s="112" t="b">
        <v>0</v>
      </c>
      <c r="AU17" s="112">
        <v>211</v>
      </c>
      <c r="AV17" s="112">
        <v>168</v>
      </c>
      <c r="AX17" s="112" t="b">
        <v>0</v>
      </c>
      <c r="AY17" s="112">
        <v>0</v>
      </c>
      <c r="AZ17" s="112">
        <v>0</v>
      </c>
      <c r="BB17" s="112" t="b">
        <v>0</v>
      </c>
      <c r="BD17" s="112">
        <v>3972481.0189999999</v>
      </c>
      <c r="BE17" s="112">
        <v>3972481.0189999999</v>
      </c>
      <c r="BF17" s="112" t="b">
        <v>1</v>
      </c>
      <c r="BG17" s="112">
        <v>6102623.5410000002</v>
      </c>
      <c r="BH17" s="112">
        <v>0.53622471997014731</v>
      </c>
      <c r="BI17" s="112">
        <v>0</v>
      </c>
      <c r="BJ17" s="112" t="b">
        <v>0</v>
      </c>
      <c r="BK17" s="112">
        <v>0</v>
      </c>
      <c r="BL17" s="112" t="b">
        <v>0</v>
      </c>
      <c r="BM17" s="112" t="b">
        <v>1</v>
      </c>
    </row>
    <row r="18" spans="1:65">
      <c r="A18" s="112" t="s">
        <v>187</v>
      </c>
      <c r="B18" s="112" t="s">
        <v>188</v>
      </c>
      <c r="C18" s="112">
        <v>20180101</v>
      </c>
      <c r="D18" s="112">
        <v>2018</v>
      </c>
      <c r="E18" s="112">
        <v>52</v>
      </c>
      <c r="F18" s="112" t="s">
        <v>227</v>
      </c>
      <c r="G18" s="112">
        <v>686</v>
      </c>
      <c r="H18" s="112" t="s">
        <v>190</v>
      </c>
      <c r="I18" s="112" t="s">
        <v>191</v>
      </c>
      <c r="J18" s="112" t="s">
        <v>192</v>
      </c>
      <c r="K18" s="112" t="s">
        <v>193</v>
      </c>
      <c r="L18" s="112">
        <v>380</v>
      </c>
      <c r="M18" s="112" t="s">
        <v>218</v>
      </c>
      <c r="N18" s="112" t="s">
        <v>219</v>
      </c>
      <c r="O18" s="112" t="s">
        <v>220</v>
      </c>
      <c r="P18" s="112" t="s">
        <v>197</v>
      </c>
      <c r="Q18" s="112" t="b">
        <v>1</v>
      </c>
      <c r="R18" s="112" t="s">
        <v>198</v>
      </c>
      <c r="S18" s="112" t="s">
        <v>199</v>
      </c>
      <c r="T18" s="112">
        <v>4</v>
      </c>
      <c r="U18" s="112" t="b">
        <v>0</v>
      </c>
      <c r="V18" s="112" t="s">
        <v>200</v>
      </c>
      <c r="W18" s="112" t="s">
        <v>201</v>
      </c>
      <c r="X18" s="112" t="s">
        <v>228</v>
      </c>
      <c r="Y18" s="112">
        <v>0</v>
      </c>
      <c r="Z18" s="112" t="s">
        <v>203</v>
      </c>
      <c r="AA18" s="112">
        <v>8</v>
      </c>
      <c r="AB18" s="112" t="s">
        <v>204</v>
      </c>
      <c r="AC18" s="112">
        <v>8</v>
      </c>
      <c r="AD18" s="112" t="s">
        <v>204</v>
      </c>
      <c r="AG18" s="112">
        <v>213</v>
      </c>
      <c r="AH18" s="112">
        <v>194.50299999999999</v>
      </c>
      <c r="AJ18" s="112" t="b">
        <v>0</v>
      </c>
      <c r="AK18" s="112">
        <v>8</v>
      </c>
      <c r="AL18" s="112" t="s">
        <v>204</v>
      </c>
      <c r="AM18" s="112">
        <v>213</v>
      </c>
      <c r="AN18" s="112">
        <v>-1</v>
      </c>
      <c r="AO18" s="112" t="s">
        <v>205</v>
      </c>
      <c r="AR18" s="112">
        <v>0</v>
      </c>
      <c r="AT18" s="112" t="b">
        <v>0</v>
      </c>
      <c r="AU18" s="112">
        <v>213</v>
      </c>
      <c r="AV18" s="112">
        <v>196</v>
      </c>
      <c r="AX18" s="112" t="b">
        <v>0</v>
      </c>
      <c r="AZ18" s="112">
        <v>0</v>
      </c>
      <c r="BB18" s="112" t="b">
        <v>0</v>
      </c>
      <c r="BD18" s="112">
        <v>4211711.2350000003</v>
      </c>
      <c r="BE18" s="112">
        <v>4211711.2350000003</v>
      </c>
      <c r="BF18" s="112" t="b">
        <v>1</v>
      </c>
      <c r="BG18" s="112">
        <v>6362173.5599999996</v>
      </c>
      <c r="BH18" s="112">
        <v>0.51059111249824296</v>
      </c>
      <c r="BI18" s="112">
        <v>0</v>
      </c>
      <c r="BJ18" s="112" t="b">
        <v>0</v>
      </c>
      <c r="BK18" s="112">
        <v>0</v>
      </c>
      <c r="BL18" s="112" t="b">
        <v>0</v>
      </c>
      <c r="BM18" s="112" t="b">
        <v>1</v>
      </c>
    </row>
    <row r="19" spans="1:65">
      <c r="A19" s="112" t="s">
        <v>187</v>
      </c>
      <c r="B19" s="112" t="s">
        <v>188</v>
      </c>
      <c r="C19" s="112">
        <v>20180101</v>
      </c>
      <c r="D19" s="112">
        <v>2018</v>
      </c>
      <c r="E19" s="112">
        <v>52</v>
      </c>
      <c r="F19" s="112" t="s">
        <v>227</v>
      </c>
      <c r="G19" s="112">
        <v>686</v>
      </c>
      <c r="H19" s="112" t="s">
        <v>190</v>
      </c>
      <c r="I19" s="112" t="s">
        <v>191</v>
      </c>
      <c r="J19" s="112" t="s">
        <v>192</v>
      </c>
      <c r="K19" s="112" t="s">
        <v>193</v>
      </c>
      <c r="L19" s="112">
        <v>422</v>
      </c>
      <c r="M19" s="112" t="s">
        <v>232</v>
      </c>
      <c r="N19" s="112" t="s">
        <v>233</v>
      </c>
      <c r="O19" s="112" t="s">
        <v>220</v>
      </c>
      <c r="P19" s="112" t="s">
        <v>197</v>
      </c>
      <c r="Q19" s="112" t="b">
        <v>1</v>
      </c>
      <c r="R19" s="112" t="s">
        <v>198</v>
      </c>
      <c r="S19" s="112" t="s">
        <v>199</v>
      </c>
      <c r="T19" s="112">
        <v>4</v>
      </c>
      <c r="U19" s="112" t="b">
        <v>0</v>
      </c>
      <c r="V19" s="112" t="s">
        <v>200</v>
      </c>
      <c r="W19" s="112" t="s">
        <v>201</v>
      </c>
      <c r="X19" s="112" t="s">
        <v>228</v>
      </c>
      <c r="Y19" s="112">
        <v>0</v>
      </c>
      <c r="Z19" s="112" t="s">
        <v>203</v>
      </c>
      <c r="AA19" s="112">
        <v>8</v>
      </c>
      <c r="AB19" s="112" t="s">
        <v>204</v>
      </c>
      <c r="AG19" s="112">
        <v>2</v>
      </c>
      <c r="AJ19" s="112" t="b">
        <v>0</v>
      </c>
      <c r="AK19" s="112">
        <v>8</v>
      </c>
      <c r="AL19" s="112" t="s">
        <v>204</v>
      </c>
      <c r="AM19" s="112">
        <v>2</v>
      </c>
      <c r="AT19" s="112" t="b">
        <v>0</v>
      </c>
      <c r="AU19" s="112">
        <v>2</v>
      </c>
      <c r="AX19" s="112" t="b">
        <v>0</v>
      </c>
      <c r="BB19" s="112" t="b">
        <v>0</v>
      </c>
      <c r="BD19" s="112">
        <v>32510.847000000002</v>
      </c>
      <c r="BE19" s="112">
        <v>32510.847000000002</v>
      </c>
      <c r="BF19" s="112" t="b">
        <v>1</v>
      </c>
      <c r="BG19" s="112">
        <v>0</v>
      </c>
      <c r="BH19" s="112">
        <v>-1</v>
      </c>
      <c r="BI19" s="112">
        <v>0</v>
      </c>
      <c r="BJ19" s="112" t="b">
        <v>0</v>
      </c>
      <c r="BK19" s="112">
        <v>0</v>
      </c>
      <c r="BL19" s="112" t="b">
        <v>0</v>
      </c>
      <c r="BM19" s="112" t="b">
        <v>1</v>
      </c>
    </row>
    <row r="20" spans="1:65">
      <c r="A20" s="112" t="s">
        <v>187</v>
      </c>
      <c r="B20" s="112" t="s">
        <v>188</v>
      </c>
      <c r="C20" s="112">
        <v>20230101</v>
      </c>
      <c r="D20" s="112">
        <v>2023</v>
      </c>
      <c r="E20" s="112">
        <v>52</v>
      </c>
      <c r="F20" s="112" t="s">
        <v>231</v>
      </c>
      <c r="G20" s="112">
        <v>686</v>
      </c>
      <c r="H20" s="112" t="s">
        <v>190</v>
      </c>
      <c r="I20" s="112" t="s">
        <v>191</v>
      </c>
      <c r="J20" s="112" t="s">
        <v>192</v>
      </c>
      <c r="K20" s="112" t="s">
        <v>193</v>
      </c>
      <c r="L20" s="112">
        <v>784</v>
      </c>
      <c r="M20" s="112" t="s">
        <v>234</v>
      </c>
      <c r="N20" s="112" t="s">
        <v>235</v>
      </c>
      <c r="O20" s="112" t="s">
        <v>224</v>
      </c>
      <c r="P20" s="112" t="s">
        <v>197</v>
      </c>
      <c r="Q20" s="112" t="b">
        <v>1</v>
      </c>
      <c r="R20" s="112" t="s">
        <v>198</v>
      </c>
      <c r="S20" s="112" t="s">
        <v>199</v>
      </c>
      <c r="T20" s="112">
        <v>4</v>
      </c>
      <c r="U20" s="112" t="b">
        <v>0</v>
      </c>
      <c r="V20" s="112" t="s">
        <v>200</v>
      </c>
      <c r="W20" s="112" t="s">
        <v>201</v>
      </c>
      <c r="X20" s="112" t="s">
        <v>202</v>
      </c>
      <c r="Y20" s="112">
        <v>0</v>
      </c>
      <c r="Z20" s="112" t="s">
        <v>203</v>
      </c>
      <c r="AA20" s="112">
        <v>8</v>
      </c>
      <c r="AB20" s="112" t="s">
        <v>204</v>
      </c>
      <c r="AC20" s="112">
        <v>8</v>
      </c>
      <c r="AD20" s="112" t="s">
        <v>204</v>
      </c>
      <c r="AG20" s="112">
        <v>4287</v>
      </c>
      <c r="AH20" s="112">
        <v>4014.64</v>
      </c>
      <c r="AJ20" s="112" t="b">
        <v>0</v>
      </c>
      <c r="AK20" s="112">
        <v>8</v>
      </c>
      <c r="AL20" s="112" t="s">
        <v>204</v>
      </c>
      <c r="AM20" s="112">
        <v>4287</v>
      </c>
      <c r="AN20" s="112">
        <v>8</v>
      </c>
      <c r="AO20" s="112" t="s">
        <v>204</v>
      </c>
      <c r="AR20" s="112">
        <v>4014.64</v>
      </c>
      <c r="AT20" s="112" t="b">
        <v>0</v>
      </c>
      <c r="AU20" s="112">
        <v>4287</v>
      </c>
      <c r="AV20" s="112">
        <v>4014.64</v>
      </c>
      <c r="AX20" s="112" t="b">
        <v>0</v>
      </c>
      <c r="AY20" s="112">
        <v>0</v>
      </c>
      <c r="AZ20" s="112">
        <v>0</v>
      </c>
      <c r="BB20" s="112" t="b">
        <v>0</v>
      </c>
      <c r="BD20" s="112">
        <v>82918571.925999999</v>
      </c>
      <c r="BE20" s="112">
        <v>82918571.925999999</v>
      </c>
      <c r="BF20" s="112" t="b">
        <v>1</v>
      </c>
      <c r="BG20" s="112">
        <v>238406106.84299999</v>
      </c>
      <c r="BH20" s="112">
        <v>1.8751834637934137</v>
      </c>
      <c r="BI20" s="112">
        <v>0</v>
      </c>
      <c r="BJ20" s="112" t="b">
        <v>0</v>
      </c>
      <c r="BK20" s="112">
        <v>0</v>
      </c>
      <c r="BL20" s="112" t="b">
        <v>0</v>
      </c>
      <c r="BM20" s="112" t="b">
        <v>1</v>
      </c>
    </row>
    <row r="21" spans="1:65">
      <c r="A21" s="112" t="s">
        <v>187</v>
      </c>
      <c r="B21" s="112" t="s">
        <v>188</v>
      </c>
      <c r="C21" s="112">
        <v>20180101</v>
      </c>
      <c r="D21" s="112">
        <v>2018</v>
      </c>
      <c r="E21" s="112">
        <v>52</v>
      </c>
      <c r="F21" s="112" t="s">
        <v>227</v>
      </c>
      <c r="G21" s="112">
        <v>686</v>
      </c>
      <c r="H21" s="112" t="s">
        <v>190</v>
      </c>
      <c r="I21" s="112" t="s">
        <v>191</v>
      </c>
      <c r="J21" s="112" t="s">
        <v>192</v>
      </c>
      <c r="K21" s="112" t="s">
        <v>193</v>
      </c>
      <c r="L21" s="112">
        <v>392</v>
      </c>
      <c r="M21" s="112" t="s">
        <v>236</v>
      </c>
      <c r="N21" s="112" t="s">
        <v>237</v>
      </c>
      <c r="O21" s="112" t="s">
        <v>220</v>
      </c>
      <c r="P21" s="112" t="s">
        <v>197</v>
      </c>
      <c r="Q21" s="112" t="b">
        <v>1</v>
      </c>
      <c r="R21" s="112" t="s">
        <v>198</v>
      </c>
      <c r="S21" s="112" t="s">
        <v>199</v>
      </c>
      <c r="T21" s="112">
        <v>4</v>
      </c>
      <c r="U21" s="112" t="b">
        <v>0</v>
      </c>
      <c r="V21" s="112" t="s">
        <v>200</v>
      </c>
      <c r="W21" s="112" t="s">
        <v>201</v>
      </c>
      <c r="X21" s="112" t="s">
        <v>228</v>
      </c>
      <c r="Y21" s="112">
        <v>0</v>
      </c>
      <c r="Z21" s="112" t="s">
        <v>203</v>
      </c>
      <c r="AA21" s="112">
        <v>8</v>
      </c>
      <c r="AB21" s="112" t="s">
        <v>204</v>
      </c>
      <c r="AC21" s="112">
        <v>8</v>
      </c>
      <c r="AD21" s="112" t="s">
        <v>204</v>
      </c>
      <c r="AG21" s="112">
        <v>3</v>
      </c>
      <c r="AH21" s="112">
        <v>3.4980000000000002</v>
      </c>
      <c r="AJ21" s="112" t="b">
        <v>0</v>
      </c>
      <c r="AK21" s="112">
        <v>8</v>
      </c>
      <c r="AL21" s="112" t="s">
        <v>204</v>
      </c>
      <c r="AM21" s="112">
        <v>3</v>
      </c>
      <c r="AN21" s="112">
        <v>15</v>
      </c>
      <c r="AO21" s="112" t="s">
        <v>213</v>
      </c>
      <c r="AR21" s="112">
        <v>3498</v>
      </c>
      <c r="AT21" s="112" t="b">
        <v>0</v>
      </c>
      <c r="AU21" s="112">
        <v>3</v>
      </c>
      <c r="AV21" s="112">
        <v>3.4980000000000002</v>
      </c>
      <c r="AX21" s="112" t="b">
        <v>0</v>
      </c>
      <c r="AZ21" s="112">
        <v>0</v>
      </c>
      <c r="BB21" s="112" t="b">
        <v>0</v>
      </c>
      <c r="BD21" s="112">
        <v>97629.391000000003</v>
      </c>
      <c r="BE21" s="112">
        <v>97629.391000000003</v>
      </c>
      <c r="BF21" s="112" t="b">
        <v>1</v>
      </c>
      <c r="BG21" s="112">
        <v>123289.04399999999</v>
      </c>
      <c r="BH21" s="112">
        <v>0.26282713368559252</v>
      </c>
      <c r="BI21" s="112">
        <v>0</v>
      </c>
      <c r="BJ21" s="112" t="b">
        <v>0</v>
      </c>
      <c r="BK21" s="112">
        <v>0</v>
      </c>
      <c r="BL21" s="112" t="b">
        <v>0</v>
      </c>
      <c r="BM21" s="112" t="b">
        <v>1</v>
      </c>
    </row>
    <row r="22" spans="1:65">
      <c r="A22" s="112" t="s">
        <v>187</v>
      </c>
      <c r="B22" s="112" t="s">
        <v>188</v>
      </c>
      <c r="C22" s="112">
        <v>20220101</v>
      </c>
      <c r="D22" s="112">
        <v>2022</v>
      </c>
      <c r="E22" s="112">
        <v>52</v>
      </c>
      <c r="F22" s="112" t="s">
        <v>223</v>
      </c>
      <c r="G22" s="112">
        <v>686</v>
      </c>
      <c r="H22" s="112" t="s">
        <v>190</v>
      </c>
      <c r="I22" s="112" t="s">
        <v>191</v>
      </c>
      <c r="J22" s="112" t="s">
        <v>192</v>
      </c>
      <c r="K22" s="112" t="s">
        <v>193</v>
      </c>
      <c r="L22" s="112">
        <v>784</v>
      </c>
      <c r="M22" s="112" t="s">
        <v>234</v>
      </c>
      <c r="N22" s="112" t="s">
        <v>235</v>
      </c>
      <c r="O22" s="112" t="s">
        <v>224</v>
      </c>
      <c r="P22" s="112" t="s">
        <v>197</v>
      </c>
      <c r="Q22" s="112" t="b">
        <v>1</v>
      </c>
      <c r="R22" s="112" t="s">
        <v>198</v>
      </c>
      <c r="S22" s="112" t="s">
        <v>199</v>
      </c>
      <c r="T22" s="112">
        <v>4</v>
      </c>
      <c r="U22" s="112" t="b">
        <v>0</v>
      </c>
      <c r="V22" s="112" t="s">
        <v>200</v>
      </c>
      <c r="W22" s="112" t="s">
        <v>201</v>
      </c>
      <c r="X22" s="112" t="s">
        <v>202</v>
      </c>
      <c r="Y22" s="112">
        <v>0</v>
      </c>
      <c r="Z22" s="112" t="s">
        <v>203</v>
      </c>
      <c r="AA22" s="112">
        <v>8</v>
      </c>
      <c r="AB22" s="112" t="s">
        <v>204</v>
      </c>
      <c r="AC22" s="112">
        <v>8</v>
      </c>
      <c r="AD22" s="112" t="s">
        <v>204</v>
      </c>
      <c r="AG22" s="112">
        <v>3287</v>
      </c>
      <c r="AH22" s="112">
        <v>3215.52</v>
      </c>
      <c r="AJ22" s="112" t="b">
        <v>0</v>
      </c>
      <c r="AK22" s="112">
        <v>8</v>
      </c>
      <c r="AL22" s="112" t="s">
        <v>204</v>
      </c>
      <c r="AM22" s="112">
        <v>3287</v>
      </c>
      <c r="AN22" s="112">
        <v>8</v>
      </c>
      <c r="AO22" s="112" t="s">
        <v>204</v>
      </c>
      <c r="AR22" s="112">
        <v>3215.52</v>
      </c>
      <c r="AT22" s="112" t="b">
        <v>0</v>
      </c>
      <c r="AU22" s="112">
        <v>3287</v>
      </c>
      <c r="AV22" s="112">
        <v>3215.52</v>
      </c>
      <c r="AX22" s="112" t="b">
        <v>0</v>
      </c>
      <c r="AY22" s="112">
        <v>0</v>
      </c>
      <c r="AZ22" s="112">
        <v>0</v>
      </c>
      <c r="BB22" s="112" t="b">
        <v>0</v>
      </c>
      <c r="BD22" s="112">
        <v>62711461.711999997</v>
      </c>
      <c r="BE22" s="112">
        <v>62711461.711999997</v>
      </c>
      <c r="BF22" s="112" t="b">
        <v>1</v>
      </c>
      <c r="BG22" s="112">
        <v>171934926.44400001</v>
      </c>
      <c r="BH22" s="112">
        <v>1.7416826485978691</v>
      </c>
      <c r="BI22" s="112">
        <v>0</v>
      </c>
      <c r="BJ22" s="112" t="b">
        <v>0</v>
      </c>
      <c r="BK22" s="112">
        <v>0</v>
      </c>
      <c r="BL22" s="112" t="b">
        <v>0</v>
      </c>
      <c r="BM22" s="112" t="b">
        <v>1</v>
      </c>
    </row>
    <row r="23" spans="1:65">
      <c r="A23" s="112" t="s">
        <v>187</v>
      </c>
      <c r="B23" s="112" t="s">
        <v>188</v>
      </c>
      <c r="C23" s="112">
        <v>20180101</v>
      </c>
      <c r="D23" s="112">
        <v>2018</v>
      </c>
      <c r="E23" s="112">
        <v>52</v>
      </c>
      <c r="F23" s="112" t="s">
        <v>227</v>
      </c>
      <c r="G23" s="112">
        <v>686</v>
      </c>
      <c r="H23" s="112" t="s">
        <v>190</v>
      </c>
      <c r="I23" s="112" t="s">
        <v>191</v>
      </c>
      <c r="J23" s="112" t="s">
        <v>192</v>
      </c>
      <c r="K23" s="112" t="s">
        <v>193</v>
      </c>
      <c r="L23" s="112">
        <v>724</v>
      </c>
      <c r="M23" s="112" t="s">
        <v>207</v>
      </c>
      <c r="N23" s="112" t="s">
        <v>208</v>
      </c>
      <c r="O23" s="112" t="s">
        <v>220</v>
      </c>
      <c r="P23" s="112" t="s">
        <v>197</v>
      </c>
      <c r="Q23" s="112" t="b">
        <v>1</v>
      </c>
      <c r="R23" s="112" t="s">
        <v>198</v>
      </c>
      <c r="S23" s="112" t="s">
        <v>199</v>
      </c>
      <c r="T23" s="112">
        <v>4</v>
      </c>
      <c r="U23" s="112" t="b">
        <v>0</v>
      </c>
      <c r="V23" s="112" t="s">
        <v>200</v>
      </c>
      <c r="W23" s="112" t="s">
        <v>201</v>
      </c>
      <c r="X23" s="112" t="s">
        <v>228</v>
      </c>
      <c r="Y23" s="112">
        <v>0</v>
      </c>
      <c r="Z23" s="112" t="s">
        <v>203</v>
      </c>
      <c r="AA23" s="112">
        <v>8</v>
      </c>
      <c r="AB23" s="112" t="s">
        <v>204</v>
      </c>
      <c r="AC23" s="112">
        <v>8</v>
      </c>
      <c r="AD23" s="112" t="s">
        <v>204</v>
      </c>
      <c r="AE23" s="112">
        <v>8</v>
      </c>
      <c r="AF23" s="112" t="s">
        <v>204</v>
      </c>
      <c r="AG23" s="112">
        <v>3</v>
      </c>
      <c r="AH23" s="112">
        <v>2.8</v>
      </c>
      <c r="AI23" s="112">
        <v>2.8</v>
      </c>
      <c r="AJ23" s="112" t="b">
        <v>0</v>
      </c>
      <c r="AK23" s="112">
        <v>8</v>
      </c>
      <c r="AL23" s="112" t="s">
        <v>204</v>
      </c>
      <c r="AM23" s="112">
        <v>3</v>
      </c>
      <c r="AN23" s="112">
        <v>15</v>
      </c>
      <c r="AO23" s="112" t="s">
        <v>213</v>
      </c>
      <c r="AP23" s="112">
        <v>15</v>
      </c>
      <c r="AQ23" s="112" t="s">
        <v>213</v>
      </c>
      <c r="AR23" s="112">
        <v>2800</v>
      </c>
      <c r="AS23" s="112">
        <v>2.8</v>
      </c>
      <c r="AT23" s="112" t="b">
        <v>0</v>
      </c>
      <c r="AU23" s="112">
        <v>3</v>
      </c>
      <c r="AV23" s="112">
        <v>2.8</v>
      </c>
      <c r="AW23" s="112">
        <v>2.8</v>
      </c>
      <c r="AX23" s="112" t="b">
        <v>0</v>
      </c>
      <c r="AZ23" s="112">
        <v>0</v>
      </c>
      <c r="BA23" s="112">
        <v>2.8</v>
      </c>
      <c r="BB23" s="112" t="b">
        <v>0</v>
      </c>
      <c r="BD23" s="112">
        <v>59926.824000000001</v>
      </c>
      <c r="BE23" s="112">
        <v>59926.824000000001</v>
      </c>
      <c r="BF23" s="112" t="b">
        <v>1</v>
      </c>
      <c r="BG23" s="112">
        <v>115793.16800000001</v>
      </c>
      <c r="BH23" s="112">
        <v>0.93224269652601643</v>
      </c>
      <c r="BI23" s="112">
        <v>115793.16800000001</v>
      </c>
      <c r="BJ23" s="112" t="b">
        <v>1</v>
      </c>
      <c r="BK23" s="112">
        <v>0</v>
      </c>
      <c r="BL23" s="112" t="b">
        <v>0</v>
      </c>
      <c r="BM23" s="112" t="b">
        <v>1</v>
      </c>
    </row>
    <row r="24" spans="1:65">
      <c r="A24" s="112" t="s">
        <v>187</v>
      </c>
      <c r="B24" s="112" t="s">
        <v>188</v>
      </c>
      <c r="C24" s="112">
        <v>20220101</v>
      </c>
      <c r="D24" s="112">
        <v>2022</v>
      </c>
      <c r="E24" s="112">
        <v>52</v>
      </c>
      <c r="F24" s="112" t="s">
        <v>223</v>
      </c>
      <c r="G24" s="112">
        <v>686</v>
      </c>
      <c r="H24" s="112" t="s">
        <v>190</v>
      </c>
      <c r="I24" s="112" t="s">
        <v>191</v>
      </c>
      <c r="J24" s="112" t="s">
        <v>192</v>
      </c>
      <c r="K24" s="112" t="s">
        <v>193</v>
      </c>
      <c r="L24" s="112">
        <v>757</v>
      </c>
      <c r="M24" s="112" t="s">
        <v>225</v>
      </c>
      <c r="N24" s="112" t="s">
        <v>226</v>
      </c>
      <c r="O24" s="112" t="s">
        <v>224</v>
      </c>
      <c r="P24" s="112" t="s">
        <v>197</v>
      </c>
      <c r="Q24" s="112" t="b">
        <v>1</v>
      </c>
      <c r="R24" s="112" t="s">
        <v>198</v>
      </c>
      <c r="S24" s="112" t="s">
        <v>199</v>
      </c>
      <c r="T24" s="112">
        <v>4</v>
      </c>
      <c r="U24" s="112" t="b">
        <v>0</v>
      </c>
      <c r="V24" s="112" t="s">
        <v>200</v>
      </c>
      <c r="W24" s="112" t="s">
        <v>201</v>
      </c>
      <c r="X24" s="112" t="s">
        <v>202</v>
      </c>
      <c r="Y24" s="112">
        <v>0</v>
      </c>
      <c r="Z24" s="112" t="s">
        <v>203</v>
      </c>
      <c r="AA24" s="112">
        <v>8</v>
      </c>
      <c r="AB24" s="112" t="s">
        <v>204</v>
      </c>
      <c r="AC24" s="112">
        <v>8</v>
      </c>
      <c r="AD24" s="112" t="s">
        <v>204</v>
      </c>
      <c r="AG24" s="112">
        <v>11200</v>
      </c>
      <c r="AH24" s="112">
        <v>12081</v>
      </c>
      <c r="AJ24" s="112" t="b">
        <v>0</v>
      </c>
      <c r="AK24" s="112">
        <v>8</v>
      </c>
      <c r="AL24" s="112" t="s">
        <v>204</v>
      </c>
      <c r="AM24" s="112">
        <v>11200</v>
      </c>
      <c r="AN24" s="112">
        <v>8</v>
      </c>
      <c r="AO24" s="112" t="s">
        <v>204</v>
      </c>
      <c r="AR24" s="112">
        <v>12081</v>
      </c>
      <c r="AT24" s="112" t="b">
        <v>0</v>
      </c>
      <c r="AU24" s="112">
        <v>11200</v>
      </c>
      <c r="AV24" s="112">
        <v>12081</v>
      </c>
      <c r="AX24" s="112" t="b">
        <v>0</v>
      </c>
      <c r="AY24" s="112">
        <v>0</v>
      </c>
      <c r="AZ24" s="112">
        <v>0</v>
      </c>
      <c r="BB24" s="112" t="b">
        <v>0</v>
      </c>
      <c r="BD24" s="112">
        <v>648129946.38999999</v>
      </c>
      <c r="BE24" s="112">
        <v>648129946.38999999</v>
      </c>
      <c r="BF24" s="112" t="b">
        <v>1</v>
      </c>
      <c r="BG24" s="112">
        <v>631954371.199</v>
      </c>
      <c r="BH24" s="112">
        <v>-2.4957302592012343E-2</v>
      </c>
      <c r="BI24" s="112">
        <v>0</v>
      </c>
      <c r="BJ24" s="112" t="b">
        <v>0</v>
      </c>
      <c r="BK24" s="112">
        <v>0</v>
      </c>
      <c r="BL24" s="112" t="b">
        <v>0</v>
      </c>
      <c r="BM24" s="112" t="b">
        <v>1</v>
      </c>
    </row>
    <row r="25" spans="1:65">
      <c r="A25" s="112" t="s">
        <v>187</v>
      </c>
      <c r="B25" s="112" t="s">
        <v>188</v>
      </c>
      <c r="C25" s="112">
        <v>20230101</v>
      </c>
      <c r="D25" s="112">
        <v>2023</v>
      </c>
      <c r="E25" s="112">
        <v>52</v>
      </c>
      <c r="F25" s="112" t="s">
        <v>231</v>
      </c>
      <c r="G25" s="112">
        <v>686</v>
      </c>
      <c r="H25" s="112" t="s">
        <v>190</v>
      </c>
      <c r="I25" s="112" t="s">
        <v>191</v>
      </c>
      <c r="J25" s="112" t="s">
        <v>192</v>
      </c>
      <c r="K25" s="112" t="s">
        <v>193</v>
      </c>
      <c r="L25" s="112">
        <v>757</v>
      </c>
      <c r="M25" s="112" t="s">
        <v>225</v>
      </c>
      <c r="N25" s="112" t="s">
        <v>226</v>
      </c>
      <c r="O25" s="112" t="s">
        <v>224</v>
      </c>
      <c r="P25" s="112" t="s">
        <v>197</v>
      </c>
      <c r="Q25" s="112" t="b">
        <v>1</v>
      </c>
      <c r="R25" s="112" t="s">
        <v>198</v>
      </c>
      <c r="S25" s="112" t="s">
        <v>199</v>
      </c>
      <c r="T25" s="112">
        <v>4</v>
      </c>
      <c r="U25" s="112" t="b">
        <v>0</v>
      </c>
      <c r="V25" s="112" t="s">
        <v>200</v>
      </c>
      <c r="W25" s="112" t="s">
        <v>201</v>
      </c>
      <c r="X25" s="112" t="s">
        <v>202</v>
      </c>
      <c r="Y25" s="112">
        <v>0</v>
      </c>
      <c r="Z25" s="112" t="s">
        <v>203</v>
      </c>
      <c r="AA25" s="112">
        <v>8</v>
      </c>
      <c r="AB25" s="112" t="s">
        <v>204</v>
      </c>
      <c r="AC25" s="112">
        <v>8</v>
      </c>
      <c r="AD25" s="112" t="s">
        <v>204</v>
      </c>
      <c r="AG25" s="112">
        <v>9949</v>
      </c>
      <c r="AH25" s="112">
        <v>10566</v>
      </c>
      <c r="AJ25" s="112" t="b">
        <v>0</v>
      </c>
      <c r="AK25" s="112">
        <v>8</v>
      </c>
      <c r="AL25" s="112" t="s">
        <v>204</v>
      </c>
      <c r="AM25" s="112">
        <v>9949</v>
      </c>
      <c r="AN25" s="112">
        <v>8</v>
      </c>
      <c r="AO25" s="112" t="s">
        <v>204</v>
      </c>
      <c r="AR25" s="112">
        <v>10566</v>
      </c>
      <c r="AT25" s="112" t="b">
        <v>0</v>
      </c>
      <c r="AU25" s="112">
        <v>9949</v>
      </c>
      <c r="AV25" s="112">
        <v>10566</v>
      </c>
      <c r="AX25" s="112" t="b">
        <v>0</v>
      </c>
      <c r="AY25" s="112">
        <v>0</v>
      </c>
      <c r="AZ25" s="112">
        <v>0</v>
      </c>
      <c r="BB25" s="112" t="b">
        <v>0</v>
      </c>
      <c r="BD25" s="112">
        <v>622824592.23699999</v>
      </c>
      <c r="BE25" s="112">
        <v>622824592.23699999</v>
      </c>
      <c r="BF25" s="112" t="b">
        <v>1</v>
      </c>
      <c r="BG25" s="112">
        <v>593906011.35000002</v>
      </c>
      <c r="BH25" s="112">
        <v>-4.6431340777879471E-2</v>
      </c>
      <c r="BI25" s="112">
        <v>0</v>
      </c>
      <c r="BJ25" s="112" t="b">
        <v>0</v>
      </c>
      <c r="BK25" s="112">
        <v>0</v>
      </c>
      <c r="BL25" s="112" t="b">
        <v>0</v>
      </c>
      <c r="BM25" s="112" t="b">
        <v>1</v>
      </c>
    </row>
    <row r="26" spans="1:65">
      <c r="A26" s="112" t="s">
        <v>187</v>
      </c>
      <c r="B26" s="112" t="s">
        <v>188</v>
      </c>
      <c r="C26" s="112">
        <v>20170101</v>
      </c>
      <c r="D26" s="112">
        <v>2017</v>
      </c>
      <c r="E26" s="112">
        <v>52</v>
      </c>
      <c r="F26" s="112" t="s">
        <v>238</v>
      </c>
      <c r="G26" s="112">
        <v>686</v>
      </c>
      <c r="H26" s="112" t="s">
        <v>190</v>
      </c>
      <c r="I26" s="112" t="s">
        <v>191</v>
      </c>
      <c r="J26" s="112" t="s">
        <v>192</v>
      </c>
      <c r="K26" s="112" t="s">
        <v>193</v>
      </c>
      <c r="L26" s="112">
        <v>757</v>
      </c>
      <c r="M26" s="112" t="s">
        <v>225</v>
      </c>
      <c r="N26" s="112" t="s">
        <v>226</v>
      </c>
      <c r="O26" s="112" t="s">
        <v>220</v>
      </c>
      <c r="P26" s="112" t="s">
        <v>197</v>
      </c>
      <c r="Q26" s="112" t="b">
        <v>1</v>
      </c>
      <c r="R26" s="112" t="s">
        <v>198</v>
      </c>
      <c r="S26" s="112" t="s">
        <v>199</v>
      </c>
      <c r="T26" s="112">
        <v>4</v>
      </c>
      <c r="U26" s="112" t="b">
        <v>0</v>
      </c>
      <c r="V26" s="112" t="s">
        <v>200</v>
      </c>
      <c r="W26" s="112" t="s">
        <v>201</v>
      </c>
      <c r="X26" s="112" t="s">
        <v>228</v>
      </c>
      <c r="Y26" s="112">
        <v>0</v>
      </c>
      <c r="Z26" s="112" t="s">
        <v>203</v>
      </c>
      <c r="AA26" s="112">
        <v>8</v>
      </c>
      <c r="AB26" s="112" t="s">
        <v>204</v>
      </c>
      <c r="AC26" s="112">
        <v>8</v>
      </c>
      <c r="AD26" s="112" t="s">
        <v>204</v>
      </c>
      <c r="AG26" s="112">
        <v>7265</v>
      </c>
      <c r="AH26" s="112">
        <v>7443</v>
      </c>
      <c r="AJ26" s="112" t="b">
        <v>0</v>
      </c>
      <c r="AK26" s="112">
        <v>8</v>
      </c>
      <c r="AL26" s="112" t="s">
        <v>204</v>
      </c>
      <c r="AM26" s="112">
        <v>7265</v>
      </c>
      <c r="AN26" s="112">
        <v>8</v>
      </c>
      <c r="AO26" s="112" t="s">
        <v>204</v>
      </c>
      <c r="AR26" s="112">
        <v>7443</v>
      </c>
      <c r="AT26" s="112" t="b">
        <v>0</v>
      </c>
      <c r="AU26" s="112">
        <v>7265</v>
      </c>
      <c r="AV26" s="112">
        <v>7443</v>
      </c>
      <c r="AX26" s="112" t="b">
        <v>0</v>
      </c>
      <c r="AZ26" s="112">
        <v>0</v>
      </c>
      <c r="BB26" s="112" t="b">
        <v>0</v>
      </c>
      <c r="BD26" s="112">
        <v>289590890.42900002</v>
      </c>
      <c r="BE26" s="112">
        <v>289590890.42900002</v>
      </c>
      <c r="BF26" s="112" t="b">
        <v>1</v>
      </c>
      <c r="BG26" s="112">
        <v>277019288.92799997</v>
      </c>
      <c r="BH26" s="112">
        <v>-4.3411591719534015E-2</v>
      </c>
      <c r="BI26" s="112">
        <v>0</v>
      </c>
      <c r="BJ26" s="112" t="b">
        <v>0</v>
      </c>
      <c r="BK26" s="112">
        <v>0</v>
      </c>
      <c r="BL26" s="112" t="b">
        <v>0</v>
      </c>
      <c r="BM26" s="112" t="b">
        <v>1</v>
      </c>
    </row>
    <row r="27" spans="1:65">
      <c r="A27" s="112" t="s">
        <v>187</v>
      </c>
      <c r="B27" s="112" t="s">
        <v>188</v>
      </c>
      <c r="C27" s="112">
        <v>20240101</v>
      </c>
      <c r="D27" s="112">
        <v>2024</v>
      </c>
      <c r="E27" s="112">
        <v>52</v>
      </c>
      <c r="F27" s="112" t="s">
        <v>239</v>
      </c>
      <c r="G27" s="112">
        <v>686</v>
      </c>
      <c r="H27" s="112" t="s">
        <v>190</v>
      </c>
      <c r="I27" s="112" t="s">
        <v>191</v>
      </c>
      <c r="J27" s="112" t="s">
        <v>192</v>
      </c>
      <c r="K27" s="112" t="s">
        <v>193</v>
      </c>
      <c r="L27" s="112">
        <v>380</v>
      </c>
      <c r="M27" s="112" t="s">
        <v>218</v>
      </c>
      <c r="N27" s="112" t="s">
        <v>219</v>
      </c>
      <c r="O27" s="112" t="s">
        <v>224</v>
      </c>
      <c r="P27" s="112" t="s">
        <v>197</v>
      </c>
      <c r="Q27" s="112" t="b">
        <v>1</v>
      </c>
      <c r="R27" s="112" t="s">
        <v>198</v>
      </c>
      <c r="S27" s="112" t="s">
        <v>199</v>
      </c>
      <c r="T27" s="112">
        <v>4</v>
      </c>
      <c r="U27" s="112" t="b">
        <v>0</v>
      </c>
      <c r="V27" s="112" t="s">
        <v>200</v>
      </c>
      <c r="W27" s="112" t="s">
        <v>201</v>
      </c>
      <c r="X27" s="112" t="s">
        <v>202</v>
      </c>
      <c r="Y27" s="112">
        <v>0</v>
      </c>
      <c r="Z27" s="112" t="s">
        <v>203</v>
      </c>
      <c r="AA27" s="112">
        <v>8</v>
      </c>
      <c r="AB27" s="112" t="s">
        <v>204</v>
      </c>
      <c r="AC27" s="112">
        <v>8</v>
      </c>
      <c r="AD27" s="112" t="s">
        <v>204</v>
      </c>
      <c r="AG27" s="112">
        <v>52</v>
      </c>
      <c r="AH27" s="112">
        <v>10.696999999999999</v>
      </c>
      <c r="AJ27" s="112" t="b">
        <v>0</v>
      </c>
      <c r="AK27" s="112">
        <v>8</v>
      </c>
      <c r="AL27" s="112" t="s">
        <v>204</v>
      </c>
      <c r="AM27" s="112">
        <v>52</v>
      </c>
      <c r="AN27" s="112">
        <v>8</v>
      </c>
      <c r="AO27" s="112" t="s">
        <v>204</v>
      </c>
      <c r="AR27" s="112">
        <v>10.696999999999999</v>
      </c>
      <c r="AT27" s="112" t="b">
        <v>0</v>
      </c>
      <c r="AU27" s="112">
        <v>52</v>
      </c>
      <c r="AV27" s="112">
        <v>12</v>
      </c>
      <c r="AX27" s="112" t="b">
        <v>0</v>
      </c>
      <c r="AY27" s="112">
        <v>0</v>
      </c>
      <c r="AZ27" s="112">
        <v>0</v>
      </c>
      <c r="BB27" s="112" t="b">
        <v>0</v>
      </c>
      <c r="BD27" s="112">
        <v>1000287.572</v>
      </c>
      <c r="BE27" s="112">
        <v>1000287.572</v>
      </c>
      <c r="BF27" s="112" t="b">
        <v>1</v>
      </c>
      <c r="BG27" s="112">
        <v>676674.71200000006</v>
      </c>
      <c r="BH27" s="112">
        <v>-0.32351982475695495</v>
      </c>
      <c r="BI27" s="112">
        <v>0</v>
      </c>
      <c r="BJ27" s="112" t="b">
        <v>0</v>
      </c>
      <c r="BK27" s="112">
        <v>0</v>
      </c>
      <c r="BL27" s="112" t="b">
        <v>0</v>
      </c>
      <c r="BM27" s="112" t="b">
        <v>1</v>
      </c>
    </row>
    <row r="28" spans="1:65">
      <c r="A28" s="112" t="s">
        <v>187</v>
      </c>
      <c r="B28" s="112" t="s">
        <v>188</v>
      </c>
      <c r="C28" s="112">
        <v>20150101</v>
      </c>
      <c r="D28" s="112">
        <v>2015</v>
      </c>
      <c r="E28" s="112">
        <v>52</v>
      </c>
      <c r="F28" s="112" t="s">
        <v>240</v>
      </c>
      <c r="G28" s="112">
        <v>686</v>
      </c>
      <c r="H28" s="112" t="s">
        <v>190</v>
      </c>
      <c r="I28" s="112" t="s">
        <v>191</v>
      </c>
      <c r="J28" s="112" t="s">
        <v>192</v>
      </c>
      <c r="K28" s="112" t="s">
        <v>193</v>
      </c>
      <c r="L28" s="112">
        <v>757</v>
      </c>
      <c r="M28" s="112" t="s">
        <v>225</v>
      </c>
      <c r="N28" s="112" t="s">
        <v>226</v>
      </c>
      <c r="O28" s="112" t="s">
        <v>220</v>
      </c>
      <c r="P28" s="112" t="s">
        <v>197</v>
      </c>
      <c r="Q28" s="112" t="b">
        <v>1</v>
      </c>
      <c r="R28" s="112" t="s">
        <v>198</v>
      </c>
      <c r="S28" s="112" t="s">
        <v>199</v>
      </c>
      <c r="T28" s="112">
        <v>4</v>
      </c>
      <c r="U28" s="112" t="b">
        <v>0</v>
      </c>
      <c r="V28" s="112" t="s">
        <v>200</v>
      </c>
      <c r="W28" s="112" t="s">
        <v>201</v>
      </c>
      <c r="X28" s="112" t="s">
        <v>202</v>
      </c>
      <c r="Y28" s="112">
        <v>0</v>
      </c>
      <c r="Z28" s="112" t="s">
        <v>203</v>
      </c>
      <c r="AA28" s="112">
        <v>8</v>
      </c>
      <c r="AB28" s="112" t="s">
        <v>204</v>
      </c>
      <c r="AC28" s="112">
        <v>8</v>
      </c>
      <c r="AD28" s="112" t="s">
        <v>204</v>
      </c>
      <c r="AG28" s="112">
        <v>5743</v>
      </c>
      <c r="AH28" s="112">
        <v>6374</v>
      </c>
      <c r="AJ28" s="112" t="b">
        <v>0</v>
      </c>
      <c r="AK28" s="112">
        <v>-1</v>
      </c>
      <c r="AL28" s="112" t="s">
        <v>205</v>
      </c>
      <c r="AN28" s="112">
        <v>8</v>
      </c>
      <c r="AO28" s="112" t="s">
        <v>204</v>
      </c>
      <c r="AR28" s="112">
        <v>6374</v>
      </c>
      <c r="AT28" s="112" t="b">
        <v>0</v>
      </c>
      <c r="AU28" s="112">
        <v>5743</v>
      </c>
      <c r="AV28" s="112">
        <v>6374</v>
      </c>
      <c r="AX28" s="112" t="b">
        <v>0</v>
      </c>
      <c r="AZ28" s="112">
        <v>0</v>
      </c>
      <c r="BB28" s="112" t="b">
        <v>0</v>
      </c>
      <c r="BD28" s="112">
        <v>212688412</v>
      </c>
      <c r="BE28" s="112">
        <v>212688412</v>
      </c>
      <c r="BF28" s="112" t="b">
        <v>1</v>
      </c>
      <c r="BG28" s="112">
        <v>219145334.37099999</v>
      </c>
      <c r="BH28" s="112">
        <v>3.0358599748255166E-2</v>
      </c>
      <c r="BI28" s="112">
        <v>0</v>
      </c>
      <c r="BJ28" s="112" t="b">
        <v>0</v>
      </c>
      <c r="BK28" s="112">
        <v>0</v>
      </c>
      <c r="BL28" s="112" t="b">
        <v>1</v>
      </c>
      <c r="BM28" s="112" t="b">
        <v>0</v>
      </c>
    </row>
    <row r="29" spans="1:65">
      <c r="A29" s="112" t="s">
        <v>187</v>
      </c>
      <c r="B29" s="112" t="s">
        <v>188</v>
      </c>
      <c r="C29" s="112">
        <v>20210101</v>
      </c>
      <c r="D29" s="112">
        <v>2021</v>
      </c>
      <c r="E29" s="112">
        <v>52</v>
      </c>
      <c r="F29" s="112" t="s">
        <v>189</v>
      </c>
      <c r="G29" s="112">
        <v>686</v>
      </c>
      <c r="H29" s="112" t="s">
        <v>190</v>
      </c>
      <c r="I29" s="112" t="s">
        <v>191</v>
      </c>
      <c r="J29" s="112" t="s">
        <v>192</v>
      </c>
      <c r="K29" s="112" t="s">
        <v>193</v>
      </c>
      <c r="L29" s="112">
        <v>784</v>
      </c>
      <c r="M29" s="112" t="s">
        <v>234</v>
      </c>
      <c r="N29" s="112" t="s">
        <v>235</v>
      </c>
      <c r="O29" s="112" t="s">
        <v>196</v>
      </c>
      <c r="P29" s="112" t="s">
        <v>197</v>
      </c>
      <c r="Q29" s="112" t="b">
        <v>1</v>
      </c>
      <c r="R29" s="112" t="s">
        <v>198</v>
      </c>
      <c r="S29" s="112" t="s">
        <v>199</v>
      </c>
      <c r="T29" s="112">
        <v>4</v>
      </c>
      <c r="U29" s="112" t="b">
        <v>0</v>
      </c>
      <c r="V29" s="112" t="s">
        <v>200</v>
      </c>
      <c r="W29" s="112" t="s">
        <v>201</v>
      </c>
      <c r="X29" s="112" t="s">
        <v>202</v>
      </c>
      <c r="Y29" s="112">
        <v>0</v>
      </c>
      <c r="Z29" s="112" t="s">
        <v>203</v>
      </c>
      <c r="AA29" s="112">
        <v>8</v>
      </c>
      <c r="AB29" s="112" t="s">
        <v>204</v>
      </c>
      <c r="AC29" s="112">
        <v>8</v>
      </c>
      <c r="AD29" s="112" t="s">
        <v>204</v>
      </c>
      <c r="AG29" s="112">
        <v>2680</v>
      </c>
      <c r="AH29" s="112">
        <v>2625.9</v>
      </c>
      <c r="AJ29" s="112" t="b">
        <v>0</v>
      </c>
      <c r="AK29" s="112">
        <v>8</v>
      </c>
      <c r="AL29" s="112" t="s">
        <v>204</v>
      </c>
      <c r="AM29" s="112">
        <v>2680</v>
      </c>
      <c r="AN29" s="112">
        <v>8</v>
      </c>
      <c r="AO29" s="112" t="s">
        <v>204</v>
      </c>
      <c r="AR29" s="112">
        <v>2625.9</v>
      </c>
      <c r="AT29" s="112" t="b">
        <v>0</v>
      </c>
      <c r="AU29" s="112">
        <v>2680</v>
      </c>
      <c r="AV29" s="112">
        <v>2625.9</v>
      </c>
      <c r="AX29" s="112" t="b">
        <v>0</v>
      </c>
      <c r="AY29" s="112">
        <v>0</v>
      </c>
      <c r="AZ29" s="112">
        <v>0</v>
      </c>
      <c r="BB29" s="112" t="b">
        <v>0</v>
      </c>
      <c r="BC29" s="112">
        <v>0</v>
      </c>
      <c r="BD29" s="112">
        <v>56454810.920000002</v>
      </c>
      <c r="BE29" s="112">
        <v>56454810.920000002</v>
      </c>
      <c r="BF29" s="112" t="b">
        <v>1</v>
      </c>
      <c r="BG29" s="112">
        <v>144258311.833</v>
      </c>
      <c r="BH29" s="112">
        <v>1.5552881939047332</v>
      </c>
      <c r="BI29" s="112">
        <v>0</v>
      </c>
      <c r="BJ29" s="112" t="b">
        <v>0</v>
      </c>
      <c r="BK29" s="112">
        <v>0</v>
      </c>
      <c r="BL29" s="112" t="b">
        <v>0</v>
      </c>
      <c r="BM29" s="112" t="b">
        <v>1</v>
      </c>
    </row>
    <row r="30" spans="1:65">
      <c r="A30" s="112" t="s">
        <v>187</v>
      </c>
      <c r="B30" s="112" t="s">
        <v>188</v>
      </c>
      <c r="C30" s="112">
        <v>20160101</v>
      </c>
      <c r="D30" s="112">
        <v>2016</v>
      </c>
      <c r="E30" s="112">
        <v>52</v>
      </c>
      <c r="F30" s="112" t="s">
        <v>217</v>
      </c>
      <c r="G30" s="112">
        <v>686</v>
      </c>
      <c r="H30" s="112" t="s">
        <v>190</v>
      </c>
      <c r="I30" s="112" t="s">
        <v>191</v>
      </c>
      <c r="J30" s="112" t="s">
        <v>192</v>
      </c>
      <c r="K30" s="112" t="s">
        <v>193</v>
      </c>
      <c r="L30" s="112">
        <v>156</v>
      </c>
      <c r="M30" s="112" t="s">
        <v>241</v>
      </c>
      <c r="N30" s="112" t="s">
        <v>242</v>
      </c>
      <c r="O30" s="112" t="s">
        <v>220</v>
      </c>
      <c r="P30" s="112" t="s">
        <v>197</v>
      </c>
      <c r="Q30" s="112" t="b">
        <v>1</v>
      </c>
      <c r="R30" s="112" t="s">
        <v>198</v>
      </c>
      <c r="S30" s="112" t="s">
        <v>199</v>
      </c>
      <c r="T30" s="112">
        <v>4</v>
      </c>
      <c r="U30" s="112" t="b">
        <v>0</v>
      </c>
      <c r="V30" s="112" t="s">
        <v>200</v>
      </c>
      <c r="W30" s="112" t="s">
        <v>201</v>
      </c>
      <c r="X30" s="112" t="s">
        <v>202</v>
      </c>
      <c r="Y30" s="112">
        <v>0</v>
      </c>
      <c r="Z30" s="112" t="s">
        <v>203</v>
      </c>
      <c r="AA30" s="112">
        <v>8</v>
      </c>
      <c r="AB30" s="112" t="s">
        <v>204</v>
      </c>
      <c r="AG30" s="112">
        <v>143</v>
      </c>
      <c r="AJ30" s="112" t="b">
        <v>0</v>
      </c>
      <c r="AK30" s="112">
        <v>-1</v>
      </c>
      <c r="AL30" s="112" t="s">
        <v>205</v>
      </c>
      <c r="AT30" s="112" t="b">
        <v>0</v>
      </c>
      <c r="AU30" s="112">
        <v>143</v>
      </c>
      <c r="AX30" s="112" t="b">
        <v>0</v>
      </c>
      <c r="BB30" s="112" t="b">
        <v>0</v>
      </c>
      <c r="BD30" s="112">
        <v>5615415</v>
      </c>
      <c r="BE30" s="112">
        <v>5615415</v>
      </c>
      <c r="BF30" s="112" t="b">
        <v>1</v>
      </c>
      <c r="BG30" s="112">
        <v>0</v>
      </c>
      <c r="BH30" s="112">
        <v>-1</v>
      </c>
      <c r="BI30" s="112">
        <v>0</v>
      </c>
      <c r="BJ30" s="112" t="b">
        <v>1</v>
      </c>
      <c r="BK30" s="112">
        <v>0</v>
      </c>
      <c r="BL30" s="112" t="b">
        <v>1</v>
      </c>
      <c r="BM30" s="112" t="b">
        <v>0</v>
      </c>
    </row>
    <row r="31" spans="1:65">
      <c r="A31" s="112" t="s">
        <v>187</v>
      </c>
      <c r="B31" s="112" t="s">
        <v>188</v>
      </c>
      <c r="C31" s="112">
        <v>20140101</v>
      </c>
      <c r="D31" s="112">
        <v>2014</v>
      </c>
      <c r="E31" s="112">
        <v>52</v>
      </c>
      <c r="F31" s="112" t="s">
        <v>206</v>
      </c>
      <c r="G31" s="112">
        <v>686</v>
      </c>
      <c r="H31" s="112" t="s">
        <v>190</v>
      </c>
      <c r="I31" s="112" t="s">
        <v>191</v>
      </c>
      <c r="J31" s="112" t="s">
        <v>192</v>
      </c>
      <c r="K31" s="112" t="s">
        <v>193</v>
      </c>
      <c r="L31" s="112">
        <v>752</v>
      </c>
      <c r="M31" s="112" t="s">
        <v>243</v>
      </c>
      <c r="N31" s="112" t="s">
        <v>244</v>
      </c>
      <c r="O31" s="112" t="s">
        <v>209</v>
      </c>
      <c r="P31" s="112" t="s">
        <v>197</v>
      </c>
      <c r="Q31" s="112" t="b">
        <v>1</v>
      </c>
      <c r="R31" s="112" t="s">
        <v>198</v>
      </c>
      <c r="S31" s="112" t="s">
        <v>199</v>
      </c>
      <c r="T31" s="112">
        <v>4</v>
      </c>
      <c r="U31" s="112" t="b">
        <v>0</v>
      </c>
      <c r="V31" s="112" t="s">
        <v>200</v>
      </c>
      <c r="W31" s="112" t="s">
        <v>201</v>
      </c>
      <c r="X31" s="112" t="s">
        <v>202</v>
      </c>
      <c r="Y31" s="112">
        <v>0</v>
      </c>
      <c r="Z31" s="112" t="s">
        <v>203</v>
      </c>
      <c r="AA31" s="112">
        <v>8</v>
      </c>
      <c r="AB31" s="112" t="s">
        <v>204</v>
      </c>
      <c r="AG31" s="112">
        <v>4</v>
      </c>
      <c r="AJ31" s="112" t="b">
        <v>0</v>
      </c>
      <c r="AK31" s="112">
        <v>-1</v>
      </c>
      <c r="AL31" s="112" t="s">
        <v>205</v>
      </c>
      <c r="AT31" s="112" t="b">
        <v>0</v>
      </c>
      <c r="AU31" s="112">
        <v>4</v>
      </c>
      <c r="AX31" s="112" t="b">
        <v>0</v>
      </c>
      <c r="BB31" s="112" t="b">
        <v>0</v>
      </c>
      <c r="BD31" s="112">
        <v>114457</v>
      </c>
      <c r="BE31" s="112">
        <v>114457</v>
      </c>
      <c r="BF31" s="112" t="b">
        <v>1</v>
      </c>
      <c r="BG31" s="112">
        <v>0</v>
      </c>
      <c r="BH31" s="112">
        <v>-1</v>
      </c>
      <c r="BI31" s="112">
        <v>0</v>
      </c>
      <c r="BJ31" s="112" t="b">
        <v>1</v>
      </c>
      <c r="BK31" s="112">
        <v>0</v>
      </c>
      <c r="BL31" s="112" t="b">
        <v>1</v>
      </c>
      <c r="BM31" s="112" t="b">
        <v>0</v>
      </c>
    </row>
    <row r="32" spans="1:65">
      <c r="A32" s="112" t="s">
        <v>187</v>
      </c>
      <c r="B32" s="112" t="s">
        <v>188</v>
      </c>
      <c r="C32" s="112">
        <v>20150101</v>
      </c>
      <c r="D32" s="112">
        <v>2015</v>
      </c>
      <c r="E32" s="112">
        <v>52</v>
      </c>
      <c r="F32" s="112" t="s">
        <v>240</v>
      </c>
      <c r="G32" s="112">
        <v>686</v>
      </c>
      <c r="H32" s="112" t="s">
        <v>190</v>
      </c>
      <c r="I32" s="112" t="s">
        <v>191</v>
      </c>
      <c r="J32" s="112" t="s">
        <v>192</v>
      </c>
      <c r="K32" s="112" t="s">
        <v>193</v>
      </c>
      <c r="L32" s="112">
        <v>784</v>
      </c>
      <c r="M32" s="112" t="s">
        <v>234</v>
      </c>
      <c r="N32" s="112" t="s">
        <v>235</v>
      </c>
      <c r="O32" s="112" t="s">
        <v>220</v>
      </c>
      <c r="P32" s="112" t="s">
        <v>197</v>
      </c>
      <c r="Q32" s="112" t="b">
        <v>1</v>
      </c>
      <c r="R32" s="112" t="s">
        <v>198</v>
      </c>
      <c r="S32" s="112" t="s">
        <v>199</v>
      </c>
      <c r="T32" s="112">
        <v>4</v>
      </c>
      <c r="U32" s="112" t="b">
        <v>0</v>
      </c>
      <c r="V32" s="112" t="s">
        <v>200</v>
      </c>
      <c r="W32" s="112" t="s">
        <v>201</v>
      </c>
      <c r="X32" s="112" t="s">
        <v>202</v>
      </c>
      <c r="Y32" s="112">
        <v>0</v>
      </c>
      <c r="Z32" s="112" t="s">
        <v>203</v>
      </c>
      <c r="AA32" s="112">
        <v>8</v>
      </c>
      <c r="AB32" s="112" t="s">
        <v>204</v>
      </c>
      <c r="AC32" s="112">
        <v>8</v>
      </c>
      <c r="AD32" s="112" t="s">
        <v>204</v>
      </c>
      <c r="AG32" s="112">
        <v>1936</v>
      </c>
      <c r="AH32" s="112">
        <v>4658.66</v>
      </c>
      <c r="AJ32" s="112" t="b">
        <v>0</v>
      </c>
      <c r="AK32" s="112">
        <v>-1</v>
      </c>
      <c r="AL32" s="112" t="s">
        <v>205</v>
      </c>
      <c r="AN32" s="112">
        <v>8</v>
      </c>
      <c r="AO32" s="112" t="s">
        <v>204</v>
      </c>
      <c r="AR32" s="112">
        <v>4658.66</v>
      </c>
      <c r="AT32" s="112" t="b">
        <v>0</v>
      </c>
      <c r="AU32" s="112">
        <v>1936</v>
      </c>
      <c r="AV32" s="112">
        <v>4658.66</v>
      </c>
      <c r="AX32" s="112" t="b">
        <v>0</v>
      </c>
      <c r="BB32" s="112" t="b">
        <v>0</v>
      </c>
      <c r="BD32" s="112">
        <v>39375352</v>
      </c>
      <c r="BE32" s="112">
        <v>39375352</v>
      </c>
      <c r="BF32" s="112" t="b">
        <v>1</v>
      </c>
      <c r="BG32" s="112">
        <v>123230254.083</v>
      </c>
      <c r="BH32" s="112">
        <v>2.1296292686602523</v>
      </c>
      <c r="BI32" s="112">
        <v>0</v>
      </c>
      <c r="BJ32" s="112" t="b">
        <v>0</v>
      </c>
      <c r="BK32" s="112">
        <v>0</v>
      </c>
      <c r="BL32" s="112" t="b">
        <v>1</v>
      </c>
      <c r="BM32" s="112" t="b">
        <v>0</v>
      </c>
    </row>
    <row r="33" spans="1:65">
      <c r="A33" s="112" t="s">
        <v>187</v>
      </c>
      <c r="B33" s="112" t="s">
        <v>188</v>
      </c>
      <c r="C33" s="112">
        <v>20240101</v>
      </c>
      <c r="D33" s="112">
        <v>2024</v>
      </c>
      <c r="E33" s="112">
        <v>52</v>
      </c>
      <c r="F33" s="112" t="s">
        <v>239</v>
      </c>
      <c r="G33" s="112">
        <v>686</v>
      </c>
      <c r="H33" s="112" t="s">
        <v>190</v>
      </c>
      <c r="I33" s="112" t="s">
        <v>191</v>
      </c>
      <c r="J33" s="112" t="s">
        <v>192</v>
      </c>
      <c r="K33" s="112" t="s">
        <v>193</v>
      </c>
      <c r="L33" s="112">
        <v>251</v>
      </c>
      <c r="M33" s="112" t="s">
        <v>245</v>
      </c>
      <c r="N33" s="112" t="s">
        <v>246</v>
      </c>
      <c r="O33" s="112" t="s">
        <v>224</v>
      </c>
      <c r="P33" s="112" t="s">
        <v>197</v>
      </c>
      <c r="Q33" s="112" t="b">
        <v>1</v>
      </c>
      <c r="R33" s="112" t="s">
        <v>198</v>
      </c>
      <c r="S33" s="112" t="s">
        <v>199</v>
      </c>
      <c r="T33" s="112">
        <v>4</v>
      </c>
      <c r="U33" s="112" t="b">
        <v>0</v>
      </c>
      <c r="V33" s="112" t="s">
        <v>200</v>
      </c>
      <c r="W33" s="112" t="s">
        <v>201</v>
      </c>
      <c r="X33" s="112" t="s">
        <v>202</v>
      </c>
      <c r="Y33" s="112">
        <v>0</v>
      </c>
      <c r="Z33" s="112" t="s">
        <v>203</v>
      </c>
      <c r="AA33" s="112">
        <v>8</v>
      </c>
      <c r="AB33" s="112" t="s">
        <v>204</v>
      </c>
      <c r="AG33" s="112">
        <v>24</v>
      </c>
      <c r="AJ33" s="112" t="b">
        <v>0</v>
      </c>
      <c r="AK33" s="112">
        <v>8</v>
      </c>
      <c r="AL33" s="112" t="s">
        <v>204</v>
      </c>
      <c r="AM33" s="112">
        <v>24</v>
      </c>
      <c r="AT33" s="112" t="b">
        <v>0</v>
      </c>
      <c r="AU33" s="112">
        <v>24</v>
      </c>
      <c r="AX33" s="112" t="b">
        <v>0</v>
      </c>
      <c r="AY33" s="112">
        <v>0</v>
      </c>
      <c r="BB33" s="112" t="b">
        <v>0</v>
      </c>
      <c r="BD33" s="112">
        <v>500987.34899999999</v>
      </c>
      <c r="BE33" s="112">
        <v>500987.34899999999</v>
      </c>
      <c r="BF33" s="112" t="b">
        <v>1</v>
      </c>
      <c r="BG33" s="112">
        <v>0</v>
      </c>
      <c r="BH33" s="112">
        <v>-1</v>
      </c>
      <c r="BI33" s="112">
        <v>0</v>
      </c>
      <c r="BJ33" s="112" t="b">
        <v>1</v>
      </c>
      <c r="BK33" s="112">
        <v>0</v>
      </c>
      <c r="BL33" s="112" t="b">
        <v>0</v>
      </c>
      <c r="BM33" s="112" t="b">
        <v>1</v>
      </c>
    </row>
    <row r="34" spans="1:65">
      <c r="A34" s="112" t="s">
        <v>187</v>
      </c>
      <c r="B34" s="112" t="s">
        <v>188</v>
      </c>
      <c r="C34" s="112">
        <v>20170101</v>
      </c>
      <c r="D34" s="112">
        <v>2017</v>
      </c>
      <c r="E34" s="112">
        <v>52</v>
      </c>
      <c r="F34" s="112" t="s">
        <v>238</v>
      </c>
      <c r="G34" s="112">
        <v>686</v>
      </c>
      <c r="H34" s="112" t="s">
        <v>190</v>
      </c>
      <c r="I34" s="112" t="s">
        <v>191</v>
      </c>
      <c r="J34" s="112" t="s">
        <v>192</v>
      </c>
      <c r="K34" s="112" t="s">
        <v>193</v>
      </c>
      <c r="L34" s="112">
        <v>380</v>
      </c>
      <c r="M34" s="112" t="s">
        <v>218</v>
      </c>
      <c r="N34" s="112" t="s">
        <v>219</v>
      </c>
      <c r="O34" s="112" t="s">
        <v>220</v>
      </c>
      <c r="P34" s="112" t="s">
        <v>197</v>
      </c>
      <c r="Q34" s="112" t="b">
        <v>1</v>
      </c>
      <c r="R34" s="112" t="s">
        <v>198</v>
      </c>
      <c r="S34" s="112" t="s">
        <v>199</v>
      </c>
      <c r="T34" s="112">
        <v>4</v>
      </c>
      <c r="U34" s="112" t="b">
        <v>0</v>
      </c>
      <c r="V34" s="112" t="s">
        <v>200</v>
      </c>
      <c r="W34" s="112" t="s">
        <v>201</v>
      </c>
      <c r="X34" s="112" t="s">
        <v>228</v>
      </c>
      <c r="Y34" s="112">
        <v>0</v>
      </c>
      <c r="Z34" s="112" t="s">
        <v>203</v>
      </c>
      <c r="AA34" s="112">
        <v>8</v>
      </c>
      <c r="AB34" s="112" t="s">
        <v>204</v>
      </c>
      <c r="AC34" s="112">
        <v>8</v>
      </c>
      <c r="AD34" s="112" t="s">
        <v>204</v>
      </c>
      <c r="AG34" s="112">
        <v>199</v>
      </c>
      <c r="AH34" s="112">
        <v>147.637</v>
      </c>
      <c r="AJ34" s="112" t="b">
        <v>0</v>
      </c>
      <c r="AK34" s="112">
        <v>8</v>
      </c>
      <c r="AL34" s="112" t="s">
        <v>204</v>
      </c>
      <c r="AM34" s="112">
        <v>199</v>
      </c>
      <c r="AN34" s="112">
        <v>-1</v>
      </c>
      <c r="AO34" s="112" t="s">
        <v>205</v>
      </c>
      <c r="AR34" s="112">
        <v>0</v>
      </c>
      <c r="AT34" s="112" t="b">
        <v>0</v>
      </c>
      <c r="AU34" s="112">
        <v>199</v>
      </c>
      <c r="AV34" s="112">
        <v>151</v>
      </c>
      <c r="AX34" s="112" t="b">
        <v>0</v>
      </c>
      <c r="AZ34" s="112">
        <v>0</v>
      </c>
      <c r="BB34" s="112" t="b">
        <v>0</v>
      </c>
      <c r="BD34" s="112">
        <v>3541986.0750000002</v>
      </c>
      <c r="BE34" s="112">
        <v>3541986.0750000002</v>
      </c>
      <c r="BF34" s="112" t="b">
        <v>1</v>
      </c>
      <c r="BG34" s="112">
        <v>5031300.9380000001</v>
      </c>
      <c r="BH34" s="112">
        <v>0.42047451104109723</v>
      </c>
      <c r="BI34" s="112">
        <v>0</v>
      </c>
      <c r="BJ34" s="112" t="b">
        <v>0</v>
      </c>
      <c r="BK34" s="112">
        <v>0</v>
      </c>
      <c r="BL34" s="112" t="b">
        <v>0</v>
      </c>
      <c r="BM34" s="112" t="b">
        <v>1</v>
      </c>
    </row>
    <row r="35" spans="1:65">
      <c r="A35" s="112" t="s">
        <v>187</v>
      </c>
      <c r="B35" s="112" t="s">
        <v>188</v>
      </c>
      <c r="C35" s="112">
        <v>20230101</v>
      </c>
      <c r="D35" s="112">
        <v>2023</v>
      </c>
      <c r="E35" s="112">
        <v>52</v>
      </c>
      <c r="F35" s="112" t="s">
        <v>231</v>
      </c>
      <c r="G35" s="112">
        <v>686</v>
      </c>
      <c r="H35" s="112" t="s">
        <v>190</v>
      </c>
      <c r="I35" s="112" t="s">
        <v>191</v>
      </c>
      <c r="J35" s="112" t="s">
        <v>192</v>
      </c>
      <c r="K35" s="112" t="s">
        <v>193</v>
      </c>
      <c r="L35" s="112">
        <v>380</v>
      </c>
      <c r="M35" s="112" t="s">
        <v>218</v>
      </c>
      <c r="N35" s="112" t="s">
        <v>219</v>
      </c>
      <c r="O35" s="112" t="s">
        <v>224</v>
      </c>
      <c r="P35" s="112" t="s">
        <v>197</v>
      </c>
      <c r="Q35" s="112" t="b">
        <v>1</v>
      </c>
      <c r="R35" s="112" t="s">
        <v>198</v>
      </c>
      <c r="S35" s="112" t="s">
        <v>199</v>
      </c>
      <c r="T35" s="112">
        <v>4</v>
      </c>
      <c r="U35" s="112" t="b">
        <v>0</v>
      </c>
      <c r="V35" s="112" t="s">
        <v>200</v>
      </c>
      <c r="W35" s="112" t="s">
        <v>201</v>
      </c>
      <c r="X35" s="112" t="s">
        <v>202</v>
      </c>
      <c r="Y35" s="112">
        <v>0</v>
      </c>
      <c r="Z35" s="112" t="s">
        <v>203</v>
      </c>
      <c r="AA35" s="112">
        <v>8</v>
      </c>
      <c r="AB35" s="112" t="s">
        <v>204</v>
      </c>
      <c r="AC35" s="112">
        <v>8</v>
      </c>
      <c r="AD35" s="112" t="s">
        <v>204</v>
      </c>
      <c r="AG35" s="112">
        <v>53</v>
      </c>
      <c r="AH35" s="112">
        <v>28.239000000000001</v>
      </c>
      <c r="AJ35" s="112" t="b">
        <v>0</v>
      </c>
      <c r="AK35" s="112">
        <v>8</v>
      </c>
      <c r="AL35" s="112" t="s">
        <v>204</v>
      </c>
      <c r="AM35" s="112">
        <v>53</v>
      </c>
      <c r="AN35" s="112">
        <v>15</v>
      </c>
      <c r="AO35" s="112" t="s">
        <v>213</v>
      </c>
      <c r="AR35" s="112">
        <v>28239</v>
      </c>
      <c r="AT35" s="112" t="b">
        <v>0</v>
      </c>
      <c r="AU35" s="112">
        <v>53</v>
      </c>
      <c r="AV35" s="112">
        <v>28</v>
      </c>
      <c r="AX35" s="112" t="b">
        <v>0</v>
      </c>
      <c r="AY35" s="112">
        <v>0</v>
      </c>
      <c r="AZ35" s="112">
        <v>0</v>
      </c>
      <c r="BB35" s="112" t="b">
        <v>0</v>
      </c>
      <c r="BD35" s="112">
        <v>1004493.015</v>
      </c>
      <c r="BE35" s="112">
        <v>1004493.015</v>
      </c>
      <c r="BF35" s="112" t="b">
        <v>1</v>
      </c>
      <c r="BG35" s="112">
        <v>1335454.328</v>
      </c>
      <c r="BH35" s="112">
        <v>0.32948095014876722</v>
      </c>
      <c r="BI35" s="112">
        <v>0</v>
      </c>
      <c r="BJ35" s="112" t="b">
        <v>0</v>
      </c>
      <c r="BK35" s="112">
        <v>0</v>
      </c>
      <c r="BL35" s="112" t="b">
        <v>0</v>
      </c>
      <c r="BM35" s="112" t="b">
        <v>1</v>
      </c>
    </row>
    <row r="36" spans="1:65">
      <c r="A36" s="112" t="s">
        <v>187</v>
      </c>
      <c r="B36" s="112" t="s">
        <v>188</v>
      </c>
      <c r="C36" s="112">
        <v>20240101</v>
      </c>
      <c r="D36" s="112">
        <v>2024</v>
      </c>
      <c r="E36" s="112">
        <v>52</v>
      </c>
      <c r="F36" s="112" t="s">
        <v>239</v>
      </c>
      <c r="G36" s="112">
        <v>686</v>
      </c>
      <c r="H36" s="112" t="s">
        <v>190</v>
      </c>
      <c r="I36" s="112" t="s">
        <v>191</v>
      </c>
      <c r="J36" s="112" t="s">
        <v>192</v>
      </c>
      <c r="K36" s="112" t="s">
        <v>193</v>
      </c>
      <c r="L36" s="112">
        <v>36</v>
      </c>
      <c r="M36" s="112" t="s">
        <v>194</v>
      </c>
      <c r="N36" s="112" t="s">
        <v>195</v>
      </c>
      <c r="O36" s="112" t="s">
        <v>224</v>
      </c>
      <c r="P36" s="112" t="s">
        <v>197</v>
      </c>
      <c r="Q36" s="112" t="b">
        <v>1</v>
      </c>
      <c r="R36" s="112" t="s">
        <v>198</v>
      </c>
      <c r="S36" s="112" t="s">
        <v>199</v>
      </c>
      <c r="T36" s="112">
        <v>4</v>
      </c>
      <c r="U36" s="112" t="b">
        <v>0</v>
      </c>
      <c r="V36" s="112" t="s">
        <v>200</v>
      </c>
      <c r="W36" s="112" t="s">
        <v>201</v>
      </c>
      <c r="X36" s="112" t="s">
        <v>202</v>
      </c>
      <c r="Y36" s="112">
        <v>0</v>
      </c>
      <c r="Z36" s="112" t="s">
        <v>203</v>
      </c>
      <c r="AA36" s="112">
        <v>8</v>
      </c>
      <c r="AB36" s="112" t="s">
        <v>204</v>
      </c>
      <c r="AC36" s="112">
        <v>8</v>
      </c>
      <c r="AD36" s="112" t="s">
        <v>204</v>
      </c>
      <c r="AG36" s="112">
        <v>1660</v>
      </c>
      <c r="AH36" s="112">
        <v>3042.6289999999999</v>
      </c>
      <c r="AJ36" s="112" t="b">
        <v>0</v>
      </c>
      <c r="AK36" s="112">
        <v>8</v>
      </c>
      <c r="AL36" s="112" t="s">
        <v>204</v>
      </c>
      <c r="AM36" s="112">
        <v>1660</v>
      </c>
      <c r="AN36" s="112">
        <v>-1</v>
      </c>
      <c r="AO36" s="112" t="s">
        <v>205</v>
      </c>
      <c r="AR36" s="112">
        <v>0</v>
      </c>
      <c r="AT36" s="112" t="b">
        <v>0</v>
      </c>
      <c r="AU36" s="112">
        <v>1660</v>
      </c>
      <c r="AV36" s="112">
        <v>3042.6289999999999</v>
      </c>
      <c r="AX36" s="112" t="b">
        <v>0</v>
      </c>
      <c r="AY36" s="112">
        <v>0</v>
      </c>
      <c r="AZ36" s="112">
        <v>3.117</v>
      </c>
      <c r="BB36" s="112" t="b">
        <v>0</v>
      </c>
      <c r="BD36" s="112">
        <v>139181355.19999999</v>
      </c>
      <c r="BE36" s="112">
        <v>139181355.19999999</v>
      </c>
      <c r="BF36" s="112" t="b">
        <v>1</v>
      </c>
      <c r="BG36" s="112">
        <v>201071815.89399999</v>
      </c>
      <c r="BH36" s="112">
        <v>0.44467493943470382</v>
      </c>
      <c r="BI36" s="112">
        <v>0</v>
      </c>
      <c r="BJ36" s="112" t="b">
        <v>0</v>
      </c>
      <c r="BK36" s="112">
        <v>0</v>
      </c>
      <c r="BL36" s="112" t="b">
        <v>0</v>
      </c>
      <c r="BM36" s="112" t="b">
        <v>1</v>
      </c>
    </row>
    <row r="37" spans="1:65">
      <c r="A37" s="112" t="s">
        <v>187</v>
      </c>
      <c r="B37" s="112" t="s">
        <v>188</v>
      </c>
      <c r="C37" s="112">
        <v>20180101</v>
      </c>
      <c r="D37" s="112">
        <v>2018</v>
      </c>
      <c r="E37" s="112">
        <v>52</v>
      </c>
      <c r="F37" s="112" t="s">
        <v>227</v>
      </c>
      <c r="G37" s="112">
        <v>686</v>
      </c>
      <c r="H37" s="112" t="s">
        <v>190</v>
      </c>
      <c r="I37" s="112" t="s">
        <v>191</v>
      </c>
      <c r="J37" s="112" t="s">
        <v>192</v>
      </c>
      <c r="K37" s="112" t="s">
        <v>193</v>
      </c>
      <c r="L37" s="112">
        <v>56</v>
      </c>
      <c r="M37" s="112" t="s">
        <v>215</v>
      </c>
      <c r="N37" s="112" t="s">
        <v>216</v>
      </c>
      <c r="O37" s="112" t="s">
        <v>220</v>
      </c>
      <c r="P37" s="112" t="s">
        <v>197</v>
      </c>
      <c r="Q37" s="112" t="b">
        <v>1</v>
      </c>
      <c r="R37" s="112" t="s">
        <v>198</v>
      </c>
      <c r="S37" s="112" t="s">
        <v>199</v>
      </c>
      <c r="T37" s="112">
        <v>4</v>
      </c>
      <c r="U37" s="112" t="b">
        <v>0</v>
      </c>
      <c r="V37" s="112" t="s">
        <v>200</v>
      </c>
      <c r="W37" s="112" t="s">
        <v>201</v>
      </c>
      <c r="X37" s="112" t="s">
        <v>228</v>
      </c>
      <c r="Y37" s="112">
        <v>0</v>
      </c>
      <c r="Z37" s="112" t="s">
        <v>203</v>
      </c>
      <c r="AA37" s="112">
        <v>8</v>
      </c>
      <c r="AB37" s="112" t="s">
        <v>204</v>
      </c>
      <c r="AC37" s="112">
        <v>8</v>
      </c>
      <c r="AD37" s="112" t="s">
        <v>204</v>
      </c>
      <c r="AG37" s="112">
        <v>16</v>
      </c>
      <c r="AH37" s="112">
        <v>18.100000000000001</v>
      </c>
      <c r="AJ37" s="112" t="b">
        <v>0</v>
      </c>
      <c r="AK37" s="112">
        <v>8</v>
      </c>
      <c r="AL37" s="112" t="s">
        <v>204</v>
      </c>
      <c r="AM37" s="112">
        <v>16</v>
      </c>
      <c r="AN37" s="112">
        <v>15</v>
      </c>
      <c r="AO37" s="112" t="s">
        <v>213</v>
      </c>
      <c r="AR37" s="112">
        <v>18100</v>
      </c>
      <c r="AT37" s="112" t="b">
        <v>0</v>
      </c>
      <c r="AU37" s="112">
        <v>16</v>
      </c>
      <c r="AV37" s="112">
        <v>18.100000000000001</v>
      </c>
      <c r="AX37" s="112" t="b">
        <v>0</v>
      </c>
      <c r="AZ37" s="112">
        <v>0</v>
      </c>
      <c r="BB37" s="112" t="b">
        <v>0</v>
      </c>
      <c r="BD37" s="112">
        <v>289550.19799999997</v>
      </c>
      <c r="BE37" s="112">
        <v>289550.19799999997</v>
      </c>
      <c r="BF37" s="112" t="b">
        <v>1</v>
      </c>
      <c r="BG37" s="112">
        <v>686736.95900000003</v>
      </c>
      <c r="BH37" s="112">
        <v>1.3717371417580591</v>
      </c>
      <c r="BI37" s="112">
        <v>0</v>
      </c>
      <c r="BJ37" s="112" t="b">
        <v>0</v>
      </c>
      <c r="BK37" s="112">
        <v>0</v>
      </c>
      <c r="BL37" s="112" t="b">
        <v>0</v>
      </c>
      <c r="BM37" s="112" t="b">
        <v>1</v>
      </c>
    </row>
    <row r="38" spans="1:65">
      <c r="A38" s="112" t="s">
        <v>187</v>
      </c>
      <c r="B38" s="112" t="s">
        <v>188</v>
      </c>
      <c r="C38" s="112">
        <v>20220101</v>
      </c>
      <c r="D38" s="112">
        <v>2022</v>
      </c>
      <c r="E38" s="112">
        <v>52</v>
      </c>
      <c r="F38" s="112" t="s">
        <v>223</v>
      </c>
      <c r="G38" s="112">
        <v>686</v>
      </c>
      <c r="H38" s="112" t="s">
        <v>190</v>
      </c>
      <c r="I38" s="112" t="s">
        <v>191</v>
      </c>
      <c r="J38" s="112" t="s">
        <v>192</v>
      </c>
      <c r="K38" s="112" t="s">
        <v>193</v>
      </c>
      <c r="L38" s="112">
        <v>380</v>
      </c>
      <c r="M38" s="112" t="s">
        <v>218</v>
      </c>
      <c r="N38" s="112" t="s">
        <v>219</v>
      </c>
      <c r="O38" s="112" t="s">
        <v>224</v>
      </c>
      <c r="P38" s="112" t="s">
        <v>197</v>
      </c>
      <c r="Q38" s="112" t="b">
        <v>1</v>
      </c>
      <c r="R38" s="112" t="s">
        <v>198</v>
      </c>
      <c r="S38" s="112" t="s">
        <v>199</v>
      </c>
      <c r="T38" s="112">
        <v>4</v>
      </c>
      <c r="U38" s="112" t="b">
        <v>0</v>
      </c>
      <c r="V38" s="112" t="s">
        <v>200</v>
      </c>
      <c r="W38" s="112" t="s">
        <v>201</v>
      </c>
      <c r="X38" s="112" t="s">
        <v>202</v>
      </c>
      <c r="Y38" s="112">
        <v>0</v>
      </c>
      <c r="Z38" s="112" t="s">
        <v>203</v>
      </c>
      <c r="AA38" s="112">
        <v>8</v>
      </c>
      <c r="AB38" s="112" t="s">
        <v>204</v>
      </c>
      <c r="AC38" s="112">
        <v>8</v>
      </c>
      <c r="AD38" s="112" t="s">
        <v>204</v>
      </c>
      <c r="AG38" s="112">
        <v>27</v>
      </c>
      <c r="AH38" s="112">
        <v>32.393999999999998</v>
      </c>
      <c r="AJ38" s="112" t="b">
        <v>0</v>
      </c>
      <c r="AK38" s="112">
        <v>8</v>
      </c>
      <c r="AL38" s="112" t="s">
        <v>204</v>
      </c>
      <c r="AM38" s="112">
        <v>27</v>
      </c>
      <c r="AN38" s="112">
        <v>15</v>
      </c>
      <c r="AO38" s="112" t="s">
        <v>213</v>
      </c>
      <c r="AR38" s="112">
        <v>32394</v>
      </c>
      <c r="AT38" s="112" t="b">
        <v>0</v>
      </c>
      <c r="AU38" s="112">
        <v>27</v>
      </c>
      <c r="AV38" s="112">
        <v>33</v>
      </c>
      <c r="AX38" s="112" t="b">
        <v>0</v>
      </c>
      <c r="AY38" s="112">
        <v>0</v>
      </c>
      <c r="AZ38" s="112">
        <v>0</v>
      </c>
      <c r="BB38" s="112" t="b">
        <v>0</v>
      </c>
      <c r="BD38" s="112">
        <v>472363.16700000002</v>
      </c>
      <c r="BE38" s="112">
        <v>472363.16700000002</v>
      </c>
      <c r="BF38" s="112" t="b">
        <v>1</v>
      </c>
      <c r="BG38" s="112">
        <v>1541344.121</v>
      </c>
      <c r="BH38" s="112">
        <v>2.2630489180372524</v>
      </c>
      <c r="BI38" s="112">
        <v>0</v>
      </c>
      <c r="BJ38" s="112" t="b">
        <v>0</v>
      </c>
      <c r="BK38" s="112">
        <v>0</v>
      </c>
      <c r="BL38" s="112" t="b">
        <v>0</v>
      </c>
      <c r="BM38" s="112" t="b">
        <v>1</v>
      </c>
    </row>
    <row r="39" spans="1:65">
      <c r="A39" s="112" t="s">
        <v>187</v>
      </c>
      <c r="B39" s="112" t="s">
        <v>188</v>
      </c>
      <c r="C39" s="112">
        <v>20210101</v>
      </c>
      <c r="D39" s="112">
        <v>2021</v>
      </c>
      <c r="E39" s="112">
        <v>52</v>
      </c>
      <c r="F39" s="112" t="s">
        <v>189</v>
      </c>
      <c r="G39" s="112">
        <v>686</v>
      </c>
      <c r="H39" s="112" t="s">
        <v>190</v>
      </c>
      <c r="I39" s="112" t="s">
        <v>191</v>
      </c>
      <c r="J39" s="112" t="s">
        <v>192</v>
      </c>
      <c r="K39" s="112" t="s">
        <v>193</v>
      </c>
      <c r="L39" s="112">
        <v>380</v>
      </c>
      <c r="M39" s="112" t="s">
        <v>218</v>
      </c>
      <c r="N39" s="112" t="s">
        <v>219</v>
      </c>
      <c r="O39" s="112" t="s">
        <v>196</v>
      </c>
      <c r="P39" s="112" t="s">
        <v>197</v>
      </c>
      <c r="Q39" s="112" t="b">
        <v>1</v>
      </c>
      <c r="R39" s="112" t="s">
        <v>198</v>
      </c>
      <c r="S39" s="112" t="s">
        <v>199</v>
      </c>
      <c r="T39" s="112">
        <v>4</v>
      </c>
      <c r="U39" s="112" t="b">
        <v>0</v>
      </c>
      <c r="V39" s="112" t="s">
        <v>200</v>
      </c>
      <c r="W39" s="112" t="s">
        <v>201</v>
      </c>
      <c r="X39" s="112" t="s">
        <v>202</v>
      </c>
      <c r="Y39" s="112">
        <v>0</v>
      </c>
      <c r="Z39" s="112" t="s">
        <v>203</v>
      </c>
      <c r="AA39" s="112">
        <v>8</v>
      </c>
      <c r="AB39" s="112" t="s">
        <v>204</v>
      </c>
      <c r="AC39" s="112">
        <v>8</v>
      </c>
      <c r="AD39" s="112" t="s">
        <v>204</v>
      </c>
      <c r="AG39" s="112">
        <v>14</v>
      </c>
      <c r="AH39" s="112">
        <v>27.384</v>
      </c>
      <c r="AJ39" s="112" t="b">
        <v>0</v>
      </c>
      <c r="AK39" s="112">
        <v>8</v>
      </c>
      <c r="AL39" s="112" t="s">
        <v>204</v>
      </c>
      <c r="AM39" s="112">
        <v>14</v>
      </c>
      <c r="AN39" s="112">
        <v>15</v>
      </c>
      <c r="AO39" s="112" t="s">
        <v>213</v>
      </c>
      <c r="AR39" s="112">
        <v>27384</v>
      </c>
      <c r="AT39" s="112" t="b">
        <v>0</v>
      </c>
      <c r="AU39" s="112">
        <v>14</v>
      </c>
      <c r="AV39" s="112">
        <v>28</v>
      </c>
      <c r="AX39" s="112" t="b">
        <v>0</v>
      </c>
      <c r="AY39" s="112">
        <v>0</v>
      </c>
      <c r="AZ39" s="112">
        <v>0</v>
      </c>
      <c r="BB39" s="112" t="b">
        <v>0</v>
      </c>
      <c r="BC39" s="112">
        <v>0</v>
      </c>
      <c r="BD39" s="112">
        <v>289249.435</v>
      </c>
      <c r="BE39" s="112">
        <v>289249.435</v>
      </c>
      <c r="BF39" s="112" t="b">
        <v>1</v>
      </c>
      <c r="BG39" s="112">
        <v>1297177.531</v>
      </c>
      <c r="BH39" s="112">
        <v>3.4846328947885414</v>
      </c>
      <c r="BI39" s="112">
        <v>0</v>
      </c>
      <c r="BJ39" s="112" t="b">
        <v>0</v>
      </c>
      <c r="BK39" s="112">
        <v>0</v>
      </c>
      <c r="BL39" s="112" t="b">
        <v>0</v>
      </c>
      <c r="BM39" s="112" t="b">
        <v>1</v>
      </c>
    </row>
    <row r="40" spans="1:65">
      <c r="A40" s="112" t="s">
        <v>187</v>
      </c>
      <c r="B40" s="112" t="s">
        <v>188</v>
      </c>
      <c r="C40" s="112">
        <v>20180101</v>
      </c>
      <c r="D40" s="112">
        <v>2018</v>
      </c>
      <c r="E40" s="112">
        <v>52</v>
      </c>
      <c r="F40" s="112" t="s">
        <v>227</v>
      </c>
      <c r="G40" s="112">
        <v>686</v>
      </c>
      <c r="H40" s="112" t="s">
        <v>190</v>
      </c>
      <c r="I40" s="112" t="s">
        <v>191</v>
      </c>
      <c r="J40" s="112" t="s">
        <v>192</v>
      </c>
      <c r="K40" s="112" t="s">
        <v>193</v>
      </c>
      <c r="L40" s="112">
        <v>784</v>
      </c>
      <c r="M40" s="112" t="s">
        <v>234</v>
      </c>
      <c r="N40" s="112" t="s">
        <v>235</v>
      </c>
      <c r="O40" s="112" t="s">
        <v>220</v>
      </c>
      <c r="P40" s="112" t="s">
        <v>197</v>
      </c>
      <c r="Q40" s="112" t="b">
        <v>1</v>
      </c>
      <c r="R40" s="112" t="s">
        <v>198</v>
      </c>
      <c r="S40" s="112" t="s">
        <v>199</v>
      </c>
      <c r="T40" s="112">
        <v>4</v>
      </c>
      <c r="U40" s="112" t="b">
        <v>0</v>
      </c>
      <c r="V40" s="112" t="s">
        <v>200</v>
      </c>
      <c r="W40" s="112" t="s">
        <v>201</v>
      </c>
      <c r="X40" s="112" t="s">
        <v>228</v>
      </c>
      <c r="Y40" s="112">
        <v>0</v>
      </c>
      <c r="Z40" s="112" t="s">
        <v>203</v>
      </c>
      <c r="AA40" s="112">
        <v>8</v>
      </c>
      <c r="AB40" s="112" t="s">
        <v>204</v>
      </c>
      <c r="AC40" s="112">
        <v>8</v>
      </c>
      <c r="AD40" s="112" t="s">
        <v>204</v>
      </c>
      <c r="AG40" s="112">
        <v>2209</v>
      </c>
      <c r="AH40" s="112">
        <v>4819.79</v>
      </c>
      <c r="AJ40" s="112" t="b">
        <v>0</v>
      </c>
      <c r="AK40" s="112">
        <v>8</v>
      </c>
      <c r="AL40" s="112" t="s">
        <v>204</v>
      </c>
      <c r="AM40" s="112">
        <v>2209</v>
      </c>
      <c r="AN40" s="112">
        <v>8</v>
      </c>
      <c r="AO40" s="112" t="s">
        <v>204</v>
      </c>
      <c r="AR40" s="112">
        <v>4819.79</v>
      </c>
      <c r="AT40" s="112" t="b">
        <v>0</v>
      </c>
      <c r="AU40" s="112">
        <v>2209</v>
      </c>
      <c r="AV40" s="112">
        <v>4819.79</v>
      </c>
      <c r="AX40" s="112" t="b">
        <v>0</v>
      </c>
      <c r="AZ40" s="112">
        <v>0</v>
      </c>
      <c r="BB40" s="112" t="b">
        <v>0</v>
      </c>
      <c r="BD40" s="112">
        <v>46106326.458999999</v>
      </c>
      <c r="BE40" s="112">
        <v>46106326.458999999</v>
      </c>
      <c r="BF40" s="112" t="b">
        <v>1</v>
      </c>
      <c r="BG40" s="112">
        <v>167269387.57699999</v>
      </c>
      <c r="BH40" s="112">
        <v>2.6279053315111565</v>
      </c>
      <c r="BI40" s="112">
        <v>0</v>
      </c>
      <c r="BJ40" s="112" t="b">
        <v>0</v>
      </c>
      <c r="BK40" s="112">
        <v>0</v>
      </c>
      <c r="BL40" s="112" t="b">
        <v>0</v>
      </c>
      <c r="BM40" s="112" t="b">
        <v>1</v>
      </c>
    </row>
    <row r="41" spans="1:65">
      <c r="A41" s="112" t="s">
        <v>187</v>
      </c>
      <c r="B41" s="112" t="s">
        <v>188</v>
      </c>
      <c r="C41" s="112">
        <v>20170101</v>
      </c>
      <c r="D41" s="112">
        <v>2017</v>
      </c>
      <c r="E41" s="112">
        <v>52</v>
      </c>
      <c r="F41" s="112" t="s">
        <v>238</v>
      </c>
      <c r="G41" s="112">
        <v>686</v>
      </c>
      <c r="H41" s="112" t="s">
        <v>190</v>
      </c>
      <c r="I41" s="112" t="s">
        <v>191</v>
      </c>
      <c r="J41" s="112" t="s">
        <v>192</v>
      </c>
      <c r="K41" s="112" t="s">
        <v>193</v>
      </c>
      <c r="L41" s="112">
        <v>724</v>
      </c>
      <c r="M41" s="112" t="s">
        <v>207</v>
      </c>
      <c r="N41" s="112" t="s">
        <v>208</v>
      </c>
      <c r="O41" s="112" t="s">
        <v>220</v>
      </c>
      <c r="P41" s="112" t="s">
        <v>197</v>
      </c>
      <c r="Q41" s="112" t="b">
        <v>1</v>
      </c>
      <c r="R41" s="112" t="s">
        <v>198</v>
      </c>
      <c r="S41" s="112" t="s">
        <v>199</v>
      </c>
      <c r="T41" s="112">
        <v>4</v>
      </c>
      <c r="U41" s="112" t="b">
        <v>0</v>
      </c>
      <c r="V41" s="112" t="s">
        <v>200</v>
      </c>
      <c r="W41" s="112" t="s">
        <v>201</v>
      </c>
      <c r="X41" s="112" t="s">
        <v>228</v>
      </c>
      <c r="Y41" s="112">
        <v>0</v>
      </c>
      <c r="Z41" s="112" t="s">
        <v>203</v>
      </c>
      <c r="AA41" s="112">
        <v>8</v>
      </c>
      <c r="AB41" s="112" t="s">
        <v>204</v>
      </c>
      <c r="AC41" s="112">
        <v>8</v>
      </c>
      <c r="AD41" s="112" t="s">
        <v>204</v>
      </c>
      <c r="AE41" s="112">
        <v>8</v>
      </c>
      <c r="AF41" s="112" t="s">
        <v>204</v>
      </c>
      <c r="AG41" s="112">
        <v>2</v>
      </c>
      <c r="AH41" s="112">
        <v>0.81299999999999994</v>
      </c>
      <c r="AI41" s="112">
        <v>0.81299999999999994</v>
      </c>
      <c r="AJ41" s="112" t="b">
        <v>0</v>
      </c>
      <c r="AK41" s="112">
        <v>8</v>
      </c>
      <c r="AL41" s="112" t="s">
        <v>204</v>
      </c>
      <c r="AM41" s="112">
        <v>2</v>
      </c>
      <c r="AN41" s="112">
        <v>15</v>
      </c>
      <c r="AO41" s="112" t="s">
        <v>213</v>
      </c>
      <c r="AP41" s="112">
        <v>15</v>
      </c>
      <c r="AQ41" s="112" t="s">
        <v>213</v>
      </c>
      <c r="AR41" s="112">
        <v>812.6</v>
      </c>
      <c r="AS41" s="112">
        <v>0.81299999999999994</v>
      </c>
      <c r="AT41" s="112" t="b">
        <v>0</v>
      </c>
      <c r="AU41" s="112">
        <v>2</v>
      </c>
      <c r="AW41" s="112">
        <v>0.81299999999999994</v>
      </c>
      <c r="AX41" s="112" t="b">
        <v>0</v>
      </c>
      <c r="AZ41" s="112">
        <v>0</v>
      </c>
      <c r="BA41" s="112">
        <v>0.81299999999999994</v>
      </c>
      <c r="BB41" s="112" t="b">
        <v>0</v>
      </c>
      <c r="BD41" s="112">
        <v>18379.483</v>
      </c>
      <c r="BE41" s="112">
        <v>18379.483</v>
      </c>
      <c r="BF41" s="112" t="b">
        <v>1</v>
      </c>
      <c r="BG41" s="112">
        <v>18697.835999999999</v>
      </c>
      <c r="BH41" s="112">
        <v>1.7321107454437046E-2</v>
      </c>
      <c r="BI41" s="112">
        <v>18697.835999999999</v>
      </c>
      <c r="BJ41" s="112" t="b">
        <v>1</v>
      </c>
      <c r="BK41" s="112">
        <v>0</v>
      </c>
      <c r="BL41" s="112" t="b">
        <v>0</v>
      </c>
      <c r="BM41" s="112" t="b">
        <v>1</v>
      </c>
    </row>
    <row r="42" spans="1:65">
      <c r="A42" s="112" t="s">
        <v>187</v>
      </c>
      <c r="B42" s="112" t="s">
        <v>188</v>
      </c>
      <c r="C42" s="112">
        <v>20200101</v>
      </c>
      <c r="D42" s="112">
        <v>2020</v>
      </c>
      <c r="E42" s="112">
        <v>52</v>
      </c>
      <c r="F42" s="112" t="s">
        <v>210</v>
      </c>
      <c r="G42" s="112">
        <v>686</v>
      </c>
      <c r="H42" s="112" t="s">
        <v>190</v>
      </c>
      <c r="I42" s="112" t="s">
        <v>191</v>
      </c>
      <c r="J42" s="112" t="s">
        <v>192</v>
      </c>
      <c r="K42" s="112" t="s">
        <v>193</v>
      </c>
      <c r="L42" s="112">
        <v>784</v>
      </c>
      <c r="M42" s="112" t="s">
        <v>234</v>
      </c>
      <c r="N42" s="112" t="s">
        <v>235</v>
      </c>
      <c r="O42" s="112" t="s">
        <v>196</v>
      </c>
      <c r="P42" s="112" t="s">
        <v>197</v>
      </c>
      <c r="Q42" s="112" t="b">
        <v>1</v>
      </c>
      <c r="R42" s="112" t="s">
        <v>198</v>
      </c>
      <c r="S42" s="112" t="s">
        <v>199</v>
      </c>
      <c r="T42" s="112">
        <v>4</v>
      </c>
      <c r="U42" s="112" t="b">
        <v>0</v>
      </c>
      <c r="V42" s="112" t="s">
        <v>200</v>
      </c>
      <c r="W42" s="112" t="s">
        <v>201</v>
      </c>
      <c r="X42" s="112" t="s">
        <v>202</v>
      </c>
      <c r="Y42" s="112">
        <v>0</v>
      </c>
      <c r="Z42" s="112" t="s">
        <v>203</v>
      </c>
      <c r="AA42" s="112">
        <v>8</v>
      </c>
      <c r="AB42" s="112" t="s">
        <v>204</v>
      </c>
      <c r="AC42" s="112">
        <v>8</v>
      </c>
      <c r="AD42" s="112" t="s">
        <v>204</v>
      </c>
      <c r="AG42" s="112">
        <v>2032</v>
      </c>
      <c r="AH42" s="112">
        <v>2118.87</v>
      </c>
      <c r="AJ42" s="112" t="b">
        <v>0</v>
      </c>
      <c r="AK42" s="112">
        <v>8</v>
      </c>
      <c r="AL42" s="112" t="s">
        <v>204</v>
      </c>
      <c r="AM42" s="112">
        <v>2032</v>
      </c>
      <c r="AN42" s="112">
        <v>8</v>
      </c>
      <c r="AO42" s="112" t="s">
        <v>204</v>
      </c>
      <c r="AR42" s="112">
        <v>2118.87</v>
      </c>
      <c r="AT42" s="112" t="b">
        <v>0</v>
      </c>
      <c r="AU42" s="112">
        <v>2032</v>
      </c>
      <c r="AV42" s="112">
        <v>2118.87</v>
      </c>
      <c r="AX42" s="112" t="b">
        <v>0</v>
      </c>
      <c r="AY42" s="112">
        <v>0</v>
      </c>
      <c r="AZ42" s="112">
        <v>0</v>
      </c>
      <c r="BB42" s="112" t="b">
        <v>0</v>
      </c>
      <c r="BC42" s="112">
        <v>0</v>
      </c>
      <c r="BD42" s="112">
        <v>41201020.204000004</v>
      </c>
      <c r="BE42" s="112">
        <v>41201020.204000004</v>
      </c>
      <c r="BF42" s="112" t="b">
        <v>1</v>
      </c>
      <c r="BG42" s="112">
        <v>104357473.52599999</v>
      </c>
      <c r="BH42" s="112">
        <v>1.5328856666483333</v>
      </c>
      <c r="BI42" s="112">
        <v>0</v>
      </c>
      <c r="BJ42" s="112" t="b">
        <v>0</v>
      </c>
      <c r="BK42" s="112">
        <v>0</v>
      </c>
      <c r="BL42" s="112" t="b">
        <v>0</v>
      </c>
      <c r="BM42" s="112" t="b">
        <v>1</v>
      </c>
    </row>
    <row r="43" spans="1:65">
      <c r="A43" s="112" t="s">
        <v>187</v>
      </c>
      <c r="B43" s="112" t="s">
        <v>188</v>
      </c>
      <c r="C43" s="112">
        <v>20230101</v>
      </c>
      <c r="D43" s="112">
        <v>2023</v>
      </c>
      <c r="E43" s="112">
        <v>52</v>
      </c>
      <c r="F43" s="112" t="s">
        <v>231</v>
      </c>
      <c r="G43" s="112">
        <v>686</v>
      </c>
      <c r="H43" s="112" t="s">
        <v>190</v>
      </c>
      <c r="I43" s="112" t="s">
        <v>191</v>
      </c>
      <c r="J43" s="112" t="s">
        <v>192</v>
      </c>
      <c r="K43" s="112" t="s">
        <v>193</v>
      </c>
      <c r="L43" s="112">
        <v>36</v>
      </c>
      <c r="M43" s="112" t="s">
        <v>194</v>
      </c>
      <c r="N43" s="112" t="s">
        <v>195</v>
      </c>
      <c r="O43" s="112" t="s">
        <v>224</v>
      </c>
      <c r="P43" s="112" t="s">
        <v>197</v>
      </c>
      <c r="Q43" s="112" t="b">
        <v>1</v>
      </c>
      <c r="R43" s="112" t="s">
        <v>198</v>
      </c>
      <c r="S43" s="112" t="s">
        <v>199</v>
      </c>
      <c r="T43" s="112">
        <v>4</v>
      </c>
      <c r="U43" s="112" t="b">
        <v>0</v>
      </c>
      <c r="V43" s="112" t="s">
        <v>200</v>
      </c>
      <c r="W43" s="112" t="s">
        <v>201</v>
      </c>
      <c r="X43" s="112" t="s">
        <v>202</v>
      </c>
      <c r="Y43" s="112">
        <v>0</v>
      </c>
      <c r="Z43" s="112" t="s">
        <v>203</v>
      </c>
      <c r="AA43" s="112">
        <v>8</v>
      </c>
      <c r="AB43" s="112" t="s">
        <v>204</v>
      </c>
      <c r="AC43" s="112">
        <v>8</v>
      </c>
      <c r="AD43" s="112" t="s">
        <v>204</v>
      </c>
      <c r="AG43" s="112">
        <v>2683</v>
      </c>
      <c r="AH43" s="112">
        <v>3797.2040000000002</v>
      </c>
      <c r="AJ43" s="112" t="b">
        <v>0</v>
      </c>
      <c r="AK43" s="112">
        <v>8</v>
      </c>
      <c r="AL43" s="112" t="s">
        <v>204</v>
      </c>
      <c r="AM43" s="112">
        <v>2683</v>
      </c>
      <c r="AN43" s="112">
        <v>-1</v>
      </c>
      <c r="AO43" s="112" t="s">
        <v>205</v>
      </c>
      <c r="AR43" s="112">
        <v>0</v>
      </c>
      <c r="AT43" s="112" t="b">
        <v>0</v>
      </c>
      <c r="AU43" s="112">
        <v>2683</v>
      </c>
      <c r="AX43" s="112" t="b">
        <v>0</v>
      </c>
      <c r="AY43" s="112">
        <v>0</v>
      </c>
      <c r="AZ43" s="112">
        <v>4228</v>
      </c>
      <c r="BB43" s="112" t="b">
        <v>0</v>
      </c>
      <c r="BD43" s="112">
        <v>167770585.40799999</v>
      </c>
      <c r="BE43" s="112">
        <v>167770585.40799999</v>
      </c>
      <c r="BF43" s="112" t="b">
        <v>1</v>
      </c>
      <c r="BG43" s="112">
        <v>230374640.12099999</v>
      </c>
      <c r="BH43" s="112">
        <v>0.37315274641710094</v>
      </c>
      <c r="BI43" s="112">
        <v>0</v>
      </c>
      <c r="BJ43" s="112" t="b">
        <v>0</v>
      </c>
      <c r="BK43" s="112">
        <v>0</v>
      </c>
      <c r="BL43" s="112" t="b">
        <v>0</v>
      </c>
      <c r="BM43" s="112" t="b">
        <v>1</v>
      </c>
    </row>
    <row r="44" spans="1:65">
      <c r="A44" s="112" t="s">
        <v>187</v>
      </c>
      <c r="B44" s="112" t="s">
        <v>188</v>
      </c>
      <c r="C44" s="112">
        <v>20160101</v>
      </c>
      <c r="D44" s="112">
        <v>2016</v>
      </c>
      <c r="E44" s="112">
        <v>52</v>
      </c>
      <c r="F44" s="112" t="s">
        <v>217</v>
      </c>
      <c r="G44" s="112">
        <v>686</v>
      </c>
      <c r="H44" s="112" t="s">
        <v>190</v>
      </c>
      <c r="I44" s="112" t="s">
        <v>191</v>
      </c>
      <c r="J44" s="112" t="s">
        <v>192</v>
      </c>
      <c r="K44" s="112" t="s">
        <v>193</v>
      </c>
      <c r="L44" s="112">
        <v>56</v>
      </c>
      <c r="M44" s="112" t="s">
        <v>215</v>
      </c>
      <c r="N44" s="112" t="s">
        <v>216</v>
      </c>
      <c r="O44" s="112" t="s">
        <v>220</v>
      </c>
      <c r="P44" s="112" t="s">
        <v>197</v>
      </c>
      <c r="Q44" s="112" t="b">
        <v>1</v>
      </c>
      <c r="R44" s="112" t="s">
        <v>198</v>
      </c>
      <c r="S44" s="112" t="s">
        <v>199</v>
      </c>
      <c r="T44" s="112">
        <v>4</v>
      </c>
      <c r="U44" s="112" t="b">
        <v>0</v>
      </c>
      <c r="V44" s="112" t="s">
        <v>200</v>
      </c>
      <c r="W44" s="112" t="s">
        <v>201</v>
      </c>
      <c r="X44" s="112" t="s">
        <v>202</v>
      </c>
      <c r="Y44" s="112">
        <v>0</v>
      </c>
      <c r="Z44" s="112" t="s">
        <v>203</v>
      </c>
      <c r="AA44" s="112">
        <v>8</v>
      </c>
      <c r="AB44" s="112" t="s">
        <v>204</v>
      </c>
      <c r="AG44" s="112">
        <v>38</v>
      </c>
      <c r="AJ44" s="112" t="b">
        <v>0</v>
      </c>
      <c r="AK44" s="112">
        <v>-1</v>
      </c>
      <c r="AL44" s="112" t="s">
        <v>205</v>
      </c>
      <c r="AT44" s="112" t="b">
        <v>0</v>
      </c>
      <c r="AU44" s="112">
        <v>38</v>
      </c>
      <c r="AX44" s="112" t="b">
        <v>0</v>
      </c>
      <c r="BB44" s="112" t="b">
        <v>0</v>
      </c>
      <c r="BD44" s="112">
        <v>693932</v>
      </c>
      <c r="BE44" s="112">
        <v>693932</v>
      </c>
      <c r="BF44" s="112" t="b">
        <v>1</v>
      </c>
      <c r="BG44" s="112">
        <v>0</v>
      </c>
      <c r="BH44" s="112">
        <v>-1</v>
      </c>
      <c r="BI44" s="112">
        <v>0</v>
      </c>
      <c r="BJ44" s="112" t="b">
        <v>0</v>
      </c>
      <c r="BK44" s="112">
        <v>0</v>
      </c>
      <c r="BL44" s="112" t="b">
        <v>1</v>
      </c>
      <c r="BM44" s="112" t="b">
        <v>0</v>
      </c>
    </row>
    <row r="45" spans="1:65">
      <c r="A45" s="112" t="s">
        <v>187</v>
      </c>
      <c r="B45" s="112" t="s">
        <v>188</v>
      </c>
      <c r="C45" s="112">
        <v>20160101</v>
      </c>
      <c r="D45" s="112">
        <v>2016</v>
      </c>
      <c r="E45" s="112">
        <v>52</v>
      </c>
      <c r="F45" s="112" t="s">
        <v>217</v>
      </c>
      <c r="G45" s="112">
        <v>686</v>
      </c>
      <c r="H45" s="112" t="s">
        <v>190</v>
      </c>
      <c r="I45" s="112" t="s">
        <v>191</v>
      </c>
      <c r="J45" s="112" t="s">
        <v>192</v>
      </c>
      <c r="K45" s="112" t="s">
        <v>193</v>
      </c>
      <c r="L45" s="112">
        <v>784</v>
      </c>
      <c r="M45" s="112" t="s">
        <v>234</v>
      </c>
      <c r="N45" s="112" t="s">
        <v>235</v>
      </c>
      <c r="O45" s="112" t="s">
        <v>220</v>
      </c>
      <c r="P45" s="112" t="s">
        <v>197</v>
      </c>
      <c r="Q45" s="112" t="b">
        <v>1</v>
      </c>
      <c r="R45" s="112" t="s">
        <v>198</v>
      </c>
      <c r="S45" s="112" t="s">
        <v>199</v>
      </c>
      <c r="T45" s="112">
        <v>4</v>
      </c>
      <c r="U45" s="112" t="b">
        <v>0</v>
      </c>
      <c r="V45" s="112" t="s">
        <v>200</v>
      </c>
      <c r="W45" s="112" t="s">
        <v>201</v>
      </c>
      <c r="X45" s="112" t="s">
        <v>202</v>
      </c>
      <c r="Y45" s="112">
        <v>0</v>
      </c>
      <c r="Z45" s="112" t="s">
        <v>203</v>
      </c>
      <c r="AA45" s="112">
        <v>8</v>
      </c>
      <c r="AB45" s="112" t="s">
        <v>204</v>
      </c>
      <c r="AC45" s="112">
        <v>8</v>
      </c>
      <c r="AD45" s="112" t="s">
        <v>204</v>
      </c>
      <c r="AG45" s="112">
        <v>2746</v>
      </c>
      <c r="AH45" s="112">
        <v>5394.42</v>
      </c>
      <c r="AJ45" s="112" t="b">
        <v>0</v>
      </c>
      <c r="AK45" s="112">
        <v>-1</v>
      </c>
      <c r="AL45" s="112" t="s">
        <v>205</v>
      </c>
      <c r="AN45" s="112">
        <v>8</v>
      </c>
      <c r="AO45" s="112" t="s">
        <v>204</v>
      </c>
      <c r="AR45" s="112">
        <v>5394.42</v>
      </c>
      <c r="AT45" s="112" t="b">
        <v>0</v>
      </c>
      <c r="AU45" s="112">
        <v>2746</v>
      </c>
      <c r="AV45" s="112">
        <v>5394.42</v>
      </c>
      <c r="AX45" s="112" t="b">
        <v>0</v>
      </c>
      <c r="BB45" s="112" t="b">
        <v>0</v>
      </c>
      <c r="BD45" s="112">
        <v>55433766</v>
      </c>
      <c r="BE45" s="112">
        <v>55433766</v>
      </c>
      <c r="BF45" s="112" t="b">
        <v>1</v>
      </c>
      <c r="BG45" s="112">
        <v>153104784.84400001</v>
      </c>
      <c r="BH45" s="112">
        <v>1.7619408871480968</v>
      </c>
      <c r="BI45" s="112">
        <v>0</v>
      </c>
      <c r="BJ45" s="112" t="b">
        <v>0</v>
      </c>
      <c r="BK45" s="112">
        <v>0</v>
      </c>
      <c r="BL45" s="112" t="b">
        <v>1</v>
      </c>
      <c r="BM45" s="112" t="b">
        <v>0</v>
      </c>
    </row>
    <row r="46" spans="1:65">
      <c r="A46" s="112" t="s">
        <v>187</v>
      </c>
      <c r="B46" s="112" t="s">
        <v>188</v>
      </c>
      <c r="C46" s="112">
        <v>20140101</v>
      </c>
      <c r="D46" s="112">
        <v>2014</v>
      </c>
      <c r="E46" s="112">
        <v>52</v>
      </c>
      <c r="F46" s="112" t="s">
        <v>206</v>
      </c>
      <c r="G46" s="112">
        <v>686</v>
      </c>
      <c r="H46" s="112" t="s">
        <v>190</v>
      </c>
      <c r="I46" s="112" t="s">
        <v>191</v>
      </c>
      <c r="J46" s="112" t="s">
        <v>192</v>
      </c>
      <c r="K46" s="112" t="s">
        <v>193</v>
      </c>
      <c r="L46" s="112">
        <v>784</v>
      </c>
      <c r="M46" s="112" t="s">
        <v>234</v>
      </c>
      <c r="N46" s="112" t="s">
        <v>235</v>
      </c>
      <c r="O46" s="112" t="s">
        <v>209</v>
      </c>
      <c r="P46" s="112" t="s">
        <v>197</v>
      </c>
      <c r="Q46" s="112" t="b">
        <v>1</v>
      </c>
      <c r="R46" s="112" t="s">
        <v>198</v>
      </c>
      <c r="S46" s="112" t="s">
        <v>199</v>
      </c>
      <c r="T46" s="112">
        <v>4</v>
      </c>
      <c r="U46" s="112" t="b">
        <v>0</v>
      </c>
      <c r="V46" s="112" t="s">
        <v>200</v>
      </c>
      <c r="W46" s="112" t="s">
        <v>201</v>
      </c>
      <c r="X46" s="112" t="s">
        <v>202</v>
      </c>
      <c r="Y46" s="112">
        <v>0</v>
      </c>
      <c r="Z46" s="112" t="s">
        <v>203</v>
      </c>
      <c r="AA46" s="112">
        <v>8</v>
      </c>
      <c r="AB46" s="112" t="s">
        <v>204</v>
      </c>
      <c r="AC46" s="112">
        <v>8</v>
      </c>
      <c r="AD46" s="112" t="s">
        <v>204</v>
      </c>
      <c r="AG46" s="112">
        <v>3452</v>
      </c>
      <c r="AH46" s="112">
        <v>5235.57</v>
      </c>
      <c r="AJ46" s="112" t="b">
        <v>0</v>
      </c>
      <c r="AK46" s="112">
        <v>-1</v>
      </c>
      <c r="AL46" s="112" t="s">
        <v>205</v>
      </c>
      <c r="AN46" s="112">
        <v>8</v>
      </c>
      <c r="AO46" s="112" t="s">
        <v>204</v>
      </c>
      <c r="AR46" s="112">
        <v>5235.57</v>
      </c>
      <c r="AT46" s="112" t="b">
        <v>0</v>
      </c>
      <c r="AU46" s="112">
        <v>3452</v>
      </c>
      <c r="AV46" s="112">
        <v>5235.57</v>
      </c>
      <c r="AX46" s="112" t="b">
        <v>0</v>
      </c>
      <c r="BB46" s="112" t="b">
        <v>0</v>
      </c>
      <c r="BD46" s="112">
        <v>87648240</v>
      </c>
      <c r="BE46" s="112">
        <v>87648240</v>
      </c>
      <c r="BF46" s="112" t="b">
        <v>1</v>
      </c>
      <c r="BG46" s="112">
        <v>153775097.31200001</v>
      </c>
      <c r="BH46" s="112">
        <v>0.75445733208105503</v>
      </c>
      <c r="BI46" s="112">
        <v>0</v>
      </c>
      <c r="BJ46" s="112" t="b">
        <v>0</v>
      </c>
      <c r="BK46" s="112">
        <v>0</v>
      </c>
      <c r="BL46" s="112" t="b">
        <v>1</v>
      </c>
      <c r="BM46" s="112" t="b">
        <v>0</v>
      </c>
    </row>
    <row r="47" spans="1:65">
      <c r="A47" s="112" t="s">
        <v>187</v>
      </c>
      <c r="B47" s="112" t="s">
        <v>188</v>
      </c>
      <c r="C47" s="112">
        <v>20190101</v>
      </c>
      <c r="D47" s="112">
        <v>2019</v>
      </c>
      <c r="E47" s="112">
        <v>52</v>
      </c>
      <c r="F47" s="112" t="s">
        <v>214</v>
      </c>
      <c r="G47" s="112">
        <v>686</v>
      </c>
      <c r="H47" s="112" t="s">
        <v>190</v>
      </c>
      <c r="I47" s="112" t="s">
        <v>191</v>
      </c>
      <c r="J47" s="112" t="s">
        <v>192</v>
      </c>
      <c r="K47" s="112" t="s">
        <v>193</v>
      </c>
      <c r="L47" s="112">
        <v>757</v>
      </c>
      <c r="M47" s="112" t="s">
        <v>225</v>
      </c>
      <c r="N47" s="112" t="s">
        <v>226</v>
      </c>
      <c r="O47" s="112" t="s">
        <v>196</v>
      </c>
      <c r="P47" s="112" t="s">
        <v>197</v>
      </c>
      <c r="Q47" s="112" t="b">
        <v>1</v>
      </c>
      <c r="R47" s="112" t="s">
        <v>198</v>
      </c>
      <c r="S47" s="112" t="s">
        <v>199</v>
      </c>
      <c r="T47" s="112">
        <v>4</v>
      </c>
      <c r="U47" s="112" t="b">
        <v>0</v>
      </c>
      <c r="V47" s="112" t="s">
        <v>200</v>
      </c>
      <c r="W47" s="112" t="s">
        <v>201</v>
      </c>
      <c r="X47" s="112" t="s">
        <v>202</v>
      </c>
      <c r="Y47" s="112">
        <v>0</v>
      </c>
      <c r="Z47" s="112" t="s">
        <v>203</v>
      </c>
      <c r="AA47" s="112">
        <v>8</v>
      </c>
      <c r="AB47" s="112" t="s">
        <v>204</v>
      </c>
      <c r="AC47" s="112">
        <v>8</v>
      </c>
      <c r="AD47" s="112" t="s">
        <v>204</v>
      </c>
      <c r="AG47" s="112">
        <v>13134</v>
      </c>
      <c r="AH47" s="112">
        <v>14569</v>
      </c>
      <c r="AJ47" s="112" t="b">
        <v>0</v>
      </c>
      <c r="AK47" s="112">
        <v>8</v>
      </c>
      <c r="AL47" s="112" t="s">
        <v>204</v>
      </c>
      <c r="AM47" s="112">
        <v>13134</v>
      </c>
      <c r="AN47" s="112">
        <v>8</v>
      </c>
      <c r="AO47" s="112" t="s">
        <v>204</v>
      </c>
      <c r="AR47" s="112">
        <v>14569</v>
      </c>
      <c r="AT47" s="112" t="b">
        <v>0</v>
      </c>
      <c r="AU47" s="112">
        <v>13134</v>
      </c>
      <c r="AV47" s="112">
        <v>14569</v>
      </c>
      <c r="AX47" s="112" t="b">
        <v>0</v>
      </c>
      <c r="AY47" s="112">
        <v>0</v>
      </c>
      <c r="AZ47" s="112">
        <v>0</v>
      </c>
      <c r="BB47" s="112" t="b">
        <v>0</v>
      </c>
      <c r="BD47" s="112">
        <v>583153453.59800005</v>
      </c>
      <c r="BE47" s="112">
        <v>583153453.59800005</v>
      </c>
      <c r="BF47" s="112" t="b">
        <v>1</v>
      </c>
      <c r="BG47" s="112">
        <v>590114985.82500005</v>
      </c>
      <c r="BH47" s="112">
        <v>1.1937736429490364E-2</v>
      </c>
      <c r="BI47" s="112">
        <v>0</v>
      </c>
      <c r="BJ47" s="112" t="b">
        <v>0</v>
      </c>
      <c r="BK47" s="112">
        <v>0</v>
      </c>
      <c r="BL47" s="112" t="b">
        <v>0</v>
      </c>
      <c r="BM47" s="112" t="b">
        <v>1</v>
      </c>
    </row>
    <row r="48" spans="1:65">
      <c r="A48" s="112" t="s">
        <v>187</v>
      </c>
      <c r="B48" s="112" t="s">
        <v>188</v>
      </c>
      <c r="C48" s="112">
        <v>20140101</v>
      </c>
      <c r="D48" s="112">
        <v>2014</v>
      </c>
      <c r="E48" s="112">
        <v>52</v>
      </c>
      <c r="F48" s="112" t="s">
        <v>206</v>
      </c>
      <c r="G48" s="112">
        <v>686</v>
      </c>
      <c r="H48" s="112" t="s">
        <v>190</v>
      </c>
      <c r="I48" s="112" t="s">
        <v>191</v>
      </c>
      <c r="J48" s="112" t="s">
        <v>192</v>
      </c>
      <c r="K48" s="112" t="s">
        <v>193</v>
      </c>
      <c r="L48" s="112">
        <v>380</v>
      </c>
      <c r="M48" s="112" t="s">
        <v>218</v>
      </c>
      <c r="N48" s="112" t="s">
        <v>219</v>
      </c>
      <c r="O48" s="112" t="s">
        <v>209</v>
      </c>
      <c r="P48" s="112" t="s">
        <v>197</v>
      </c>
      <c r="Q48" s="112" t="b">
        <v>1</v>
      </c>
      <c r="R48" s="112" t="s">
        <v>198</v>
      </c>
      <c r="S48" s="112" t="s">
        <v>199</v>
      </c>
      <c r="T48" s="112">
        <v>4</v>
      </c>
      <c r="U48" s="112" t="b">
        <v>0</v>
      </c>
      <c r="V48" s="112" t="s">
        <v>200</v>
      </c>
      <c r="W48" s="112" t="s">
        <v>201</v>
      </c>
      <c r="X48" s="112" t="s">
        <v>202</v>
      </c>
      <c r="Y48" s="112">
        <v>0</v>
      </c>
      <c r="Z48" s="112" t="s">
        <v>203</v>
      </c>
      <c r="AA48" s="112">
        <v>8</v>
      </c>
      <c r="AB48" s="112" t="s">
        <v>204</v>
      </c>
      <c r="AC48" s="112">
        <v>8</v>
      </c>
      <c r="AD48" s="112" t="s">
        <v>204</v>
      </c>
      <c r="AG48" s="112">
        <v>75</v>
      </c>
      <c r="AH48" s="112">
        <v>63</v>
      </c>
      <c r="AJ48" s="112" t="b">
        <v>0</v>
      </c>
      <c r="AK48" s="112">
        <v>-1</v>
      </c>
      <c r="AL48" s="112" t="s">
        <v>205</v>
      </c>
      <c r="AN48" s="112">
        <v>-1</v>
      </c>
      <c r="AO48" s="112" t="s">
        <v>205</v>
      </c>
      <c r="AT48" s="112" t="b">
        <v>0</v>
      </c>
      <c r="AU48" s="112">
        <v>75</v>
      </c>
      <c r="AV48" s="112">
        <v>63</v>
      </c>
      <c r="AX48" s="112" t="b">
        <v>0</v>
      </c>
      <c r="BB48" s="112" t="b">
        <v>0</v>
      </c>
      <c r="BD48" s="112">
        <v>1762549</v>
      </c>
      <c r="BE48" s="112">
        <v>1762549</v>
      </c>
      <c r="BF48" s="112" t="b">
        <v>1</v>
      </c>
      <c r="BG48" s="112">
        <v>2048560</v>
      </c>
      <c r="BH48" s="112">
        <v>0.16227123331039306</v>
      </c>
      <c r="BI48" s="112">
        <v>0</v>
      </c>
      <c r="BJ48" s="112" t="b">
        <v>0</v>
      </c>
      <c r="BK48" s="112">
        <v>0</v>
      </c>
      <c r="BL48" s="112" t="b">
        <v>1</v>
      </c>
      <c r="BM48" s="112" t="b">
        <v>0</v>
      </c>
    </row>
    <row r="49" spans="1:65">
      <c r="A49" s="112" t="s">
        <v>187</v>
      </c>
      <c r="B49" s="112" t="s">
        <v>188</v>
      </c>
      <c r="C49" s="112">
        <v>20200101</v>
      </c>
      <c r="D49" s="112">
        <v>2020</v>
      </c>
      <c r="E49" s="112">
        <v>52</v>
      </c>
      <c r="F49" s="112" t="s">
        <v>210</v>
      </c>
      <c r="G49" s="112">
        <v>686</v>
      </c>
      <c r="H49" s="112" t="s">
        <v>190</v>
      </c>
      <c r="I49" s="112" t="s">
        <v>191</v>
      </c>
      <c r="J49" s="112" t="s">
        <v>192</v>
      </c>
      <c r="K49" s="112" t="s">
        <v>193</v>
      </c>
      <c r="L49" s="112">
        <v>757</v>
      </c>
      <c r="M49" s="112" t="s">
        <v>225</v>
      </c>
      <c r="N49" s="112" t="s">
        <v>226</v>
      </c>
      <c r="O49" s="112" t="s">
        <v>196</v>
      </c>
      <c r="P49" s="112" t="s">
        <v>197</v>
      </c>
      <c r="Q49" s="112" t="b">
        <v>1</v>
      </c>
      <c r="R49" s="112" t="s">
        <v>198</v>
      </c>
      <c r="S49" s="112" t="s">
        <v>199</v>
      </c>
      <c r="T49" s="112">
        <v>4</v>
      </c>
      <c r="U49" s="112" t="b">
        <v>0</v>
      </c>
      <c r="V49" s="112" t="s">
        <v>200</v>
      </c>
      <c r="W49" s="112" t="s">
        <v>201</v>
      </c>
      <c r="X49" s="112" t="s">
        <v>202</v>
      </c>
      <c r="Y49" s="112">
        <v>0</v>
      </c>
      <c r="Z49" s="112" t="s">
        <v>203</v>
      </c>
      <c r="AA49" s="112">
        <v>8</v>
      </c>
      <c r="AB49" s="112" t="s">
        <v>204</v>
      </c>
      <c r="AC49" s="112">
        <v>8</v>
      </c>
      <c r="AD49" s="112" t="s">
        <v>204</v>
      </c>
      <c r="AG49" s="112">
        <v>8497</v>
      </c>
      <c r="AH49" s="112">
        <v>9512</v>
      </c>
      <c r="AJ49" s="112" t="b">
        <v>0</v>
      </c>
      <c r="AK49" s="112">
        <v>8</v>
      </c>
      <c r="AL49" s="112" t="s">
        <v>204</v>
      </c>
      <c r="AM49" s="112">
        <v>8497</v>
      </c>
      <c r="AN49" s="112">
        <v>8</v>
      </c>
      <c r="AO49" s="112" t="s">
        <v>204</v>
      </c>
      <c r="AR49" s="112">
        <v>9512</v>
      </c>
      <c r="AT49" s="112" t="b">
        <v>0</v>
      </c>
      <c r="AU49" s="112">
        <v>8497</v>
      </c>
      <c r="AV49" s="112">
        <v>9512</v>
      </c>
      <c r="AX49" s="112" t="b">
        <v>0</v>
      </c>
      <c r="AY49" s="112">
        <v>0</v>
      </c>
      <c r="AZ49" s="112">
        <v>0</v>
      </c>
      <c r="BB49" s="112" t="b">
        <v>0</v>
      </c>
      <c r="BC49" s="112">
        <v>0</v>
      </c>
      <c r="BD49" s="112">
        <v>478771211.00599998</v>
      </c>
      <c r="BE49" s="112">
        <v>478771211.00599998</v>
      </c>
      <c r="BF49" s="112" t="b">
        <v>1</v>
      </c>
      <c r="BG49" s="112">
        <v>485160797.29100001</v>
      </c>
      <c r="BH49" s="112">
        <v>1.3345803043533389E-2</v>
      </c>
      <c r="BI49" s="112">
        <v>0</v>
      </c>
      <c r="BJ49" s="112" t="b">
        <v>0</v>
      </c>
      <c r="BK49" s="112">
        <v>0</v>
      </c>
      <c r="BL49" s="112" t="b">
        <v>0</v>
      </c>
      <c r="BM49" s="112" t="b">
        <v>1</v>
      </c>
    </row>
    <row r="50" spans="1:65">
      <c r="A50" s="112" t="s">
        <v>187</v>
      </c>
      <c r="B50" s="112" t="s">
        <v>188</v>
      </c>
      <c r="C50" s="112">
        <v>20190101</v>
      </c>
      <c r="D50" s="112">
        <v>2019</v>
      </c>
      <c r="E50" s="112">
        <v>52</v>
      </c>
      <c r="F50" s="112" t="s">
        <v>214</v>
      </c>
      <c r="G50" s="112">
        <v>686</v>
      </c>
      <c r="H50" s="112" t="s">
        <v>190</v>
      </c>
      <c r="I50" s="112" t="s">
        <v>191</v>
      </c>
      <c r="J50" s="112" t="s">
        <v>192</v>
      </c>
      <c r="K50" s="112" t="s">
        <v>193</v>
      </c>
      <c r="L50" s="112">
        <v>784</v>
      </c>
      <c r="M50" s="112" t="s">
        <v>234</v>
      </c>
      <c r="N50" s="112" t="s">
        <v>235</v>
      </c>
      <c r="O50" s="112" t="s">
        <v>196</v>
      </c>
      <c r="P50" s="112" t="s">
        <v>197</v>
      </c>
      <c r="Q50" s="112" t="b">
        <v>1</v>
      </c>
      <c r="R50" s="112" t="s">
        <v>198</v>
      </c>
      <c r="S50" s="112" t="s">
        <v>199</v>
      </c>
      <c r="T50" s="112">
        <v>4</v>
      </c>
      <c r="U50" s="112" t="b">
        <v>0</v>
      </c>
      <c r="V50" s="112" t="s">
        <v>200</v>
      </c>
      <c r="W50" s="112" t="s">
        <v>201</v>
      </c>
      <c r="X50" s="112" t="s">
        <v>202</v>
      </c>
      <c r="Y50" s="112">
        <v>0</v>
      </c>
      <c r="Z50" s="112" t="s">
        <v>203</v>
      </c>
      <c r="AA50" s="112">
        <v>8</v>
      </c>
      <c r="AB50" s="112" t="s">
        <v>204</v>
      </c>
      <c r="AC50" s="112">
        <v>8</v>
      </c>
      <c r="AD50" s="112" t="s">
        <v>204</v>
      </c>
      <c r="AG50" s="112">
        <v>2721</v>
      </c>
      <c r="AH50" s="112">
        <v>4159.21</v>
      </c>
      <c r="AJ50" s="112" t="b">
        <v>0</v>
      </c>
      <c r="AK50" s="112">
        <v>8</v>
      </c>
      <c r="AL50" s="112" t="s">
        <v>204</v>
      </c>
      <c r="AM50" s="112">
        <v>2721</v>
      </c>
      <c r="AN50" s="112">
        <v>8</v>
      </c>
      <c r="AO50" s="112" t="s">
        <v>204</v>
      </c>
      <c r="AR50" s="112">
        <v>4159.21</v>
      </c>
      <c r="AT50" s="112" t="b">
        <v>0</v>
      </c>
      <c r="AU50" s="112">
        <v>2721</v>
      </c>
      <c r="AV50" s="112">
        <v>4159.21</v>
      </c>
      <c r="AX50" s="112" t="b">
        <v>0</v>
      </c>
      <c r="AY50" s="112">
        <v>0</v>
      </c>
      <c r="AZ50" s="112">
        <v>0</v>
      </c>
      <c r="BB50" s="112" t="b">
        <v>0</v>
      </c>
      <c r="BD50" s="112">
        <v>54471704.689999998</v>
      </c>
      <c r="BE50" s="112">
        <v>54471704.689999998</v>
      </c>
      <c r="BF50" s="112" t="b">
        <v>1</v>
      </c>
      <c r="BG50" s="112">
        <v>167462983.729</v>
      </c>
      <c r="BH50" s="112">
        <v>2.0743114187822203</v>
      </c>
      <c r="BI50" s="112">
        <v>0</v>
      </c>
      <c r="BJ50" s="112" t="b">
        <v>0</v>
      </c>
      <c r="BK50" s="112">
        <v>0</v>
      </c>
      <c r="BL50" s="112" t="b">
        <v>0</v>
      </c>
      <c r="BM50" s="112" t="b">
        <v>1</v>
      </c>
    </row>
    <row r="51" spans="1:65">
      <c r="A51" s="112" t="s">
        <v>187</v>
      </c>
      <c r="B51" s="112" t="s">
        <v>188</v>
      </c>
      <c r="C51" s="112">
        <v>20150101</v>
      </c>
      <c r="D51" s="112">
        <v>2015</v>
      </c>
      <c r="E51" s="112">
        <v>52</v>
      </c>
      <c r="F51" s="112" t="s">
        <v>240</v>
      </c>
      <c r="G51" s="112">
        <v>686</v>
      </c>
      <c r="H51" s="112" t="s">
        <v>190</v>
      </c>
      <c r="I51" s="112" t="s">
        <v>191</v>
      </c>
      <c r="J51" s="112" t="s">
        <v>192</v>
      </c>
      <c r="K51" s="112" t="s">
        <v>193</v>
      </c>
      <c r="L51" s="112">
        <v>724</v>
      </c>
      <c r="M51" s="112" t="s">
        <v>207</v>
      </c>
      <c r="N51" s="112" t="s">
        <v>208</v>
      </c>
      <c r="O51" s="112" t="s">
        <v>220</v>
      </c>
      <c r="P51" s="112" t="s">
        <v>197</v>
      </c>
      <c r="Q51" s="112" t="b">
        <v>1</v>
      </c>
      <c r="R51" s="112" t="s">
        <v>198</v>
      </c>
      <c r="S51" s="112" t="s">
        <v>199</v>
      </c>
      <c r="T51" s="112">
        <v>4</v>
      </c>
      <c r="U51" s="112" t="b">
        <v>0</v>
      </c>
      <c r="V51" s="112" t="s">
        <v>200</v>
      </c>
      <c r="W51" s="112" t="s">
        <v>201</v>
      </c>
      <c r="X51" s="112" t="s">
        <v>202</v>
      </c>
      <c r="Y51" s="112">
        <v>0</v>
      </c>
      <c r="Z51" s="112" t="s">
        <v>203</v>
      </c>
      <c r="AA51" s="112">
        <v>8</v>
      </c>
      <c r="AB51" s="112" t="s">
        <v>204</v>
      </c>
      <c r="AG51" s="112">
        <v>3</v>
      </c>
      <c r="AJ51" s="112" t="b">
        <v>0</v>
      </c>
      <c r="AK51" s="112">
        <v>-1</v>
      </c>
      <c r="AL51" s="112" t="s">
        <v>205</v>
      </c>
      <c r="AT51" s="112" t="b">
        <v>0</v>
      </c>
      <c r="AU51" s="112">
        <v>3</v>
      </c>
      <c r="AX51" s="112" t="b">
        <v>0</v>
      </c>
      <c r="BB51" s="112" t="b">
        <v>0</v>
      </c>
      <c r="BD51" s="112">
        <v>61843</v>
      </c>
      <c r="BE51" s="112">
        <v>61843</v>
      </c>
      <c r="BF51" s="112" t="b">
        <v>1</v>
      </c>
      <c r="BG51" s="112">
        <v>0</v>
      </c>
      <c r="BH51" s="112">
        <v>-1</v>
      </c>
      <c r="BI51" s="112">
        <v>0</v>
      </c>
      <c r="BJ51" s="112" t="b">
        <v>1</v>
      </c>
      <c r="BK51" s="112">
        <v>0</v>
      </c>
      <c r="BL51" s="112" t="b">
        <v>1</v>
      </c>
      <c r="BM51" s="112" t="b">
        <v>0</v>
      </c>
    </row>
    <row r="52" spans="1:65">
      <c r="A52" s="112" t="s">
        <v>187</v>
      </c>
      <c r="B52" s="112" t="s">
        <v>188</v>
      </c>
      <c r="C52" s="112">
        <v>20170101</v>
      </c>
      <c r="D52" s="112">
        <v>2017</v>
      </c>
      <c r="E52" s="112">
        <v>52</v>
      </c>
      <c r="F52" s="112" t="s">
        <v>238</v>
      </c>
      <c r="G52" s="112">
        <v>686</v>
      </c>
      <c r="H52" s="112" t="s">
        <v>190</v>
      </c>
      <c r="I52" s="112" t="s">
        <v>191</v>
      </c>
      <c r="J52" s="112" t="s">
        <v>192</v>
      </c>
      <c r="K52" s="112" t="s">
        <v>193</v>
      </c>
      <c r="L52" s="112">
        <v>56</v>
      </c>
      <c r="M52" s="112" t="s">
        <v>215</v>
      </c>
      <c r="N52" s="112" t="s">
        <v>216</v>
      </c>
      <c r="O52" s="112" t="s">
        <v>220</v>
      </c>
      <c r="P52" s="112" t="s">
        <v>197</v>
      </c>
      <c r="Q52" s="112" t="b">
        <v>1</v>
      </c>
      <c r="R52" s="112" t="s">
        <v>198</v>
      </c>
      <c r="S52" s="112" t="s">
        <v>199</v>
      </c>
      <c r="T52" s="112">
        <v>4</v>
      </c>
      <c r="U52" s="112" t="b">
        <v>0</v>
      </c>
      <c r="V52" s="112" t="s">
        <v>200</v>
      </c>
      <c r="W52" s="112" t="s">
        <v>201</v>
      </c>
      <c r="X52" s="112" t="s">
        <v>228</v>
      </c>
      <c r="Y52" s="112">
        <v>0</v>
      </c>
      <c r="Z52" s="112" t="s">
        <v>203</v>
      </c>
      <c r="AA52" s="112">
        <v>8</v>
      </c>
      <c r="AB52" s="112" t="s">
        <v>204</v>
      </c>
      <c r="AG52" s="112">
        <v>12</v>
      </c>
      <c r="AJ52" s="112" t="b">
        <v>0</v>
      </c>
      <c r="AK52" s="112">
        <v>8</v>
      </c>
      <c r="AL52" s="112" t="s">
        <v>204</v>
      </c>
      <c r="AM52" s="112">
        <v>12</v>
      </c>
      <c r="AT52" s="112" t="b">
        <v>0</v>
      </c>
      <c r="AU52" s="112">
        <v>12</v>
      </c>
      <c r="AX52" s="112" t="b">
        <v>0</v>
      </c>
      <c r="BB52" s="112" t="b">
        <v>0</v>
      </c>
      <c r="BD52" s="112">
        <v>217006.91500000001</v>
      </c>
      <c r="BE52" s="112">
        <v>217006.91500000001</v>
      </c>
      <c r="BF52" s="112" t="b">
        <v>1</v>
      </c>
      <c r="BG52" s="112">
        <v>0</v>
      </c>
      <c r="BH52" s="112">
        <v>-1</v>
      </c>
      <c r="BI52" s="112">
        <v>0</v>
      </c>
      <c r="BJ52" s="112" t="b">
        <v>0</v>
      </c>
      <c r="BK52" s="112">
        <v>0</v>
      </c>
      <c r="BL52" s="112" t="b">
        <v>0</v>
      </c>
      <c r="BM52" s="112" t="b">
        <v>1</v>
      </c>
    </row>
    <row r="53" spans="1:65">
      <c r="A53" s="112" t="s">
        <v>187</v>
      </c>
      <c r="B53" s="112" t="s">
        <v>188</v>
      </c>
      <c r="C53" s="112">
        <v>20140101</v>
      </c>
      <c r="D53" s="112">
        <v>2014</v>
      </c>
      <c r="E53" s="112">
        <v>52</v>
      </c>
      <c r="F53" s="112" t="s">
        <v>206</v>
      </c>
      <c r="G53" s="112">
        <v>686</v>
      </c>
      <c r="H53" s="112" t="s">
        <v>190</v>
      </c>
      <c r="I53" s="112" t="s">
        <v>191</v>
      </c>
      <c r="J53" s="112" t="s">
        <v>192</v>
      </c>
      <c r="K53" s="112" t="s">
        <v>193</v>
      </c>
      <c r="L53" s="112">
        <v>56</v>
      </c>
      <c r="M53" s="112" t="s">
        <v>215</v>
      </c>
      <c r="N53" s="112" t="s">
        <v>216</v>
      </c>
      <c r="O53" s="112" t="s">
        <v>209</v>
      </c>
      <c r="P53" s="112" t="s">
        <v>197</v>
      </c>
      <c r="Q53" s="112" t="b">
        <v>1</v>
      </c>
      <c r="R53" s="112" t="s">
        <v>198</v>
      </c>
      <c r="S53" s="112" t="s">
        <v>199</v>
      </c>
      <c r="T53" s="112">
        <v>4</v>
      </c>
      <c r="U53" s="112" t="b">
        <v>0</v>
      </c>
      <c r="V53" s="112" t="s">
        <v>200</v>
      </c>
      <c r="W53" s="112" t="s">
        <v>201</v>
      </c>
      <c r="X53" s="112" t="s">
        <v>202</v>
      </c>
      <c r="Y53" s="112">
        <v>0</v>
      </c>
      <c r="Z53" s="112" t="s">
        <v>203</v>
      </c>
      <c r="AA53" s="112">
        <v>8</v>
      </c>
      <c r="AB53" s="112" t="s">
        <v>204</v>
      </c>
      <c r="AG53" s="112">
        <v>21</v>
      </c>
      <c r="AJ53" s="112" t="b">
        <v>0</v>
      </c>
      <c r="AK53" s="112">
        <v>-1</v>
      </c>
      <c r="AL53" s="112" t="s">
        <v>205</v>
      </c>
      <c r="AT53" s="112" t="b">
        <v>0</v>
      </c>
      <c r="AU53" s="112">
        <v>21</v>
      </c>
      <c r="AX53" s="112" t="b">
        <v>0</v>
      </c>
      <c r="BB53" s="112" t="b">
        <v>0</v>
      </c>
      <c r="BD53" s="112">
        <v>546481</v>
      </c>
      <c r="BE53" s="112">
        <v>546481</v>
      </c>
      <c r="BF53" s="112" t="b">
        <v>1</v>
      </c>
      <c r="BG53" s="112">
        <v>0</v>
      </c>
      <c r="BH53" s="112">
        <v>-1</v>
      </c>
      <c r="BI53" s="112">
        <v>0</v>
      </c>
      <c r="BJ53" s="112" t="b">
        <v>0</v>
      </c>
      <c r="BK53" s="112">
        <v>0</v>
      </c>
      <c r="BL53" s="112" t="b">
        <v>1</v>
      </c>
      <c r="BM53" s="112" t="b">
        <v>0</v>
      </c>
    </row>
    <row r="54" spans="1:65">
      <c r="A54" s="112" t="s">
        <v>187</v>
      </c>
      <c r="B54" s="112" t="s">
        <v>188</v>
      </c>
      <c r="C54" s="112">
        <v>20240101</v>
      </c>
      <c r="D54" s="112">
        <v>2024</v>
      </c>
      <c r="E54" s="112">
        <v>52</v>
      </c>
      <c r="F54" s="112" t="s">
        <v>239</v>
      </c>
      <c r="G54" s="112">
        <v>686</v>
      </c>
      <c r="H54" s="112" t="s">
        <v>190</v>
      </c>
      <c r="I54" s="112" t="s">
        <v>191</v>
      </c>
      <c r="J54" s="112" t="s">
        <v>192</v>
      </c>
      <c r="K54" s="112" t="s">
        <v>193</v>
      </c>
      <c r="L54" s="112">
        <v>757</v>
      </c>
      <c r="M54" s="112" t="s">
        <v>225</v>
      </c>
      <c r="N54" s="112" t="s">
        <v>226</v>
      </c>
      <c r="O54" s="112" t="s">
        <v>224</v>
      </c>
      <c r="P54" s="112" t="s">
        <v>197</v>
      </c>
      <c r="Q54" s="112" t="b">
        <v>1</v>
      </c>
      <c r="R54" s="112" t="s">
        <v>198</v>
      </c>
      <c r="S54" s="112" t="s">
        <v>199</v>
      </c>
      <c r="T54" s="112">
        <v>4</v>
      </c>
      <c r="U54" s="112" t="b">
        <v>0</v>
      </c>
      <c r="V54" s="112" t="s">
        <v>200</v>
      </c>
      <c r="W54" s="112" t="s">
        <v>201</v>
      </c>
      <c r="X54" s="112" t="s">
        <v>202</v>
      </c>
      <c r="Y54" s="112">
        <v>0</v>
      </c>
      <c r="Z54" s="112" t="s">
        <v>203</v>
      </c>
      <c r="AA54" s="112">
        <v>8</v>
      </c>
      <c r="AB54" s="112" t="s">
        <v>204</v>
      </c>
      <c r="AC54" s="112">
        <v>8</v>
      </c>
      <c r="AD54" s="112" t="s">
        <v>204</v>
      </c>
      <c r="AG54" s="112">
        <v>9549</v>
      </c>
      <c r="AH54" s="112">
        <v>8103</v>
      </c>
      <c r="AJ54" s="112" t="b">
        <v>0</v>
      </c>
      <c r="AK54" s="112">
        <v>8</v>
      </c>
      <c r="AL54" s="112" t="s">
        <v>204</v>
      </c>
      <c r="AM54" s="112">
        <v>9549</v>
      </c>
      <c r="AN54" s="112">
        <v>8</v>
      </c>
      <c r="AO54" s="112" t="s">
        <v>204</v>
      </c>
      <c r="AR54" s="112">
        <v>8103</v>
      </c>
      <c r="AT54" s="112" t="b">
        <v>0</v>
      </c>
      <c r="AU54" s="112">
        <v>9549</v>
      </c>
      <c r="AV54" s="112">
        <v>8103</v>
      </c>
      <c r="AX54" s="112" t="b">
        <v>0</v>
      </c>
      <c r="AY54" s="112">
        <v>0</v>
      </c>
      <c r="AZ54" s="112">
        <v>0</v>
      </c>
      <c r="BB54" s="112" t="b">
        <v>0</v>
      </c>
      <c r="BD54" s="112">
        <v>724559741.37</v>
      </c>
      <c r="BE54" s="112">
        <v>724559741.37</v>
      </c>
      <c r="BF54" s="112" t="b">
        <v>1</v>
      </c>
      <c r="BG54" s="112">
        <v>548487309.28999996</v>
      </c>
      <c r="BH54" s="112">
        <v>-0.24300609325475586</v>
      </c>
      <c r="BI54" s="112">
        <v>0</v>
      </c>
      <c r="BJ54" s="112" t="b">
        <v>0</v>
      </c>
      <c r="BK54" s="112">
        <v>0</v>
      </c>
      <c r="BL54" s="112" t="b">
        <v>0</v>
      </c>
      <c r="BM54" s="112" t="b">
        <v>1</v>
      </c>
    </row>
    <row r="55" spans="1:65">
      <c r="A55" s="112" t="s">
        <v>187</v>
      </c>
      <c r="B55" s="112" t="s">
        <v>188</v>
      </c>
      <c r="C55" s="112">
        <v>20230101</v>
      </c>
      <c r="D55" s="112">
        <v>2023</v>
      </c>
      <c r="E55" s="112">
        <v>52</v>
      </c>
      <c r="F55" s="112" t="s">
        <v>231</v>
      </c>
      <c r="G55" s="112">
        <v>686</v>
      </c>
      <c r="H55" s="112" t="s">
        <v>190</v>
      </c>
      <c r="I55" s="112" t="s">
        <v>191</v>
      </c>
      <c r="J55" s="112" t="s">
        <v>192</v>
      </c>
      <c r="K55" s="112" t="s">
        <v>193</v>
      </c>
      <c r="L55" s="112">
        <v>56</v>
      </c>
      <c r="M55" s="112" t="s">
        <v>215</v>
      </c>
      <c r="N55" s="112" t="s">
        <v>216</v>
      </c>
      <c r="O55" s="112" t="s">
        <v>224</v>
      </c>
      <c r="P55" s="112" t="s">
        <v>197</v>
      </c>
      <c r="Q55" s="112" t="b">
        <v>1</v>
      </c>
      <c r="R55" s="112" t="s">
        <v>198</v>
      </c>
      <c r="S55" s="112" t="s">
        <v>199</v>
      </c>
      <c r="T55" s="112">
        <v>4</v>
      </c>
      <c r="U55" s="112" t="b">
        <v>0</v>
      </c>
      <c r="V55" s="112" t="s">
        <v>200</v>
      </c>
      <c r="W55" s="112" t="s">
        <v>201</v>
      </c>
      <c r="X55" s="112" t="s">
        <v>202</v>
      </c>
      <c r="Y55" s="112">
        <v>0</v>
      </c>
      <c r="Z55" s="112" t="s">
        <v>203</v>
      </c>
      <c r="AA55" s="112">
        <v>8</v>
      </c>
      <c r="AB55" s="112" t="s">
        <v>204</v>
      </c>
      <c r="AG55" s="112">
        <v>3</v>
      </c>
      <c r="AJ55" s="112" t="b">
        <v>0</v>
      </c>
      <c r="AK55" s="112">
        <v>8</v>
      </c>
      <c r="AL55" s="112" t="s">
        <v>204</v>
      </c>
      <c r="AM55" s="112">
        <v>3</v>
      </c>
      <c r="AT55" s="112" t="b">
        <v>0</v>
      </c>
      <c r="AU55" s="112">
        <v>3</v>
      </c>
      <c r="AX55" s="112" t="b">
        <v>0</v>
      </c>
      <c r="AY55" s="112">
        <v>0</v>
      </c>
      <c r="BB55" s="112" t="b">
        <v>0</v>
      </c>
      <c r="BD55" s="112">
        <v>54521.125999999997</v>
      </c>
      <c r="BE55" s="112">
        <v>54521.125999999997</v>
      </c>
      <c r="BF55" s="112" t="b">
        <v>1</v>
      </c>
      <c r="BG55" s="112">
        <v>0</v>
      </c>
      <c r="BH55" s="112">
        <v>-1</v>
      </c>
      <c r="BI55" s="112">
        <v>0</v>
      </c>
      <c r="BJ55" s="112" t="b">
        <v>0</v>
      </c>
      <c r="BK55" s="112">
        <v>0</v>
      </c>
      <c r="BL55" s="112" t="b">
        <v>0</v>
      </c>
      <c r="BM55" s="112" t="b">
        <v>1</v>
      </c>
    </row>
    <row r="56" spans="1:65">
      <c r="A56" s="112" t="s">
        <v>187</v>
      </c>
      <c r="B56" s="112" t="s">
        <v>188</v>
      </c>
      <c r="C56" s="112">
        <v>20150101</v>
      </c>
      <c r="D56" s="112">
        <v>2015</v>
      </c>
      <c r="E56" s="112">
        <v>52</v>
      </c>
      <c r="F56" s="112" t="s">
        <v>240</v>
      </c>
      <c r="G56" s="112">
        <v>686</v>
      </c>
      <c r="H56" s="112" t="s">
        <v>190</v>
      </c>
      <c r="I56" s="112" t="s">
        <v>191</v>
      </c>
      <c r="J56" s="112" t="s">
        <v>192</v>
      </c>
      <c r="K56" s="112" t="s">
        <v>193</v>
      </c>
      <c r="L56" s="112">
        <v>422</v>
      </c>
      <c r="M56" s="112" t="s">
        <v>232</v>
      </c>
      <c r="N56" s="112" t="s">
        <v>233</v>
      </c>
      <c r="O56" s="112" t="s">
        <v>220</v>
      </c>
      <c r="P56" s="112" t="s">
        <v>197</v>
      </c>
      <c r="Q56" s="112" t="b">
        <v>1</v>
      </c>
      <c r="R56" s="112" t="s">
        <v>198</v>
      </c>
      <c r="S56" s="112" t="s">
        <v>199</v>
      </c>
      <c r="T56" s="112">
        <v>4</v>
      </c>
      <c r="U56" s="112" t="b">
        <v>0</v>
      </c>
      <c r="V56" s="112" t="s">
        <v>200</v>
      </c>
      <c r="W56" s="112" t="s">
        <v>201</v>
      </c>
      <c r="X56" s="112" t="s">
        <v>202</v>
      </c>
      <c r="Y56" s="112">
        <v>0</v>
      </c>
      <c r="Z56" s="112" t="s">
        <v>203</v>
      </c>
      <c r="AA56" s="112">
        <v>8</v>
      </c>
      <c r="AB56" s="112" t="s">
        <v>204</v>
      </c>
      <c r="AG56" s="112">
        <v>1</v>
      </c>
      <c r="AJ56" s="112" t="b">
        <v>0</v>
      </c>
      <c r="AK56" s="112">
        <v>-1</v>
      </c>
      <c r="AL56" s="112" t="s">
        <v>205</v>
      </c>
      <c r="AT56" s="112" t="b">
        <v>0</v>
      </c>
      <c r="AU56" s="112">
        <v>1</v>
      </c>
      <c r="AX56" s="112" t="b">
        <v>0</v>
      </c>
      <c r="BB56" s="112" t="b">
        <v>0</v>
      </c>
      <c r="BD56" s="112">
        <v>27463</v>
      </c>
      <c r="BE56" s="112">
        <v>27463</v>
      </c>
      <c r="BF56" s="112" t="b">
        <v>1</v>
      </c>
      <c r="BG56" s="112">
        <v>0</v>
      </c>
      <c r="BH56" s="112">
        <v>-1</v>
      </c>
      <c r="BI56" s="112">
        <v>0</v>
      </c>
      <c r="BJ56" s="112" t="b">
        <v>0</v>
      </c>
      <c r="BK56" s="112">
        <v>0</v>
      </c>
      <c r="BL56" s="112" t="b">
        <v>1</v>
      </c>
      <c r="BM56" s="112" t="b">
        <v>0</v>
      </c>
    </row>
    <row r="57" spans="1:65">
      <c r="A57" s="112" t="s">
        <v>187</v>
      </c>
      <c r="B57" s="112" t="s">
        <v>188</v>
      </c>
      <c r="C57" s="112">
        <v>20150101</v>
      </c>
      <c r="D57" s="112">
        <v>2015</v>
      </c>
      <c r="E57" s="112">
        <v>52</v>
      </c>
      <c r="F57" s="112" t="s">
        <v>240</v>
      </c>
      <c r="G57" s="112">
        <v>686</v>
      </c>
      <c r="H57" s="112" t="s">
        <v>190</v>
      </c>
      <c r="I57" s="112" t="s">
        <v>191</v>
      </c>
      <c r="J57" s="112" t="s">
        <v>192</v>
      </c>
      <c r="K57" s="112" t="s">
        <v>193</v>
      </c>
      <c r="L57" s="112">
        <v>380</v>
      </c>
      <c r="M57" s="112" t="s">
        <v>218</v>
      </c>
      <c r="N57" s="112" t="s">
        <v>219</v>
      </c>
      <c r="O57" s="112" t="s">
        <v>220</v>
      </c>
      <c r="P57" s="112" t="s">
        <v>197</v>
      </c>
      <c r="Q57" s="112" t="b">
        <v>1</v>
      </c>
      <c r="R57" s="112" t="s">
        <v>198</v>
      </c>
      <c r="S57" s="112" t="s">
        <v>199</v>
      </c>
      <c r="T57" s="112">
        <v>4</v>
      </c>
      <c r="U57" s="112" t="b">
        <v>0</v>
      </c>
      <c r="V57" s="112" t="s">
        <v>200</v>
      </c>
      <c r="W57" s="112" t="s">
        <v>201</v>
      </c>
      <c r="X57" s="112" t="s">
        <v>202</v>
      </c>
      <c r="Y57" s="112">
        <v>0</v>
      </c>
      <c r="Z57" s="112" t="s">
        <v>203</v>
      </c>
      <c r="AA57" s="112">
        <v>8</v>
      </c>
      <c r="AB57" s="112" t="s">
        <v>204</v>
      </c>
      <c r="AC57" s="112">
        <v>8</v>
      </c>
      <c r="AD57" s="112" t="s">
        <v>204</v>
      </c>
      <c r="AG57" s="112">
        <v>117</v>
      </c>
      <c r="AH57" s="112">
        <v>81</v>
      </c>
      <c r="AJ57" s="112" t="b">
        <v>0</v>
      </c>
      <c r="AK57" s="112">
        <v>-1</v>
      </c>
      <c r="AL57" s="112" t="s">
        <v>205</v>
      </c>
      <c r="AN57" s="112">
        <v>15</v>
      </c>
      <c r="AO57" s="112" t="s">
        <v>213</v>
      </c>
      <c r="AR57" s="112">
        <v>79761</v>
      </c>
      <c r="AT57" s="112" t="b">
        <v>0</v>
      </c>
      <c r="AU57" s="112">
        <v>117</v>
      </c>
      <c r="AV57" s="112">
        <v>81</v>
      </c>
      <c r="AX57" s="112" t="b">
        <v>0</v>
      </c>
      <c r="BB57" s="112" t="b">
        <v>0</v>
      </c>
      <c r="BD57" s="112">
        <v>1866997</v>
      </c>
      <c r="BE57" s="112">
        <v>1866997</v>
      </c>
      <c r="BF57" s="112" t="b">
        <v>1</v>
      </c>
      <c r="BG57" s="112">
        <v>2595853.5920000002</v>
      </c>
      <c r="BH57" s="112">
        <v>0.39038980351869879</v>
      </c>
      <c r="BI57" s="112">
        <v>0</v>
      </c>
      <c r="BJ57" s="112" t="b">
        <v>0</v>
      </c>
      <c r="BK57" s="112">
        <v>0</v>
      </c>
      <c r="BL57" s="112" t="b">
        <v>1</v>
      </c>
      <c r="BM57" s="112" t="b">
        <v>0</v>
      </c>
    </row>
    <row r="58" spans="1:65">
      <c r="A58" s="112" t="s">
        <v>187</v>
      </c>
      <c r="B58" s="112" t="s">
        <v>188</v>
      </c>
      <c r="C58" s="112">
        <v>20150101</v>
      </c>
      <c r="D58" s="112">
        <v>2015</v>
      </c>
      <c r="E58" s="112">
        <v>52</v>
      </c>
      <c r="F58" s="112" t="s">
        <v>240</v>
      </c>
      <c r="G58" s="112">
        <v>686</v>
      </c>
      <c r="H58" s="112" t="s">
        <v>190</v>
      </c>
      <c r="I58" s="112" t="s">
        <v>191</v>
      </c>
      <c r="J58" s="112" t="s">
        <v>192</v>
      </c>
      <c r="K58" s="112" t="s">
        <v>193</v>
      </c>
      <c r="L58" s="112">
        <v>56</v>
      </c>
      <c r="M58" s="112" t="s">
        <v>215</v>
      </c>
      <c r="N58" s="112" t="s">
        <v>216</v>
      </c>
      <c r="O58" s="112" t="s">
        <v>220</v>
      </c>
      <c r="P58" s="112" t="s">
        <v>197</v>
      </c>
      <c r="Q58" s="112" t="b">
        <v>1</v>
      </c>
      <c r="R58" s="112" t="s">
        <v>198</v>
      </c>
      <c r="S58" s="112" t="s">
        <v>199</v>
      </c>
      <c r="T58" s="112">
        <v>4</v>
      </c>
      <c r="U58" s="112" t="b">
        <v>0</v>
      </c>
      <c r="V58" s="112" t="s">
        <v>200</v>
      </c>
      <c r="W58" s="112" t="s">
        <v>201</v>
      </c>
      <c r="X58" s="112" t="s">
        <v>202</v>
      </c>
      <c r="Y58" s="112">
        <v>0</v>
      </c>
      <c r="Z58" s="112" t="s">
        <v>203</v>
      </c>
      <c r="AA58" s="112">
        <v>8</v>
      </c>
      <c r="AB58" s="112" t="s">
        <v>204</v>
      </c>
      <c r="AG58" s="112">
        <v>17</v>
      </c>
      <c r="AJ58" s="112" t="b">
        <v>0</v>
      </c>
      <c r="AK58" s="112">
        <v>-1</v>
      </c>
      <c r="AL58" s="112" t="s">
        <v>205</v>
      </c>
      <c r="AT58" s="112" t="b">
        <v>0</v>
      </c>
      <c r="AU58" s="112">
        <v>17</v>
      </c>
      <c r="AX58" s="112" t="b">
        <v>0</v>
      </c>
      <c r="BB58" s="112" t="b">
        <v>0</v>
      </c>
      <c r="BD58" s="112">
        <v>352999</v>
      </c>
      <c r="BE58" s="112">
        <v>352999</v>
      </c>
      <c r="BF58" s="112" t="b">
        <v>1</v>
      </c>
      <c r="BG58" s="112">
        <v>0</v>
      </c>
      <c r="BH58" s="112">
        <v>-1</v>
      </c>
      <c r="BI58" s="112">
        <v>0</v>
      </c>
      <c r="BJ58" s="112" t="b">
        <v>0</v>
      </c>
      <c r="BK58" s="112">
        <v>0</v>
      </c>
      <c r="BL58" s="112" t="b">
        <v>1</v>
      </c>
      <c r="BM58" s="112" t="b">
        <v>0</v>
      </c>
    </row>
    <row r="59" spans="1:65">
      <c r="A59" s="112" t="s">
        <v>187</v>
      </c>
      <c r="B59" s="112" t="s">
        <v>188</v>
      </c>
      <c r="C59" s="112">
        <v>20170101</v>
      </c>
      <c r="D59" s="112">
        <v>2017</v>
      </c>
      <c r="E59" s="112">
        <v>52</v>
      </c>
      <c r="F59" s="112" t="s">
        <v>238</v>
      </c>
      <c r="G59" s="112">
        <v>686</v>
      </c>
      <c r="H59" s="112" t="s">
        <v>190</v>
      </c>
      <c r="I59" s="112" t="s">
        <v>191</v>
      </c>
      <c r="J59" s="112" t="s">
        <v>192</v>
      </c>
      <c r="K59" s="112" t="s">
        <v>193</v>
      </c>
      <c r="L59" s="112">
        <v>784</v>
      </c>
      <c r="M59" s="112" t="s">
        <v>234</v>
      </c>
      <c r="N59" s="112" t="s">
        <v>235</v>
      </c>
      <c r="O59" s="112" t="s">
        <v>220</v>
      </c>
      <c r="P59" s="112" t="s">
        <v>197</v>
      </c>
      <c r="Q59" s="112" t="b">
        <v>1</v>
      </c>
      <c r="R59" s="112" t="s">
        <v>198</v>
      </c>
      <c r="S59" s="112" t="s">
        <v>199</v>
      </c>
      <c r="T59" s="112">
        <v>4</v>
      </c>
      <c r="U59" s="112" t="b">
        <v>0</v>
      </c>
      <c r="V59" s="112" t="s">
        <v>200</v>
      </c>
      <c r="W59" s="112" t="s">
        <v>201</v>
      </c>
      <c r="X59" s="112" t="s">
        <v>228</v>
      </c>
      <c r="Y59" s="112">
        <v>0</v>
      </c>
      <c r="Z59" s="112" t="s">
        <v>203</v>
      </c>
      <c r="AA59" s="112">
        <v>8</v>
      </c>
      <c r="AB59" s="112" t="s">
        <v>204</v>
      </c>
      <c r="AC59" s="112">
        <v>8</v>
      </c>
      <c r="AD59" s="112" t="s">
        <v>204</v>
      </c>
      <c r="AG59" s="112">
        <v>4192</v>
      </c>
      <c r="AH59" s="112">
        <v>5413</v>
      </c>
      <c r="AJ59" s="112" t="b">
        <v>0</v>
      </c>
      <c r="AK59" s="112">
        <v>8</v>
      </c>
      <c r="AL59" s="112" t="s">
        <v>204</v>
      </c>
      <c r="AM59" s="112">
        <v>4192</v>
      </c>
      <c r="AN59" s="112">
        <v>8</v>
      </c>
      <c r="AO59" s="112" t="s">
        <v>204</v>
      </c>
      <c r="AR59" s="112">
        <v>5413</v>
      </c>
      <c r="AT59" s="112" t="b">
        <v>0</v>
      </c>
      <c r="AU59" s="112">
        <v>4192</v>
      </c>
      <c r="AV59" s="112">
        <v>5413</v>
      </c>
      <c r="AX59" s="112" t="b">
        <v>0</v>
      </c>
      <c r="AZ59" s="112">
        <v>0</v>
      </c>
      <c r="BB59" s="112" t="b">
        <v>0</v>
      </c>
      <c r="BD59" s="112">
        <v>83437576.736000001</v>
      </c>
      <c r="BE59" s="112">
        <v>83437576.736000001</v>
      </c>
      <c r="BF59" s="112" t="b">
        <v>1</v>
      </c>
      <c r="BG59" s="112">
        <v>158224409.09299999</v>
      </c>
      <c r="BH59" s="112">
        <v>0.89632076197069654</v>
      </c>
      <c r="BI59" s="112">
        <v>0</v>
      </c>
      <c r="BJ59" s="112" t="b">
        <v>0</v>
      </c>
      <c r="BK59" s="112">
        <v>0</v>
      </c>
      <c r="BL59" s="112" t="b">
        <v>0</v>
      </c>
      <c r="BM59" s="112" t="b">
        <v>1</v>
      </c>
    </row>
    <row r="60" spans="1:65">
      <c r="A60" s="112" t="s">
        <v>187</v>
      </c>
      <c r="B60" s="112" t="s">
        <v>188</v>
      </c>
      <c r="C60" s="112">
        <v>20200101</v>
      </c>
      <c r="D60" s="112">
        <v>2020</v>
      </c>
      <c r="E60" s="112">
        <v>52</v>
      </c>
      <c r="F60" s="112" t="s">
        <v>210</v>
      </c>
      <c r="G60" s="112">
        <v>686</v>
      </c>
      <c r="H60" s="112" t="s">
        <v>190</v>
      </c>
      <c r="I60" s="112" t="s">
        <v>191</v>
      </c>
      <c r="J60" s="112" t="s">
        <v>192</v>
      </c>
      <c r="K60" s="112" t="s">
        <v>193</v>
      </c>
      <c r="L60" s="112">
        <v>0</v>
      </c>
      <c r="M60" s="112" t="s">
        <v>247</v>
      </c>
      <c r="N60" s="112" t="s">
        <v>248</v>
      </c>
      <c r="O60" s="112" t="s">
        <v>196</v>
      </c>
      <c r="P60" s="112" t="s">
        <v>197</v>
      </c>
      <c r="Q60" s="112" t="b">
        <v>1</v>
      </c>
      <c r="R60" s="112" t="s">
        <v>198</v>
      </c>
      <c r="S60" s="112" t="s">
        <v>199</v>
      </c>
      <c r="T60" s="112">
        <v>4</v>
      </c>
      <c r="U60" s="112" t="b">
        <v>0</v>
      </c>
      <c r="V60" s="112" t="s">
        <v>200</v>
      </c>
      <c r="W60" s="112" t="s">
        <v>201</v>
      </c>
      <c r="X60" s="112" t="s">
        <v>202</v>
      </c>
      <c r="Y60" s="112">
        <v>0</v>
      </c>
      <c r="Z60" s="112" t="s">
        <v>203</v>
      </c>
      <c r="AA60" s="112">
        <v>8</v>
      </c>
      <c r="AB60" s="112" t="s">
        <v>204</v>
      </c>
      <c r="AG60" s="112">
        <v>14594</v>
      </c>
      <c r="AJ60" s="112" t="b">
        <v>0</v>
      </c>
      <c r="AK60" s="112">
        <v>8</v>
      </c>
      <c r="AL60" s="112" t="s">
        <v>204</v>
      </c>
      <c r="AM60" s="112">
        <v>14594</v>
      </c>
      <c r="AT60" s="112" t="b">
        <v>0</v>
      </c>
      <c r="AU60" s="112">
        <v>14594</v>
      </c>
      <c r="AX60" s="112" t="b">
        <v>0</v>
      </c>
      <c r="AY60" s="112">
        <v>0</v>
      </c>
      <c r="BB60" s="112" t="b">
        <v>0</v>
      </c>
      <c r="BC60" s="112">
        <v>0</v>
      </c>
      <c r="BD60" s="112">
        <v>734489311.26100004</v>
      </c>
      <c r="BE60" s="112">
        <v>734489311.26100004</v>
      </c>
      <c r="BF60" s="112" t="b">
        <v>0</v>
      </c>
      <c r="BG60" s="112">
        <v>0</v>
      </c>
      <c r="BH60" s="112">
        <v>-1</v>
      </c>
      <c r="BI60" s="112">
        <v>0</v>
      </c>
      <c r="BJ60" s="112" t="b">
        <v>0</v>
      </c>
      <c r="BK60" s="112">
        <v>0</v>
      </c>
      <c r="BL60" s="112" t="b">
        <v>0</v>
      </c>
      <c r="BM60" s="112" t="b">
        <v>1</v>
      </c>
    </row>
    <row r="61" spans="1:65">
      <c r="A61" s="112" t="s">
        <v>187</v>
      </c>
      <c r="B61" s="112" t="s">
        <v>188</v>
      </c>
      <c r="C61" s="112">
        <v>20160101</v>
      </c>
      <c r="D61" s="112">
        <v>2016</v>
      </c>
      <c r="E61" s="112">
        <v>52</v>
      </c>
      <c r="F61" s="112" t="s">
        <v>217</v>
      </c>
      <c r="G61" s="112">
        <v>686</v>
      </c>
      <c r="H61" s="112" t="s">
        <v>190</v>
      </c>
      <c r="I61" s="112" t="s">
        <v>191</v>
      </c>
      <c r="J61" s="112" t="s">
        <v>192</v>
      </c>
      <c r="K61" s="112" t="s">
        <v>193</v>
      </c>
      <c r="L61" s="112">
        <v>0</v>
      </c>
      <c r="M61" s="112" t="s">
        <v>247</v>
      </c>
      <c r="N61" s="112" t="s">
        <v>248</v>
      </c>
      <c r="O61" s="112" t="s">
        <v>220</v>
      </c>
      <c r="P61" s="112" t="s">
        <v>197</v>
      </c>
      <c r="Q61" s="112" t="b">
        <v>1</v>
      </c>
      <c r="R61" s="112" t="s">
        <v>198</v>
      </c>
      <c r="S61" s="112" t="s">
        <v>199</v>
      </c>
      <c r="T61" s="112">
        <v>4</v>
      </c>
      <c r="U61" s="112" t="b">
        <v>0</v>
      </c>
      <c r="V61" s="112" t="s">
        <v>200</v>
      </c>
      <c r="W61" s="112" t="s">
        <v>201</v>
      </c>
      <c r="X61" s="112" t="s">
        <v>202</v>
      </c>
      <c r="Y61" s="112">
        <v>0</v>
      </c>
      <c r="Z61" s="112" t="s">
        <v>203</v>
      </c>
      <c r="AA61" s="112">
        <v>8</v>
      </c>
      <c r="AB61" s="112" t="s">
        <v>204</v>
      </c>
      <c r="AG61" s="112">
        <v>9716</v>
      </c>
      <c r="AJ61" s="112" t="b">
        <v>0</v>
      </c>
      <c r="AK61" s="112">
        <v>-1</v>
      </c>
      <c r="AL61" s="112" t="s">
        <v>205</v>
      </c>
      <c r="AT61" s="112" t="b">
        <v>0</v>
      </c>
      <c r="AU61" s="112">
        <v>9716</v>
      </c>
      <c r="AX61" s="112" t="b">
        <v>0</v>
      </c>
      <c r="BB61" s="112" t="b">
        <v>0</v>
      </c>
      <c r="BD61" s="112">
        <v>329076366</v>
      </c>
      <c r="BE61" s="112">
        <v>329076366</v>
      </c>
      <c r="BF61" s="112" t="b">
        <v>0</v>
      </c>
      <c r="BG61" s="112">
        <v>0</v>
      </c>
      <c r="BH61" s="112">
        <v>-1</v>
      </c>
      <c r="BI61" s="112">
        <v>0</v>
      </c>
      <c r="BJ61" s="112" t="b">
        <v>0</v>
      </c>
      <c r="BK61" s="112">
        <v>0</v>
      </c>
      <c r="BL61" s="112" t="b">
        <v>1</v>
      </c>
      <c r="BM61" s="112" t="b">
        <v>0</v>
      </c>
    </row>
    <row r="62" spans="1:65">
      <c r="A62" s="112" t="s">
        <v>187</v>
      </c>
      <c r="B62" s="112" t="s">
        <v>188</v>
      </c>
      <c r="C62" s="112">
        <v>20220101</v>
      </c>
      <c r="D62" s="112">
        <v>2022</v>
      </c>
      <c r="E62" s="112">
        <v>52</v>
      </c>
      <c r="F62" s="112" t="s">
        <v>223</v>
      </c>
      <c r="G62" s="112">
        <v>686</v>
      </c>
      <c r="H62" s="112" t="s">
        <v>190</v>
      </c>
      <c r="I62" s="112" t="s">
        <v>191</v>
      </c>
      <c r="J62" s="112" t="s">
        <v>192</v>
      </c>
      <c r="K62" s="112" t="s">
        <v>193</v>
      </c>
      <c r="L62" s="112">
        <v>324</v>
      </c>
      <c r="M62" s="112" t="s">
        <v>249</v>
      </c>
      <c r="N62" s="112" t="s">
        <v>250</v>
      </c>
      <c r="O62" s="112" t="s">
        <v>224</v>
      </c>
      <c r="P62" s="112" t="s">
        <v>197</v>
      </c>
      <c r="Q62" s="112" t="b">
        <v>1</v>
      </c>
      <c r="R62" s="112" t="s">
        <v>198</v>
      </c>
      <c r="S62" s="112" t="s">
        <v>199</v>
      </c>
      <c r="T62" s="112">
        <v>4</v>
      </c>
      <c r="U62" s="112" t="b">
        <v>0</v>
      </c>
      <c r="V62" s="112" t="s">
        <v>200</v>
      </c>
      <c r="W62" s="112" t="s">
        <v>201</v>
      </c>
      <c r="X62" s="112" t="s">
        <v>202</v>
      </c>
      <c r="Y62" s="112">
        <v>0</v>
      </c>
      <c r="Z62" s="112" t="s">
        <v>203</v>
      </c>
      <c r="AA62" s="112">
        <v>8</v>
      </c>
      <c r="AB62" s="112" t="s">
        <v>204</v>
      </c>
      <c r="AG62" s="112">
        <v>3</v>
      </c>
      <c r="AJ62" s="112" t="b">
        <v>0</v>
      </c>
      <c r="AK62" s="112">
        <v>8</v>
      </c>
      <c r="AL62" s="112" t="s">
        <v>204</v>
      </c>
      <c r="AM62" s="112">
        <v>3</v>
      </c>
      <c r="AT62" s="112" t="b">
        <v>0</v>
      </c>
      <c r="AU62" s="112">
        <v>3</v>
      </c>
      <c r="AX62" s="112" t="b">
        <v>0</v>
      </c>
      <c r="AY62" s="112">
        <v>0</v>
      </c>
      <c r="BB62" s="112" t="b">
        <v>0</v>
      </c>
      <c r="BD62" s="112">
        <v>50441.658000000003</v>
      </c>
      <c r="BE62" s="112">
        <v>50441.658000000003</v>
      </c>
      <c r="BF62" s="112" t="b">
        <v>0</v>
      </c>
      <c r="BG62" s="112">
        <v>0</v>
      </c>
      <c r="BH62" s="112">
        <v>-1</v>
      </c>
      <c r="BI62" s="112">
        <v>0</v>
      </c>
      <c r="BJ62" s="112" t="b">
        <v>0</v>
      </c>
      <c r="BK62" s="112">
        <v>0</v>
      </c>
      <c r="BL62" s="112" t="b">
        <v>0</v>
      </c>
      <c r="BM62" s="112" t="b">
        <v>1</v>
      </c>
    </row>
    <row r="63" spans="1:65">
      <c r="A63" s="112" t="s">
        <v>187</v>
      </c>
      <c r="B63" s="112" t="s">
        <v>188</v>
      </c>
      <c r="C63" s="112">
        <v>20240101</v>
      </c>
      <c r="D63" s="112">
        <v>2024</v>
      </c>
      <c r="E63" s="112">
        <v>52</v>
      </c>
      <c r="F63" s="112" t="s">
        <v>239</v>
      </c>
      <c r="G63" s="112">
        <v>686</v>
      </c>
      <c r="H63" s="112" t="s">
        <v>190</v>
      </c>
      <c r="I63" s="112" t="s">
        <v>191</v>
      </c>
      <c r="J63" s="112" t="s">
        <v>192</v>
      </c>
      <c r="K63" s="112" t="s">
        <v>193</v>
      </c>
      <c r="L63" s="112">
        <v>784</v>
      </c>
      <c r="M63" s="112" t="s">
        <v>234</v>
      </c>
      <c r="N63" s="112" t="s">
        <v>235</v>
      </c>
      <c r="O63" s="112" t="s">
        <v>224</v>
      </c>
      <c r="P63" s="112" t="s">
        <v>197</v>
      </c>
      <c r="Q63" s="112" t="b">
        <v>1</v>
      </c>
      <c r="R63" s="112" t="s">
        <v>198</v>
      </c>
      <c r="S63" s="112" t="s">
        <v>199</v>
      </c>
      <c r="T63" s="112">
        <v>4</v>
      </c>
      <c r="U63" s="112" t="b">
        <v>0</v>
      </c>
      <c r="V63" s="112" t="s">
        <v>200</v>
      </c>
      <c r="W63" s="112" t="s">
        <v>201</v>
      </c>
      <c r="X63" s="112" t="s">
        <v>202</v>
      </c>
      <c r="Y63" s="112">
        <v>0</v>
      </c>
      <c r="Z63" s="112" t="s">
        <v>203</v>
      </c>
      <c r="AA63" s="112">
        <v>8</v>
      </c>
      <c r="AB63" s="112" t="s">
        <v>204</v>
      </c>
      <c r="AG63" s="112">
        <v>3312</v>
      </c>
      <c r="AJ63" s="112" t="b">
        <v>0</v>
      </c>
      <c r="AK63" s="112">
        <v>8</v>
      </c>
      <c r="AL63" s="112" t="s">
        <v>204</v>
      </c>
      <c r="AM63" s="112">
        <v>3312</v>
      </c>
      <c r="AT63" s="112" t="b">
        <v>0</v>
      </c>
      <c r="AU63" s="112">
        <v>3312</v>
      </c>
      <c r="AX63" s="112" t="b">
        <v>0</v>
      </c>
      <c r="AY63" s="112">
        <v>0</v>
      </c>
      <c r="BB63" s="112" t="b">
        <v>0</v>
      </c>
      <c r="BD63" s="112">
        <v>64975342.207999997</v>
      </c>
      <c r="BE63" s="112">
        <v>64975342.207999997</v>
      </c>
      <c r="BF63" s="112" t="b">
        <v>0</v>
      </c>
      <c r="BG63" s="112">
        <v>0</v>
      </c>
      <c r="BH63" s="112">
        <v>-1</v>
      </c>
      <c r="BI63" s="112">
        <v>0</v>
      </c>
      <c r="BJ63" s="112" t="b">
        <v>0</v>
      </c>
      <c r="BK63" s="112">
        <v>0</v>
      </c>
      <c r="BL63" s="112" t="b">
        <v>0</v>
      </c>
      <c r="BM63" s="112" t="b">
        <v>1</v>
      </c>
    </row>
    <row r="64" spans="1:65">
      <c r="A64" s="112" t="s">
        <v>187</v>
      </c>
      <c r="B64" s="112" t="s">
        <v>188</v>
      </c>
      <c r="C64" s="112">
        <v>20240101</v>
      </c>
      <c r="D64" s="112">
        <v>2024</v>
      </c>
      <c r="E64" s="112">
        <v>52</v>
      </c>
      <c r="F64" s="112" t="s">
        <v>239</v>
      </c>
      <c r="G64" s="112">
        <v>686</v>
      </c>
      <c r="H64" s="112" t="s">
        <v>190</v>
      </c>
      <c r="I64" s="112" t="s">
        <v>191</v>
      </c>
      <c r="J64" s="112" t="s">
        <v>192</v>
      </c>
      <c r="K64" s="112" t="s">
        <v>193</v>
      </c>
      <c r="L64" s="112">
        <v>0</v>
      </c>
      <c r="M64" s="112" t="s">
        <v>247</v>
      </c>
      <c r="N64" s="112" t="s">
        <v>248</v>
      </c>
      <c r="O64" s="112" t="s">
        <v>224</v>
      </c>
      <c r="P64" s="112" t="s">
        <v>197</v>
      </c>
      <c r="Q64" s="112" t="b">
        <v>1</v>
      </c>
      <c r="R64" s="112" t="s">
        <v>198</v>
      </c>
      <c r="S64" s="112" t="s">
        <v>199</v>
      </c>
      <c r="T64" s="112">
        <v>4</v>
      </c>
      <c r="U64" s="112" t="b">
        <v>0</v>
      </c>
      <c r="V64" s="112" t="s">
        <v>200</v>
      </c>
      <c r="W64" s="112" t="s">
        <v>201</v>
      </c>
      <c r="X64" s="112" t="s">
        <v>202</v>
      </c>
      <c r="Y64" s="112">
        <v>0</v>
      </c>
      <c r="Z64" s="112" t="s">
        <v>203</v>
      </c>
      <c r="AA64" s="112">
        <v>8</v>
      </c>
      <c r="AB64" s="112" t="s">
        <v>204</v>
      </c>
      <c r="AG64" s="112">
        <v>14597</v>
      </c>
      <c r="AJ64" s="112" t="b">
        <v>0</v>
      </c>
      <c r="AK64" s="112">
        <v>8</v>
      </c>
      <c r="AL64" s="112" t="s">
        <v>204</v>
      </c>
      <c r="AM64" s="112">
        <v>14597</v>
      </c>
      <c r="AT64" s="112" t="b">
        <v>0</v>
      </c>
      <c r="AU64" s="112">
        <v>14597</v>
      </c>
      <c r="AX64" s="112" t="b">
        <v>0</v>
      </c>
      <c r="AY64" s="112">
        <v>0</v>
      </c>
      <c r="BB64" s="112" t="b">
        <v>0</v>
      </c>
      <c r="BD64" s="112">
        <v>930217713.69799995</v>
      </c>
      <c r="BE64" s="112">
        <v>930217713.69799995</v>
      </c>
      <c r="BF64" s="112" t="b">
        <v>0</v>
      </c>
      <c r="BG64" s="112">
        <v>0</v>
      </c>
      <c r="BH64" s="112">
        <v>-1</v>
      </c>
      <c r="BI64" s="112">
        <v>0</v>
      </c>
      <c r="BJ64" s="112" t="b">
        <v>0</v>
      </c>
      <c r="BK64" s="112">
        <v>0</v>
      </c>
      <c r="BL64" s="112" t="b">
        <v>0</v>
      </c>
      <c r="BM64" s="112" t="b">
        <v>1</v>
      </c>
    </row>
    <row r="65" spans="1:65">
      <c r="A65" s="112" t="s">
        <v>187</v>
      </c>
      <c r="B65" s="112" t="s">
        <v>188</v>
      </c>
      <c r="C65" s="112">
        <v>20180101</v>
      </c>
      <c r="D65" s="112">
        <v>2018</v>
      </c>
      <c r="E65" s="112">
        <v>52</v>
      </c>
      <c r="F65" s="112" t="s">
        <v>227</v>
      </c>
      <c r="G65" s="112">
        <v>686</v>
      </c>
      <c r="H65" s="112" t="s">
        <v>190</v>
      </c>
      <c r="I65" s="112" t="s">
        <v>191</v>
      </c>
      <c r="J65" s="112" t="s">
        <v>192</v>
      </c>
      <c r="K65" s="112" t="s">
        <v>193</v>
      </c>
      <c r="L65" s="112">
        <v>0</v>
      </c>
      <c r="M65" s="112" t="s">
        <v>247</v>
      </c>
      <c r="N65" s="112" t="s">
        <v>248</v>
      </c>
      <c r="O65" s="112" t="s">
        <v>220</v>
      </c>
      <c r="P65" s="112" t="s">
        <v>197</v>
      </c>
      <c r="Q65" s="112" t="b">
        <v>1</v>
      </c>
      <c r="R65" s="112" t="s">
        <v>198</v>
      </c>
      <c r="S65" s="112" t="s">
        <v>199</v>
      </c>
      <c r="T65" s="112">
        <v>4</v>
      </c>
      <c r="U65" s="112" t="b">
        <v>0</v>
      </c>
      <c r="V65" s="112" t="s">
        <v>200</v>
      </c>
      <c r="W65" s="112" t="s">
        <v>201</v>
      </c>
      <c r="X65" s="112" t="s">
        <v>228</v>
      </c>
      <c r="Y65" s="112">
        <v>0</v>
      </c>
      <c r="Z65" s="112" t="s">
        <v>203</v>
      </c>
      <c r="AA65" s="112">
        <v>8</v>
      </c>
      <c r="AB65" s="112" t="s">
        <v>204</v>
      </c>
      <c r="AG65" s="112">
        <v>14892</v>
      </c>
      <c r="AJ65" s="112" t="b">
        <v>0</v>
      </c>
      <c r="AK65" s="112">
        <v>8</v>
      </c>
      <c r="AL65" s="112" t="s">
        <v>204</v>
      </c>
      <c r="AM65" s="112">
        <v>14892</v>
      </c>
      <c r="AT65" s="112" t="b">
        <v>0</v>
      </c>
      <c r="AU65" s="112">
        <v>14892</v>
      </c>
      <c r="AX65" s="112" t="b">
        <v>0</v>
      </c>
      <c r="BB65" s="112" t="b">
        <v>0</v>
      </c>
      <c r="BD65" s="112">
        <v>563301160.13900006</v>
      </c>
      <c r="BE65" s="112">
        <v>563301160.13900006</v>
      </c>
      <c r="BF65" s="112" t="b">
        <v>0</v>
      </c>
      <c r="BG65" s="112">
        <v>0</v>
      </c>
      <c r="BH65" s="112">
        <v>-1</v>
      </c>
      <c r="BI65" s="112">
        <v>0</v>
      </c>
      <c r="BJ65" s="112" t="b">
        <v>0</v>
      </c>
      <c r="BK65" s="112">
        <v>0</v>
      </c>
      <c r="BL65" s="112" t="b">
        <v>0</v>
      </c>
      <c r="BM65" s="112" t="b">
        <v>1</v>
      </c>
    </row>
    <row r="66" spans="1:65">
      <c r="A66" s="112" t="s">
        <v>187</v>
      </c>
      <c r="B66" s="112" t="s">
        <v>188</v>
      </c>
      <c r="C66" s="112">
        <v>20220101</v>
      </c>
      <c r="D66" s="112">
        <v>2022</v>
      </c>
      <c r="E66" s="112">
        <v>52</v>
      </c>
      <c r="F66" s="112" t="s">
        <v>223</v>
      </c>
      <c r="G66" s="112">
        <v>686</v>
      </c>
      <c r="H66" s="112" t="s">
        <v>190</v>
      </c>
      <c r="I66" s="112" t="s">
        <v>191</v>
      </c>
      <c r="J66" s="112" t="s">
        <v>192</v>
      </c>
      <c r="K66" s="112" t="s">
        <v>193</v>
      </c>
      <c r="L66" s="112">
        <v>0</v>
      </c>
      <c r="M66" s="112" t="s">
        <v>247</v>
      </c>
      <c r="N66" s="112" t="s">
        <v>248</v>
      </c>
      <c r="O66" s="112" t="s">
        <v>224</v>
      </c>
      <c r="P66" s="112" t="s">
        <v>197</v>
      </c>
      <c r="Q66" s="112" t="b">
        <v>1</v>
      </c>
      <c r="R66" s="112" t="s">
        <v>198</v>
      </c>
      <c r="S66" s="112" t="s">
        <v>199</v>
      </c>
      <c r="T66" s="112">
        <v>4</v>
      </c>
      <c r="U66" s="112" t="b">
        <v>0</v>
      </c>
      <c r="V66" s="112" t="s">
        <v>200</v>
      </c>
      <c r="W66" s="112" t="s">
        <v>201</v>
      </c>
      <c r="X66" s="112" t="s">
        <v>202</v>
      </c>
      <c r="Y66" s="112">
        <v>0</v>
      </c>
      <c r="Z66" s="112" t="s">
        <v>203</v>
      </c>
      <c r="AA66" s="112">
        <v>8</v>
      </c>
      <c r="AB66" s="112" t="s">
        <v>204</v>
      </c>
      <c r="AG66" s="112">
        <v>18308</v>
      </c>
      <c r="AJ66" s="112" t="b">
        <v>0</v>
      </c>
      <c r="AK66" s="112">
        <v>8</v>
      </c>
      <c r="AL66" s="112" t="s">
        <v>204</v>
      </c>
      <c r="AM66" s="112">
        <v>18308</v>
      </c>
      <c r="AT66" s="112" t="b">
        <v>0</v>
      </c>
      <c r="AU66" s="112">
        <v>18308</v>
      </c>
      <c r="AX66" s="112" t="b">
        <v>0</v>
      </c>
      <c r="AY66" s="112">
        <v>0</v>
      </c>
      <c r="BB66" s="112" t="b">
        <v>0</v>
      </c>
      <c r="BD66" s="112">
        <v>930426058.26499999</v>
      </c>
      <c r="BE66" s="112">
        <v>930426058.26499999</v>
      </c>
      <c r="BF66" s="112" t="b">
        <v>0</v>
      </c>
      <c r="BG66" s="112">
        <v>0</v>
      </c>
      <c r="BH66" s="112">
        <v>-1</v>
      </c>
      <c r="BI66" s="112">
        <v>0</v>
      </c>
      <c r="BJ66" s="112" t="b">
        <v>0</v>
      </c>
      <c r="BK66" s="112">
        <v>0</v>
      </c>
      <c r="BL66" s="112" t="b">
        <v>0</v>
      </c>
      <c r="BM66" s="112" t="b">
        <v>1</v>
      </c>
    </row>
    <row r="67" spans="1:65">
      <c r="A67" s="112" t="s">
        <v>187</v>
      </c>
      <c r="B67" s="112" t="s">
        <v>188</v>
      </c>
      <c r="C67" s="112">
        <v>20210101</v>
      </c>
      <c r="D67" s="112">
        <v>2021</v>
      </c>
      <c r="E67" s="112">
        <v>52</v>
      </c>
      <c r="F67" s="112" t="s">
        <v>189</v>
      </c>
      <c r="G67" s="112">
        <v>686</v>
      </c>
      <c r="H67" s="112" t="s">
        <v>190</v>
      </c>
      <c r="I67" s="112" t="s">
        <v>191</v>
      </c>
      <c r="J67" s="112" t="s">
        <v>192</v>
      </c>
      <c r="K67" s="112" t="s">
        <v>193</v>
      </c>
      <c r="L67" s="112">
        <v>0</v>
      </c>
      <c r="M67" s="112" t="s">
        <v>247</v>
      </c>
      <c r="N67" s="112" t="s">
        <v>248</v>
      </c>
      <c r="O67" s="112" t="s">
        <v>196</v>
      </c>
      <c r="P67" s="112" t="s">
        <v>197</v>
      </c>
      <c r="Q67" s="112" t="b">
        <v>1</v>
      </c>
      <c r="R67" s="112" t="s">
        <v>198</v>
      </c>
      <c r="S67" s="112" t="s">
        <v>199</v>
      </c>
      <c r="T67" s="112">
        <v>4</v>
      </c>
      <c r="U67" s="112" t="b">
        <v>0</v>
      </c>
      <c r="V67" s="112" t="s">
        <v>200</v>
      </c>
      <c r="W67" s="112" t="s">
        <v>201</v>
      </c>
      <c r="X67" s="112" t="s">
        <v>202</v>
      </c>
      <c r="Y67" s="112">
        <v>0</v>
      </c>
      <c r="Z67" s="112" t="s">
        <v>203</v>
      </c>
      <c r="AA67" s="112">
        <v>8</v>
      </c>
      <c r="AB67" s="112" t="s">
        <v>204</v>
      </c>
      <c r="AG67" s="112">
        <v>18818</v>
      </c>
      <c r="AJ67" s="112" t="b">
        <v>0</v>
      </c>
      <c r="AK67" s="112">
        <v>8</v>
      </c>
      <c r="AL67" s="112" t="s">
        <v>204</v>
      </c>
      <c r="AM67" s="112">
        <v>18818</v>
      </c>
      <c r="AT67" s="112" t="b">
        <v>0</v>
      </c>
      <c r="AU67" s="112">
        <v>18818</v>
      </c>
      <c r="AX67" s="112" t="b">
        <v>0</v>
      </c>
      <c r="AY67" s="112">
        <v>0</v>
      </c>
      <c r="BB67" s="112" t="b">
        <v>0</v>
      </c>
      <c r="BC67" s="112">
        <v>0</v>
      </c>
      <c r="BD67" s="112">
        <v>973392397.86899996</v>
      </c>
      <c r="BE67" s="112">
        <v>973392397.86899996</v>
      </c>
      <c r="BF67" s="112" t="b">
        <v>0</v>
      </c>
      <c r="BG67" s="112">
        <v>0</v>
      </c>
      <c r="BH67" s="112">
        <v>-1</v>
      </c>
      <c r="BI67" s="112">
        <v>0</v>
      </c>
      <c r="BJ67" s="112" t="b">
        <v>0</v>
      </c>
      <c r="BK67" s="112">
        <v>0</v>
      </c>
      <c r="BL67" s="112" t="b">
        <v>0</v>
      </c>
      <c r="BM67" s="112" t="b">
        <v>1</v>
      </c>
    </row>
    <row r="68" spans="1:65">
      <c r="A68" s="112" t="s">
        <v>187</v>
      </c>
      <c r="B68" s="112" t="s">
        <v>188</v>
      </c>
      <c r="C68" s="112">
        <v>20190101</v>
      </c>
      <c r="D68" s="112">
        <v>2019</v>
      </c>
      <c r="E68" s="112">
        <v>52</v>
      </c>
      <c r="F68" s="112" t="s">
        <v>214</v>
      </c>
      <c r="G68" s="112">
        <v>686</v>
      </c>
      <c r="H68" s="112" t="s">
        <v>190</v>
      </c>
      <c r="I68" s="112" t="s">
        <v>191</v>
      </c>
      <c r="J68" s="112" t="s">
        <v>192</v>
      </c>
      <c r="K68" s="112" t="s">
        <v>193</v>
      </c>
      <c r="L68" s="112">
        <v>0</v>
      </c>
      <c r="M68" s="112" t="s">
        <v>247</v>
      </c>
      <c r="N68" s="112" t="s">
        <v>248</v>
      </c>
      <c r="O68" s="112" t="s">
        <v>196</v>
      </c>
      <c r="P68" s="112" t="s">
        <v>197</v>
      </c>
      <c r="Q68" s="112" t="b">
        <v>1</v>
      </c>
      <c r="R68" s="112" t="s">
        <v>198</v>
      </c>
      <c r="S68" s="112" t="s">
        <v>199</v>
      </c>
      <c r="T68" s="112">
        <v>4</v>
      </c>
      <c r="U68" s="112" t="b">
        <v>0</v>
      </c>
      <c r="V68" s="112" t="s">
        <v>200</v>
      </c>
      <c r="W68" s="112" t="s">
        <v>201</v>
      </c>
      <c r="X68" s="112" t="s">
        <v>202</v>
      </c>
      <c r="Y68" s="112">
        <v>0</v>
      </c>
      <c r="Z68" s="112" t="s">
        <v>203</v>
      </c>
      <c r="AA68" s="112">
        <v>8</v>
      </c>
      <c r="AB68" s="112" t="s">
        <v>204</v>
      </c>
      <c r="AG68" s="112">
        <v>16072</v>
      </c>
      <c r="AJ68" s="112" t="b">
        <v>0</v>
      </c>
      <c r="AK68" s="112">
        <v>8</v>
      </c>
      <c r="AL68" s="112" t="s">
        <v>204</v>
      </c>
      <c r="AM68" s="112">
        <v>16072</v>
      </c>
      <c r="AT68" s="112" t="b">
        <v>0</v>
      </c>
      <c r="AU68" s="112">
        <v>16072</v>
      </c>
      <c r="AX68" s="112" t="b">
        <v>0</v>
      </c>
      <c r="AY68" s="112">
        <v>0</v>
      </c>
      <c r="BB68" s="112" t="b">
        <v>0</v>
      </c>
      <c r="BD68" s="112">
        <v>641693544.77400005</v>
      </c>
      <c r="BE68" s="112">
        <v>641693544.77400005</v>
      </c>
      <c r="BF68" s="112" t="b">
        <v>0</v>
      </c>
      <c r="BG68" s="112">
        <v>0</v>
      </c>
      <c r="BH68" s="112">
        <v>-1</v>
      </c>
      <c r="BI68" s="112">
        <v>0</v>
      </c>
      <c r="BJ68" s="112" t="b">
        <v>0</v>
      </c>
      <c r="BK68" s="112">
        <v>0</v>
      </c>
      <c r="BL68" s="112" t="b">
        <v>0</v>
      </c>
      <c r="BM68" s="112" t="b">
        <v>1</v>
      </c>
    </row>
    <row r="69" spans="1:65">
      <c r="A69" s="112" t="s">
        <v>187</v>
      </c>
      <c r="B69" s="112" t="s">
        <v>188</v>
      </c>
      <c r="C69" s="112">
        <v>20230101</v>
      </c>
      <c r="D69" s="112">
        <v>2023</v>
      </c>
      <c r="E69" s="112">
        <v>52</v>
      </c>
      <c r="F69" s="112" t="s">
        <v>231</v>
      </c>
      <c r="G69" s="112">
        <v>686</v>
      </c>
      <c r="H69" s="112" t="s">
        <v>190</v>
      </c>
      <c r="I69" s="112" t="s">
        <v>191</v>
      </c>
      <c r="J69" s="112" t="s">
        <v>192</v>
      </c>
      <c r="K69" s="112" t="s">
        <v>193</v>
      </c>
      <c r="L69" s="112">
        <v>0</v>
      </c>
      <c r="M69" s="112" t="s">
        <v>247</v>
      </c>
      <c r="N69" s="112" t="s">
        <v>248</v>
      </c>
      <c r="O69" s="112" t="s">
        <v>224</v>
      </c>
      <c r="P69" s="112" t="s">
        <v>197</v>
      </c>
      <c r="Q69" s="112" t="b">
        <v>1</v>
      </c>
      <c r="R69" s="112" t="s">
        <v>198</v>
      </c>
      <c r="S69" s="112" t="s">
        <v>199</v>
      </c>
      <c r="T69" s="112">
        <v>4</v>
      </c>
      <c r="U69" s="112" t="b">
        <v>0</v>
      </c>
      <c r="V69" s="112" t="s">
        <v>200</v>
      </c>
      <c r="W69" s="112" t="s">
        <v>201</v>
      </c>
      <c r="X69" s="112" t="s">
        <v>202</v>
      </c>
      <c r="Y69" s="112">
        <v>0</v>
      </c>
      <c r="Z69" s="112" t="s">
        <v>203</v>
      </c>
      <c r="AA69" s="112">
        <v>8</v>
      </c>
      <c r="AB69" s="112" t="s">
        <v>204</v>
      </c>
      <c r="AG69" s="112">
        <v>16984</v>
      </c>
      <c r="AJ69" s="112" t="b">
        <v>0</v>
      </c>
      <c r="AK69" s="112">
        <v>8</v>
      </c>
      <c r="AL69" s="112" t="s">
        <v>204</v>
      </c>
      <c r="AM69" s="112">
        <v>16984</v>
      </c>
      <c r="AT69" s="112" t="b">
        <v>0</v>
      </c>
      <c r="AU69" s="112">
        <v>16984</v>
      </c>
      <c r="AX69" s="112" t="b">
        <v>0</v>
      </c>
      <c r="AY69" s="112">
        <v>0</v>
      </c>
      <c r="BB69" s="112" t="b">
        <v>0</v>
      </c>
      <c r="BD69" s="112">
        <v>874749413.23000002</v>
      </c>
      <c r="BE69" s="112">
        <v>874749413.23000002</v>
      </c>
      <c r="BF69" s="112" t="b">
        <v>0</v>
      </c>
      <c r="BG69" s="112">
        <v>0</v>
      </c>
      <c r="BH69" s="112">
        <v>-1</v>
      </c>
      <c r="BI69" s="112">
        <v>0</v>
      </c>
      <c r="BJ69" s="112" t="b">
        <v>0</v>
      </c>
      <c r="BK69" s="112">
        <v>0</v>
      </c>
      <c r="BL69" s="112" t="b">
        <v>0</v>
      </c>
      <c r="BM69" s="112" t="b">
        <v>1</v>
      </c>
    </row>
    <row r="70" spans="1:65">
      <c r="A70" s="112" t="s">
        <v>187</v>
      </c>
      <c r="B70" s="112" t="s">
        <v>188</v>
      </c>
      <c r="C70" s="112">
        <v>20140101</v>
      </c>
      <c r="D70" s="112">
        <v>2014</v>
      </c>
      <c r="E70" s="112">
        <v>52</v>
      </c>
      <c r="F70" s="112" t="s">
        <v>206</v>
      </c>
      <c r="G70" s="112">
        <v>686</v>
      </c>
      <c r="H70" s="112" t="s">
        <v>190</v>
      </c>
      <c r="I70" s="112" t="s">
        <v>191</v>
      </c>
      <c r="J70" s="112" t="s">
        <v>192</v>
      </c>
      <c r="K70" s="112" t="s">
        <v>193</v>
      </c>
      <c r="L70" s="112">
        <v>0</v>
      </c>
      <c r="M70" s="112" t="s">
        <v>247</v>
      </c>
      <c r="N70" s="112" t="s">
        <v>248</v>
      </c>
      <c r="O70" s="112" t="s">
        <v>209</v>
      </c>
      <c r="P70" s="112" t="s">
        <v>197</v>
      </c>
      <c r="Q70" s="112" t="b">
        <v>1</v>
      </c>
      <c r="R70" s="112" t="s">
        <v>198</v>
      </c>
      <c r="S70" s="112" t="s">
        <v>199</v>
      </c>
      <c r="T70" s="112">
        <v>4</v>
      </c>
      <c r="U70" s="112" t="b">
        <v>0</v>
      </c>
      <c r="V70" s="112" t="s">
        <v>200</v>
      </c>
      <c r="W70" s="112" t="s">
        <v>201</v>
      </c>
      <c r="X70" s="112" t="s">
        <v>202</v>
      </c>
      <c r="Y70" s="112">
        <v>0</v>
      </c>
      <c r="Z70" s="112" t="s">
        <v>203</v>
      </c>
      <c r="AA70" s="112">
        <v>8</v>
      </c>
      <c r="AB70" s="112" t="s">
        <v>204</v>
      </c>
      <c r="AG70" s="112">
        <v>10141</v>
      </c>
      <c r="AJ70" s="112" t="b">
        <v>0</v>
      </c>
      <c r="AK70" s="112">
        <v>-1</v>
      </c>
      <c r="AL70" s="112" t="s">
        <v>205</v>
      </c>
      <c r="AT70" s="112" t="b">
        <v>0</v>
      </c>
      <c r="AU70" s="112">
        <v>10141</v>
      </c>
      <c r="AX70" s="112" t="b">
        <v>0</v>
      </c>
      <c r="BB70" s="112" t="b">
        <v>0</v>
      </c>
      <c r="BD70" s="112">
        <v>345605542</v>
      </c>
      <c r="BE70" s="112">
        <v>345605542</v>
      </c>
      <c r="BF70" s="112" t="b">
        <v>0</v>
      </c>
      <c r="BG70" s="112">
        <v>0</v>
      </c>
      <c r="BH70" s="112">
        <v>-1</v>
      </c>
      <c r="BI70" s="112">
        <v>0</v>
      </c>
      <c r="BJ70" s="112" t="b">
        <v>0</v>
      </c>
      <c r="BK70" s="112">
        <v>0</v>
      </c>
      <c r="BL70" s="112" t="b">
        <v>1</v>
      </c>
      <c r="BM70" s="112" t="b">
        <v>0</v>
      </c>
    </row>
    <row r="71" spans="1:65">
      <c r="A71" s="112" t="s">
        <v>187</v>
      </c>
      <c r="B71" s="112" t="s">
        <v>188</v>
      </c>
      <c r="C71" s="112">
        <v>20170101</v>
      </c>
      <c r="D71" s="112">
        <v>2017</v>
      </c>
      <c r="E71" s="112">
        <v>52</v>
      </c>
      <c r="F71" s="112" t="s">
        <v>238</v>
      </c>
      <c r="G71" s="112">
        <v>686</v>
      </c>
      <c r="H71" s="112" t="s">
        <v>190</v>
      </c>
      <c r="I71" s="112" t="s">
        <v>191</v>
      </c>
      <c r="J71" s="112" t="s">
        <v>192</v>
      </c>
      <c r="K71" s="112" t="s">
        <v>193</v>
      </c>
      <c r="L71" s="112">
        <v>0</v>
      </c>
      <c r="M71" s="112" t="s">
        <v>247</v>
      </c>
      <c r="N71" s="112" t="s">
        <v>248</v>
      </c>
      <c r="O71" s="112" t="s">
        <v>220</v>
      </c>
      <c r="P71" s="112" t="s">
        <v>197</v>
      </c>
      <c r="Q71" s="112" t="b">
        <v>1</v>
      </c>
      <c r="R71" s="112" t="s">
        <v>198</v>
      </c>
      <c r="S71" s="112" t="s">
        <v>199</v>
      </c>
      <c r="T71" s="112">
        <v>4</v>
      </c>
      <c r="U71" s="112" t="b">
        <v>0</v>
      </c>
      <c r="V71" s="112" t="s">
        <v>200</v>
      </c>
      <c r="W71" s="112" t="s">
        <v>201</v>
      </c>
      <c r="X71" s="112" t="s">
        <v>228</v>
      </c>
      <c r="Y71" s="112">
        <v>0</v>
      </c>
      <c r="Z71" s="112" t="s">
        <v>203</v>
      </c>
      <c r="AA71" s="112">
        <v>8</v>
      </c>
      <c r="AB71" s="112" t="s">
        <v>204</v>
      </c>
      <c r="AG71" s="112">
        <v>11670</v>
      </c>
      <c r="AJ71" s="112" t="b">
        <v>0</v>
      </c>
      <c r="AK71" s="112">
        <v>8</v>
      </c>
      <c r="AL71" s="112" t="s">
        <v>204</v>
      </c>
      <c r="AM71" s="112">
        <v>11670</v>
      </c>
      <c r="AT71" s="112" t="b">
        <v>0</v>
      </c>
      <c r="AU71" s="112">
        <v>11670</v>
      </c>
      <c r="AX71" s="112" t="b">
        <v>0</v>
      </c>
      <c r="BB71" s="112" t="b">
        <v>0</v>
      </c>
      <c r="BD71" s="112">
        <v>376805839.63700002</v>
      </c>
      <c r="BE71" s="112">
        <v>376805839.63700002</v>
      </c>
      <c r="BF71" s="112" t="b">
        <v>0</v>
      </c>
      <c r="BG71" s="112">
        <v>0</v>
      </c>
      <c r="BH71" s="112">
        <v>-1</v>
      </c>
      <c r="BI71" s="112">
        <v>0</v>
      </c>
      <c r="BJ71" s="112" t="b">
        <v>0</v>
      </c>
      <c r="BK71" s="112">
        <v>0</v>
      </c>
      <c r="BL71" s="112" t="b">
        <v>0</v>
      </c>
      <c r="BM71" s="112" t="b">
        <v>1</v>
      </c>
    </row>
    <row r="72" spans="1:65">
      <c r="A72" s="112" t="s">
        <v>187</v>
      </c>
      <c r="B72" s="112" t="s">
        <v>188</v>
      </c>
      <c r="C72" s="112">
        <v>20150101</v>
      </c>
      <c r="D72" s="112">
        <v>2015</v>
      </c>
      <c r="E72" s="112">
        <v>52</v>
      </c>
      <c r="F72" s="112" t="s">
        <v>240</v>
      </c>
      <c r="G72" s="112">
        <v>686</v>
      </c>
      <c r="H72" s="112" t="s">
        <v>190</v>
      </c>
      <c r="I72" s="112" t="s">
        <v>191</v>
      </c>
      <c r="J72" s="112" t="s">
        <v>192</v>
      </c>
      <c r="K72" s="112" t="s">
        <v>193</v>
      </c>
      <c r="L72" s="112">
        <v>0</v>
      </c>
      <c r="M72" s="112" t="s">
        <v>247</v>
      </c>
      <c r="N72" s="112" t="s">
        <v>248</v>
      </c>
      <c r="O72" s="112" t="s">
        <v>220</v>
      </c>
      <c r="P72" s="112" t="s">
        <v>197</v>
      </c>
      <c r="Q72" s="112" t="b">
        <v>1</v>
      </c>
      <c r="R72" s="112" t="s">
        <v>198</v>
      </c>
      <c r="S72" s="112" t="s">
        <v>199</v>
      </c>
      <c r="T72" s="112">
        <v>4</v>
      </c>
      <c r="U72" s="112" t="b">
        <v>0</v>
      </c>
      <c r="V72" s="112" t="s">
        <v>200</v>
      </c>
      <c r="W72" s="112" t="s">
        <v>201</v>
      </c>
      <c r="X72" s="112" t="s">
        <v>202</v>
      </c>
      <c r="Y72" s="112">
        <v>0</v>
      </c>
      <c r="Z72" s="112" t="s">
        <v>203</v>
      </c>
      <c r="AA72" s="112">
        <v>8</v>
      </c>
      <c r="AB72" s="112" t="s">
        <v>204</v>
      </c>
      <c r="AG72" s="112">
        <v>7817</v>
      </c>
      <c r="AJ72" s="112" t="b">
        <v>0</v>
      </c>
      <c r="AK72" s="112">
        <v>-1</v>
      </c>
      <c r="AL72" s="112" t="s">
        <v>205</v>
      </c>
      <c r="AT72" s="112" t="b">
        <v>0</v>
      </c>
      <c r="AU72" s="112">
        <v>7817</v>
      </c>
      <c r="AX72" s="112" t="b">
        <v>0</v>
      </c>
      <c r="BB72" s="112" t="b">
        <v>0</v>
      </c>
      <c r="BD72" s="112">
        <v>254373065</v>
      </c>
      <c r="BE72" s="112">
        <v>254373065</v>
      </c>
      <c r="BF72" s="112" t="b">
        <v>0</v>
      </c>
      <c r="BG72" s="112">
        <v>0</v>
      </c>
      <c r="BH72" s="112">
        <v>-1</v>
      </c>
      <c r="BI72" s="112">
        <v>0</v>
      </c>
      <c r="BJ72" s="112" t="b">
        <v>0</v>
      </c>
      <c r="BK72" s="112">
        <v>0</v>
      </c>
      <c r="BL72" s="112" t="b">
        <v>1</v>
      </c>
      <c r="BM72" s="112" t="b">
        <v>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11B07-04C1-4B02-8D9D-E0C1BA42BE0B}">
  <dimension ref="A1:W16"/>
  <sheetViews>
    <sheetView showOutlineSymbols="0" defaultGridColor="0" workbookViewId="0"/>
  </sheetViews>
  <sheetFormatPr baseColWidth="10" defaultRowHeight="21.75"/>
  <cols>
    <col min="1" max="1" width="23.54296875" bestFit="1" customWidth="1"/>
    <col min="2" max="2" width="9.26953125" bestFit="1" customWidth="1"/>
    <col min="3" max="3" width="8.54296875" bestFit="1" customWidth="1"/>
    <col min="4" max="4" width="10.7265625" bestFit="1" customWidth="1"/>
    <col min="5" max="5" width="21.54296875" bestFit="1" customWidth="1"/>
    <col min="6" max="6" width="12.81640625" bestFit="1" customWidth="1"/>
    <col min="7" max="7" width="17.54296875" style="156" bestFit="1" customWidth="1"/>
    <col min="8" max="8" width="11.7265625" bestFit="1" customWidth="1"/>
    <col min="9" max="9" width="7.7265625" bestFit="1" customWidth="1"/>
    <col min="12" max="12" width="11.81640625" bestFit="1" customWidth="1"/>
    <col min="13" max="13" width="8.54296875" bestFit="1" customWidth="1"/>
    <col min="14" max="15" width="11.1796875" customWidth="1"/>
    <col min="20" max="20" width="14.1796875" bestFit="1" customWidth="1"/>
    <col min="22" max="22" width="19.08984375" customWidth="1"/>
  </cols>
  <sheetData>
    <row r="1" spans="1:23" ht="52.5" thickBot="1">
      <c r="A1" s="138" t="s">
        <v>660</v>
      </c>
      <c r="B1" s="138" t="s">
        <v>661</v>
      </c>
      <c r="C1" s="138" t="s">
        <v>662</v>
      </c>
      <c r="D1" s="138" t="s">
        <v>663</v>
      </c>
      <c r="E1" s="138" t="s">
        <v>276</v>
      </c>
      <c r="F1" s="138" t="s">
        <v>664</v>
      </c>
      <c r="G1" s="155" t="s">
        <v>665</v>
      </c>
      <c r="H1" s="138" t="s">
        <v>666</v>
      </c>
      <c r="I1" s="152" t="s">
        <v>716</v>
      </c>
      <c r="J1" s="152" t="s">
        <v>84</v>
      </c>
      <c r="N1" s="138" t="s">
        <v>660</v>
      </c>
      <c r="O1" s="138" t="s">
        <v>661</v>
      </c>
      <c r="P1" s="138" t="s">
        <v>662</v>
      </c>
      <c r="Q1" s="138" t="s">
        <v>663</v>
      </c>
      <c r="R1" s="138" t="s">
        <v>276</v>
      </c>
      <c r="S1" s="138" t="s">
        <v>664</v>
      </c>
      <c r="T1" s="155" t="s">
        <v>665</v>
      </c>
      <c r="U1" s="138" t="s">
        <v>666</v>
      </c>
      <c r="V1" s="152" t="s">
        <v>716</v>
      </c>
      <c r="W1" s="152" t="s">
        <v>84</v>
      </c>
    </row>
    <row r="2" spans="1:23" ht="23.25" thickTop="1" thickBot="1">
      <c r="A2" s="153" t="s">
        <v>333</v>
      </c>
      <c r="B2" s="153" t="s">
        <v>70</v>
      </c>
      <c r="C2" s="153" t="s">
        <v>336</v>
      </c>
      <c r="D2" s="153" t="s">
        <v>338</v>
      </c>
      <c r="E2" s="153" t="s">
        <v>715</v>
      </c>
      <c r="F2" s="153">
        <v>105001</v>
      </c>
      <c r="G2" s="157">
        <v>176892827875</v>
      </c>
      <c r="H2" s="153">
        <v>254705218</v>
      </c>
      <c r="I2" s="153">
        <v>1.6547367049999999</v>
      </c>
      <c r="J2" s="153">
        <v>2024</v>
      </c>
      <c r="K2" t="s">
        <v>718</v>
      </c>
      <c r="L2" s="159">
        <v>32150.75</v>
      </c>
      <c r="M2" s="159" t="s">
        <v>715</v>
      </c>
      <c r="N2" s="154" t="s">
        <v>333</v>
      </c>
      <c r="O2" s="154" t="s">
        <v>70</v>
      </c>
      <c r="P2" s="154" t="s">
        <v>336</v>
      </c>
      <c r="Q2" s="154" t="s">
        <v>338</v>
      </c>
      <c r="R2" s="154" t="s">
        <v>717</v>
      </c>
      <c r="S2" s="154">
        <f>F2/$L$4</f>
        <v>3.2658881034</v>
      </c>
      <c r="T2" s="157">
        <v>176892827875</v>
      </c>
      <c r="U2" s="154">
        <v>254705218</v>
      </c>
      <c r="V2" s="154">
        <v>1.6547367049999999</v>
      </c>
      <c r="W2" s="154">
        <v>2024</v>
      </c>
    </row>
    <row r="3" spans="1:23" ht="23.25" thickTop="1" thickBot="1">
      <c r="A3" s="153" t="s">
        <v>333</v>
      </c>
      <c r="B3" s="153" t="s">
        <v>72</v>
      </c>
      <c r="C3" s="153" t="s">
        <v>532</v>
      </c>
      <c r="D3" s="153" t="s">
        <v>534</v>
      </c>
      <c r="E3" s="154" t="s">
        <v>715</v>
      </c>
      <c r="F3" s="153">
        <v>116418</v>
      </c>
      <c r="G3" s="157">
        <v>171988995312</v>
      </c>
      <c r="H3" s="153">
        <v>287722269</v>
      </c>
      <c r="I3" s="153">
        <v>1.6547367049999999</v>
      </c>
      <c r="J3" s="153">
        <v>2024</v>
      </c>
      <c r="K3" t="s">
        <v>738</v>
      </c>
      <c r="L3" s="192">
        <v>31.103400000000001</v>
      </c>
      <c r="M3" t="s">
        <v>739</v>
      </c>
      <c r="N3" s="154" t="s">
        <v>333</v>
      </c>
      <c r="O3" s="154" t="s">
        <v>72</v>
      </c>
      <c r="P3" s="154" t="s">
        <v>532</v>
      </c>
      <c r="Q3" s="154" t="s">
        <v>534</v>
      </c>
      <c r="R3" s="154" t="s">
        <v>717</v>
      </c>
      <c r="S3" s="154">
        <f t="shared" ref="S2:S16" si="0">F3/$L$4</f>
        <v>3.6209956212000001</v>
      </c>
      <c r="T3" s="157">
        <v>171988995312</v>
      </c>
      <c r="U3" s="154">
        <v>287722269</v>
      </c>
      <c r="V3" s="154">
        <v>1.6547367049999999</v>
      </c>
      <c r="W3" s="154">
        <v>2024</v>
      </c>
    </row>
    <row r="4" spans="1:23" ht="23.25" thickTop="1" thickBot="1">
      <c r="A4" s="153" t="s">
        <v>333</v>
      </c>
      <c r="B4" s="153" t="s">
        <v>70</v>
      </c>
      <c r="C4" s="153" t="s">
        <v>336</v>
      </c>
      <c r="D4" s="153" t="s">
        <v>191</v>
      </c>
      <c r="E4" s="154" t="s">
        <v>715</v>
      </c>
      <c r="F4" s="153">
        <v>121623</v>
      </c>
      <c r="G4" s="157">
        <v>153070817850</v>
      </c>
      <c r="H4" s="153">
        <v>292498604</v>
      </c>
      <c r="I4" s="153">
        <v>1.6547367049999999</v>
      </c>
      <c r="J4" s="153">
        <v>2024</v>
      </c>
      <c r="K4" t="s">
        <v>718</v>
      </c>
      <c r="L4">
        <f>1000000/L3</f>
        <v>32150.825954718777</v>
      </c>
      <c r="M4" t="s">
        <v>715</v>
      </c>
      <c r="N4" s="154" t="s">
        <v>333</v>
      </c>
      <c r="O4" s="154" t="s">
        <v>70</v>
      </c>
      <c r="P4" s="154" t="s">
        <v>336</v>
      </c>
      <c r="Q4" s="154" t="s">
        <v>191</v>
      </c>
      <c r="R4" s="154" t="s">
        <v>717</v>
      </c>
      <c r="S4" s="154">
        <f t="shared" si="0"/>
        <v>3.7828888182</v>
      </c>
      <c r="T4" s="157">
        <v>153070817850</v>
      </c>
      <c r="U4" s="154">
        <v>292498604</v>
      </c>
      <c r="V4" s="154">
        <v>1.6547367049999999</v>
      </c>
      <c r="W4" s="154">
        <v>2024</v>
      </c>
    </row>
    <row r="5" spans="1:23" ht="23.25" thickTop="1" thickBot="1">
      <c r="A5" s="153" t="s">
        <v>333</v>
      </c>
      <c r="B5" s="153" t="s">
        <v>70</v>
      </c>
      <c r="C5" s="153" t="s">
        <v>336</v>
      </c>
      <c r="D5" s="153" t="s">
        <v>338</v>
      </c>
      <c r="E5" s="154" t="s">
        <v>715</v>
      </c>
      <c r="F5" s="153">
        <v>288697</v>
      </c>
      <c r="G5" s="157">
        <v>344273384269</v>
      </c>
      <c r="H5" s="153">
        <v>569681805</v>
      </c>
      <c r="I5" s="153">
        <v>1.65</v>
      </c>
      <c r="J5" s="153">
        <v>2023</v>
      </c>
      <c r="N5" s="154" t="s">
        <v>333</v>
      </c>
      <c r="O5" s="154" t="s">
        <v>70</v>
      </c>
      <c r="P5" s="154" t="s">
        <v>336</v>
      </c>
      <c r="Q5" s="154" t="s">
        <v>338</v>
      </c>
      <c r="R5" s="154" t="s">
        <v>717</v>
      </c>
      <c r="S5" s="154">
        <f t="shared" si="0"/>
        <v>8.9794582698000003</v>
      </c>
      <c r="T5" s="157">
        <v>344273384269</v>
      </c>
      <c r="U5" s="154">
        <v>569681805</v>
      </c>
      <c r="V5" s="154">
        <v>1.65</v>
      </c>
      <c r="W5" s="154">
        <v>2023</v>
      </c>
    </row>
    <row r="6" spans="1:23" ht="23.25" thickTop="1" thickBot="1">
      <c r="A6" s="153" t="s">
        <v>333</v>
      </c>
      <c r="B6" s="153" t="s">
        <v>72</v>
      </c>
      <c r="C6" s="153" t="s">
        <v>532</v>
      </c>
      <c r="D6" s="153" t="s">
        <v>534</v>
      </c>
      <c r="E6" s="154" t="s">
        <v>715</v>
      </c>
      <c r="F6" s="153">
        <v>119950</v>
      </c>
      <c r="G6" s="157">
        <v>138107655558</v>
      </c>
      <c r="H6" s="153">
        <v>228531807</v>
      </c>
      <c r="I6" s="153">
        <v>1.65</v>
      </c>
      <c r="J6" s="153">
        <v>2023</v>
      </c>
      <c r="N6" s="154" t="s">
        <v>333</v>
      </c>
      <c r="O6" s="154" t="s">
        <v>72</v>
      </c>
      <c r="P6" s="154" t="s">
        <v>532</v>
      </c>
      <c r="Q6" s="154" t="s">
        <v>534</v>
      </c>
      <c r="R6" s="154" t="s">
        <v>717</v>
      </c>
      <c r="S6" s="154">
        <f t="shared" si="0"/>
        <v>3.7308528299999999</v>
      </c>
      <c r="T6" s="157">
        <v>138107655558</v>
      </c>
      <c r="U6" s="154">
        <v>228531807</v>
      </c>
      <c r="V6" s="154">
        <v>1.65</v>
      </c>
      <c r="W6" s="154">
        <v>2023</v>
      </c>
    </row>
    <row r="7" spans="1:23" ht="23.25" thickTop="1" thickBot="1">
      <c r="A7" s="153" t="s">
        <v>333</v>
      </c>
      <c r="B7" s="153" t="s">
        <v>70</v>
      </c>
      <c r="C7" s="153" t="s">
        <v>336</v>
      </c>
      <c r="D7" s="153" t="s">
        <v>191</v>
      </c>
      <c r="E7" s="154" t="s">
        <v>715</v>
      </c>
      <c r="F7" s="153">
        <v>8000</v>
      </c>
      <c r="G7" s="157">
        <v>9494006760</v>
      </c>
      <c r="H7" s="153">
        <v>15710081</v>
      </c>
      <c r="I7" s="153">
        <v>1.65</v>
      </c>
      <c r="J7" s="153">
        <v>2023</v>
      </c>
      <c r="N7" s="154" t="s">
        <v>333</v>
      </c>
      <c r="O7" s="154" t="s">
        <v>70</v>
      </c>
      <c r="P7" s="154" t="s">
        <v>336</v>
      </c>
      <c r="Q7" s="154" t="s">
        <v>191</v>
      </c>
      <c r="R7" s="154" t="s">
        <v>717</v>
      </c>
      <c r="S7" s="154">
        <f t="shared" si="0"/>
        <v>0.2488272</v>
      </c>
      <c r="T7" s="157">
        <v>9494006760</v>
      </c>
      <c r="U7" s="154">
        <v>15710081</v>
      </c>
      <c r="V7" s="154">
        <v>1.65</v>
      </c>
      <c r="W7" s="154">
        <v>2023</v>
      </c>
    </row>
    <row r="8" spans="1:23" ht="23.25" thickTop="1" thickBot="1">
      <c r="A8" s="153" t="s">
        <v>333</v>
      </c>
      <c r="B8" s="153" t="s">
        <v>70</v>
      </c>
      <c r="C8" s="153" t="s">
        <v>336</v>
      </c>
      <c r="D8" s="153" t="s">
        <v>338</v>
      </c>
      <c r="E8" s="154" t="s">
        <v>715</v>
      </c>
      <c r="F8" s="153">
        <v>371843.97673600004</v>
      </c>
      <c r="G8" s="157">
        <v>380045730082</v>
      </c>
      <c r="H8" s="153">
        <v>611873625.43202007</v>
      </c>
      <c r="I8" s="153">
        <v>1.61</v>
      </c>
      <c r="J8" s="153">
        <v>2022</v>
      </c>
      <c r="N8" s="154" t="s">
        <v>333</v>
      </c>
      <c r="O8" s="154" t="s">
        <v>70</v>
      </c>
      <c r="P8" s="154" t="s">
        <v>336</v>
      </c>
      <c r="Q8" s="154" t="s">
        <v>338</v>
      </c>
      <c r="R8" s="154" t="s">
        <v>717</v>
      </c>
      <c r="S8" s="154">
        <f t="shared" si="0"/>
        <v>11.565611946010504</v>
      </c>
      <c r="T8" s="157">
        <v>380045730082</v>
      </c>
      <c r="U8" s="154">
        <v>611873625.43202007</v>
      </c>
      <c r="V8" s="154">
        <v>1.61</v>
      </c>
      <c r="W8" s="154">
        <v>2022</v>
      </c>
    </row>
    <row r="9" spans="1:23" ht="23.25" thickTop="1" thickBot="1">
      <c r="A9" s="153" t="s">
        <v>333</v>
      </c>
      <c r="B9" s="153" t="s">
        <v>72</v>
      </c>
      <c r="C9" s="153" t="s">
        <v>532</v>
      </c>
      <c r="D9" s="153" t="s">
        <v>534</v>
      </c>
      <c r="E9" s="154" t="s">
        <v>715</v>
      </c>
      <c r="F9" s="153">
        <v>142221.07932399999</v>
      </c>
      <c r="G9" s="157">
        <v>147954684761</v>
      </c>
      <c r="H9" s="153">
        <v>238207042.46521002</v>
      </c>
      <c r="I9" s="153">
        <v>1.61</v>
      </c>
      <c r="J9" s="153">
        <v>2022</v>
      </c>
      <c r="N9" s="154" t="s">
        <v>333</v>
      </c>
      <c r="O9" s="154" t="s">
        <v>72</v>
      </c>
      <c r="P9" s="154" t="s">
        <v>532</v>
      </c>
      <c r="Q9" s="154" t="s">
        <v>534</v>
      </c>
      <c r="R9" s="154" t="s">
        <v>717</v>
      </c>
      <c r="S9" s="154">
        <f t="shared" si="0"/>
        <v>4.423559118646101</v>
      </c>
      <c r="T9" s="157">
        <v>147954684761</v>
      </c>
      <c r="U9" s="154">
        <v>238207042.46521002</v>
      </c>
      <c r="V9" s="154">
        <v>1.61</v>
      </c>
      <c r="W9" s="154">
        <v>2022</v>
      </c>
    </row>
    <row r="10" spans="1:23" ht="23.25" thickTop="1" thickBot="1">
      <c r="A10" s="153" t="s">
        <v>333</v>
      </c>
      <c r="B10" s="153" t="s">
        <v>70</v>
      </c>
      <c r="C10" s="153" t="s">
        <v>336</v>
      </c>
      <c r="D10" s="153" t="s">
        <v>191</v>
      </c>
      <c r="E10" s="154" t="s">
        <v>715</v>
      </c>
      <c r="F10" s="153">
        <v>12292.975059999999</v>
      </c>
      <c r="G10" s="157">
        <v>12540974385</v>
      </c>
      <c r="H10" s="153">
        <v>20190968.759850003</v>
      </c>
      <c r="I10" s="153">
        <v>1.61</v>
      </c>
      <c r="J10" s="153">
        <v>2022</v>
      </c>
      <c r="N10" s="154" t="s">
        <v>333</v>
      </c>
      <c r="O10" s="154" t="s">
        <v>70</v>
      </c>
      <c r="P10" s="154" t="s">
        <v>336</v>
      </c>
      <c r="Q10" s="154" t="s">
        <v>191</v>
      </c>
      <c r="R10" s="154" t="s">
        <v>717</v>
      </c>
      <c r="S10" s="154">
        <f t="shared" si="0"/>
        <v>0.38235332048120396</v>
      </c>
      <c r="T10" s="157">
        <v>12540974385</v>
      </c>
      <c r="U10" s="154">
        <v>20190968.759850003</v>
      </c>
      <c r="V10" s="154">
        <v>1.61</v>
      </c>
      <c r="W10" s="154">
        <v>2022</v>
      </c>
    </row>
    <row r="11" spans="1:23" ht="23.25" thickTop="1" thickBot="1">
      <c r="A11" s="153" t="s">
        <v>333</v>
      </c>
      <c r="B11" s="153" t="s">
        <v>70</v>
      </c>
      <c r="C11" s="153" t="s">
        <v>336</v>
      </c>
      <c r="D11" s="153" t="s">
        <v>338</v>
      </c>
      <c r="E11" s="154" t="s">
        <v>715</v>
      </c>
      <c r="F11" s="153">
        <v>381943</v>
      </c>
      <c r="G11" s="157">
        <v>381693870501</v>
      </c>
      <c r="H11" s="153">
        <v>687048966.90180004</v>
      </c>
      <c r="I11" s="153">
        <v>1.8</v>
      </c>
      <c r="J11" s="153">
        <v>2021</v>
      </c>
      <c r="N11" s="154" t="s">
        <v>333</v>
      </c>
      <c r="O11" s="154" t="s">
        <v>70</v>
      </c>
      <c r="P11" s="154" t="s">
        <v>336</v>
      </c>
      <c r="Q11" s="154" t="s">
        <v>338</v>
      </c>
      <c r="R11" s="154" t="s">
        <v>717</v>
      </c>
      <c r="S11" s="154">
        <f t="shared" si="0"/>
        <v>11.879725906199999</v>
      </c>
      <c r="T11" s="157">
        <v>381693870501</v>
      </c>
      <c r="U11" s="154">
        <v>687048966.90180004</v>
      </c>
      <c r="V11" s="154">
        <v>1.8</v>
      </c>
      <c r="W11" s="154">
        <v>2021</v>
      </c>
    </row>
    <row r="12" spans="1:23" ht="23.25" thickTop="1" thickBot="1">
      <c r="A12" s="153" t="s">
        <v>333</v>
      </c>
      <c r="B12" s="153" t="s">
        <v>72</v>
      </c>
      <c r="C12" s="153" t="s">
        <v>532</v>
      </c>
      <c r="D12" s="153" t="s">
        <v>534</v>
      </c>
      <c r="E12" s="154" t="s">
        <v>715</v>
      </c>
      <c r="F12" s="153">
        <v>128393</v>
      </c>
      <c r="G12" s="157">
        <v>123373225492</v>
      </c>
      <c r="H12" s="153">
        <v>222071805.8856</v>
      </c>
      <c r="I12" s="153">
        <v>1.8</v>
      </c>
      <c r="J12" s="153">
        <v>2021</v>
      </c>
      <c r="N12" s="154" t="s">
        <v>333</v>
      </c>
      <c r="O12" s="154" t="s">
        <v>72</v>
      </c>
      <c r="P12" s="154" t="s">
        <v>532</v>
      </c>
      <c r="Q12" s="154" t="s">
        <v>534</v>
      </c>
      <c r="R12" s="154" t="s">
        <v>717</v>
      </c>
      <c r="S12" s="154">
        <f t="shared" si="0"/>
        <v>3.9934588361999999</v>
      </c>
      <c r="T12" s="157">
        <v>123373225492</v>
      </c>
      <c r="U12" s="154">
        <v>222071805.8856</v>
      </c>
      <c r="V12" s="154">
        <v>1.8</v>
      </c>
      <c r="W12" s="154">
        <v>2021</v>
      </c>
    </row>
    <row r="13" spans="1:23" ht="23.25" thickTop="1" thickBot="1">
      <c r="A13" s="153" t="s">
        <v>333</v>
      </c>
      <c r="B13" s="153" t="s">
        <v>70</v>
      </c>
      <c r="C13" s="153" t="s">
        <v>336</v>
      </c>
      <c r="D13" s="153" t="s">
        <v>338</v>
      </c>
      <c r="E13" s="154" t="s">
        <v>715</v>
      </c>
      <c r="F13" s="153">
        <v>217890</v>
      </c>
      <c r="G13" s="157">
        <v>220079268751</v>
      </c>
      <c r="H13" s="153">
        <v>382937927.62673998</v>
      </c>
      <c r="I13" s="153">
        <v>1.74</v>
      </c>
      <c r="J13" s="153">
        <v>2020</v>
      </c>
      <c r="N13" s="154" t="s">
        <v>333</v>
      </c>
      <c r="O13" s="154" t="s">
        <v>70</v>
      </c>
      <c r="P13" s="154" t="s">
        <v>336</v>
      </c>
      <c r="Q13" s="154" t="s">
        <v>338</v>
      </c>
      <c r="R13" s="154" t="s">
        <v>717</v>
      </c>
      <c r="S13" s="154">
        <f t="shared" si="0"/>
        <v>6.7771198259999998</v>
      </c>
      <c r="T13" s="157">
        <v>220079268751</v>
      </c>
      <c r="U13" s="154">
        <v>382937927.62673998</v>
      </c>
      <c r="V13" s="154">
        <v>1.74</v>
      </c>
      <c r="W13" s="154">
        <v>2020</v>
      </c>
    </row>
    <row r="14" spans="1:23" ht="23.25" thickTop="1" thickBot="1">
      <c r="A14" s="153" t="s">
        <v>333</v>
      </c>
      <c r="B14" s="153" t="s">
        <v>70</v>
      </c>
      <c r="C14" s="153" t="s">
        <v>336</v>
      </c>
      <c r="D14" s="153" t="s">
        <v>652</v>
      </c>
      <c r="E14" s="154" t="s">
        <v>715</v>
      </c>
      <c r="F14" s="153">
        <v>8500</v>
      </c>
      <c r="G14" s="157">
        <v>8692666730</v>
      </c>
      <c r="H14" s="153">
        <v>15125240.110200001</v>
      </c>
      <c r="I14" s="153">
        <v>1.74</v>
      </c>
      <c r="J14" s="153">
        <v>2020</v>
      </c>
      <c r="N14" s="154" t="s">
        <v>333</v>
      </c>
      <c r="O14" s="154" t="s">
        <v>70</v>
      </c>
      <c r="P14" s="154" t="s">
        <v>336</v>
      </c>
      <c r="Q14" s="154" t="s">
        <v>652</v>
      </c>
      <c r="R14" s="154" t="s">
        <v>717</v>
      </c>
      <c r="S14" s="154">
        <f t="shared" si="0"/>
        <v>0.26437889999999997</v>
      </c>
      <c r="T14" s="157">
        <v>8692666730</v>
      </c>
      <c r="U14" s="154">
        <v>15125240.110200001</v>
      </c>
      <c r="V14" s="154">
        <v>1.74</v>
      </c>
      <c r="W14" s="154">
        <v>2020</v>
      </c>
    </row>
    <row r="15" spans="1:23" ht="23.25" thickTop="1" thickBot="1">
      <c r="A15" s="153" t="s">
        <v>333</v>
      </c>
      <c r="B15" s="153" t="s">
        <v>72</v>
      </c>
      <c r="C15" s="153" t="s">
        <v>532</v>
      </c>
      <c r="D15" s="153" t="s">
        <v>338</v>
      </c>
      <c r="E15" s="154" t="s">
        <v>715</v>
      </c>
      <c r="F15" s="153">
        <v>42455</v>
      </c>
      <c r="G15" s="157">
        <v>39522643736</v>
      </c>
      <c r="H15" s="153">
        <v>68769400.100639999</v>
      </c>
      <c r="I15" s="153">
        <v>1.74</v>
      </c>
      <c r="J15" s="153">
        <v>2020</v>
      </c>
      <c r="N15" s="154" t="s">
        <v>333</v>
      </c>
      <c r="O15" s="154" t="s">
        <v>72</v>
      </c>
      <c r="P15" s="154" t="s">
        <v>532</v>
      </c>
      <c r="Q15" s="154" t="s">
        <v>338</v>
      </c>
      <c r="R15" s="154" t="s">
        <v>717</v>
      </c>
      <c r="S15" s="154">
        <f t="shared" si="0"/>
        <v>1.320494847</v>
      </c>
      <c r="T15" s="157">
        <v>39522643736</v>
      </c>
      <c r="U15" s="154">
        <v>68769400.100639999</v>
      </c>
      <c r="V15" s="154">
        <v>1.74</v>
      </c>
      <c r="W15" s="154">
        <v>2020</v>
      </c>
    </row>
    <row r="16" spans="1:23" ht="22.5" thickTop="1">
      <c r="A16" s="153" t="s">
        <v>333</v>
      </c>
      <c r="B16" s="153" t="s">
        <v>72</v>
      </c>
      <c r="C16" s="153" t="s">
        <v>532</v>
      </c>
      <c r="D16" s="153" t="s">
        <v>534</v>
      </c>
      <c r="E16" s="154" t="s">
        <v>715</v>
      </c>
      <c r="F16" s="153">
        <v>128355</v>
      </c>
      <c r="G16" s="157">
        <v>117267141286</v>
      </c>
      <c r="H16" s="153">
        <v>204044825.83763999</v>
      </c>
      <c r="I16" s="153">
        <v>1.74</v>
      </c>
      <c r="J16" s="153">
        <v>2020</v>
      </c>
      <c r="N16" s="154" t="s">
        <v>333</v>
      </c>
      <c r="O16" s="154" t="s">
        <v>72</v>
      </c>
      <c r="P16" s="154" t="s">
        <v>532</v>
      </c>
      <c r="Q16" s="154" t="s">
        <v>534</v>
      </c>
      <c r="R16" s="154" t="s">
        <v>717</v>
      </c>
      <c r="S16" s="154">
        <f t="shared" si="0"/>
        <v>3.9922769069999999</v>
      </c>
      <c r="T16" s="157">
        <v>117267141286</v>
      </c>
      <c r="U16" s="154">
        <v>204044825.83763999</v>
      </c>
      <c r="V16" s="154">
        <v>1.74</v>
      </c>
      <c r="W16" s="154">
        <v>2020</v>
      </c>
    </row>
  </sheetData>
  <sortState xmlns:xlrd2="http://schemas.microsoft.com/office/spreadsheetml/2017/richdata2" ref="A2:C11">
    <sortCondition ref="A1:A11"/>
  </sortState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D0FF3-51D4-441C-A716-E0ADDDD233D0}">
  <dimension ref="A1:Q28"/>
  <sheetViews>
    <sheetView showOutlineSymbols="0" defaultGridColor="0" workbookViewId="0"/>
  </sheetViews>
  <sheetFormatPr baseColWidth="10" defaultRowHeight="21.75"/>
  <cols>
    <col min="1" max="1" width="9.26953125" bestFit="1" customWidth="1"/>
    <col min="2" max="2" width="8.54296875" bestFit="1" customWidth="1"/>
    <col min="3" max="3" width="10.7265625" bestFit="1" customWidth="1"/>
    <col min="4" max="4" width="21.54296875" bestFit="1" customWidth="1"/>
    <col min="5" max="5" width="12.81640625" bestFit="1" customWidth="1"/>
    <col min="6" max="6" width="17.6328125" style="156" bestFit="1" customWidth="1"/>
    <col min="7" max="7" width="15" bestFit="1" customWidth="1"/>
    <col min="8" max="8" width="10.90625" bestFit="1" customWidth="1"/>
    <col min="9" max="10" width="11" bestFit="1" customWidth="1"/>
  </cols>
  <sheetData>
    <row r="1" spans="1:17" ht="52.5" thickBot="1">
      <c r="A1" s="138" t="s">
        <v>660</v>
      </c>
      <c r="B1" s="138" t="s">
        <v>661</v>
      </c>
      <c r="C1" s="138" t="s">
        <v>662</v>
      </c>
      <c r="D1" s="138" t="s">
        <v>663</v>
      </c>
      <c r="E1" s="138" t="s">
        <v>276</v>
      </c>
      <c r="F1" s="174" t="s">
        <v>664</v>
      </c>
      <c r="G1" s="175" t="s">
        <v>665</v>
      </c>
      <c r="H1" s="152" t="s">
        <v>666</v>
      </c>
      <c r="I1" s="152" t="s">
        <v>716</v>
      </c>
      <c r="J1" s="152" t="s">
        <v>84</v>
      </c>
      <c r="L1" s="164" t="s">
        <v>127</v>
      </c>
      <c r="M1" s="160" t="s">
        <v>130</v>
      </c>
      <c r="N1" s="160" t="s">
        <v>149</v>
      </c>
      <c r="O1" s="160" t="s">
        <v>154</v>
      </c>
      <c r="P1" s="160" t="s">
        <v>176</v>
      </c>
      <c r="Q1" s="167" t="s">
        <v>178</v>
      </c>
    </row>
    <row r="2" spans="1:17" ht="24.75" thickTop="1" thickBot="1">
      <c r="A2" s="154" t="s">
        <v>333</v>
      </c>
      <c r="B2" s="154" t="s">
        <v>70</v>
      </c>
      <c r="C2" s="154" t="s">
        <v>336</v>
      </c>
      <c r="D2" s="154" t="s">
        <v>338</v>
      </c>
      <c r="E2" s="154" t="s">
        <v>717</v>
      </c>
      <c r="F2" s="176">
        <v>3.2658958189155776</v>
      </c>
      <c r="G2" s="177">
        <v>176892827875</v>
      </c>
      <c r="H2" s="154">
        <v>254705218</v>
      </c>
      <c r="I2" s="154">
        <v>1.6547367049999999</v>
      </c>
      <c r="J2" s="154">
        <v>2024</v>
      </c>
      <c r="K2" s="158"/>
      <c r="L2" s="165" t="s">
        <v>239</v>
      </c>
      <c r="M2" s="162" t="s">
        <v>195</v>
      </c>
      <c r="N2" s="162" t="s">
        <v>717</v>
      </c>
      <c r="O2" s="162">
        <v>3.0426289999999998</v>
      </c>
      <c r="P2" s="162">
        <v>201071815.89399999</v>
      </c>
      <c r="Q2" s="168">
        <v>201071815.89399999</v>
      </c>
    </row>
    <row r="3" spans="1:17" ht="24.75" thickTop="1" thickBot="1">
      <c r="A3" s="154" t="s">
        <v>333</v>
      </c>
      <c r="B3" s="154" t="s">
        <v>72</v>
      </c>
      <c r="C3" s="154" t="s">
        <v>532</v>
      </c>
      <c r="D3" s="154" t="s">
        <v>534</v>
      </c>
      <c r="E3" s="154" t="s">
        <v>717</v>
      </c>
      <c r="F3" s="176">
        <v>3.6210041756413149</v>
      </c>
      <c r="G3" s="177">
        <v>171988995312</v>
      </c>
      <c r="H3" s="154">
        <v>287722269</v>
      </c>
      <c r="I3" s="154">
        <v>1.6547367049999999</v>
      </c>
      <c r="J3" s="154">
        <v>2024</v>
      </c>
      <c r="L3" s="166" t="s">
        <v>239</v>
      </c>
      <c r="M3" s="161" t="s">
        <v>242</v>
      </c>
      <c r="N3" s="162" t="s">
        <v>717</v>
      </c>
      <c r="O3" s="162">
        <v>1.0012E-2</v>
      </c>
      <c r="P3" s="161">
        <v>819980</v>
      </c>
      <c r="Q3" s="169">
        <v>819980</v>
      </c>
    </row>
    <row r="4" spans="1:17" ht="24.75" thickTop="1" thickBot="1">
      <c r="A4" s="154" t="s">
        <v>333</v>
      </c>
      <c r="B4" s="154" t="s">
        <v>70</v>
      </c>
      <c r="C4" s="154" t="s">
        <v>336</v>
      </c>
      <c r="D4" s="154" t="s">
        <v>191</v>
      </c>
      <c r="E4" s="154" t="s">
        <v>717</v>
      </c>
      <c r="F4" s="176">
        <v>3.7828977551068017</v>
      </c>
      <c r="G4" s="177">
        <v>153070817850</v>
      </c>
      <c r="H4" s="154">
        <v>292498604</v>
      </c>
      <c r="I4" s="154">
        <v>1.6547367049999999</v>
      </c>
      <c r="J4" s="154">
        <v>2024</v>
      </c>
      <c r="L4" s="165" t="s">
        <v>239</v>
      </c>
      <c r="M4" s="162" t="s">
        <v>219</v>
      </c>
      <c r="N4" s="162" t="s">
        <v>717</v>
      </c>
      <c r="O4" s="162">
        <v>1.0697E-2</v>
      </c>
      <c r="P4" s="162">
        <v>676674.71200000006</v>
      </c>
      <c r="Q4" s="168">
        <v>676674.71200000006</v>
      </c>
    </row>
    <row r="5" spans="1:17" ht="24.75" thickTop="1" thickBot="1">
      <c r="A5" s="154" t="s">
        <v>333</v>
      </c>
      <c r="B5" s="154" t="s">
        <v>70</v>
      </c>
      <c r="C5" s="154" t="s">
        <v>336</v>
      </c>
      <c r="D5" s="154" t="s">
        <v>338</v>
      </c>
      <c r="E5" s="154" t="s">
        <v>717</v>
      </c>
      <c r="F5" s="176">
        <v>8.9794794833713052</v>
      </c>
      <c r="G5" s="177">
        <v>344273384269</v>
      </c>
      <c r="H5" s="154">
        <v>569681805</v>
      </c>
      <c r="I5" s="154">
        <v>1.65</v>
      </c>
      <c r="J5" s="154">
        <v>2023</v>
      </c>
      <c r="L5" s="166" t="s">
        <v>239</v>
      </c>
      <c r="M5" s="161" t="s">
        <v>226</v>
      </c>
      <c r="N5" s="162" t="s">
        <v>717</v>
      </c>
      <c r="O5" s="162">
        <v>8.1029999999999998</v>
      </c>
      <c r="P5" s="161">
        <v>548487309.28999996</v>
      </c>
      <c r="Q5" s="169">
        <v>548487309.28999996</v>
      </c>
    </row>
    <row r="6" spans="1:17" ht="24.75" thickTop="1" thickBot="1">
      <c r="A6" s="154" t="s">
        <v>333</v>
      </c>
      <c r="B6" s="154" t="s">
        <v>72</v>
      </c>
      <c r="C6" s="154" t="s">
        <v>532</v>
      </c>
      <c r="D6" s="154" t="s">
        <v>534</v>
      </c>
      <c r="E6" s="154" t="s">
        <v>717</v>
      </c>
      <c r="F6" s="176">
        <v>3.7308616439740909</v>
      </c>
      <c r="G6" s="177">
        <v>138107655558</v>
      </c>
      <c r="H6" s="154">
        <v>228531807</v>
      </c>
      <c r="I6" s="154">
        <v>1.65</v>
      </c>
      <c r="J6" s="154">
        <v>2023</v>
      </c>
      <c r="L6" s="165" t="s">
        <v>239</v>
      </c>
      <c r="M6" s="162" t="s">
        <v>263</v>
      </c>
      <c r="N6" s="162" t="s">
        <v>717</v>
      </c>
      <c r="O6" s="162">
        <v>0.02</v>
      </c>
      <c r="P6" s="162">
        <v>1764637.62</v>
      </c>
      <c r="Q6" s="168">
        <v>1764637.62</v>
      </c>
    </row>
    <row r="7" spans="1:17" ht="24.75" thickTop="1" thickBot="1">
      <c r="A7" s="154" t="s">
        <v>333</v>
      </c>
      <c r="B7" s="154" t="s">
        <v>70</v>
      </c>
      <c r="C7" s="154" t="s">
        <v>336</v>
      </c>
      <c r="D7" s="154" t="s">
        <v>191</v>
      </c>
      <c r="E7" s="154" t="s">
        <v>717</v>
      </c>
      <c r="F7" s="176">
        <v>0.24882778784320739</v>
      </c>
      <c r="G7" s="177">
        <v>9494006760</v>
      </c>
      <c r="H7" s="154">
        <v>15710081</v>
      </c>
      <c r="I7" s="154">
        <v>1.65</v>
      </c>
      <c r="J7" s="154">
        <v>2023</v>
      </c>
      <c r="L7" s="166" t="s">
        <v>239</v>
      </c>
      <c r="M7" s="161" t="s">
        <v>212</v>
      </c>
      <c r="N7" s="162" t="s">
        <v>717</v>
      </c>
      <c r="O7" s="162">
        <v>1.9989999999999999E-3</v>
      </c>
      <c r="P7" s="161">
        <v>99765</v>
      </c>
      <c r="Q7" s="169">
        <v>99765</v>
      </c>
    </row>
    <row r="8" spans="1:17" ht="24.75" thickTop="1" thickBot="1">
      <c r="A8" s="154" t="s">
        <v>333</v>
      </c>
      <c r="B8" s="154" t="s">
        <v>70</v>
      </c>
      <c r="C8" s="154" t="s">
        <v>336</v>
      </c>
      <c r="D8" s="154" t="s">
        <v>338</v>
      </c>
      <c r="E8" s="154" t="s">
        <v>717</v>
      </c>
      <c r="F8" s="176">
        <v>11.565639269254996</v>
      </c>
      <c r="G8" s="177">
        <v>380045730082</v>
      </c>
      <c r="H8" s="154">
        <v>611873625.43202007</v>
      </c>
      <c r="I8" s="154">
        <v>1.61</v>
      </c>
      <c r="J8" s="154">
        <v>2022</v>
      </c>
      <c r="L8" s="165" t="s">
        <v>231</v>
      </c>
      <c r="M8" s="162" t="s">
        <v>195</v>
      </c>
      <c r="N8" s="162" t="s">
        <v>717</v>
      </c>
      <c r="O8" s="162">
        <v>3.7972040000000002</v>
      </c>
      <c r="P8" s="162">
        <v>230374640.12099999</v>
      </c>
      <c r="Q8" s="168">
        <v>230374640.12099999</v>
      </c>
    </row>
    <row r="9" spans="1:17" ht="24.75" thickTop="1" thickBot="1">
      <c r="A9" s="154" t="s">
        <v>333</v>
      </c>
      <c r="B9" s="154" t="s">
        <v>72</v>
      </c>
      <c r="C9" s="154" t="s">
        <v>532</v>
      </c>
      <c r="D9" s="154" t="s">
        <v>534</v>
      </c>
      <c r="E9" s="154" t="s">
        <v>717</v>
      </c>
      <c r="F9" s="176">
        <v>4.4235695691080297</v>
      </c>
      <c r="G9" s="177">
        <v>147954684761</v>
      </c>
      <c r="H9" s="154">
        <v>238207042.46521002</v>
      </c>
      <c r="I9" s="154">
        <v>1.61</v>
      </c>
      <c r="J9" s="154">
        <v>2022</v>
      </c>
      <c r="L9" s="166" t="s">
        <v>231</v>
      </c>
      <c r="M9" s="161" t="s">
        <v>219</v>
      </c>
      <c r="N9" s="162" t="s">
        <v>717</v>
      </c>
      <c r="O9" s="162">
        <v>2.8239E-2</v>
      </c>
      <c r="P9" s="161">
        <v>1335454.328</v>
      </c>
      <c r="Q9" s="169">
        <v>1335454.328</v>
      </c>
    </row>
    <row r="10" spans="1:17" ht="24.75" thickTop="1" thickBot="1">
      <c r="A10" s="154" t="s">
        <v>333</v>
      </c>
      <c r="B10" s="154" t="s">
        <v>70</v>
      </c>
      <c r="C10" s="154" t="s">
        <v>336</v>
      </c>
      <c r="D10" s="154" t="s">
        <v>191</v>
      </c>
      <c r="E10" s="154" t="s">
        <v>717</v>
      </c>
      <c r="F10" s="176">
        <v>0.38235422377393991</v>
      </c>
      <c r="G10" s="177">
        <v>12540974385</v>
      </c>
      <c r="H10" s="154">
        <v>20190968.759850003</v>
      </c>
      <c r="I10" s="154">
        <v>1.61</v>
      </c>
      <c r="J10" s="154">
        <v>2022</v>
      </c>
      <c r="L10" s="165" t="s">
        <v>231</v>
      </c>
      <c r="M10" s="162" t="s">
        <v>261</v>
      </c>
      <c r="N10" s="162" t="s">
        <v>717</v>
      </c>
      <c r="O10" s="162">
        <v>6.6109999999999997E-3</v>
      </c>
      <c r="P10" s="162">
        <v>337980.12400000001</v>
      </c>
      <c r="Q10" s="168">
        <v>337980.12400000001</v>
      </c>
    </row>
    <row r="11" spans="1:17" ht="24.75" thickTop="1" thickBot="1">
      <c r="A11" s="154" t="s">
        <v>333</v>
      </c>
      <c r="B11" s="154" t="s">
        <v>70</v>
      </c>
      <c r="C11" s="154" t="s">
        <v>336</v>
      </c>
      <c r="D11" s="154" t="s">
        <v>338</v>
      </c>
      <c r="E11" s="154" t="s">
        <v>717</v>
      </c>
      <c r="F11" s="176">
        <v>11.879753971524771</v>
      </c>
      <c r="G11" s="177">
        <v>381693870501</v>
      </c>
      <c r="H11" s="154">
        <v>687048966.90180004</v>
      </c>
      <c r="I11" s="154">
        <v>1.8</v>
      </c>
      <c r="J11" s="154">
        <v>2021</v>
      </c>
      <c r="L11" s="166" t="s">
        <v>231</v>
      </c>
      <c r="M11" s="161" t="s">
        <v>226</v>
      </c>
      <c r="N11" s="162" t="s">
        <v>717</v>
      </c>
      <c r="O11" s="162">
        <v>10.566000000000001</v>
      </c>
      <c r="P11" s="161">
        <v>593906011.35000002</v>
      </c>
      <c r="Q11" s="169">
        <v>593906011.35000002</v>
      </c>
    </row>
    <row r="12" spans="1:17" ht="24.75" thickTop="1" thickBot="1">
      <c r="A12" s="154" t="s">
        <v>333</v>
      </c>
      <c r="B12" s="154" t="s">
        <v>72</v>
      </c>
      <c r="C12" s="154" t="s">
        <v>532</v>
      </c>
      <c r="D12" s="154" t="s">
        <v>534</v>
      </c>
      <c r="E12" s="154" t="s">
        <v>717</v>
      </c>
      <c r="F12" s="176">
        <v>3.993468270569116</v>
      </c>
      <c r="G12" s="177">
        <v>123373225492</v>
      </c>
      <c r="H12" s="154">
        <v>222071805.8856</v>
      </c>
      <c r="I12" s="154">
        <v>1.8</v>
      </c>
      <c r="J12" s="154">
        <v>2021</v>
      </c>
      <c r="L12" s="165" t="s">
        <v>231</v>
      </c>
      <c r="M12" s="162" t="s">
        <v>235</v>
      </c>
      <c r="N12" s="162" t="s">
        <v>717</v>
      </c>
      <c r="O12" s="162">
        <v>4.01464</v>
      </c>
      <c r="P12" s="162">
        <v>238406106.84299999</v>
      </c>
      <c r="Q12" s="168">
        <v>238406106.84299999</v>
      </c>
    </row>
    <row r="13" spans="1:17" ht="24.75" thickTop="1" thickBot="1">
      <c r="A13" s="154" t="s">
        <v>333</v>
      </c>
      <c r="B13" s="154" t="s">
        <v>70</v>
      </c>
      <c r="C13" s="154" t="s">
        <v>336</v>
      </c>
      <c r="D13" s="154" t="s">
        <v>338</v>
      </c>
      <c r="E13" s="154" t="s">
        <v>717</v>
      </c>
      <c r="F13" s="176">
        <v>6.7771358366445575</v>
      </c>
      <c r="G13" s="177">
        <v>220079268751</v>
      </c>
      <c r="H13" s="154">
        <v>382937927.62673998</v>
      </c>
      <c r="I13" s="154">
        <v>1.74</v>
      </c>
      <c r="J13" s="154">
        <v>2020</v>
      </c>
      <c r="L13" s="166" t="s">
        <v>231</v>
      </c>
      <c r="M13" s="161" t="s">
        <v>212</v>
      </c>
      <c r="N13" s="162" t="s">
        <v>717</v>
      </c>
      <c r="O13" s="162">
        <v>3.4648000000000005E-2</v>
      </c>
      <c r="P13" s="161">
        <v>1695971</v>
      </c>
      <c r="Q13" s="169">
        <v>1695971</v>
      </c>
    </row>
    <row r="14" spans="1:17" ht="24.75" thickTop="1" thickBot="1">
      <c r="A14" s="154" t="s">
        <v>333</v>
      </c>
      <c r="B14" s="154" t="s">
        <v>70</v>
      </c>
      <c r="C14" s="154" t="s">
        <v>336</v>
      </c>
      <c r="D14" s="154" t="s">
        <v>652</v>
      </c>
      <c r="E14" s="154" t="s">
        <v>717</v>
      </c>
      <c r="F14" s="176">
        <v>0.26437952458340785</v>
      </c>
      <c r="G14" s="177">
        <v>8692666730</v>
      </c>
      <c r="H14" s="154">
        <v>15125240.110200001</v>
      </c>
      <c r="I14" s="154">
        <v>1.74</v>
      </c>
      <c r="J14" s="154">
        <v>2020</v>
      </c>
      <c r="L14" s="165" t="s">
        <v>223</v>
      </c>
      <c r="M14" s="162" t="s">
        <v>195</v>
      </c>
      <c r="N14" s="162" t="s">
        <v>717</v>
      </c>
      <c r="O14" s="162">
        <v>3.6604029999999996</v>
      </c>
      <c r="P14" s="162">
        <v>206548068.21599999</v>
      </c>
      <c r="Q14" s="168">
        <v>206548068.21599999</v>
      </c>
    </row>
    <row r="15" spans="1:17" ht="24.75" thickTop="1" thickBot="1">
      <c r="A15" s="154" t="s">
        <v>333</v>
      </c>
      <c r="B15" s="154" t="s">
        <v>72</v>
      </c>
      <c r="C15" s="154" t="s">
        <v>532</v>
      </c>
      <c r="D15" s="154" t="s">
        <v>338</v>
      </c>
      <c r="E15" s="154" t="s">
        <v>717</v>
      </c>
      <c r="F15" s="176">
        <v>1.3204979666104213</v>
      </c>
      <c r="G15" s="177">
        <v>39522643736</v>
      </c>
      <c r="H15" s="154">
        <v>68769400.100639999</v>
      </c>
      <c r="I15" s="154">
        <v>1.74</v>
      </c>
      <c r="J15" s="154">
        <v>2020</v>
      </c>
      <c r="L15" s="166" t="s">
        <v>223</v>
      </c>
      <c r="M15" s="161" t="s">
        <v>219</v>
      </c>
      <c r="N15" s="162" t="s">
        <v>717</v>
      </c>
      <c r="O15" s="162">
        <v>3.2393999999999999E-2</v>
      </c>
      <c r="P15" s="161">
        <v>1541344.121</v>
      </c>
      <c r="Q15" s="169">
        <v>1541344.121</v>
      </c>
    </row>
    <row r="16" spans="1:17" ht="24" thickTop="1">
      <c r="A16" s="154" t="s">
        <v>333</v>
      </c>
      <c r="B16" s="154" t="s">
        <v>72</v>
      </c>
      <c r="C16" s="154" t="s">
        <v>532</v>
      </c>
      <c r="D16" s="154" t="s">
        <v>534</v>
      </c>
      <c r="E16" s="154" t="s">
        <v>717</v>
      </c>
      <c r="F16" s="176">
        <v>3.9922863385768608</v>
      </c>
      <c r="G16" s="177">
        <v>117267141286</v>
      </c>
      <c r="H16" s="154">
        <v>204044825.83763999</v>
      </c>
      <c r="I16" s="154">
        <v>1.74</v>
      </c>
      <c r="J16" s="154">
        <v>2020</v>
      </c>
      <c r="L16" s="165" t="s">
        <v>223</v>
      </c>
      <c r="M16" s="162" t="s">
        <v>226</v>
      </c>
      <c r="N16" s="162" t="s">
        <v>717</v>
      </c>
      <c r="O16" s="162">
        <v>12.081</v>
      </c>
      <c r="P16" s="162">
        <v>631954371.199</v>
      </c>
      <c r="Q16" s="168">
        <v>631954371.199</v>
      </c>
    </row>
    <row r="17" spans="12:17" ht="23.25">
      <c r="L17" s="166" t="s">
        <v>223</v>
      </c>
      <c r="M17" s="161" t="s">
        <v>235</v>
      </c>
      <c r="N17" s="162" t="s">
        <v>717</v>
      </c>
      <c r="O17" s="162">
        <v>3.2155200000000002</v>
      </c>
      <c r="P17" s="161">
        <v>171934926.44400001</v>
      </c>
      <c r="Q17" s="169">
        <v>171934926.44400001</v>
      </c>
    </row>
    <row r="18" spans="12:17" ht="23.25">
      <c r="L18" s="165" t="s">
        <v>189</v>
      </c>
      <c r="M18" s="162" t="s">
        <v>195</v>
      </c>
      <c r="N18" s="162" t="s">
        <v>717</v>
      </c>
      <c r="O18" s="162">
        <v>3.8843809999999999</v>
      </c>
      <c r="P18" s="162">
        <v>219808451.24000001</v>
      </c>
      <c r="Q18" s="168">
        <v>219808451.24000001</v>
      </c>
    </row>
    <row r="19" spans="12:17" ht="23.25">
      <c r="L19" s="166" t="s">
        <v>189</v>
      </c>
      <c r="M19" s="161" t="s">
        <v>219</v>
      </c>
      <c r="N19" s="162" t="s">
        <v>717</v>
      </c>
      <c r="O19" s="162">
        <v>2.7383999999999999E-2</v>
      </c>
      <c r="P19" s="161">
        <v>1297177.531</v>
      </c>
      <c r="Q19" s="169">
        <v>1297177.531</v>
      </c>
    </row>
    <row r="20" spans="12:17" ht="23.25">
      <c r="L20" s="165" t="s">
        <v>189</v>
      </c>
      <c r="M20" s="162" t="s">
        <v>208</v>
      </c>
      <c r="N20" s="162" t="s">
        <v>717</v>
      </c>
      <c r="O20" s="162">
        <v>9.9799999999999997E-4</v>
      </c>
      <c r="P20" s="162">
        <v>47763.417999999998</v>
      </c>
      <c r="Q20" s="168">
        <v>47763.417999999998</v>
      </c>
    </row>
    <row r="21" spans="12:17" ht="23.25">
      <c r="L21" s="166" t="s">
        <v>189</v>
      </c>
      <c r="M21" s="161" t="s">
        <v>226</v>
      </c>
      <c r="N21" s="162" t="s">
        <v>717</v>
      </c>
      <c r="O21" s="162">
        <v>13.581</v>
      </c>
      <c r="P21" s="161">
        <v>710234464.13499999</v>
      </c>
      <c r="Q21" s="169">
        <v>710234464.13499999</v>
      </c>
    </row>
    <row r="22" spans="12:17" ht="23.25">
      <c r="L22" s="165" t="s">
        <v>189</v>
      </c>
      <c r="M22" s="162" t="s">
        <v>235</v>
      </c>
      <c r="N22" s="162" t="s">
        <v>717</v>
      </c>
      <c r="O22" s="162">
        <v>2.6259000000000001</v>
      </c>
      <c r="P22" s="162">
        <v>144258311.833</v>
      </c>
      <c r="Q22" s="168">
        <v>144258311.833</v>
      </c>
    </row>
    <row r="23" spans="12:17" ht="23.25">
      <c r="L23" s="166" t="s">
        <v>189</v>
      </c>
      <c r="M23" s="161" t="s">
        <v>212</v>
      </c>
      <c r="N23" s="162" t="s">
        <v>717</v>
      </c>
      <c r="O23" s="162">
        <v>7.45E-3</v>
      </c>
      <c r="P23" s="161">
        <v>332900</v>
      </c>
      <c r="Q23" s="169">
        <v>332900</v>
      </c>
    </row>
    <row r="24" spans="12:17" ht="23.25">
      <c r="L24" s="166" t="s">
        <v>210</v>
      </c>
      <c r="M24" s="161" t="s">
        <v>195</v>
      </c>
      <c r="N24" s="162" t="s">
        <v>717</v>
      </c>
      <c r="O24" s="162">
        <v>3.6344569999999998</v>
      </c>
      <c r="P24" s="161">
        <v>194991546.08899999</v>
      </c>
      <c r="Q24" s="169">
        <v>194991546.08899999</v>
      </c>
    </row>
    <row r="25" spans="12:17" ht="23.25">
      <c r="L25" s="165" t="s">
        <v>210</v>
      </c>
      <c r="M25" s="162" t="s">
        <v>219</v>
      </c>
      <c r="N25" s="162" t="s">
        <v>717</v>
      </c>
      <c r="O25" s="162">
        <v>7.7575999999999992E-2</v>
      </c>
      <c r="P25" s="162">
        <v>3560493.3480000002</v>
      </c>
      <c r="Q25" s="168">
        <v>3560493.3480000002</v>
      </c>
    </row>
    <row r="26" spans="12:17" ht="23.25">
      <c r="L26" s="166" t="s">
        <v>210</v>
      </c>
      <c r="M26" s="161" t="s">
        <v>226</v>
      </c>
      <c r="N26" s="162" t="s">
        <v>717</v>
      </c>
      <c r="O26" s="162">
        <v>9.5120000000000005</v>
      </c>
      <c r="P26" s="161">
        <v>485160797.29100001</v>
      </c>
      <c r="Q26" s="169">
        <v>485160797.29100001</v>
      </c>
    </row>
    <row r="27" spans="12:17" ht="23.25">
      <c r="L27" s="165" t="s">
        <v>210</v>
      </c>
      <c r="M27" s="162" t="s">
        <v>235</v>
      </c>
      <c r="N27" s="162" t="s">
        <v>717</v>
      </c>
      <c r="O27" s="162">
        <v>2.1188699999999998</v>
      </c>
      <c r="P27" s="162">
        <v>104357473.52599999</v>
      </c>
      <c r="Q27" s="168">
        <v>104357473.52599999</v>
      </c>
    </row>
    <row r="28" spans="12:17" ht="23.25">
      <c r="L28" s="170" t="s">
        <v>210</v>
      </c>
      <c r="M28" s="171" t="s">
        <v>212</v>
      </c>
      <c r="N28" s="172" t="s">
        <v>717</v>
      </c>
      <c r="O28" s="172">
        <v>4.2487000000000004E-2</v>
      </c>
      <c r="P28" s="171">
        <v>1765487</v>
      </c>
      <c r="Q28" s="173">
        <v>1765487</v>
      </c>
    </row>
  </sheetData>
  <sortState xmlns:xlrd2="http://schemas.microsoft.com/office/spreadsheetml/2017/richdata2" ref="L2:M1048544">
    <sortCondition descending="1" ref="L1:L1048544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60758-6AB9-4F0E-8CD2-FAF1FA9A9833}">
  <dimension ref="A1:J16"/>
  <sheetViews>
    <sheetView showOutlineSymbols="0" defaultGridColor="0" workbookViewId="0"/>
  </sheetViews>
  <sheetFormatPr baseColWidth="10" defaultRowHeight="21.75"/>
  <sheetData>
    <row r="1" spans="1:10" ht="52.5" thickBot="1">
      <c r="A1" s="138" t="s">
        <v>660</v>
      </c>
      <c r="B1" s="138" t="s">
        <v>661</v>
      </c>
      <c r="C1" s="138" t="s">
        <v>662</v>
      </c>
      <c r="D1" s="138" t="s">
        <v>663</v>
      </c>
      <c r="E1" s="138" t="s">
        <v>276</v>
      </c>
      <c r="F1" s="174" t="s">
        <v>664</v>
      </c>
      <c r="G1" s="175" t="s">
        <v>665</v>
      </c>
      <c r="H1" s="152" t="s">
        <v>666</v>
      </c>
      <c r="I1" s="152" t="s">
        <v>716</v>
      </c>
      <c r="J1" s="152" t="s">
        <v>84</v>
      </c>
    </row>
    <row r="2" spans="1:10" ht="23.25" thickTop="1" thickBot="1">
      <c r="A2" s="154" t="s">
        <v>333</v>
      </c>
      <c r="B2" s="154" t="s">
        <v>70</v>
      </c>
      <c r="C2" s="154" t="s">
        <v>336</v>
      </c>
      <c r="D2" s="154" t="s">
        <v>338</v>
      </c>
      <c r="E2" s="154" t="s">
        <v>717</v>
      </c>
      <c r="F2" s="176">
        <v>3.2658958189155776</v>
      </c>
      <c r="G2" s="177">
        <v>176892827875</v>
      </c>
      <c r="H2" s="154">
        <v>254705218</v>
      </c>
      <c r="I2" s="154">
        <v>1.6547367049999999</v>
      </c>
      <c r="J2" s="154">
        <v>2024</v>
      </c>
    </row>
    <row r="3" spans="1:10" ht="23.25" thickTop="1" thickBot="1">
      <c r="A3" s="154" t="s">
        <v>333</v>
      </c>
      <c r="B3" s="154" t="s">
        <v>72</v>
      </c>
      <c r="C3" s="154" t="s">
        <v>532</v>
      </c>
      <c r="D3" s="154" t="s">
        <v>534</v>
      </c>
      <c r="E3" s="154" t="s">
        <v>717</v>
      </c>
      <c r="F3" s="176">
        <v>3.6210041756413149</v>
      </c>
      <c r="G3" s="177">
        <v>171988995312</v>
      </c>
      <c r="H3" s="154">
        <v>287722269</v>
      </c>
      <c r="I3" s="154">
        <v>1.6547367049999999</v>
      </c>
      <c r="J3" s="154">
        <v>2024</v>
      </c>
    </row>
    <row r="4" spans="1:10" ht="23.25" thickTop="1" thickBot="1">
      <c r="A4" s="154" t="s">
        <v>333</v>
      </c>
      <c r="B4" s="154" t="s">
        <v>70</v>
      </c>
      <c r="C4" s="154" t="s">
        <v>336</v>
      </c>
      <c r="D4" s="154" t="s">
        <v>191</v>
      </c>
      <c r="E4" s="154" t="s">
        <v>717</v>
      </c>
      <c r="F4" s="176">
        <v>3.7828977551068017</v>
      </c>
      <c r="G4" s="177">
        <v>153070817850</v>
      </c>
      <c r="H4" s="154">
        <v>292498604</v>
      </c>
      <c r="I4" s="154">
        <v>1.6547367049999999</v>
      </c>
      <c r="J4" s="154">
        <v>2024</v>
      </c>
    </row>
    <row r="5" spans="1:10" ht="23.25" thickTop="1" thickBot="1">
      <c r="A5" s="154" t="s">
        <v>333</v>
      </c>
      <c r="B5" s="154" t="s">
        <v>70</v>
      </c>
      <c r="C5" s="154" t="s">
        <v>336</v>
      </c>
      <c r="D5" s="154" t="s">
        <v>338</v>
      </c>
      <c r="E5" s="154" t="s">
        <v>717</v>
      </c>
      <c r="F5" s="176">
        <v>8.9794794833713052</v>
      </c>
      <c r="G5" s="177">
        <v>344273384269</v>
      </c>
      <c r="H5" s="154">
        <v>569681805</v>
      </c>
      <c r="I5" s="154">
        <v>1.65</v>
      </c>
      <c r="J5" s="154">
        <v>2023</v>
      </c>
    </row>
    <row r="6" spans="1:10" ht="23.25" thickTop="1" thickBot="1">
      <c r="A6" s="154" t="s">
        <v>333</v>
      </c>
      <c r="B6" s="154" t="s">
        <v>72</v>
      </c>
      <c r="C6" s="154" t="s">
        <v>532</v>
      </c>
      <c r="D6" s="154" t="s">
        <v>534</v>
      </c>
      <c r="E6" s="154" t="s">
        <v>717</v>
      </c>
      <c r="F6" s="176">
        <v>3.7308616439740909</v>
      </c>
      <c r="G6" s="177">
        <v>138107655558</v>
      </c>
      <c r="H6" s="154">
        <v>228531807</v>
      </c>
      <c r="I6" s="154">
        <v>1.65</v>
      </c>
      <c r="J6" s="154">
        <v>2023</v>
      </c>
    </row>
    <row r="7" spans="1:10" ht="23.25" thickTop="1" thickBot="1">
      <c r="A7" s="154" t="s">
        <v>333</v>
      </c>
      <c r="B7" s="154" t="s">
        <v>70</v>
      </c>
      <c r="C7" s="154" t="s">
        <v>336</v>
      </c>
      <c r="D7" s="154" t="s">
        <v>191</v>
      </c>
      <c r="E7" s="154" t="s">
        <v>717</v>
      </c>
      <c r="F7" s="176">
        <v>0.24882778784320739</v>
      </c>
      <c r="G7" s="177">
        <v>9494006760</v>
      </c>
      <c r="H7" s="154">
        <v>15710081</v>
      </c>
      <c r="I7" s="154">
        <v>1.65</v>
      </c>
      <c r="J7" s="154">
        <v>2023</v>
      </c>
    </row>
    <row r="8" spans="1:10" ht="23.25" thickTop="1" thickBot="1">
      <c r="A8" s="154" t="s">
        <v>333</v>
      </c>
      <c r="B8" s="154" t="s">
        <v>70</v>
      </c>
      <c r="C8" s="154" t="s">
        <v>336</v>
      </c>
      <c r="D8" s="154" t="s">
        <v>338</v>
      </c>
      <c r="E8" s="154" t="s">
        <v>717</v>
      </c>
      <c r="F8" s="176">
        <v>11.565639269254996</v>
      </c>
      <c r="G8" s="177">
        <v>380045730082</v>
      </c>
      <c r="H8" s="154">
        <v>611873625.43202007</v>
      </c>
      <c r="I8" s="154">
        <v>1.61</v>
      </c>
      <c r="J8" s="154">
        <v>2022</v>
      </c>
    </row>
    <row r="9" spans="1:10" ht="23.25" thickTop="1" thickBot="1">
      <c r="A9" s="154" t="s">
        <v>333</v>
      </c>
      <c r="B9" s="154" t="s">
        <v>72</v>
      </c>
      <c r="C9" s="154" t="s">
        <v>532</v>
      </c>
      <c r="D9" s="154" t="s">
        <v>534</v>
      </c>
      <c r="E9" s="154" t="s">
        <v>717</v>
      </c>
      <c r="F9" s="176">
        <v>4.4235695691080297</v>
      </c>
      <c r="G9" s="177">
        <v>147954684761</v>
      </c>
      <c r="H9" s="154">
        <v>238207042.46521002</v>
      </c>
      <c r="I9" s="154">
        <v>1.61</v>
      </c>
      <c r="J9" s="154">
        <v>2022</v>
      </c>
    </row>
    <row r="10" spans="1:10" ht="23.25" thickTop="1" thickBot="1">
      <c r="A10" s="154" t="s">
        <v>333</v>
      </c>
      <c r="B10" s="154" t="s">
        <v>70</v>
      </c>
      <c r="C10" s="154" t="s">
        <v>336</v>
      </c>
      <c r="D10" s="154" t="s">
        <v>191</v>
      </c>
      <c r="E10" s="154" t="s">
        <v>717</v>
      </c>
      <c r="F10" s="176">
        <v>0.38235422377393991</v>
      </c>
      <c r="G10" s="177">
        <v>12540974385</v>
      </c>
      <c r="H10" s="154">
        <v>20190968.759850003</v>
      </c>
      <c r="I10" s="154">
        <v>1.61</v>
      </c>
      <c r="J10" s="154">
        <v>2022</v>
      </c>
    </row>
    <row r="11" spans="1:10" ht="23.25" thickTop="1" thickBot="1">
      <c r="A11" s="154" t="s">
        <v>333</v>
      </c>
      <c r="B11" s="154" t="s">
        <v>70</v>
      </c>
      <c r="C11" s="154" t="s">
        <v>336</v>
      </c>
      <c r="D11" s="154" t="s">
        <v>338</v>
      </c>
      <c r="E11" s="154" t="s">
        <v>717</v>
      </c>
      <c r="F11" s="176">
        <v>11.879753971524771</v>
      </c>
      <c r="G11" s="177">
        <v>381693870501</v>
      </c>
      <c r="H11" s="154">
        <v>687048966.90180004</v>
      </c>
      <c r="I11" s="154">
        <v>1.8</v>
      </c>
      <c r="J11" s="154">
        <v>2021</v>
      </c>
    </row>
    <row r="12" spans="1:10" ht="23.25" thickTop="1" thickBot="1">
      <c r="A12" s="154" t="s">
        <v>333</v>
      </c>
      <c r="B12" s="154" t="s">
        <v>72</v>
      </c>
      <c r="C12" s="154" t="s">
        <v>532</v>
      </c>
      <c r="D12" s="154" t="s">
        <v>534</v>
      </c>
      <c r="E12" s="154" t="s">
        <v>717</v>
      </c>
      <c r="F12" s="176">
        <v>3.993468270569116</v>
      </c>
      <c r="G12" s="177">
        <v>123373225492</v>
      </c>
      <c r="H12" s="154">
        <v>222071805.8856</v>
      </c>
      <c r="I12" s="154">
        <v>1.8</v>
      </c>
      <c r="J12" s="154">
        <v>2021</v>
      </c>
    </row>
    <row r="13" spans="1:10" ht="23.25" thickTop="1" thickBot="1">
      <c r="A13" s="154" t="s">
        <v>333</v>
      </c>
      <c r="B13" s="154" t="s">
        <v>70</v>
      </c>
      <c r="C13" s="154" t="s">
        <v>336</v>
      </c>
      <c r="D13" s="154" t="s">
        <v>338</v>
      </c>
      <c r="E13" s="154" t="s">
        <v>717</v>
      </c>
      <c r="F13" s="176">
        <v>6.7771358366445575</v>
      </c>
      <c r="G13" s="177">
        <v>220079268751</v>
      </c>
      <c r="H13" s="154">
        <v>382937927.62673998</v>
      </c>
      <c r="I13" s="154">
        <v>1.74</v>
      </c>
      <c r="J13" s="154">
        <v>2020</v>
      </c>
    </row>
    <row r="14" spans="1:10" ht="23.25" thickTop="1" thickBot="1">
      <c r="A14" s="154" t="s">
        <v>333</v>
      </c>
      <c r="B14" s="154" t="s">
        <v>70</v>
      </c>
      <c r="C14" s="154" t="s">
        <v>336</v>
      </c>
      <c r="D14" s="154" t="s">
        <v>652</v>
      </c>
      <c r="E14" s="154" t="s">
        <v>717</v>
      </c>
      <c r="F14" s="176">
        <v>0.26437952458340785</v>
      </c>
      <c r="G14" s="177">
        <v>8692666730</v>
      </c>
      <c r="H14" s="154">
        <v>15125240.110200001</v>
      </c>
      <c r="I14" s="154">
        <v>1.74</v>
      </c>
      <c r="J14" s="154">
        <v>2020</v>
      </c>
    </row>
    <row r="15" spans="1:10" ht="23.25" thickTop="1" thickBot="1">
      <c r="A15" s="154" t="s">
        <v>333</v>
      </c>
      <c r="B15" s="154" t="s">
        <v>72</v>
      </c>
      <c r="C15" s="154" t="s">
        <v>532</v>
      </c>
      <c r="D15" s="154" t="s">
        <v>338</v>
      </c>
      <c r="E15" s="154" t="s">
        <v>717</v>
      </c>
      <c r="F15" s="176">
        <v>1.3204979666104213</v>
      </c>
      <c r="G15" s="177">
        <v>39522643736</v>
      </c>
      <c r="H15" s="154">
        <v>68769400.100639999</v>
      </c>
      <c r="I15" s="154">
        <v>1.74</v>
      </c>
      <c r="J15" s="154">
        <v>2020</v>
      </c>
    </row>
    <row r="16" spans="1:10" ht="22.5" thickTop="1">
      <c r="A16" s="154" t="s">
        <v>333</v>
      </c>
      <c r="B16" s="154" t="s">
        <v>72</v>
      </c>
      <c r="C16" s="154" t="s">
        <v>532</v>
      </c>
      <c r="D16" s="154" t="s">
        <v>534</v>
      </c>
      <c r="E16" s="154" t="s">
        <v>717</v>
      </c>
      <c r="F16" s="176">
        <v>3.9922863385768608</v>
      </c>
      <c r="G16" s="177">
        <v>117267141286</v>
      </c>
      <c r="H16" s="154">
        <v>204044825.83763999</v>
      </c>
      <c r="I16" s="154">
        <v>1.74</v>
      </c>
      <c r="J16" s="154">
        <v>2020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9DFF2-8828-40D9-9992-8671B9F58B90}">
  <dimension ref="A1:F28"/>
  <sheetViews>
    <sheetView showOutlineSymbols="0" defaultGridColor="0" workbookViewId="0"/>
  </sheetViews>
  <sheetFormatPr baseColWidth="10" defaultRowHeight="21.75"/>
  <sheetData>
    <row r="1" spans="1:6" ht="24" thickBot="1">
      <c r="A1" s="164" t="s">
        <v>127</v>
      </c>
      <c r="B1" s="160" t="s">
        <v>130</v>
      </c>
      <c r="C1" s="160" t="s">
        <v>149</v>
      </c>
      <c r="D1" s="160" t="s">
        <v>154</v>
      </c>
      <c r="E1" s="160" t="s">
        <v>176</v>
      </c>
      <c r="F1" s="167" t="s">
        <v>178</v>
      </c>
    </row>
    <row r="2" spans="1:6" ht="24" thickTop="1">
      <c r="A2" s="165" t="s">
        <v>239</v>
      </c>
      <c r="B2" s="162" t="s">
        <v>195</v>
      </c>
      <c r="C2" s="162" t="s">
        <v>717</v>
      </c>
      <c r="D2" s="162">
        <v>3.0426289999999998</v>
      </c>
      <c r="E2" s="162">
        <v>201071815.89399999</v>
      </c>
      <c r="F2" s="168">
        <v>201071815.89399999</v>
      </c>
    </row>
    <row r="3" spans="1:6" ht="23.25">
      <c r="A3" s="166" t="s">
        <v>239</v>
      </c>
      <c r="B3" s="161" t="s">
        <v>242</v>
      </c>
      <c r="C3" s="162" t="s">
        <v>717</v>
      </c>
      <c r="D3" s="162">
        <v>1.0012E-2</v>
      </c>
      <c r="E3" s="161">
        <v>819980</v>
      </c>
      <c r="F3" s="169">
        <v>819980</v>
      </c>
    </row>
    <row r="4" spans="1:6" ht="23.25">
      <c r="A4" s="165" t="s">
        <v>239</v>
      </c>
      <c r="B4" s="162" t="s">
        <v>219</v>
      </c>
      <c r="C4" s="162" t="s">
        <v>717</v>
      </c>
      <c r="D4" s="162">
        <v>1.0697E-2</v>
      </c>
      <c r="E4" s="162">
        <v>676674.71200000006</v>
      </c>
      <c r="F4" s="168">
        <v>676674.71200000006</v>
      </c>
    </row>
    <row r="5" spans="1:6" ht="23.25">
      <c r="A5" s="166" t="s">
        <v>239</v>
      </c>
      <c r="B5" s="161" t="s">
        <v>226</v>
      </c>
      <c r="C5" s="162" t="s">
        <v>717</v>
      </c>
      <c r="D5" s="162">
        <v>8.1029999999999998</v>
      </c>
      <c r="E5" s="161">
        <v>548487309.28999996</v>
      </c>
      <c r="F5" s="169">
        <v>548487309.28999996</v>
      </c>
    </row>
    <row r="6" spans="1:6" ht="23.25">
      <c r="A6" s="165" t="s">
        <v>239</v>
      </c>
      <c r="B6" s="162" t="s">
        <v>263</v>
      </c>
      <c r="C6" s="162" t="s">
        <v>717</v>
      </c>
      <c r="D6" s="162">
        <v>0.02</v>
      </c>
      <c r="E6" s="162">
        <v>1764637.62</v>
      </c>
      <c r="F6" s="168">
        <v>1764637.62</v>
      </c>
    </row>
    <row r="7" spans="1:6" ht="23.25">
      <c r="A7" s="166" t="s">
        <v>239</v>
      </c>
      <c r="B7" s="161" t="s">
        <v>212</v>
      </c>
      <c r="C7" s="162" t="s">
        <v>717</v>
      </c>
      <c r="D7" s="162">
        <v>1.9989999999999999E-3</v>
      </c>
      <c r="E7" s="161">
        <v>99765</v>
      </c>
      <c r="F7" s="169">
        <v>99765</v>
      </c>
    </row>
    <row r="8" spans="1:6" ht="23.25">
      <c r="A8" s="165" t="s">
        <v>231</v>
      </c>
      <c r="B8" s="162" t="s">
        <v>195</v>
      </c>
      <c r="C8" s="162" t="s">
        <v>717</v>
      </c>
      <c r="D8" s="162">
        <v>3.7972040000000002</v>
      </c>
      <c r="E8" s="162">
        <v>230374640.12099999</v>
      </c>
      <c r="F8" s="168">
        <v>230374640.12099999</v>
      </c>
    </row>
    <row r="9" spans="1:6" ht="23.25">
      <c r="A9" s="166" t="s">
        <v>231</v>
      </c>
      <c r="B9" s="161" t="s">
        <v>219</v>
      </c>
      <c r="C9" s="162" t="s">
        <v>717</v>
      </c>
      <c r="D9" s="162">
        <v>2.8239E-2</v>
      </c>
      <c r="E9" s="161">
        <v>1335454.328</v>
      </c>
      <c r="F9" s="169">
        <v>1335454.328</v>
      </c>
    </row>
    <row r="10" spans="1:6" ht="23.25">
      <c r="A10" s="165" t="s">
        <v>231</v>
      </c>
      <c r="B10" s="162" t="s">
        <v>261</v>
      </c>
      <c r="C10" s="162" t="s">
        <v>717</v>
      </c>
      <c r="D10" s="162">
        <v>6.6109999999999997E-3</v>
      </c>
      <c r="E10" s="162">
        <v>337980.12400000001</v>
      </c>
      <c r="F10" s="168">
        <v>337980.12400000001</v>
      </c>
    </row>
    <row r="11" spans="1:6" ht="23.25">
      <c r="A11" s="166" t="s">
        <v>231</v>
      </c>
      <c r="B11" s="161" t="s">
        <v>226</v>
      </c>
      <c r="C11" s="162" t="s">
        <v>717</v>
      </c>
      <c r="D11" s="162">
        <v>10.566000000000001</v>
      </c>
      <c r="E11" s="161">
        <v>593906011.35000002</v>
      </c>
      <c r="F11" s="169">
        <v>593906011.35000002</v>
      </c>
    </row>
    <row r="12" spans="1:6" ht="23.25">
      <c r="A12" s="165" t="s">
        <v>231</v>
      </c>
      <c r="B12" s="162" t="s">
        <v>235</v>
      </c>
      <c r="C12" s="162" t="s">
        <v>717</v>
      </c>
      <c r="D12" s="162">
        <v>4.01464</v>
      </c>
      <c r="E12" s="162">
        <v>238406106.84299999</v>
      </c>
      <c r="F12" s="168">
        <v>238406106.84299999</v>
      </c>
    </row>
    <row r="13" spans="1:6" ht="23.25">
      <c r="A13" s="166" t="s">
        <v>231</v>
      </c>
      <c r="B13" s="161" t="s">
        <v>212</v>
      </c>
      <c r="C13" s="162" t="s">
        <v>717</v>
      </c>
      <c r="D13" s="162">
        <v>3.4648000000000005E-2</v>
      </c>
      <c r="E13" s="161">
        <v>1695971</v>
      </c>
      <c r="F13" s="169">
        <v>1695971</v>
      </c>
    </row>
    <row r="14" spans="1:6" ht="23.25">
      <c r="A14" s="165" t="s">
        <v>223</v>
      </c>
      <c r="B14" s="162" t="s">
        <v>195</v>
      </c>
      <c r="C14" s="162" t="s">
        <v>717</v>
      </c>
      <c r="D14" s="162">
        <v>3.6604029999999996</v>
      </c>
      <c r="E14" s="162">
        <v>206548068.21599999</v>
      </c>
      <c r="F14" s="168">
        <v>206548068.21599999</v>
      </c>
    </row>
    <row r="15" spans="1:6" ht="23.25">
      <c r="A15" s="166" t="s">
        <v>223</v>
      </c>
      <c r="B15" s="161" t="s">
        <v>219</v>
      </c>
      <c r="C15" s="162" t="s">
        <v>717</v>
      </c>
      <c r="D15" s="162">
        <v>3.2393999999999999E-2</v>
      </c>
      <c r="E15" s="161">
        <v>1541344.121</v>
      </c>
      <c r="F15" s="169">
        <v>1541344.121</v>
      </c>
    </row>
    <row r="16" spans="1:6" ht="23.25">
      <c r="A16" s="165" t="s">
        <v>223</v>
      </c>
      <c r="B16" s="162" t="s">
        <v>226</v>
      </c>
      <c r="C16" s="162" t="s">
        <v>717</v>
      </c>
      <c r="D16" s="162">
        <v>12.081</v>
      </c>
      <c r="E16" s="162">
        <v>631954371.199</v>
      </c>
      <c r="F16" s="168">
        <v>631954371.199</v>
      </c>
    </row>
    <row r="17" spans="1:6" ht="23.25">
      <c r="A17" s="166" t="s">
        <v>223</v>
      </c>
      <c r="B17" s="161" t="s">
        <v>235</v>
      </c>
      <c r="C17" s="162" t="s">
        <v>717</v>
      </c>
      <c r="D17" s="162">
        <v>3.2155200000000002</v>
      </c>
      <c r="E17" s="161">
        <v>171934926.44400001</v>
      </c>
      <c r="F17" s="169">
        <v>171934926.44400001</v>
      </c>
    </row>
    <row r="18" spans="1:6" ht="23.25">
      <c r="A18" s="165" t="s">
        <v>189</v>
      </c>
      <c r="B18" s="162" t="s">
        <v>195</v>
      </c>
      <c r="C18" s="162" t="s">
        <v>717</v>
      </c>
      <c r="D18" s="162">
        <v>3.8843809999999999</v>
      </c>
      <c r="E18" s="162">
        <v>219808451.24000001</v>
      </c>
      <c r="F18" s="168">
        <v>219808451.24000001</v>
      </c>
    </row>
    <row r="19" spans="1:6" ht="23.25">
      <c r="A19" s="166" t="s">
        <v>189</v>
      </c>
      <c r="B19" s="161" t="s">
        <v>219</v>
      </c>
      <c r="C19" s="162" t="s">
        <v>717</v>
      </c>
      <c r="D19" s="162">
        <v>2.7383999999999999E-2</v>
      </c>
      <c r="E19" s="161">
        <v>1297177.531</v>
      </c>
      <c r="F19" s="169">
        <v>1297177.531</v>
      </c>
    </row>
    <row r="20" spans="1:6" ht="23.25">
      <c r="A20" s="165" t="s">
        <v>189</v>
      </c>
      <c r="B20" s="162" t="s">
        <v>208</v>
      </c>
      <c r="C20" s="162" t="s">
        <v>717</v>
      </c>
      <c r="D20" s="162">
        <v>9.9799999999999997E-4</v>
      </c>
      <c r="E20" s="162">
        <v>47763.417999999998</v>
      </c>
      <c r="F20" s="168">
        <v>47763.417999999998</v>
      </c>
    </row>
    <row r="21" spans="1:6" ht="23.25">
      <c r="A21" s="166" t="s">
        <v>189</v>
      </c>
      <c r="B21" s="161" t="s">
        <v>226</v>
      </c>
      <c r="C21" s="162" t="s">
        <v>717</v>
      </c>
      <c r="D21" s="162">
        <v>13.581</v>
      </c>
      <c r="E21" s="161">
        <v>710234464.13499999</v>
      </c>
      <c r="F21" s="169">
        <v>710234464.13499999</v>
      </c>
    </row>
    <row r="22" spans="1:6" ht="23.25">
      <c r="A22" s="165" t="s">
        <v>189</v>
      </c>
      <c r="B22" s="162" t="s">
        <v>235</v>
      </c>
      <c r="C22" s="162" t="s">
        <v>717</v>
      </c>
      <c r="D22" s="162">
        <v>2.6259000000000001</v>
      </c>
      <c r="E22" s="162">
        <v>144258311.833</v>
      </c>
      <c r="F22" s="168">
        <v>144258311.833</v>
      </c>
    </row>
    <row r="23" spans="1:6" ht="23.25">
      <c r="A23" s="166" t="s">
        <v>189</v>
      </c>
      <c r="B23" s="161" t="s">
        <v>212</v>
      </c>
      <c r="C23" s="162" t="s">
        <v>717</v>
      </c>
      <c r="D23" s="162">
        <v>7.45E-3</v>
      </c>
      <c r="E23" s="161">
        <v>332900</v>
      </c>
      <c r="F23" s="169">
        <v>332900</v>
      </c>
    </row>
    <row r="24" spans="1:6" ht="23.25">
      <c r="A24" s="166" t="s">
        <v>210</v>
      </c>
      <c r="B24" s="161" t="s">
        <v>195</v>
      </c>
      <c r="C24" s="162" t="s">
        <v>717</v>
      </c>
      <c r="D24" s="162">
        <v>3.6344569999999998</v>
      </c>
      <c r="E24" s="161">
        <v>194991546.08899999</v>
      </c>
      <c r="F24" s="169">
        <v>194991546.08899999</v>
      </c>
    </row>
    <row r="25" spans="1:6" ht="23.25">
      <c r="A25" s="165" t="s">
        <v>210</v>
      </c>
      <c r="B25" s="162" t="s">
        <v>219</v>
      </c>
      <c r="C25" s="162" t="s">
        <v>717</v>
      </c>
      <c r="D25" s="162">
        <v>7.7575999999999992E-2</v>
      </c>
      <c r="E25" s="162">
        <v>3560493.3480000002</v>
      </c>
      <c r="F25" s="168">
        <v>3560493.3480000002</v>
      </c>
    </row>
    <row r="26" spans="1:6" ht="23.25">
      <c r="A26" s="166" t="s">
        <v>210</v>
      </c>
      <c r="B26" s="161" t="s">
        <v>226</v>
      </c>
      <c r="C26" s="162" t="s">
        <v>717</v>
      </c>
      <c r="D26" s="162">
        <v>9.5120000000000005</v>
      </c>
      <c r="E26" s="161">
        <v>485160797.29100001</v>
      </c>
      <c r="F26" s="169">
        <v>485160797.29100001</v>
      </c>
    </row>
    <row r="27" spans="1:6" ht="23.25">
      <c r="A27" s="165" t="s">
        <v>210</v>
      </c>
      <c r="B27" s="162" t="s">
        <v>235</v>
      </c>
      <c r="C27" s="162" t="s">
        <v>717</v>
      </c>
      <c r="D27" s="162">
        <v>2.1188699999999998</v>
      </c>
      <c r="E27" s="162">
        <v>104357473.52599999</v>
      </c>
      <c r="F27" s="168">
        <v>104357473.52599999</v>
      </c>
    </row>
    <row r="28" spans="1:6" ht="23.25">
      <c r="A28" s="170" t="s">
        <v>210</v>
      </c>
      <c r="B28" s="171" t="s">
        <v>212</v>
      </c>
      <c r="C28" s="172" t="s">
        <v>717</v>
      </c>
      <c r="D28" s="172">
        <v>4.2487000000000004E-2</v>
      </c>
      <c r="E28" s="171">
        <v>1765487</v>
      </c>
      <c r="F28" s="173">
        <v>1765487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7C21A-C538-4AE6-A169-E7D4D7F4BE39}">
  <dimension ref="A1:O28"/>
  <sheetViews>
    <sheetView showOutlineSymbols="0" defaultGridColor="0" workbookViewId="0"/>
  </sheetViews>
  <sheetFormatPr baseColWidth="10" defaultRowHeight="21.75"/>
  <cols>
    <col min="1" max="1" width="6.81640625" bestFit="1" customWidth="1"/>
    <col min="2" max="2" width="20" bestFit="1" customWidth="1"/>
    <col min="3" max="3" width="12.1796875" bestFit="1" customWidth="1"/>
    <col min="4" max="4" width="9.54296875" bestFit="1" customWidth="1"/>
    <col min="5" max="5" width="12.81640625" bestFit="1" customWidth="1"/>
    <col min="6" max="6" width="13.26953125" bestFit="1" customWidth="1"/>
    <col min="11" max="11" width="14.81640625" customWidth="1"/>
    <col min="12" max="12" width="14.1796875" customWidth="1"/>
    <col min="15" max="15" width="15.26953125" customWidth="1"/>
  </cols>
  <sheetData>
    <row r="1" spans="1:15" ht="24" thickBot="1">
      <c r="A1" s="160" t="s">
        <v>127</v>
      </c>
      <c r="B1" s="160" t="s">
        <v>130</v>
      </c>
      <c r="C1" s="160" t="s">
        <v>149</v>
      </c>
      <c r="D1" s="160" t="s">
        <v>154</v>
      </c>
      <c r="E1" s="160" t="s">
        <v>176</v>
      </c>
      <c r="F1" s="160" t="s">
        <v>178</v>
      </c>
      <c r="J1" s="164" t="s">
        <v>127</v>
      </c>
      <c r="K1" s="160" t="s">
        <v>130</v>
      </c>
      <c r="L1" s="160" t="s">
        <v>149</v>
      </c>
      <c r="M1" s="160" t="s">
        <v>154</v>
      </c>
      <c r="N1" s="160" t="s">
        <v>176</v>
      </c>
      <c r="O1" s="167" t="s">
        <v>178</v>
      </c>
    </row>
    <row r="2" spans="1:15" ht="24" thickTop="1">
      <c r="A2" s="162" t="s">
        <v>239</v>
      </c>
      <c r="B2" s="162" t="s">
        <v>195</v>
      </c>
      <c r="C2" s="162" t="s">
        <v>204</v>
      </c>
      <c r="D2" s="162">
        <v>3042.6289999999999</v>
      </c>
      <c r="E2" s="162">
        <v>201071815.89399999</v>
      </c>
      <c r="F2" s="162">
        <v>201071815.89399999</v>
      </c>
      <c r="G2" t="s">
        <v>718</v>
      </c>
      <c r="H2" s="163">
        <v>1000</v>
      </c>
      <c r="I2" t="s">
        <v>204</v>
      </c>
      <c r="J2" s="165" t="s">
        <v>239</v>
      </c>
      <c r="K2" s="162" t="s">
        <v>195</v>
      </c>
      <c r="L2" s="162" t="s">
        <v>717</v>
      </c>
      <c r="M2" s="162">
        <f>D2/$H$2</f>
        <v>3.0426289999999998</v>
      </c>
      <c r="N2" s="162">
        <v>201071815.89399999</v>
      </c>
      <c r="O2" s="168">
        <v>201071815.89399999</v>
      </c>
    </row>
    <row r="3" spans="1:15" ht="23.25">
      <c r="A3" s="161" t="s">
        <v>239</v>
      </c>
      <c r="B3" s="161" t="s">
        <v>242</v>
      </c>
      <c r="C3" s="161" t="s">
        <v>204</v>
      </c>
      <c r="D3" s="161">
        <v>10.012</v>
      </c>
      <c r="E3" s="161">
        <v>819980</v>
      </c>
      <c r="F3" s="161">
        <v>819980</v>
      </c>
      <c r="J3" s="166" t="s">
        <v>239</v>
      </c>
      <c r="K3" s="161" t="s">
        <v>242</v>
      </c>
      <c r="L3" s="162" t="s">
        <v>717</v>
      </c>
      <c r="M3" s="162">
        <f t="shared" ref="M3:M28" si="0">D3/$H$2</f>
        <v>1.0012E-2</v>
      </c>
      <c r="N3" s="161">
        <v>819980</v>
      </c>
      <c r="O3" s="169">
        <v>819980</v>
      </c>
    </row>
    <row r="4" spans="1:15" ht="23.25">
      <c r="A4" s="162" t="s">
        <v>239</v>
      </c>
      <c r="B4" s="162" t="s">
        <v>219</v>
      </c>
      <c r="C4" s="162" t="s">
        <v>204</v>
      </c>
      <c r="D4" s="162">
        <v>10.696999999999999</v>
      </c>
      <c r="E4" s="162">
        <v>676674.71200000006</v>
      </c>
      <c r="F4" s="162">
        <v>676674.71200000006</v>
      </c>
      <c r="J4" s="165" t="s">
        <v>239</v>
      </c>
      <c r="K4" s="162" t="s">
        <v>219</v>
      </c>
      <c r="L4" s="162" t="s">
        <v>717</v>
      </c>
      <c r="M4" s="162">
        <f t="shared" si="0"/>
        <v>1.0697E-2</v>
      </c>
      <c r="N4" s="162">
        <v>676674.71200000006</v>
      </c>
      <c r="O4" s="168">
        <v>676674.71200000006</v>
      </c>
    </row>
    <row r="5" spans="1:15" ht="23.25">
      <c r="A5" s="161" t="s">
        <v>239</v>
      </c>
      <c r="B5" s="161" t="s">
        <v>226</v>
      </c>
      <c r="C5" s="161" t="s">
        <v>204</v>
      </c>
      <c r="D5" s="161">
        <v>8103</v>
      </c>
      <c r="E5" s="161">
        <v>548487309.28999996</v>
      </c>
      <c r="F5" s="161">
        <v>548487309.28999996</v>
      </c>
      <c r="J5" s="166" t="s">
        <v>239</v>
      </c>
      <c r="K5" s="161" t="s">
        <v>226</v>
      </c>
      <c r="L5" s="162" t="s">
        <v>717</v>
      </c>
      <c r="M5" s="162">
        <f t="shared" si="0"/>
        <v>8.1029999999999998</v>
      </c>
      <c r="N5" s="161">
        <v>548487309.28999996</v>
      </c>
      <c r="O5" s="169">
        <v>548487309.28999996</v>
      </c>
    </row>
    <row r="6" spans="1:15" ht="23.25">
      <c r="A6" s="162" t="s">
        <v>239</v>
      </c>
      <c r="B6" s="162" t="s">
        <v>263</v>
      </c>
      <c r="C6" s="162" t="s">
        <v>204</v>
      </c>
      <c r="D6" s="162">
        <v>20</v>
      </c>
      <c r="E6" s="162">
        <v>1764637.62</v>
      </c>
      <c r="F6" s="162">
        <v>1764637.62</v>
      </c>
      <c r="J6" s="165" t="s">
        <v>239</v>
      </c>
      <c r="K6" s="162" t="s">
        <v>263</v>
      </c>
      <c r="L6" s="162" t="s">
        <v>717</v>
      </c>
      <c r="M6" s="162">
        <f t="shared" si="0"/>
        <v>0.02</v>
      </c>
      <c r="N6" s="162">
        <v>1764637.62</v>
      </c>
      <c r="O6" s="168">
        <v>1764637.62</v>
      </c>
    </row>
    <row r="7" spans="1:15" ht="23.25">
      <c r="A7" s="161" t="s">
        <v>239</v>
      </c>
      <c r="B7" s="161" t="s">
        <v>212</v>
      </c>
      <c r="C7" s="161" t="s">
        <v>204</v>
      </c>
      <c r="D7" s="161">
        <v>1.9990000000000001</v>
      </c>
      <c r="E7" s="161">
        <v>99765</v>
      </c>
      <c r="F7" s="161">
        <v>99765</v>
      </c>
      <c r="J7" s="166" t="s">
        <v>239</v>
      </c>
      <c r="K7" s="161" t="s">
        <v>212</v>
      </c>
      <c r="L7" s="162" t="s">
        <v>717</v>
      </c>
      <c r="M7" s="162">
        <f t="shared" si="0"/>
        <v>1.9989999999999999E-3</v>
      </c>
      <c r="N7" s="161">
        <v>99765</v>
      </c>
      <c r="O7" s="169">
        <v>99765</v>
      </c>
    </row>
    <row r="8" spans="1:15" ht="23.25">
      <c r="A8" s="162" t="s">
        <v>231</v>
      </c>
      <c r="B8" s="162" t="s">
        <v>195</v>
      </c>
      <c r="C8" s="162" t="s">
        <v>204</v>
      </c>
      <c r="D8" s="162">
        <v>3797.2040000000002</v>
      </c>
      <c r="E8" s="162">
        <v>230374640.12099999</v>
      </c>
      <c r="F8" s="162">
        <v>230374640.12099999</v>
      </c>
      <c r="J8" s="165" t="s">
        <v>231</v>
      </c>
      <c r="K8" s="162" t="s">
        <v>195</v>
      </c>
      <c r="L8" s="162" t="s">
        <v>717</v>
      </c>
      <c r="M8" s="162">
        <f t="shared" si="0"/>
        <v>3.7972040000000002</v>
      </c>
      <c r="N8" s="162">
        <v>230374640.12099999</v>
      </c>
      <c r="O8" s="168">
        <v>230374640.12099999</v>
      </c>
    </row>
    <row r="9" spans="1:15" ht="23.25">
      <c r="A9" s="161" t="s">
        <v>231</v>
      </c>
      <c r="B9" s="161" t="s">
        <v>219</v>
      </c>
      <c r="C9" s="161" t="s">
        <v>204</v>
      </c>
      <c r="D9" s="161">
        <v>28.239000000000001</v>
      </c>
      <c r="E9" s="161">
        <v>1335454.328</v>
      </c>
      <c r="F9" s="161">
        <v>1335454.328</v>
      </c>
      <c r="J9" s="166" t="s">
        <v>231</v>
      </c>
      <c r="K9" s="161" t="s">
        <v>219</v>
      </c>
      <c r="L9" s="162" t="s">
        <v>717</v>
      </c>
      <c r="M9" s="162">
        <f t="shared" si="0"/>
        <v>2.8239E-2</v>
      </c>
      <c r="N9" s="161">
        <v>1335454.328</v>
      </c>
      <c r="O9" s="169">
        <v>1335454.328</v>
      </c>
    </row>
    <row r="10" spans="1:15" ht="23.25">
      <c r="A10" s="162" t="s">
        <v>231</v>
      </c>
      <c r="B10" s="162" t="s">
        <v>261</v>
      </c>
      <c r="C10" s="162" t="s">
        <v>204</v>
      </c>
      <c r="D10" s="162">
        <v>6.6109999999999998</v>
      </c>
      <c r="E10" s="162">
        <v>337980.12400000001</v>
      </c>
      <c r="F10" s="162">
        <v>337980.12400000001</v>
      </c>
      <c r="J10" s="165" t="s">
        <v>231</v>
      </c>
      <c r="K10" s="162" t="s">
        <v>261</v>
      </c>
      <c r="L10" s="162" t="s">
        <v>717</v>
      </c>
      <c r="M10" s="162">
        <f t="shared" si="0"/>
        <v>6.6109999999999997E-3</v>
      </c>
      <c r="N10" s="162">
        <v>337980.12400000001</v>
      </c>
      <c r="O10" s="168">
        <v>337980.12400000001</v>
      </c>
    </row>
    <row r="11" spans="1:15" ht="23.25">
      <c r="A11" s="161" t="s">
        <v>231</v>
      </c>
      <c r="B11" s="161" t="s">
        <v>226</v>
      </c>
      <c r="C11" s="161" t="s">
        <v>204</v>
      </c>
      <c r="D11" s="161">
        <v>10566</v>
      </c>
      <c r="E11" s="161">
        <v>593906011.35000002</v>
      </c>
      <c r="F11" s="161">
        <v>593906011.35000002</v>
      </c>
      <c r="J11" s="166" t="s">
        <v>231</v>
      </c>
      <c r="K11" s="161" t="s">
        <v>226</v>
      </c>
      <c r="L11" s="162" t="s">
        <v>717</v>
      </c>
      <c r="M11" s="162">
        <f t="shared" si="0"/>
        <v>10.566000000000001</v>
      </c>
      <c r="N11" s="161">
        <v>593906011.35000002</v>
      </c>
      <c r="O11" s="169">
        <v>593906011.35000002</v>
      </c>
    </row>
    <row r="12" spans="1:15" ht="23.25">
      <c r="A12" s="162" t="s">
        <v>231</v>
      </c>
      <c r="B12" s="162" t="s">
        <v>235</v>
      </c>
      <c r="C12" s="162" t="s">
        <v>204</v>
      </c>
      <c r="D12" s="162">
        <v>4014.64</v>
      </c>
      <c r="E12" s="162">
        <v>238406106.84299999</v>
      </c>
      <c r="F12" s="162">
        <v>238406106.84299999</v>
      </c>
      <c r="J12" s="165" t="s">
        <v>231</v>
      </c>
      <c r="K12" s="162" t="s">
        <v>235</v>
      </c>
      <c r="L12" s="162" t="s">
        <v>717</v>
      </c>
      <c r="M12" s="162">
        <f t="shared" si="0"/>
        <v>4.01464</v>
      </c>
      <c r="N12" s="162">
        <v>238406106.84299999</v>
      </c>
      <c r="O12" s="168">
        <v>238406106.84299999</v>
      </c>
    </row>
    <row r="13" spans="1:15" ht="23.25">
      <c r="A13" s="161" t="s">
        <v>231</v>
      </c>
      <c r="B13" s="161" t="s">
        <v>212</v>
      </c>
      <c r="C13" s="161" t="s">
        <v>204</v>
      </c>
      <c r="D13" s="161">
        <v>34.648000000000003</v>
      </c>
      <c r="E13" s="161">
        <v>1695971</v>
      </c>
      <c r="F13" s="161">
        <v>1695971</v>
      </c>
      <c r="J13" s="166" t="s">
        <v>231</v>
      </c>
      <c r="K13" s="161" t="s">
        <v>212</v>
      </c>
      <c r="L13" s="162" t="s">
        <v>717</v>
      </c>
      <c r="M13" s="162">
        <f t="shared" si="0"/>
        <v>3.4648000000000005E-2</v>
      </c>
      <c r="N13" s="161">
        <v>1695971</v>
      </c>
      <c r="O13" s="169">
        <v>1695971</v>
      </c>
    </row>
    <row r="14" spans="1:15" ht="23.25">
      <c r="A14" s="162" t="s">
        <v>223</v>
      </c>
      <c r="B14" s="162" t="s">
        <v>195</v>
      </c>
      <c r="C14" s="162" t="s">
        <v>204</v>
      </c>
      <c r="D14" s="162">
        <v>3660.4029999999998</v>
      </c>
      <c r="E14" s="162">
        <v>206548068.21599999</v>
      </c>
      <c r="F14" s="162">
        <v>206548068.21599999</v>
      </c>
      <c r="J14" s="165" t="s">
        <v>223</v>
      </c>
      <c r="K14" s="162" t="s">
        <v>195</v>
      </c>
      <c r="L14" s="162" t="s">
        <v>717</v>
      </c>
      <c r="M14" s="162">
        <f t="shared" si="0"/>
        <v>3.6604029999999996</v>
      </c>
      <c r="N14" s="162">
        <v>206548068.21599999</v>
      </c>
      <c r="O14" s="168">
        <v>206548068.21599999</v>
      </c>
    </row>
    <row r="15" spans="1:15" ht="23.25">
      <c r="A15" s="161" t="s">
        <v>223</v>
      </c>
      <c r="B15" s="161" t="s">
        <v>219</v>
      </c>
      <c r="C15" s="161" t="s">
        <v>204</v>
      </c>
      <c r="D15" s="161">
        <v>32.393999999999998</v>
      </c>
      <c r="E15" s="161">
        <v>1541344.121</v>
      </c>
      <c r="F15" s="161">
        <v>1541344.121</v>
      </c>
      <c r="J15" s="166" t="s">
        <v>223</v>
      </c>
      <c r="K15" s="161" t="s">
        <v>219</v>
      </c>
      <c r="L15" s="162" t="s">
        <v>717</v>
      </c>
      <c r="M15" s="162">
        <f t="shared" si="0"/>
        <v>3.2393999999999999E-2</v>
      </c>
      <c r="N15" s="161">
        <v>1541344.121</v>
      </c>
      <c r="O15" s="169">
        <v>1541344.121</v>
      </c>
    </row>
    <row r="16" spans="1:15" ht="23.25">
      <c r="A16" s="162" t="s">
        <v>223</v>
      </c>
      <c r="B16" s="162" t="s">
        <v>226</v>
      </c>
      <c r="C16" s="162" t="s">
        <v>204</v>
      </c>
      <c r="D16" s="162">
        <v>12081</v>
      </c>
      <c r="E16" s="162">
        <v>631954371.199</v>
      </c>
      <c r="F16" s="162">
        <v>631954371.199</v>
      </c>
      <c r="J16" s="165" t="s">
        <v>223</v>
      </c>
      <c r="K16" s="162" t="s">
        <v>226</v>
      </c>
      <c r="L16" s="162" t="s">
        <v>717</v>
      </c>
      <c r="M16" s="162">
        <f t="shared" si="0"/>
        <v>12.081</v>
      </c>
      <c r="N16" s="162">
        <v>631954371.199</v>
      </c>
      <c r="O16" s="168">
        <v>631954371.199</v>
      </c>
    </row>
    <row r="17" spans="1:15" ht="23.25">
      <c r="A17" s="161" t="s">
        <v>223</v>
      </c>
      <c r="B17" s="161" t="s">
        <v>235</v>
      </c>
      <c r="C17" s="161" t="s">
        <v>204</v>
      </c>
      <c r="D17" s="161">
        <v>3215.52</v>
      </c>
      <c r="E17" s="161">
        <v>171934926.44400001</v>
      </c>
      <c r="F17" s="161">
        <v>171934926.44400001</v>
      </c>
      <c r="J17" s="166" t="s">
        <v>223</v>
      </c>
      <c r="K17" s="161" t="s">
        <v>235</v>
      </c>
      <c r="L17" s="162" t="s">
        <v>717</v>
      </c>
      <c r="M17" s="162">
        <f t="shared" si="0"/>
        <v>3.2155200000000002</v>
      </c>
      <c r="N17" s="161">
        <v>171934926.44400001</v>
      </c>
      <c r="O17" s="169">
        <v>171934926.44400001</v>
      </c>
    </row>
    <row r="18" spans="1:15" ht="23.25">
      <c r="A18" s="162" t="s">
        <v>189</v>
      </c>
      <c r="B18" s="162" t="s">
        <v>195</v>
      </c>
      <c r="C18" s="162" t="s">
        <v>204</v>
      </c>
      <c r="D18" s="162">
        <v>3884.3809999999999</v>
      </c>
      <c r="E18" s="162">
        <v>219808451.24000001</v>
      </c>
      <c r="F18" s="162">
        <v>219808451.24000001</v>
      </c>
      <c r="J18" s="165" t="s">
        <v>189</v>
      </c>
      <c r="K18" s="162" t="s">
        <v>195</v>
      </c>
      <c r="L18" s="162" t="s">
        <v>717</v>
      </c>
      <c r="M18" s="162">
        <f t="shared" si="0"/>
        <v>3.8843809999999999</v>
      </c>
      <c r="N18" s="162">
        <v>219808451.24000001</v>
      </c>
      <c r="O18" s="168">
        <v>219808451.24000001</v>
      </c>
    </row>
    <row r="19" spans="1:15" ht="23.25">
      <c r="A19" s="161" t="s">
        <v>189</v>
      </c>
      <c r="B19" s="161" t="s">
        <v>219</v>
      </c>
      <c r="C19" s="161" t="s">
        <v>204</v>
      </c>
      <c r="D19" s="161">
        <v>27.384</v>
      </c>
      <c r="E19" s="161">
        <v>1297177.531</v>
      </c>
      <c r="F19" s="161">
        <v>1297177.531</v>
      </c>
      <c r="J19" s="166" t="s">
        <v>189</v>
      </c>
      <c r="K19" s="161" t="s">
        <v>219</v>
      </c>
      <c r="L19" s="162" t="s">
        <v>717</v>
      </c>
      <c r="M19" s="162">
        <f t="shared" si="0"/>
        <v>2.7383999999999999E-2</v>
      </c>
      <c r="N19" s="161">
        <v>1297177.531</v>
      </c>
      <c r="O19" s="169">
        <v>1297177.531</v>
      </c>
    </row>
    <row r="20" spans="1:15" ht="23.25">
      <c r="A20" s="162" t="s">
        <v>189</v>
      </c>
      <c r="B20" s="162" t="s">
        <v>208</v>
      </c>
      <c r="C20" s="162" t="s">
        <v>204</v>
      </c>
      <c r="D20" s="162">
        <v>0.998</v>
      </c>
      <c r="E20" s="162">
        <v>47763.417999999998</v>
      </c>
      <c r="F20" s="162">
        <v>47763.417999999998</v>
      </c>
      <c r="J20" s="165" t="s">
        <v>189</v>
      </c>
      <c r="K20" s="162" t="s">
        <v>208</v>
      </c>
      <c r="L20" s="162" t="s">
        <v>717</v>
      </c>
      <c r="M20" s="162">
        <f t="shared" si="0"/>
        <v>9.9799999999999997E-4</v>
      </c>
      <c r="N20" s="162">
        <v>47763.417999999998</v>
      </c>
      <c r="O20" s="168">
        <v>47763.417999999998</v>
      </c>
    </row>
    <row r="21" spans="1:15" ht="23.25">
      <c r="A21" s="161" t="s">
        <v>189</v>
      </c>
      <c r="B21" s="161" t="s">
        <v>226</v>
      </c>
      <c r="C21" s="161" t="s">
        <v>204</v>
      </c>
      <c r="D21" s="161">
        <v>13581</v>
      </c>
      <c r="E21" s="161">
        <v>710234464.13499999</v>
      </c>
      <c r="F21" s="161">
        <v>710234464.13499999</v>
      </c>
      <c r="J21" s="166" t="s">
        <v>189</v>
      </c>
      <c r="K21" s="161" t="s">
        <v>226</v>
      </c>
      <c r="L21" s="162" t="s">
        <v>717</v>
      </c>
      <c r="M21" s="162">
        <f t="shared" si="0"/>
        <v>13.581</v>
      </c>
      <c r="N21" s="161">
        <v>710234464.13499999</v>
      </c>
      <c r="O21" s="169">
        <v>710234464.13499999</v>
      </c>
    </row>
    <row r="22" spans="1:15" ht="23.25">
      <c r="A22" s="162" t="s">
        <v>189</v>
      </c>
      <c r="B22" s="162" t="s">
        <v>235</v>
      </c>
      <c r="C22" s="162" t="s">
        <v>204</v>
      </c>
      <c r="D22" s="162">
        <v>2625.9</v>
      </c>
      <c r="E22" s="162">
        <v>144258311.833</v>
      </c>
      <c r="F22" s="162">
        <v>144258311.833</v>
      </c>
      <c r="J22" s="165" t="s">
        <v>189</v>
      </c>
      <c r="K22" s="162" t="s">
        <v>235</v>
      </c>
      <c r="L22" s="162" t="s">
        <v>717</v>
      </c>
      <c r="M22" s="162">
        <f t="shared" si="0"/>
        <v>2.6259000000000001</v>
      </c>
      <c r="N22" s="162">
        <v>144258311.833</v>
      </c>
      <c r="O22" s="168">
        <v>144258311.833</v>
      </c>
    </row>
    <row r="23" spans="1:15" ht="23.25">
      <c r="A23" s="161" t="s">
        <v>189</v>
      </c>
      <c r="B23" s="161" t="s">
        <v>212</v>
      </c>
      <c r="C23" s="161" t="s">
        <v>204</v>
      </c>
      <c r="D23" s="161">
        <v>7.45</v>
      </c>
      <c r="E23" s="161">
        <v>332900</v>
      </c>
      <c r="F23" s="161">
        <v>332900</v>
      </c>
      <c r="J23" s="166" t="s">
        <v>189</v>
      </c>
      <c r="K23" s="161" t="s">
        <v>212</v>
      </c>
      <c r="L23" s="162" t="s">
        <v>717</v>
      </c>
      <c r="M23" s="162">
        <f t="shared" si="0"/>
        <v>7.45E-3</v>
      </c>
      <c r="N23" s="161">
        <v>332900</v>
      </c>
      <c r="O23" s="169">
        <v>332900</v>
      </c>
    </row>
    <row r="24" spans="1:15" ht="23.25">
      <c r="A24" s="161" t="s">
        <v>210</v>
      </c>
      <c r="B24" s="161" t="s">
        <v>195</v>
      </c>
      <c r="C24" s="161" t="s">
        <v>204</v>
      </c>
      <c r="D24" s="161">
        <v>3634.4569999999999</v>
      </c>
      <c r="E24" s="161">
        <v>194991546.08899999</v>
      </c>
      <c r="F24" s="161">
        <v>194991546.08899999</v>
      </c>
      <c r="J24" s="166" t="s">
        <v>210</v>
      </c>
      <c r="K24" s="161" t="s">
        <v>195</v>
      </c>
      <c r="L24" s="162" t="s">
        <v>717</v>
      </c>
      <c r="M24" s="162">
        <f t="shared" si="0"/>
        <v>3.6344569999999998</v>
      </c>
      <c r="N24" s="161">
        <v>194991546.08899999</v>
      </c>
      <c r="O24" s="169">
        <v>194991546.08899999</v>
      </c>
    </row>
    <row r="25" spans="1:15" ht="23.25">
      <c r="A25" s="162" t="s">
        <v>210</v>
      </c>
      <c r="B25" s="162" t="s">
        <v>219</v>
      </c>
      <c r="C25" s="162" t="s">
        <v>204</v>
      </c>
      <c r="D25" s="162">
        <v>77.575999999999993</v>
      </c>
      <c r="E25" s="162">
        <v>3560493.3480000002</v>
      </c>
      <c r="F25" s="162">
        <v>3560493.3480000002</v>
      </c>
      <c r="J25" s="165" t="s">
        <v>210</v>
      </c>
      <c r="K25" s="162" t="s">
        <v>219</v>
      </c>
      <c r="L25" s="162" t="s">
        <v>717</v>
      </c>
      <c r="M25" s="162">
        <f t="shared" si="0"/>
        <v>7.7575999999999992E-2</v>
      </c>
      <c r="N25" s="162">
        <v>3560493.3480000002</v>
      </c>
      <c r="O25" s="168">
        <v>3560493.3480000002</v>
      </c>
    </row>
    <row r="26" spans="1:15" ht="23.25">
      <c r="A26" s="161" t="s">
        <v>210</v>
      </c>
      <c r="B26" s="161" t="s">
        <v>226</v>
      </c>
      <c r="C26" s="161" t="s">
        <v>204</v>
      </c>
      <c r="D26" s="161">
        <v>9512</v>
      </c>
      <c r="E26" s="161">
        <v>485160797.29100001</v>
      </c>
      <c r="F26" s="161">
        <v>485160797.29100001</v>
      </c>
      <c r="J26" s="166" t="s">
        <v>210</v>
      </c>
      <c r="K26" s="161" t="s">
        <v>226</v>
      </c>
      <c r="L26" s="162" t="s">
        <v>717</v>
      </c>
      <c r="M26" s="162">
        <f t="shared" si="0"/>
        <v>9.5120000000000005</v>
      </c>
      <c r="N26" s="161">
        <v>485160797.29100001</v>
      </c>
      <c r="O26" s="169">
        <v>485160797.29100001</v>
      </c>
    </row>
    <row r="27" spans="1:15" ht="23.25">
      <c r="A27" s="162" t="s">
        <v>210</v>
      </c>
      <c r="B27" s="162" t="s">
        <v>235</v>
      </c>
      <c r="C27" s="162" t="s">
        <v>204</v>
      </c>
      <c r="D27" s="162">
        <v>2118.87</v>
      </c>
      <c r="E27" s="162">
        <v>104357473.52599999</v>
      </c>
      <c r="F27" s="162">
        <v>104357473.52599999</v>
      </c>
      <c r="J27" s="165" t="s">
        <v>210</v>
      </c>
      <c r="K27" s="162" t="s">
        <v>235</v>
      </c>
      <c r="L27" s="162" t="s">
        <v>717</v>
      </c>
      <c r="M27" s="162">
        <f t="shared" si="0"/>
        <v>2.1188699999999998</v>
      </c>
      <c r="N27" s="162">
        <v>104357473.52599999</v>
      </c>
      <c r="O27" s="168">
        <v>104357473.52599999</v>
      </c>
    </row>
    <row r="28" spans="1:15" ht="23.25">
      <c r="A28" s="161" t="s">
        <v>210</v>
      </c>
      <c r="B28" s="161" t="s">
        <v>212</v>
      </c>
      <c r="C28" s="161" t="s">
        <v>204</v>
      </c>
      <c r="D28" s="161">
        <v>42.487000000000002</v>
      </c>
      <c r="E28" s="161">
        <v>1765487</v>
      </c>
      <c r="F28" s="161">
        <v>1765487</v>
      </c>
      <c r="J28" s="170" t="s">
        <v>210</v>
      </c>
      <c r="K28" s="171" t="s">
        <v>212</v>
      </c>
      <c r="L28" s="172" t="s">
        <v>717</v>
      </c>
      <c r="M28" s="172">
        <f t="shared" si="0"/>
        <v>4.2487000000000004E-2</v>
      </c>
      <c r="N28" s="171">
        <v>1765487</v>
      </c>
      <c r="O28" s="173">
        <v>1765487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84407-15A0-4085-9EC2-91A6496B3C4A}">
  <dimension ref="B2:I118"/>
  <sheetViews>
    <sheetView showOutlineSymbols="0" defaultGridColor="0" workbookViewId="0"/>
  </sheetViews>
  <sheetFormatPr baseColWidth="10" defaultColWidth="11.54296875" defaultRowHeight="17.25"/>
  <cols>
    <col min="1" max="1" width="11.54296875" style="137"/>
    <col min="2" max="2" width="20.54296875" style="137" customWidth="1"/>
    <col min="3" max="3" width="14.1796875" style="137" bestFit="1" customWidth="1"/>
    <col min="4" max="4" width="9.26953125" style="137" bestFit="1" customWidth="1"/>
    <col min="5" max="5" width="12.7265625" style="137" bestFit="1" customWidth="1"/>
    <col min="6" max="6" width="6.453125" style="137" bestFit="1" customWidth="1"/>
    <col min="7" max="7" width="9" style="137" bestFit="1" customWidth="1"/>
    <col min="8" max="8" width="15.26953125" style="137" bestFit="1" customWidth="1"/>
    <col min="9" max="9" width="12.1796875" style="137" bestFit="1" customWidth="1"/>
    <col min="10" max="16384" width="11.54296875" style="137"/>
  </cols>
  <sheetData>
    <row r="2" spans="2:9">
      <c r="B2" s="136" t="s">
        <v>659</v>
      </c>
    </row>
    <row r="4" spans="2:9" ht="35.25" thickBot="1">
      <c r="B4" s="138" t="s">
        <v>660</v>
      </c>
      <c r="C4" s="138" t="s">
        <v>661</v>
      </c>
      <c r="D4" s="138" t="s">
        <v>662</v>
      </c>
      <c r="E4" s="138" t="s">
        <v>663</v>
      </c>
      <c r="F4" s="138" t="s">
        <v>276</v>
      </c>
      <c r="G4" s="138" t="s">
        <v>664</v>
      </c>
      <c r="H4" s="138" t="s">
        <v>665</v>
      </c>
      <c r="I4" s="138" t="s">
        <v>666</v>
      </c>
    </row>
    <row r="5" spans="2:9" ht="18" thickTop="1">
      <c r="B5" s="181" t="s">
        <v>333</v>
      </c>
      <c r="C5" s="139" t="s">
        <v>70</v>
      </c>
      <c r="D5" s="139" t="s">
        <v>336</v>
      </c>
      <c r="E5" s="139" t="s">
        <v>338</v>
      </c>
      <c r="F5" s="139" t="s">
        <v>288</v>
      </c>
      <c r="G5" s="140">
        <v>10.541600000000001</v>
      </c>
      <c r="H5" s="141">
        <v>380045730082</v>
      </c>
      <c r="I5" s="141">
        <v>611873638</v>
      </c>
    </row>
    <row r="6" spans="2:9">
      <c r="B6" s="179"/>
      <c r="C6" s="142" t="s">
        <v>72</v>
      </c>
      <c r="D6" s="142" t="s">
        <v>532</v>
      </c>
      <c r="E6" s="142" t="s">
        <v>534</v>
      </c>
      <c r="F6" s="142" t="s">
        <v>288</v>
      </c>
      <c r="G6" s="143">
        <v>4.0319000000000003</v>
      </c>
      <c r="H6" s="144">
        <v>147954684761</v>
      </c>
      <c r="I6" s="144">
        <v>238207047</v>
      </c>
    </row>
    <row r="7" spans="2:9">
      <c r="B7" s="179"/>
      <c r="C7" s="142" t="s">
        <v>70</v>
      </c>
      <c r="D7" s="142" t="s">
        <v>336</v>
      </c>
      <c r="E7" s="142" t="s">
        <v>191</v>
      </c>
      <c r="F7" s="142" t="s">
        <v>288</v>
      </c>
      <c r="G7" s="143">
        <v>0.34849999999999998</v>
      </c>
      <c r="H7" s="144">
        <v>12540974385</v>
      </c>
      <c r="I7" s="144">
        <v>20190969</v>
      </c>
    </row>
    <row r="8" spans="2:9">
      <c r="B8" s="145" t="s">
        <v>667</v>
      </c>
      <c r="C8" s="145"/>
      <c r="D8" s="145"/>
      <c r="E8" s="145"/>
      <c r="F8" s="145"/>
      <c r="G8" s="146">
        <f>SUM(G5:G7)</f>
        <v>14.922000000000001</v>
      </c>
      <c r="H8" s="147">
        <f t="shared" ref="H8:I8" si="0">SUM(H5:H7)</f>
        <v>540541389228</v>
      </c>
      <c r="I8" s="147">
        <f t="shared" si="0"/>
        <v>870271654</v>
      </c>
    </row>
    <row r="9" spans="2:9">
      <c r="B9" s="142" t="s">
        <v>390</v>
      </c>
      <c r="C9" s="142" t="s">
        <v>387</v>
      </c>
      <c r="D9" s="142" t="s">
        <v>392</v>
      </c>
      <c r="E9" s="142" t="s">
        <v>394</v>
      </c>
      <c r="F9" s="142" t="s">
        <v>288</v>
      </c>
      <c r="G9" s="144">
        <v>558409</v>
      </c>
      <c r="H9" s="144">
        <v>533842674117</v>
      </c>
      <c r="I9" s="144">
        <v>859486723</v>
      </c>
    </row>
    <row r="10" spans="2:9">
      <c r="B10" s="145" t="s">
        <v>668</v>
      </c>
      <c r="C10" s="145"/>
      <c r="D10" s="145"/>
      <c r="E10" s="145"/>
      <c r="F10" s="145"/>
      <c r="G10" s="147">
        <f>+G9</f>
        <v>558409</v>
      </c>
      <c r="H10" s="147">
        <f t="shared" ref="H10:I10" si="1">+H9</f>
        <v>533842674117</v>
      </c>
      <c r="I10" s="147">
        <f t="shared" si="1"/>
        <v>859486723</v>
      </c>
    </row>
    <row r="11" spans="2:9">
      <c r="B11" s="179" t="s">
        <v>373</v>
      </c>
      <c r="C11" s="179" t="s">
        <v>362</v>
      </c>
      <c r="D11" s="179" t="s">
        <v>367</v>
      </c>
      <c r="E11" s="142" t="s">
        <v>369</v>
      </c>
      <c r="F11" s="142" t="s">
        <v>288</v>
      </c>
      <c r="G11" s="144">
        <v>255142</v>
      </c>
      <c r="H11" s="144">
        <v>55201748257</v>
      </c>
      <c r="I11" s="144">
        <v>88874816</v>
      </c>
    </row>
    <row r="12" spans="2:9">
      <c r="B12" s="179"/>
      <c r="C12" s="179"/>
      <c r="D12" s="179"/>
      <c r="E12" s="142" t="s">
        <v>669</v>
      </c>
      <c r="F12" s="142" t="s">
        <v>288</v>
      </c>
      <c r="G12" s="144">
        <v>101793</v>
      </c>
      <c r="H12" s="144">
        <v>17574924450</v>
      </c>
      <c r="I12" s="144">
        <v>28295629</v>
      </c>
    </row>
    <row r="13" spans="2:9">
      <c r="B13" s="145" t="s">
        <v>670</v>
      </c>
      <c r="C13" s="145"/>
      <c r="D13" s="145"/>
      <c r="E13" s="145"/>
      <c r="F13" s="145"/>
      <c r="G13" s="147">
        <f>SUM(G11:G12)</f>
        <v>356935</v>
      </c>
      <c r="H13" s="147">
        <f>SUM(H11:H12)</f>
        <v>72776672707</v>
      </c>
      <c r="I13" s="147">
        <f t="shared" ref="I13" si="2">SUM(I11:I12)</f>
        <v>117170445</v>
      </c>
    </row>
    <row r="14" spans="2:9">
      <c r="B14" s="179" t="s">
        <v>671</v>
      </c>
      <c r="C14" s="179" t="s">
        <v>345</v>
      </c>
      <c r="D14" s="142" t="s">
        <v>672</v>
      </c>
      <c r="E14" s="142" t="s">
        <v>261</v>
      </c>
      <c r="F14" s="142" t="s">
        <v>288</v>
      </c>
      <c r="G14" s="144">
        <v>586349</v>
      </c>
      <c r="H14" s="144">
        <v>27805006450</v>
      </c>
      <c r="I14" s="144">
        <v>44766061</v>
      </c>
    </row>
    <row r="15" spans="2:9">
      <c r="B15" s="179"/>
      <c r="C15" s="179"/>
      <c r="D15" s="142" t="s">
        <v>672</v>
      </c>
      <c r="E15" s="142" t="s">
        <v>294</v>
      </c>
      <c r="F15" s="142" t="s">
        <v>288</v>
      </c>
      <c r="G15" s="144">
        <v>487563</v>
      </c>
      <c r="H15" s="144">
        <v>21800118950</v>
      </c>
      <c r="I15" s="144">
        <v>35098192</v>
      </c>
    </row>
    <row r="16" spans="2:9">
      <c r="B16" s="179"/>
      <c r="C16" s="179" t="s">
        <v>286</v>
      </c>
      <c r="D16" s="179" t="s">
        <v>290</v>
      </c>
      <c r="E16" s="142" t="s">
        <v>261</v>
      </c>
      <c r="F16" s="142" t="s">
        <v>288</v>
      </c>
      <c r="G16" s="144">
        <v>132612</v>
      </c>
      <c r="H16" s="144">
        <v>5920144025</v>
      </c>
      <c r="I16" s="144">
        <v>9531432</v>
      </c>
    </row>
    <row r="17" spans="2:9">
      <c r="B17" s="179"/>
      <c r="C17" s="179"/>
      <c r="D17" s="179"/>
      <c r="E17" s="142" t="s">
        <v>294</v>
      </c>
      <c r="F17" s="142" t="s">
        <v>288</v>
      </c>
      <c r="G17" s="144">
        <v>44460</v>
      </c>
      <c r="H17" s="144">
        <v>1994599434</v>
      </c>
      <c r="I17" s="144">
        <v>3211305</v>
      </c>
    </row>
    <row r="18" spans="2:9">
      <c r="B18" s="179"/>
      <c r="C18" s="142" t="s">
        <v>673</v>
      </c>
      <c r="D18" s="142" t="s">
        <v>564</v>
      </c>
      <c r="E18" s="142" t="s">
        <v>294</v>
      </c>
      <c r="F18" s="142" t="s">
        <v>288</v>
      </c>
      <c r="G18" s="144">
        <v>51948</v>
      </c>
      <c r="H18" s="144">
        <v>1949347100</v>
      </c>
      <c r="I18" s="144">
        <v>3138449</v>
      </c>
    </row>
    <row r="19" spans="2:9">
      <c r="B19" s="179"/>
      <c r="C19" s="142" t="s">
        <v>345</v>
      </c>
      <c r="D19" s="142" t="s">
        <v>672</v>
      </c>
      <c r="E19" s="142" t="s">
        <v>329</v>
      </c>
      <c r="F19" s="142" t="s">
        <v>288</v>
      </c>
      <c r="G19" s="144">
        <v>35174</v>
      </c>
      <c r="H19" s="144">
        <v>1572723200</v>
      </c>
      <c r="I19" s="144">
        <v>2532084</v>
      </c>
    </row>
    <row r="20" spans="2:9">
      <c r="B20" s="179"/>
      <c r="C20" s="179" t="s">
        <v>673</v>
      </c>
      <c r="D20" s="179" t="s">
        <v>564</v>
      </c>
      <c r="E20" s="142" t="s">
        <v>261</v>
      </c>
      <c r="F20" s="142" t="s">
        <v>288</v>
      </c>
      <c r="G20" s="144">
        <v>27637</v>
      </c>
      <c r="H20" s="144">
        <v>1094455440</v>
      </c>
      <c r="I20" s="144">
        <v>1762073</v>
      </c>
    </row>
    <row r="21" spans="2:9">
      <c r="B21" s="179"/>
      <c r="C21" s="179"/>
      <c r="D21" s="179"/>
      <c r="E21" s="142" t="s">
        <v>655</v>
      </c>
      <c r="F21" s="142" t="s">
        <v>288</v>
      </c>
      <c r="G21" s="144">
        <v>7991</v>
      </c>
      <c r="H21" s="144">
        <v>300244740</v>
      </c>
      <c r="I21" s="144">
        <v>483394</v>
      </c>
    </row>
    <row r="22" spans="2:9">
      <c r="B22" s="179"/>
      <c r="C22" s="142" t="s">
        <v>345</v>
      </c>
      <c r="D22" s="142" t="s">
        <v>672</v>
      </c>
      <c r="E22" s="142" t="s">
        <v>655</v>
      </c>
      <c r="F22" s="142" t="s">
        <v>288</v>
      </c>
      <c r="G22" s="144">
        <v>2836</v>
      </c>
      <c r="H22" s="144">
        <v>134463000</v>
      </c>
      <c r="I22" s="144">
        <v>216485</v>
      </c>
    </row>
    <row r="23" spans="2:9">
      <c r="B23" s="179"/>
      <c r="C23" s="142" t="s">
        <v>673</v>
      </c>
      <c r="D23" s="142" t="s">
        <v>564</v>
      </c>
      <c r="E23" s="142" t="s">
        <v>654</v>
      </c>
      <c r="F23" s="142" t="s">
        <v>288</v>
      </c>
      <c r="G23" s="144">
        <v>3396</v>
      </c>
      <c r="H23" s="144">
        <v>130813500</v>
      </c>
      <c r="I23" s="144">
        <v>210610</v>
      </c>
    </row>
    <row r="24" spans="2:9">
      <c r="B24" s="179"/>
      <c r="C24" s="179" t="s">
        <v>286</v>
      </c>
      <c r="D24" s="179" t="s">
        <v>290</v>
      </c>
      <c r="E24" s="142" t="s">
        <v>329</v>
      </c>
      <c r="F24" s="142" t="s">
        <v>288</v>
      </c>
      <c r="G24" s="144">
        <v>2484</v>
      </c>
      <c r="H24" s="144">
        <v>111807125</v>
      </c>
      <c r="I24" s="144">
        <v>180009</v>
      </c>
    </row>
    <row r="25" spans="2:9">
      <c r="B25" s="179"/>
      <c r="C25" s="179"/>
      <c r="D25" s="179"/>
      <c r="E25" s="142" t="s">
        <v>313</v>
      </c>
      <c r="F25" s="142" t="s">
        <v>288</v>
      </c>
      <c r="G25" s="144">
        <v>1462</v>
      </c>
      <c r="H25" s="144">
        <v>69090250</v>
      </c>
      <c r="I25" s="144">
        <v>111235</v>
      </c>
    </row>
    <row r="26" spans="2:9">
      <c r="B26" s="179"/>
      <c r="C26" s="179"/>
      <c r="D26" s="179"/>
      <c r="E26" s="142" t="s">
        <v>655</v>
      </c>
      <c r="F26" s="142" t="s">
        <v>288</v>
      </c>
      <c r="G26" s="144">
        <v>533</v>
      </c>
      <c r="H26" s="144">
        <v>34820000</v>
      </c>
      <c r="I26" s="144">
        <v>56060</v>
      </c>
    </row>
    <row r="27" spans="2:9">
      <c r="B27" s="179"/>
      <c r="C27" s="179" t="s">
        <v>345</v>
      </c>
      <c r="D27" s="179" t="s">
        <v>672</v>
      </c>
      <c r="E27" s="142" t="s">
        <v>654</v>
      </c>
      <c r="F27" s="142" t="s">
        <v>288</v>
      </c>
      <c r="G27" s="144">
        <v>384</v>
      </c>
      <c r="H27" s="144">
        <v>18200000</v>
      </c>
      <c r="I27" s="144">
        <v>29302</v>
      </c>
    </row>
    <row r="28" spans="2:9">
      <c r="B28" s="179"/>
      <c r="C28" s="179"/>
      <c r="D28" s="179"/>
      <c r="E28" s="142" t="s">
        <v>313</v>
      </c>
      <c r="F28" s="142" t="s">
        <v>288</v>
      </c>
      <c r="G28" s="144">
        <v>107</v>
      </c>
      <c r="H28" s="144">
        <v>4785000</v>
      </c>
      <c r="I28" s="144">
        <v>7704</v>
      </c>
    </row>
    <row r="29" spans="2:9">
      <c r="B29" s="145" t="s">
        <v>674</v>
      </c>
      <c r="C29" s="145"/>
      <c r="D29" s="145"/>
      <c r="E29" s="145"/>
      <c r="F29" s="145"/>
      <c r="G29" s="147">
        <f>SUM(G14:G28)</f>
        <v>1384936</v>
      </c>
      <c r="H29" s="147">
        <f t="shared" ref="H29:I29" si="3">SUM(H14:H28)</f>
        <v>62940618214</v>
      </c>
      <c r="I29" s="147">
        <f t="shared" si="3"/>
        <v>101334395</v>
      </c>
    </row>
    <row r="30" spans="2:9">
      <c r="B30" s="180" t="s">
        <v>364</v>
      </c>
      <c r="C30" s="180" t="s">
        <v>362</v>
      </c>
      <c r="D30" s="180" t="s">
        <v>367</v>
      </c>
      <c r="E30" s="148" t="s">
        <v>369</v>
      </c>
      <c r="F30" s="148" t="s">
        <v>288</v>
      </c>
      <c r="G30" s="149">
        <v>26783</v>
      </c>
      <c r="H30" s="149">
        <v>37837012342</v>
      </c>
      <c r="I30" s="149">
        <v>60917590</v>
      </c>
    </row>
    <row r="31" spans="2:9">
      <c r="B31" s="180"/>
      <c r="C31" s="180"/>
      <c r="D31" s="180"/>
      <c r="E31" s="148" t="s">
        <v>255</v>
      </c>
      <c r="F31" s="148" t="s">
        <v>288</v>
      </c>
      <c r="G31" s="149">
        <v>2241</v>
      </c>
      <c r="H31" s="149">
        <v>2672529707</v>
      </c>
      <c r="I31" s="149">
        <v>4302773</v>
      </c>
    </row>
    <row r="32" spans="2:9">
      <c r="B32" s="180"/>
      <c r="C32" s="180"/>
      <c r="D32" s="180"/>
      <c r="E32" s="148" t="s">
        <v>675</v>
      </c>
      <c r="F32" s="148" t="s">
        <v>288</v>
      </c>
      <c r="G32" s="149">
        <v>1763</v>
      </c>
      <c r="H32" s="149">
        <v>2159428247</v>
      </c>
      <c r="I32" s="149">
        <v>3476680</v>
      </c>
    </row>
    <row r="33" spans="2:9">
      <c r="B33" s="180"/>
      <c r="C33" s="180"/>
      <c r="D33" s="180"/>
      <c r="E33" s="148" t="s">
        <v>242</v>
      </c>
      <c r="F33" s="148" t="s">
        <v>288</v>
      </c>
      <c r="G33" s="149">
        <v>1553</v>
      </c>
      <c r="H33" s="149">
        <v>1972277908</v>
      </c>
      <c r="I33" s="149">
        <v>3175367</v>
      </c>
    </row>
    <row r="34" spans="2:9">
      <c r="B34" s="180"/>
      <c r="C34" s="180"/>
      <c r="D34" s="180"/>
      <c r="E34" s="148" t="s">
        <v>676</v>
      </c>
      <c r="F34" s="148" t="s">
        <v>288</v>
      </c>
      <c r="G34" s="149">
        <v>899</v>
      </c>
      <c r="H34" s="149">
        <v>1151481123</v>
      </c>
      <c r="I34" s="149">
        <v>1853885</v>
      </c>
    </row>
    <row r="35" spans="2:9">
      <c r="B35" s="180"/>
      <c r="C35" s="180"/>
      <c r="D35" s="180"/>
      <c r="E35" s="148" t="s">
        <v>534</v>
      </c>
      <c r="F35" s="148" t="s">
        <v>288</v>
      </c>
      <c r="G35" s="149">
        <v>680</v>
      </c>
      <c r="H35" s="149">
        <v>879535090</v>
      </c>
      <c r="I35" s="149">
        <v>1416052</v>
      </c>
    </row>
    <row r="36" spans="2:9">
      <c r="B36" s="180"/>
      <c r="C36" s="180"/>
      <c r="D36" s="180"/>
      <c r="E36" s="148" t="s">
        <v>677</v>
      </c>
      <c r="F36" s="148" t="s">
        <v>288</v>
      </c>
      <c r="G36" s="149">
        <v>661</v>
      </c>
      <c r="H36" s="149">
        <v>805310967</v>
      </c>
      <c r="I36" s="149">
        <v>1296551</v>
      </c>
    </row>
    <row r="37" spans="2:9">
      <c r="B37" s="180"/>
      <c r="C37" s="180"/>
      <c r="D37" s="180"/>
      <c r="E37" s="148" t="s">
        <v>678</v>
      </c>
      <c r="F37" s="148" t="s">
        <v>288</v>
      </c>
      <c r="G37" s="149">
        <v>595</v>
      </c>
      <c r="H37" s="149">
        <v>738090401</v>
      </c>
      <c r="I37" s="149">
        <v>1188326</v>
      </c>
    </row>
    <row r="38" spans="2:9">
      <c r="B38" s="180"/>
      <c r="C38" s="180"/>
      <c r="D38" s="180"/>
      <c r="E38" s="148" t="s">
        <v>679</v>
      </c>
      <c r="F38" s="148" t="s">
        <v>288</v>
      </c>
      <c r="G38" s="149">
        <v>160</v>
      </c>
      <c r="H38" s="149">
        <v>205255608</v>
      </c>
      <c r="I38" s="149">
        <v>330462</v>
      </c>
    </row>
    <row r="39" spans="2:9">
      <c r="B39" s="180"/>
      <c r="C39" s="180"/>
      <c r="D39" s="180"/>
      <c r="E39" s="148" t="s">
        <v>680</v>
      </c>
      <c r="F39" s="148" t="s">
        <v>288</v>
      </c>
      <c r="G39" s="149">
        <v>140</v>
      </c>
      <c r="H39" s="149">
        <v>176061353</v>
      </c>
      <c r="I39" s="149">
        <v>283459</v>
      </c>
    </row>
    <row r="40" spans="2:9">
      <c r="B40" s="180"/>
      <c r="C40" s="180"/>
      <c r="D40" s="180"/>
      <c r="E40" s="148" t="s">
        <v>681</v>
      </c>
      <c r="F40" s="148" t="s">
        <v>288</v>
      </c>
      <c r="G40" s="149">
        <v>110</v>
      </c>
      <c r="H40" s="149">
        <v>137806911</v>
      </c>
      <c r="I40" s="149">
        <v>221869</v>
      </c>
    </row>
    <row r="41" spans="2:9">
      <c r="B41" s="180"/>
      <c r="C41" s="180"/>
      <c r="D41" s="180"/>
      <c r="E41" s="148" t="s">
        <v>682</v>
      </c>
      <c r="F41" s="148" t="s">
        <v>288</v>
      </c>
      <c r="G41" s="149">
        <v>66</v>
      </c>
      <c r="H41" s="149">
        <v>82182071</v>
      </c>
      <c r="I41" s="149">
        <v>132313</v>
      </c>
    </row>
    <row r="42" spans="2:9">
      <c r="B42" s="180"/>
      <c r="C42" s="180"/>
      <c r="D42" s="180"/>
      <c r="E42" s="148" t="s">
        <v>394</v>
      </c>
      <c r="F42" s="148" t="s">
        <v>288</v>
      </c>
      <c r="G42" s="149">
        <v>64</v>
      </c>
      <c r="H42" s="149">
        <v>79007117</v>
      </c>
      <c r="I42" s="149">
        <v>127201</v>
      </c>
    </row>
    <row r="43" spans="2:9">
      <c r="B43" s="145" t="s">
        <v>683</v>
      </c>
      <c r="C43" s="145"/>
      <c r="D43" s="145"/>
      <c r="E43" s="145"/>
      <c r="F43" s="145"/>
      <c r="G43" s="147">
        <f>SUM(G30:G42)</f>
        <v>35715</v>
      </c>
      <c r="H43" s="147">
        <f t="shared" ref="H43:I43" si="4">SUM(H30:H42)</f>
        <v>48895978845</v>
      </c>
      <c r="I43" s="147">
        <f t="shared" si="4"/>
        <v>78722528</v>
      </c>
    </row>
    <row r="44" spans="2:9">
      <c r="B44" s="179" t="s">
        <v>370</v>
      </c>
      <c r="C44" s="179" t="s">
        <v>362</v>
      </c>
      <c r="D44" s="179" t="s">
        <v>367</v>
      </c>
      <c r="E44" s="142" t="s">
        <v>369</v>
      </c>
      <c r="F44" s="142" t="s">
        <v>288</v>
      </c>
      <c r="G44" s="144">
        <v>16915</v>
      </c>
      <c r="H44" s="144">
        <v>22797650023</v>
      </c>
      <c r="I44" s="144">
        <v>36704217</v>
      </c>
    </row>
    <row r="45" spans="2:9">
      <c r="B45" s="179"/>
      <c r="C45" s="179"/>
      <c r="D45" s="179"/>
      <c r="E45" s="142" t="s">
        <v>675</v>
      </c>
      <c r="F45" s="142" t="s">
        <v>288</v>
      </c>
      <c r="G45" s="144">
        <v>3591</v>
      </c>
      <c r="H45" s="144">
        <v>4215746222</v>
      </c>
      <c r="I45" s="144">
        <v>6787352</v>
      </c>
    </row>
    <row r="46" spans="2:9">
      <c r="B46" s="179"/>
      <c r="C46" s="179"/>
      <c r="D46" s="179"/>
      <c r="E46" s="142" t="s">
        <v>682</v>
      </c>
      <c r="F46" s="142" t="s">
        <v>288</v>
      </c>
      <c r="G46" s="144">
        <v>1678</v>
      </c>
      <c r="H46" s="144">
        <v>2119199304</v>
      </c>
      <c r="I46" s="144">
        <v>3411911</v>
      </c>
    </row>
    <row r="47" spans="2:9">
      <c r="B47" s="179"/>
      <c r="C47" s="179"/>
      <c r="D47" s="179"/>
      <c r="E47" s="142" t="s">
        <v>681</v>
      </c>
      <c r="F47" s="142" t="s">
        <v>288</v>
      </c>
      <c r="G47" s="144">
        <v>463</v>
      </c>
      <c r="H47" s="144">
        <v>569141409</v>
      </c>
      <c r="I47" s="144">
        <v>916318</v>
      </c>
    </row>
    <row r="48" spans="2:9">
      <c r="B48" s="179"/>
      <c r="C48" s="179"/>
      <c r="D48" s="179"/>
      <c r="E48" s="142" t="s">
        <v>242</v>
      </c>
      <c r="F48" s="142" t="s">
        <v>288</v>
      </c>
      <c r="G48" s="144">
        <v>368</v>
      </c>
      <c r="H48" s="144">
        <v>436920695</v>
      </c>
      <c r="I48" s="144">
        <v>703442</v>
      </c>
    </row>
    <row r="49" spans="2:9">
      <c r="B49" s="179"/>
      <c r="C49" s="179"/>
      <c r="D49" s="179"/>
      <c r="E49" s="142" t="s">
        <v>394</v>
      </c>
      <c r="F49" s="142" t="s">
        <v>288</v>
      </c>
      <c r="G49" s="144">
        <v>234</v>
      </c>
      <c r="H49" s="144">
        <v>298525342</v>
      </c>
      <c r="I49" s="144">
        <v>480626</v>
      </c>
    </row>
    <row r="50" spans="2:9">
      <c r="B50" s="179"/>
      <c r="C50" s="179"/>
      <c r="D50" s="179"/>
      <c r="E50" s="142" t="s">
        <v>255</v>
      </c>
      <c r="F50" s="142" t="s">
        <v>288</v>
      </c>
      <c r="G50" s="144">
        <v>132</v>
      </c>
      <c r="H50" s="144">
        <v>158946658</v>
      </c>
      <c r="I50" s="144">
        <v>255904</v>
      </c>
    </row>
    <row r="51" spans="2:9">
      <c r="B51" s="179"/>
      <c r="C51" s="179"/>
      <c r="D51" s="179"/>
      <c r="E51" s="142" t="s">
        <v>676</v>
      </c>
      <c r="F51" s="142" t="s">
        <v>288</v>
      </c>
      <c r="G51" s="144">
        <v>120</v>
      </c>
      <c r="H51" s="144">
        <v>149568411</v>
      </c>
      <c r="I51" s="144">
        <v>240805</v>
      </c>
    </row>
    <row r="52" spans="2:9">
      <c r="B52" s="179"/>
      <c r="C52" s="179"/>
      <c r="D52" s="179"/>
      <c r="E52" s="142" t="s">
        <v>669</v>
      </c>
      <c r="F52" s="142" t="s">
        <v>288</v>
      </c>
      <c r="G52" s="144">
        <v>80</v>
      </c>
      <c r="H52" s="144">
        <v>100225403</v>
      </c>
      <c r="I52" s="144">
        <v>161363</v>
      </c>
    </row>
    <row r="53" spans="2:9">
      <c r="B53" s="145" t="s">
        <v>684</v>
      </c>
      <c r="C53" s="145"/>
      <c r="D53" s="145"/>
      <c r="E53" s="145"/>
      <c r="F53" s="145"/>
      <c r="G53" s="147">
        <f>SUM(G44:G52)</f>
        <v>23581</v>
      </c>
      <c r="H53" s="147">
        <f t="shared" ref="H53:I53" si="5">SUM(H44:H52)</f>
        <v>30845923467</v>
      </c>
      <c r="I53" s="147">
        <f t="shared" si="5"/>
        <v>49661938</v>
      </c>
    </row>
    <row r="54" spans="2:9">
      <c r="B54" s="179" t="s">
        <v>375</v>
      </c>
      <c r="C54" s="179" t="s">
        <v>362</v>
      </c>
      <c r="D54" s="179" t="s">
        <v>367</v>
      </c>
      <c r="E54" s="142" t="s">
        <v>369</v>
      </c>
      <c r="F54" s="142" t="s">
        <v>288</v>
      </c>
      <c r="G54" s="144">
        <v>105551</v>
      </c>
      <c r="H54" s="144">
        <v>23782278269</v>
      </c>
      <c r="I54" s="144">
        <v>38289469</v>
      </c>
    </row>
    <row r="55" spans="2:9">
      <c r="B55" s="179"/>
      <c r="C55" s="179"/>
      <c r="D55" s="179"/>
      <c r="E55" s="142" t="s">
        <v>255</v>
      </c>
      <c r="F55" s="142" t="s">
        <v>288</v>
      </c>
      <c r="G55" s="144">
        <v>29005</v>
      </c>
      <c r="H55" s="144">
        <v>5376147493</v>
      </c>
      <c r="I55" s="144">
        <v>8655598</v>
      </c>
    </row>
    <row r="56" spans="2:9">
      <c r="B56" s="179"/>
      <c r="C56" s="179"/>
      <c r="D56" s="179"/>
      <c r="E56" s="142" t="s">
        <v>685</v>
      </c>
      <c r="F56" s="142" t="s">
        <v>288</v>
      </c>
      <c r="G56" s="144">
        <v>40</v>
      </c>
      <c r="H56" s="144">
        <v>23021583</v>
      </c>
      <c r="I56" s="144">
        <v>37065</v>
      </c>
    </row>
    <row r="57" spans="2:9">
      <c r="B57" s="145" t="s">
        <v>686</v>
      </c>
      <c r="C57" s="145"/>
      <c r="D57" s="145"/>
      <c r="E57" s="145"/>
      <c r="F57" s="145"/>
      <c r="G57" s="147">
        <f>SUM(G54:G56)</f>
        <v>134596</v>
      </c>
      <c r="H57" s="147">
        <f t="shared" ref="H57:I57" si="6">SUM(H54:H56)</f>
        <v>29181447345</v>
      </c>
      <c r="I57" s="147">
        <f t="shared" si="6"/>
        <v>46982132</v>
      </c>
    </row>
    <row r="58" spans="2:9">
      <c r="B58" s="180" t="s">
        <v>653</v>
      </c>
      <c r="C58" s="148" t="s">
        <v>546</v>
      </c>
      <c r="D58" s="148" t="s">
        <v>672</v>
      </c>
      <c r="E58" s="148" t="s">
        <v>672</v>
      </c>
      <c r="F58" s="148" t="s">
        <v>288</v>
      </c>
      <c r="G58" s="149">
        <v>204722</v>
      </c>
      <c r="H58" s="149">
        <v>19685664021</v>
      </c>
      <c r="I58" s="149">
        <v>31693920</v>
      </c>
    </row>
    <row r="59" spans="2:9">
      <c r="B59" s="180"/>
      <c r="C59" s="148" t="s">
        <v>687</v>
      </c>
      <c r="D59" s="148" t="s">
        <v>623</v>
      </c>
      <c r="E59" s="148" t="s">
        <v>634</v>
      </c>
      <c r="F59" s="148" t="s">
        <v>288</v>
      </c>
      <c r="G59" s="149">
        <v>43408</v>
      </c>
      <c r="H59" s="149">
        <v>3655055730</v>
      </c>
      <c r="I59" s="149">
        <v>5884640</v>
      </c>
    </row>
    <row r="60" spans="2:9">
      <c r="B60" s="180"/>
      <c r="C60" s="148" t="s">
        <v>535</v>
      </c>
      <c r="D60" s="148" t="s">
        <v>535</v>
      </c>
      <c r="E60" s="148" t="s">
        <v>394</v>
      </c>
      <c r="F60" s="148" t="s">
        <v>288</v>
      </c>
      <c r="G60" s="149">
        <v>49106</v>
      </c>
      <c r="H60" s="149">
        <v>2483353653</v>
      </c>
      <c r="I60" s="149">
        <v>3998199</v>
      </c>
    </row>
    <row r="61" spans="2:9">
      <c r="B61" s="180"/>
      <c r="C61" s="180" t="s">
        <v>687</v>
      </c>
      <c r="D61" s="180" t="s">
        <v>623</v>
      </c>
      <c r="E61" s="148" t="s">
        <v>688</v>
      </c>
      <c r="F61" s="148" t="s">
        <v>288</v>
      </c>
      <c r="G61" s="149">
        <v>5500</v>
      </c>
      <c r="H61" s="149">
        <v>785469071</v>
      </c>
      <c r="I61" s="149">
        <v>1264605</v>
      </c>
    </row>
    <row r="62" spans="2:9">
      <c r="B62" s="180"/>
      <c r="C62" s="180"/>
      <c r="D62" s="180"/>
      <c r="E62" s="148" t="s">
        <v>191</v>
      </c>
      <c r="F62" s="148" t="s">
        <v>288</v>
      </c>
      <c r="G62" s="149">
        <v>3336</v>
      </c>
      <c r="H62" s="149">
        <v>171436989</v>
      </c>
      <c r="I62" s="149">
        <v>276014</v>
      </c>
    </row>
    <row r="63" spans="2:9">
      <c r="B63" s="180"/>
      <c r="C63" s="148" t="s">
        <v>535</v>
      </c>
      <c r="D63" s="148" t="s">
        <v>535</v>
      </c>
      <c r="E63" s="148" t="s">
        <v>191</v>
      </c>
      <c r="F63" s="148" t="s">
        <v>288</v>
      </c>
      <c r="G63" s="149">
        <v>2565</v>
      </c>
      <c r="H63" s="149">
        <v>146278950</v>
      </c>
      <c r="I63" s="149">
        <v>235509</v>
      </c>
    </row>
    <row r="64" spans="2:9">
      <c r="B64" s="145" t="s">
        <v>689</v>
      </c>
      <c r="C64" s="145"/>
      <c r="D64" s="145"/>
      <c r="E64" s="145"/>
      <c r="F64" s="145"/>
      <c r="G64" s="147">
        <f>SUM(G58:G63)</f>
        <v>308637</v>
      </c>
      <c r="H64" s="147">
        <f t="shared" ref="H64:I64" si="7">SUM(H58:H63)</f>
        <v>26927258414</v>
      </c>
      <c r="I64" s="147">
        <f t="shared" si="7"/>
        <v>43352887</v>
      </c>
    </row>
    <row r="65" spans="2:9">
      <c r="B65" s="179" t="s">
        <v>371</v>
      </c>
      <c r="C65" s="179" t="s">
        <v>362</v>
      </c>
      <c r="D65" s="179" t="s">
        <v>367</v>
      </c>
      <c r="E65" s="142" t="s">
        <v>369</v>
      </c>
      <c r="F65" s="142" t="s">
        <v>288</v>
      </c>
      <c r="G65" s="144">
        <v>25033</v>
      </c>
      <c r="H65" s="144">
        <v>6221775946</v>
      </c>
      <c r="I65" s="144">
        <v>10017059</v>
      </c>
    </row>
    <row r="66" spans="2:9">
      <c r="B66" s="179"/>
      <c r="C66" s="179"/>
      <c r="D66" s="179"/>
      <c r="E66" s="142" t="s">
        <v>242</v>
      </c>
      <c r="F66" s="142" t="s">
        <v>288</v>
      </c>
      <c r="G66" s="144">
        <v>6416</v>
      </c>
      <c r="H66" s="144">
        <v>2188304538</v>
      </c>
      <c r="I66" s="144">
        <v>3523170</v>
      </c>
    </row>
    <row r="67" spans="2:9">
      <c r="B67" s="145" t="s">
        <v>690</v>
      </c>
      <c r="C67" s="145"/>
      <c r="D67" s="145"/>
      <c r="E67" s="145"/>
      <c r="F67" s="145"/>
      <c r="G67" s="147">
        <f>SUM(G65:G66)</f>
        <v>31449</v>
      </c>
      <c r="H67" s="147">
        <f t="shared" ref="H67:I67" si="8">SUM(H65:H66)</f>
        <v>8410080484</v>
      </c>
      <c r="I67" s="147">
        <f t="shared" si="8"/>
        <v>13540229</v>
      </c>
    </row>
    <row r="68" spans="2:9">
      <c r="B68" s="148" t="s">
        <v>376</v>
      </c>
      <c r="C68" s="148" t="s">
        <v>362</v>
      </c>
      <c r="D68" s="148" t="s">
        <v>367</v>
      </c>
      <c r="E68" s="148" t="s">
        <v>369</v>
      </c>
      <c r="F68" s="148" t="s">
        <v>288</v>
      </c>
      <c r="G68" s="149">
        <v>35216</v>
      </c>
      <c r="H68" s="149">
        <v>7578109574</v>
      </c>
      <c r="I68" s="149">
        <v>12200757</v>
      </c>
    </row>
    <row r="69" spans="2:9">
      <c r="B69" s="145" t="s">
        <v>691</v>
      </c>
      <c r="C69" s="145"/>
      <c r="D69" s="145"/>
      <c r="E69" s="145"/>
      <c r="F69" s="145"/>
      <c r="G69" s="147">
        <f>+G68</f>
        <v>35216</v>
      </c>
      <c r="H69" s="147">
        <f t="shared" ref="H69:I69" si="9">+H68</f>
        <v>7578109574</v>
      </c>
      <c r="I69" s="147">
        <f t="shared" si="9"/>
        <v>12200757</v>
      </c>
    </row>
    <row r="70" spans="2:9">
      <c r="B70" s="180" t="s">
        <v>372</v>
      </c>
      <c r="C70" s="180" t="s">
        <v>362</v>
      </c>
      <c r="D70" s="180" t="s">
        <v>367</v>
      </c>
      <c r="E70" s="148" t="s">
        <v>369</v>
      </c>
      <c r="F70" s="148" t="s">
        <v>288</v>
      </c>
      <c r="G70" s="149">
        <v>4540</v>
      </c>
      <c r="H70" s="149">
        <v>4153250167</v>
      </c>
      <c r="I70" s="149">
        <v>6686733</v>
      </c>
    </row>
    <row r="71" spans="2:9">
      <c r="B71" s="180"/>
      <c r="C71" s="180"/>
      <c r="D71" s="180"/>
      <c r="E71" s="148" t="s">
        <v>692</v>
      </c>
      <c r="F71" s="148" t="s">
        <v>288</v>
      </c>
      <c r="G71" s="149">
        <v>440</v>
      </c>
      <c r="H71" s="149">
        <v>341151279</v>
      </c>
      <c r="I71" s="149">
        <v>549254</v>
      </c>
    </row>
    <row r="72" spans="2:9">
      <c r="B72" s="180"/>
      <c r="C72" s="180"/>
      <c r="D72" s="180"/>
      <c r="E72" s="148" t="s">
        <v>242</v>
      </c>
      <c r="F72" s="148" t="s">
        <v>288</v>
      </c>
      <c r="G72" s="149">
        <v>400</v>
      </c>
      <c r="H72" s="149">
        <v>303853087</v>
      </c>
      <c r="I72" s="149">
        <v>489203</v>
      </c>
    </row>
    <row r="73" spans="2:9">
      <c r="B73" s="180"/>
      <c r="C73" s="180"/>
      <c r="D73" s="180"/>
      <c r="E73" s="148" t="s">
        <v>685</v>
      </c>
      <c r="F73" s="148" t="s">
        <v>288</v>
      </c>
      <c r="G73" s="149">
        <v>400</v>
      </c>
      <c r="H73" s="149">
        <v>298442192</v>
      </c>
      <c r="I73" s="149">
        <v>480492</v>
      </c>
    </row>
    <row r="74" spans="2:9">
      <c r="B74" s="180"/>
      <c r="C74" s="180"/>
      <c r="D74" s="180"/>
      <c r="E74" s="148" t="s">
        <v>681</v>
      </c>
      <c r="F74" s="148" t="s">
        <v>288</v>
      </c>
      <c r="G74" s="149">
        <v>180</v>
      </c>
      <c r="H74" s="149">
        <v>142683113</v>
      </c>
      <c r="I74" s="149">
        <v>229720</v>
      </c>
    </row>
    <row r="75" spans="2:9">
      <c r="B75" s="180"/>
      <c r="C75" s="180"/>
      <c r="D75" s="180"/>
      <c r="E75" s="148" t="s">
        <v>676</v>
      </c>
      <c r="F75" s="148" t="s">
        <v>288</v>
      </c>
      <c r="G75" s="149">
        <v>120</v>
      </c>
      <c r="H75" s="149">
        <v>99738379</v>
      </c>
      <c r="I75" s="149">
        <v>160579</v>
      </c>
    </row>
    <row r="76" spans="2:9">
      <c r="B76" s="180"/>
      <c r="C76" s="180"/>
      <c r="D76" s="180"/>
      <c r="E76" s="148" t="s">
        <v>679</v>
      </c>
      <c r="F76" s="148" t="s">
        <v>288</v>
      </c>
      <c r="G76" s="149">
        <v>120</v>
      </c>
      <c r="H76" s="149">
        <v>87597760</v>
      </c>
      <c r="I76" s="149">
        <v>141032</v>
      </c>
    </row>
    <row r="77" spans="2:9">
      <c r="B77" s="180"/>
      <c r="C77" s="180"/>
      <c r="D77" s="180"/>
      <c r="E77" s="148" t="s">
        <v>693</v>
      </c>
      <c r="F77" s="148" t="s">
        <v>288</v>
      </c>
      <c r="G77" s="149">
        <v>100</v>
      </c>
      <c r="H77" s="149">
        <v>76434262</v>
      </c>
      <c r="I77" s="149">
        <v>123059</v>
      </c>
    </row>
    <row r="78" spans="2:9">
      <c r="B78" s="180"/>
      <c r="C78" s="180"/>
      <c r="D78" s="180"/>
      <c r="E78" s="148" t="s">
        <v>682</v>
      </c>
      <c r="F78" s="148" t="s">
        <v>288</v>
      </c>
      <c r="G78" s="149">
        <v>40</v>
      </c>
      <c r="H78" s="149">
        <v>29664509</v>
      </c>
      <c r="I78" s="149">
        <v>47760</v>
      </c>
    </row>
    <row r="79" spans="2:9">
      <c r="B79" s="145" t="s">
        <v>694</v>
      </c>
      <c r="C79" s="145"/>
      <c r="D79" s="145"/>
      <c r="E79" s="145"/>
      <c r="F79" s="145"/>
      <c r="G79" s="147">
        <f>SUM(G70:G78)</f>
        <v>6340</v>
      </c>
      <c r="H79" s="147">
        <f t="shared" ref="H79:I79" si="10">SUM(H70:H78)</f>
        <v>5532814748</v>
      </c>
      <c r="I79" s="147">
        <f t="shared" si="10"/>
        <v>8907832</v>
      </c>
    </row>
    <row r="80" spans="2:9">
      <c r="B80" s="179" t="s">
        <v>374</v>
      </c>
      <c r="C80" s="179" t="s">
        <v>362</v>
      </c>
      <c r="D80" s="179" t="s">
        <v>367</v>
      </c>
      <c r="E80" s="142" t="s">
        <v>369</v>
      </c>
      <c r="F80" s="142" t="s">
        <v>288</v>
      </c>
      <c r="G80" s="144">
        <v>2840</v>
      </c>
      <c r="H80" s="144">
        <v>3827194780</v>
      </c>
      <c r="I80" s="144">
        <v>6161784</v>
      </c>
    </row>
    <row r="81" spans="2:9">
      <c r="B81" s="179"/>
      <c r="C81" s="179"/>
      <c r="D81" s="179"/>
      <c r="E81" s="142" t="s">
        <v>685</v>
      </c>
      <c r="F81" s="142" t="s">
        <v>288</v>
      </c>
      <c r="G81" s="144">
        <v>580</v>
      </c>
      <c r="H81" s="144">
        <v>634237080</v>
      </c>
      <c r="I81" s="144">
        <v>1021122</v>
      </c>
    </row>
    <row r="82" spans="2:9">
      <c r="B82" s="179"/>
      <c r="C82" s="179"/>
      <c r="D82" s="179"/>
      <c r="E82" s="142" t="s">
        <v>676</v>
      </c>
      <c r="F82" s="142" t="s">
        <v>288</v>
      </c>
      <c r="G82" s="144">
        <v>240</v>
      </c>
      <c r="H82" s="144">
        <v>237528598</v>
      </c>
      <c r="I82" s="144">
        <v>382421</v>
      </c>
    </row>
    <row r="83" spans="2:9">
      <c r="B83" s="179"/>
      <c r="C83" s="179"/>
      <c r="D83" s="179"/>
      <c r="E83" s="142" t="s">
        <v>679</v>
      </c>
      <c r="F83" s="142" t="s">
        <v>288</v>
      </c>
      <c r="G83" s="144">
        <v>100</v>
      </c>
      <c r="H83" s="144">
        <v>131314917</v>
      </c>
      <c r="I83" s="144">
        <v>211417</v>
      </c>
    </row>
    <row r="84" spans="2:9">
      <c r="B84" s="179"/>
      <c r="C84" s="179"/>
      <c r="D84" s="179"/>
      <c r="E84" s="142" t="s">
        <v>681</v>
      </c>
      <c r="F84" s="142" t="s">
        <v>288</v>
      </c>
      <c r="G84" s="144">
        <v>100</v>
      </c>
      <c r="H84" s="144">
        <v>126512108</v>
      </c>
      <c r="I84" s="144">
        <v>203684</v>
      </c>
    </row>
    <row r="85" spans="2:9">
      <c r="B85" s="179"/>
      <c r="C85" s="179"/>
      <c r="D85" s="179"/>
      <c r="E85" s="142" t="s">
        <v>242</v>
      </c>
      <c r="F85" s="142" t="s">
        <v>288</v>
      </c>
      <c r="G85" s="144">
        <v>80</v>
      </c>
      <c r="H85" s="144">
        <v>96661461</v>
      </c>
      <c r="I85" s="144">
        <v>155625</v>
      </c>
    </row>
    <row r="86" spans="2:9">
      <c r="B86" s="179"/>
      <c r="C86" s="179"/>
      <c r="D86" s="179"/>
      <c r="E86" s="142" t="s">
        <v>695</v>
      </c>
      <c r="F86" s="142" t="s">
        <v>288</v>
      </c>
      <c r="G86" s="144">
        <v>60</v>
      </c>
      <c r="H86" s="144">
        <v>66222480</v>
      </c>
      <c r="I86" s="144">
        <v>106618</v>
      </c>
    </row>
    <row r="87" spans="2:9">
      <c r="B87" s="179"/>
      <c r="C87" s="179"/>
      <c r="D87" s="179"/>
      <c r="E87" s="142" t="s">
        <v>675</v>
      </c>
      <c r="F87" s="142" t="s">
        <v>288</v>
      </c>
      <c r="G87" s="144">
        <v>60</v>
      </c>
      <c r="H87" s="144">
        <v>64976444</v>
      </c>
      <c r="I87" s="144">
        <v>104612</v>
      </c>
    </row>
    <row r="88" spans="2:9">
      <c r="B88" s="179"/>
      <c r="C88" s="179"/>
      <c r="D88" s="179"/>
      <c r="E88" s="142" t="s">
        <v>692</v>
      </c>
      <c r="F88" s="142" t="s">
        <v>288</v>
      </c>
      <c r="G88" s="144">
        <v>60</v>
      </c>
      <c r="H88" s="144">
        <v>63697902</v>
      </c>
      <c r="I88" s="144">
        <v>102554</v>
      </c>
    </row>
    <row r="89" spans="2:9">
      <c r="B89" s="179"/>
      <c r="C89" s="179"/>
      <c r="D89" s="179"/>
      <c r="E89" s="142" t="s">
        <v>255</v>
      </c>
      <c r="F89" s="142" t="s">
        <v>288</v>
      </c>
      <c r="G89" s="144">
        <v>20</v>
      </c>
      <c r="H89" s="144">
        <v>26978417</v>
      </c>
      <c r="I89" s="144">
        <v>43435</v>
      </c>
    </row>
    <row r="90" spans="2:9">
      <c r="B90" s="179"/>
      <c r="C90" s="179"/>
      <c r="D90" s="179"/>
      <c r="E90" s="142" t="s">
        <v>394</v>
      </c>
      <c r="F90" s="142" t="s">
        <v>288</v>
      </c>
      <c r="G90" s="144">
        <v>20</v>
      </c>
      <c r="H90" s="144">
        <v>15489006</v>
      </c>
      <c r="I90" s="144">
        <v>24937</v>
      </c>
    </row>
    <row r="91" spans="2:9">
      <c r="B91" s="145" t="s">
        <v>696</v>
      </c>
      <c r="C91" s="145"/>
      <c r="D91" s="145"/>
      <c r="E91" s="145"/>
      <c r="F91" s="145"/>
      <c r="G91" s="147">
        <f>SUM(G80:G90)</f>
        <v>4160</v>
      </c>
      <c r="H91" s="147">
        <f t="shared" ref="H91:I91" si="11">SUM(H80:H90)</f>
        <v>5290813193</v>
      </c>
      <c r="I91" s="147">
        <f t="shared" si="11"/>
        <v>8518209</v>
      </c>
    </row>
    <row r="92" spans="2:9">
      <c r="B92" s="180" t="s">
        <v>697</v>
      </c>
      <c r="C92" s="180" t="s">
        <v>377</v>
      </c>
      <c r="D92" s="180" t="s">
        <v>657</v>
      </c>
      <c r="E92" s="148" t="s">
        <v>369</v>
      </c>
      <c r="F92" s="148" t="s">
        <v>288</v>
      </c>
      <c r="G92" s="149">
        <v>42629</v>
      </c>
      <c r="H92" s="149">
        <v>1283260095</v>
      </c>
      <c r="I92" s="149">
        <v>2066049</v>
      </c>
    </row>
    <row r="93" spans="2:9">
      <c r="B93" s="180"/>
      <c r="C93" s="180"/>
      <c r="D93" s="180"/>
      <c r="E93" s="148" t="s">
        <v>658</v>
      </c>
      <c r="F93" s="148" t="s">
        <v>288</v>
      </c>
      <c r="G93" s="149">
        <v>37352</v>
      </c>
      <c r="H93" s="149">
        <v>1050899906</v>
      </c>
      <c r="I93" s="149">
        <v>1691949</v>
      </c>
    </row>
    <row r="94" spans="2:9">
      <c r="B94" s="180"/>
      <c r="C94" s="180"/>
      <c r="D94" s="180"/>
      <c r="E94" s="148" t="s">
        <v>698</v>
      </c>
      <c r="F94" s="148" t="s">
        <v>288</v>
      </c>
      <c r="G94" s="149">
        <v>25442</v>
      </c>
      <c r="H94" s="149">
        <v>667908065</v>
      </c>
      <c r="I94" s="149">
        <v>1075333</v>
      </c>
    </row>
    <row r="95" spans="2:9">
      <c r="B95" s="180"/>
      <c r="C95" s="180"/>
      <c r="D95" s="148" t="s">
        <v>699</v>
      </c>
      <c r="E95" s="148" t="s">
        <v>658</v>
      </c>
      <c r="F95" s="148" t="s">
        <v>288</v>
      </c>
      <c r="G95" s="149">
        <v>3009</v>
      </c>
      <c r="H95" s="149">
        <v>60126370</v>
      </c>
      <c r="I95" s="149">
        <v>96803</v>
      </c>
    </row>
    <row r="96" spans="2:9">
      <c r="B96" s="145" t="s">
        <v>700</v>
      </c>
      <c r="C96" s="145"/>
      <c r="D96" s="145"/>
      <c r="E96" s="145"/>
      <c r="F96" s="145"/>
      <c r="G96" s="147">
        <f>SUM(G92:G95)</f>
        <v>108432</v>
      </c>
      <c r="H96" s="147">
        <f t="shared" ref="H96:I96" si="12">SUM(H92:H95)</f>
        <v>3062194436</v>
      </c>
      <c r="I96" s="147">
        <f t="shared" si="12"/>
        <v>4930134</v>
      </c>
    </row>
    <row r="97" spans="2:9">
      <c r="B97" s="179" t="s">
        <v>701</v>
      </c>
      <c r="C97" s="179" t="s">
        <v>387</v>
      </c>
      <c r="D97" s="179" t="s">
        <v>392</v>
      </c>
      <c r="E97" s="142" t="s">
        <v>672</v>
      </c>
      <c r="F97" s="142" t="s">
        <v>288</v>
      </c>
      <c r="G97" s="144">
        <v>4477</v>
      </c>
      <c r="H97" s="144">
        <v>1676673578</v>
      </c>
      <c r="I97" s="144">
        <v>2699445</v>
      </c>
    </row>
    <row r="98" spans="2:9">
      <c r="B98" s="179"/>
      <c r="C98" s="179"/>
      <c r="D98" s="179"/>
      <c r="E98" s="142" t="s">
        <v>261</v>
      </c>
      <c r="F98" s="142" t="s">
        <v>288</v>
      </c>
      <c r="G98" s="144">
        <v>4349</v>
      </c>
      <c r="H98" s="144">
        <v>471203100</v>
      </c>
      <c r="I98" s="144">
        <v>758637</v>
      </c>
    </row>
    <row r="99" spans="2:9">
      <c r="B99" s="179"/>
      <c r="C99" s="179"/>
      <c r="D99" s="179"/>
      <c r="E99" s="142" t="s">
        <v>654</v>
      </c>
      <c r="F99" s="142" t="s">
        <v>288</v>
      </c>
      <c r="G99" s="144">
        <v>47</v>
      </c>
      <c r="H99" s="144">
        <v>6063200</v>
      </c>
      <c r="I99" s="144">
        <v>9762</v>
      </c>
    </row>
    <row r="100" spans="2:9">
      <c r="B100" s="145" t="s">
        <v>702</v>
      </c>
      <c r="C100" s="145"/>
      <c r="D100" s="145"/>
      <c r="E100" s="145"/>
      <c r="F100" s="145"/>
      <c r="G100" s="147">
        <f>SUM(G97:G99)</f>
        <v>8873</v>
      </c>
      <c r="H100" s="147">
        <f t="shared" ref="H100:I100" si="13">SUM(H97:H99)</f>
        <v>2153939878</v>
      </c>
      <c r="I100" s="147">
        <f t="shared" si="13"/>
        <v>3467844</v>
      </c>
    </row>
    <row r="101" spans="2:9">
      <c r="B101" s="180" t="s">
        <v>703</v>
      </c>
      <c r="C101" s="180" t="s">
        <v>387</v>
      </c>
      <c r="D101" s="180" t="s">
        <v>392</v>
      </c>
      <c r="E101" s="148" t="s">
        <v>294</v>
      </c>
      <c r="F101" s="148" t="s">
        <v>288</v>
      </c>
      <c r="G101" s="149">
        <v>2455</v>
      </c>
      <c r="H101" s="149">
        <v>795369377</v>
      </c>
      <c r="I101" s="149">
        <v>1280544</v>
      </c>
    </row>
    <row r="102" spans="2:9">
      <c r="B102" s="180"/>
      <c r="C102" s="180"/>
      <c r="D102" s="180"/>
      <c r="E102" s="148" t="s">
        <v>313</v>
      </c>
      <c r="F102" s="148" t="s">
        <v>288</v>
      </c>
      <c r="G102" s="149">
        <v>990</v>
      </c>
      <c r="H102" s="149">
        <v>379655625</v>
      </c>
      <c r="I102" s="149">
        <v>611246</v>
      </c>
    </row>
    <row r="103" spans="2:9">
      <c r="B103" s="145" t="s">
        <v>704</v>
      </c>
      <c r="C103" s="145"/>
      <c r="D103" s="145"/>
      <c r="E103" s="145"/>
      <c r="F103" s="145"/>
      <c r="G103" s="147">
        <f>SUM(G101:G102)</f>
        <v>3445</v>
      </c>
      <c r="H103" s="147">
        <f t="shared" ref="H103:I103" si="14">SUM(H101:H102)</f>
        <v>1175025002</v>
      </c>
      <c r="I103" s="147">
        <f t="shared" si="14"/>
        <v>1891790</v>
      </c>
    </row>
    <row r="104" spans="2:9">
      <c r="B104" s="148" t="s">
        <v>705</v>
      </c>
      <c r="C104" s="148" t="s">
        <v>706</v>
      </c>
      <c r="D104" s="148" t="s">
        <v>540</v>
      </c>
      <c r="E104" s="148" t="s">
        <v>294</v>
      </c>
      <c r="F104" s="148" t="s">
        <v>288</v>
      </c>
      <c r="G104" s="149" t="s">
        <v>672</v>
      </c>
      <c r="H104" s="149">
        <v>752749640</v>
      </c>
      <c r="I104" s="149">
        <v>1211927</v>
      </c>
    </row>
    <row r="105" spans="2:9">
      <c r="B105" s="145" t="s">
        <v>707</v>
      </c>
      <c r="C105" s="145"/>
      <c r="D105" s="145"/>
      <c r="E105" s="145"/>
      <c r="F105" s="145"/>
      <c r="G105" s="147" t="str">
        <f>+G104</f>
        <v>NC</v>
      </c>
      <c r="H105" s="147">
        <f t="shared" ref="H105:I105" si="15">+H104</f>
        <v>752749640</v>
      </c>
      <c r="I105" s="147">
        <f t="shared" si="15"/>
        <v>1211927</v>
      </c>
    </row>
    <row r="106" spans="2:9">
      <c r="B106" s="179" t="s">
        <v>341</v>
      </c>
      <c r="C106" s="142" t="s">
        <v>70</v>
      </c>
      <c r="D106" s="142" t="s">
        <v>336</v>
      </c>
      <c r="E106" s="142" t="s">
        <v>338</v>
      </c>
      <c r="F106" s="142" t="s">
        <v>334</v>
      </c>
      <c r="G106" s="144">
        <v>27299</v>
      </c>
      <c r="H106" s="144">
        <v>374908490</v>
      </c>
      <c r="I106" s="144">
        <v>603603</v>
      </c>
    </row>
    <row r="107" spans="2:9">
      <c r="B107" s="179"/>
      <c r="C107" s="142" t="s">
        <v>72</v>
      </c>
      <c r="D107" s="142" t="s">
        <v>532</v>
      </c>
      <c r="E107" s="142" t="s">
        <v>534</v>
      </c>
      <c r="F107" s="142" t="s">
        <v>334</v>
      </c>
      <c r="G107" s="144">
        <v>11395</v>
      </c>
      <c r="H107" s="144">
        <v>143623609</v>
      </c>
      <c r="I107" s="144">
        <v>231234</v>
      </c>
    </row>
    <row r="108" spans="2:9">
      <c r="B108" s="145" t="s">
        <v>708</v>
      </c>
      <c r="C108" s="145"/>
      <c r="D108" s="145"/>
      <c r="E108" s="145"/>
      <c r="F108" s="145"/>
      <c r="G108" s="147">
        <f>SUM(G106:G107)</f>
        <v>38694</v>
      </c>
      <c r="H108" s="147">
        <f t="shared" ref="H108:I108" si="16">SUM(H106:H107)</f>
        <v>518532099</v>
      </c>
      <c r="I108" s="147">
        <f t="shared" si="16"/>
        <v>834837</v>
      </c>
    </row>
    <row r="109" spans="2:9">
      <c r="B109" s="148" t="s">
        <v>656</v>
      </c>
      <c r="C109" s="148" t="s">
        <v>286</v>
      </c>
      <c r="D109" s="148" t="s">
        <v>290</v>
      </c>
      <c r="E109" s="148" t="s">
        <v>261</v>
      </c>
      <c r="F109" s="148" t="s">
        <v>288</v>
      </c>
      <c r="G109" s="149">
        <v>13646</v>
      </c>
      <c r="H109" s="149">
        <v>504794510</v>
      </c>
      <c r="I109" s="149">
        <v>812719</v>
      </c>
    </row>
    <row r="110" spans="2:9">
      <c r="B110" s="145" t="s">
        <v>709</v>
      </c>
      <c r="C110" s="145"/>
      <c r="D110" s="145"/>
      <c r="E110" s="145"/>
      <c r="F110" s="145"/>
      <c r="G110" s="147">
        <f>+G109</f>
        <v>13646</v>
      </c>
      <c r="H110" s="147">
        <f t="shared" ref="H110:I110" si="17">+H109</f>
        <v>504794510</v>
      </c>
      <c r="I110" s="147">
        <f t="shared" si="17"/>
        <v>812719</v>
      </c>
    </row>
    <row r="111" spans="2:9">
      <c r="B111" s="180" t="s">
        <v>710</v>
      </c>
      <c r="C111" s="180" t="s">
        <v>387</v>
      </c>
      <c r="D111" s="180" t="s">
        <v>392</v>
      </c>
      <c r="E111" s="148" t="s">
        <v>261</v>
      </c>
      <c r="F111" s="148" t="s">
        <v>288</v>
      </c>
      <c r="G111" s="149">
        <v>1020</v>
      </c>
      <c r="H111" s="149">
        <v>6117000</v>
      </c>
      <c r="I111" s="149">
        <v>9848</v>
      </c>
    </row>
    <row r="112" spans="2:9">
      <c r="B112" s="180"/>
      <c r="C112" s="180"/>
      <c r="D112" s="180"/>
      <c r="E112" s="148" t="s">
        <v>655</v>
      </c>
      <c r="F112" s="148" t="s">
        <v>288</v>
      </c>
      <c r="G112" s="149">
        <v>778950</v>
      </c>
      <c r="H112" s="149">
        <v>4673700</v>
      </c>
      <c r="I112" s="149">
        <v>7525</v>
      </c>
    </row>
    <row r="113" spans="2:9">
      <c r="B113" s="145" t="s">
        <v>711</v>
      </c>
      <c r="C113" s="145"/>
      <c r="D113" s="145"/>
      <c r="E113" s="145"/>
      <c r="F113" s="145"/>
      <c r="G113" s="147">
        <f>SUM(G111:G112)</f>
        <v>779970</v>
      </c>
      <c r="H113" s="147">
        <f>SUM(H111:H112)</f>
        <v>10790700</v>
      </c>
      <c r="I113" s="147">
        <f>SUM(I111:I112)</f>
        <v>17373</v>
      </c>
    </row>
    <row r="114" spans="2:9">
      <c r="B114" s="142" t="s">
        <v>64</v>
      </c>
      <c r="C114" s="142" t="s">
        <v>286</v>
      </c>
      <c r="D114" s="142" t="s">
        <v>290</v>
      </c>
      <c r="E114" s="142" t="s">
        <v>294</v>
      </c>
      <c r="F114" s="142" t="s">
        <v>672</v>
      </c>
      <c r="G114" s="144" t="s">
        <v>672</v>
      </c>
      <c r="H114" s="144">
        <v>20438660</v>
      </c>
      <c r="I114" s="144">
        <v>32906</v>
      </c>
    </row>
    <row r="115" spans="2:9">
      <c r="B115" s="145" t="s">
        <v>712</v>
      </c>
      <c r="C115" s="145"/>
      <c r="D115" s="145"/>
      <c r="E115" s="145"/>
      <c r="F115" s="145"/>
      <c r="G115" s="147" t="str">
        <f>+G114</f>
        <v>NC</v>
      </c>
      <c r="H115" s="147">
        <f t="shared" ref="H115:I115" si="18">+H114</f>
        <v>20438660</v>
      </c>
      <c r="I115" s="147">
        <f t="shared" si="18"/>
        <v>32906</v>
      </c>
    </row>
    <row r="116" spans="2:9">
      <c r="B116" s="148" t="s">
        <v>713</v>
      </c>
      <c r="C116" s="148" t="s">
        <v>387</v>
      </c>
      <c r="D116" s="148" t="s">
        <v>392</v>
      </c>
      <c r="E116" s="148" t="s">
        <v>655</v>
      </c>
      <c r="F116" s="148" t="s">
        <v>288</v>
      </c>
      <c r="G116" s="149">
        <v>1</v>
      </c>
      <c r="H116" s="149">
        <v>205000</v>
      </c>
      <c r="I116" s="149">
        <v>330</v>
      </c>
    </row>
    <row r="117" spans="2:9">
      <c r="B117" s="145" t="s">
        <v>714</v>
      </c>
      <c r="C117" s="145"/>
      <c r="D117" s="145"/>
      <c r="E117" s="145"/>
      <c r="F117" s="145"/>
      <c r="G117" s="147">
        <f>+G116</f>
        <v>1</v>
      </c>
      <c r="H117" s="147">
        <f t="shared" ref="H117:I117" si="19">+H116</f>
        <v>205000</v>
      </c>
      <c r="I117" s="147">
        <f t="shared" si="19"/>
        <v>330</v>
      </c>
    </row>
    <row r="118" spans="2:9">
      <c r="B118" s="150"/>
      <c r="C118" s="150"/>
      <c r="D118" s="150"/>
      <c r="E118" s="150"/>
      <c r="F118" s="150"/>
      <c r="G118" s="150"/>
      <c r="H118" s="151">
        <f>+H8+H10+H13+H29+H43+H53+H57+H64+H67+H69+H79+H91+H96+H100+H103+H105+H108+H110+H113+H115+H117</f>
        <v>1380962450261</v>
      </c>
      <c r="I118" s="151">
        <f>+I8+I10+I13+I29+I43+I53+I57+I64+I67+I69+I79+I91+I96+I100+I103+I105+I108+I110+I113+I115+I117</f>
        <v>2223349589</v>
      </c>
    </row>
  </sheetData>
  <mergeCells count="48">
    <mergeCell ref="B5:B7"/>
    <mergeCell ref="B11:B12"/>
    <mergeCell ref="C11:C12"/>
    <mergeCell ref="D11:D12"/>
    <mergeCell ref="B14:B28"/>
    <mergeCell ref="C14:C15"/>
    <mergeCell ref="C16:C17"/>
    <mergeCell ref="D16:D17"/>
    <mergeCell ref="C20:C21"/>
    <mergeCell ref="D20:D21"/>
    <mergeCell ref="C24:C26"/>
    <mergeCell ref="D24:D26"/>
    <mergeCell ref="C27:C28"/>
    <mergeCell ref="D27:D28"/>
    <mergeCell ref="B30:B42"/>
    <mergeCell ref="C30:C42"/>
    <mergeCell ref="D30:D42"/>
    <mergeCell ref="B44:B52"/>
    <mergeCell ref="C44:C52"/>
    <mergeCell ref="D44:D52"/>
    <mergeCell ref="B54:B56"/>
    <mergeCell ref="C54:C56"/>
    <mergeCell ref="D54:D56"/>
    <mergeCell ref="B58:B63"/>
    <mergeCell ref="C61:C62"/>
    <mergeCell ref="D61:D62"/>
    <mergeCell ref="B65:B66"/>
    <mergeCell ref="C65:C66"/>
    <mergeCell ref="D65:D66"/>
    <mergeCell ref="B70:B78"/>
    <mergeCell ref="C70:C78"/>
    <mergeCell ref="D70:D78"/>
    <mergeCell ref="B80:B90"/>
    <mergeCell ref="C80:C90"/>
    <mergeCell ref="D80:D90"/>
    <mergeCell ref="B92:B95"/>
    <mergeCell ref="C92:C95"/>
    <mergeCell ref="D92:D94"/>
    <mergeCell ref="B106:B107"/>
    <mergeCell ref="B111:B112"/>
    <mergeCell ref="C111:C112"/>
    <mergeCell ref="D111:D112"/>
    <mergeCell ref="B97:B99"/>
    <mergeCell ref="C97:C99"/>
    <mergeCell ref="D97:D99"/>
    <mergeCell ref="B101:B102"/>
    <mergeCell ref="C101:C102"/>
    <mergeCell ref="D101:D10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F1302-B2EB-4CB3-A534-2BEE1626E845}">
  <sheetPr>
    <tabColor rgb="FF00B050"/>
  </sheetPr>
  <dimension ref="A1:O1666"/>
  <sheetViews>
    <sheetView showOutlineSymbols="0" defaultGridColor="0" workbookViewId="0"/>
  </sheetViews>
  <sheetFormatPr baseColWidth="10" defaultColWidth="13" defaultRowHeight="15.75"/>
  <cols>
    <col min="1" max="1" width="11" style="117" bestFit="1" customWidth="1"/>
    <col min="2" max="2" width="10.54296875" style="117" bestFit="1" customWidth="1"/>
    <col min="3" max="3" width="9.54296875" style="117" bestFit="1" customWidth="1"/>
    <col min="4" max="4" width="29.453125" style="117" bestFit="1" customWidth="1"/>
    <col min="5" max="5" width="10.7265625" style="117" bestFit="1" customWidth="1"/>
    <col min="6" max="6" width="6.81640625" style="117" bestFit="1" customWidth="1"/>
    <col min="7" max="7" width="12.7265625" style="117" bestFit="1" customWidth="1"/>
    <col min="8" max="8" width="15.26953125" style="117" bestFit="1" customWidth="1"/>
    <col min="9" max="9" width="19" style="117" bestFit="1" customWidth="1"/>
    <col min="10" max="10" width="11.81640625" style="117" bestFit="1" customWidth="1"/>
    <col min="11" max="11" width="27" style="117" bestFit="1" customWidth="1"/>
    <col min="12" max="12" width="44.7265625" style="117" bestFit="1" customWidth="1"/>
    <col min="13" max="13" width="20.26953125" style="117" bestFit="1" customWidth="1"/>
    <col min="14" max="14" width="28.54296875" style="117" bestFit="1" customWidth="1"/>
    <col min="15" max="15" width="12.54296875" style="117" bestFit="1" customWidth="1"/>
    <col min="16" max="16384" width="13" style="117"/>
  </cols>
  <sheetData>
    <row r="1" spans="1:15" ht="21.75">
      <c r="A1" s="116" t="s">
        <v>269</v>
      </c>
    </row>
    <row r="3" spans="1:15" ht="27.75">
      <c r="A3" s="118" t="s">
        <v>270</v>
      </c>
    </row>
    <row r="5" spans="1:15" ht="31.5">
      <c r="A5" s="119" t="s">
        <v>271</v>
      </c>
      <c r="B5" s="119" t="s">
        <v>272</v>
      </c>
      <c r="C5" s="120" t="s">
        <v>273</v>
      </c>
      <c r="D5" s="120" t="s">
        <v>274</v>
      </c>
      <c r="E5" s="121" t="s">
        <v>275</v>
      </c>
      <c r="F5" s="120" t="s">
        <v>276</v>
      </c>
      <c r="G5" s="121" t="s">
        <v>277</v>
      </c>
      <c r="H5" s="121" t="s">
        <v>278</v>
      </c>
      <c r="I5" s="122" t="s">
        <v>279</v>
      </c>
      <c r="J5" s="120" t="s">
        <v>280</v>
      </c>
      <c r="K5" s="120" t="s">
        <v>281</v>
      </c>
      <c r="L5" s="120" t="s">
        <v>282</v>
      </c>
      <c r="M5" s="123" t="s">
        <v>283</v>
      </c>
      <c r="N5" s="123" t="s">
        <v>284</v>
      </c>
      <c r="O5" s="120" t="s">
        <v>285</v>
      </c>
    </row>
    <row r="6" spans="1:15">
      <c r="A6" s="124" t="s">
        <v>286</v>
      </c>
      <c r="B6" s="124">
        <v>16627</v>
      </c>
      <c r="C6" s="125"/>
      <c r="D6" s="124" t="s">
        <v>287</v>
      </c>
      <c r="E6" s="126">
        <v>3989.4</v>
      </c>
      <c r="F6" s="124" t="s">
        <v>288</v>
      </c>
      <c r="G6" s="126"/>
      <c r="H6" s="126"/>
      <c r="I6" s="127">
        <v>191512400</v>
      </c>
      <c r="J6" s="128" t="s">
        <v>289</v>
      </c>
      <c r="K6" s="128" t="s">
        <v>290</v>
      </c>
      <c r="L6" s="128" t="s">
        <v>291</v>
      </c>
      <c r="M6" s="128" t="s">
        <v>292</v>
      </c>
      <c r="N6" s="128"/>
      <c r="O6" s="128"/>
    </row>
    <row r="7" spans="1:15">
      <c r="A7" s="129" t="s">
        <v>286</v>
      </c>
      <c r="B7" s="129">
        <v>16627</v>
      </c>
      <c r="C7" s="130"/>
      <c r="D7" s="129" t="s">
        <v>287</v>
      </c>
      <c r="E7" s="131">
        <v>130</v>
      </c>
      <c r="F7" s="129" t="s">
        <v>288</v>
      </c>
      <c r="G7" s="131"/>
      <c r="H7" s="131"/>
      <c r="I7" s="132">
        <v>6590000</v>
      </c>
      <c r="J7" s="133" t="s">
        <v>289</v>
      </c>
      <c r="K7" s="133" t="s">
        <v>290</v>
      </c>
      <c r="L7" s="133" t="s">
        <v>293</v>
      </c>
      <c r="M7" s="133" t="s">
        <v>294</v>
      </c>
      <c r="N7" s="133"/>
      <c r="O7" s="133"/>
    </row>
    <row r="8" spans="1:15">
      <c r="A8" s="124" t="s">
        <v>286</v>
      </c>
      <c r="B8" s="124">
        <v>16627</v>
      </c>
      <c r="C8" s="125"/>
      <c r="D8" s="124" t="s">
        <v>287</v>
      </c>
      <c r="E8" s="126">
        <v>700.9</v>
      </c>
      <c r="F8" s="124" t="s">
        <v>288</v>
      </c>
      <c r="G8" s="126"/>
      <c r="H8" s="126"/>
      <c r="I8" s="127">
        <v>33643200</v>
      </c>
      <c r="J8" s="128" t="s">
        <v>289</v>
      </c>
      <c r="K8" s="128" t="s">
        <v>290</v>
      </c>
      <c r="L8" s="128" t="s">
        <v>295</v>
      </c>
      <c r="M8" s="128" t="s">
        <v>294</v>
      </c>
      <c r="N8" s="128"/>
      <c r="O8" s="128"/>
    </row>
    <row r="9" spans="1:15">
      <c r="A9" s="129" t="s">
        <v>286</v>
      </c>
      <c r="B9" s="129">
        <v>16627</v>
      </c>
      <c r="C9" s="130"/>
      <c r="D9" s="129" t="s">
        <v>287</v>
      </c>
      <c r="E9" s="131">
        <v>1310.67</v>
      </c>
      <c r="F9" s="129" t="s">
        <v>288</v>
      </c>
      <c r="G9" s="131"/>
      <c r="H9" s="131"/>
      <c r="I9" s="132">
        <v>67380787</v>
      </c>
      <c r="J9" s="133" t="s">
        <v>289</v>
      </c>
      <c r="K9" s="133" t="s">
        <v>290</v>
      </c>
      <c r="L9" s="133" t="s">
        <v>296</v>
      </c>
      <c r="M9" s="133" t="s">
        <v>294</v>
      </c>
      <c r="N9" s="133"/>
      <c r="O9" s="133"/>
    </row>
    <row r="10" spans="1:15">
      <c r="A10" s="124" t="s">
        <v>286</v>
      </c>
      <c r="B10" s="124">
        <v>16627</v>
      </c>
      <c r="C10" s="125"/>
      <c r="D10" s="124" t="s">
        <v>287</v>
      </c>
      <c r="E10" s="126">
        <v>182.25</v>
      </c>
      <c r="F10" s="124" t="s">
        <v>288</v>
      </c>
      <c r="G10" s="126"/>
      <c r="H10" s="126"/>
      <c r="I10" s="127">
        <v>8748000</v>
      </c>
      <c r="J10" s="128" t="s">
        <v>289</v>
      </c>
      <c r="K10" s="128" t="s">
        <v>290</v>
      </c>
      <c r="L10" s="128" t="s">
        <v>297</v>
      </c>
      <c r="M10" s="128" t="s">
        <v>294</v>
      </c>
      <c r="N10" s="128"/>
      <c r="O10" s="128"/>
    </row>
    <row r="11" spans="1:15">
      <c r="A11" s="129" t="s">
        <v>286</v>
      </c>
      <c r="B11" s="129">
        <v>16627</v>
      </c>
      <c r="C11" s="130"/>
      <c r="D11" s="129" t="s">
        <v>287</v>
      </c>
      <c r="E11" s="131">
        <v>156</v>
      </c>
      <c r="F11" s="129" t="s">
        <v>288</v>
      </c>
      <c r="G11" s="131"/>
      <c r="H11" s="131"/>
      <c r="I11" s="132">
        <v>7488000</v>
      </c>
      <c r="J11" s="133" t="s">
        <v>289</v>
      </c>
      <c r="K11" s="133" t="s">
        <v>290</v>
      </c>
      <c r="L11" s="133" t="s">
        <v>298</v>
      </c>
      <c r="M11" s="133" t="s">
        <v>294</v>
      </c>
      <c r="N11" s="133"/>
      <c r="O11" s="133"/>
    </row>
    <row r="12" spans="1:15">
      <c r="A12" s="124" t="s">
        <v>286</v>
      </c>
      <c r="B12" s="124">
        <v>16627</v>
      </c>
      <c r="C12" s="125"/>
      <c r="D12" s="124" t="s">
        <v>287</v>
      </c>
      <c r="E12" s="126">
        <v>50</v>
      </c>
      <c r="F12" s="124" t="s">
        <v>288</v>
      </c>
      <c r="G12" s="126"/>
      <c r="H12" s="126"/>
      <c r="I12" s="127">
        <v>2400000</v>
      </c>
      <c r="J12" s="128" t="s">
        <v>289</v>
      </c>
      <c r="K12" s="128" t="s">
        <v>290</v>
      </c>
      <c r="L12" s="128" t="s">
        <v>299</v>
      </c>
      <c r="M12" s="128" t="s">
        <v>294</v>
      </c>
      <c r="N12" s="128"/>
      <c r="O12" s="128"/>
    </row>
    <row r="13" spans="1:15">
      <c r="A13" s="129" t="s">
        <v>286</v>
      </c>
      <c r="B13" s="129">
        <v>16627</v>
      </c>
      <c r="C13" s="130"/>
      <c r="D13" s="129" t="s">
        <v>287</v>
      </c>
      <c r="E13" s="131">
        <v>1090</v>
      </c>
      <c r="F13" s="129" t="s">
        <v>288</v>
      </c>
      <c r="G13" s="131"/>
      <c r="H13" s="131"/>
      <c r="I13" s="132">
        <v>52320000</v>
      </c>
      <c r="J13" s="133" t="s">
        <v>289</v>
      </c>
      <c r="K13" s="133" t="s">
        <v>290</v>
      </c>
      <c r="L13" s="133" t="s">
        <v>300</v>
      </c>
      <c r="M13" s="133" t="s">
        <v>294</v>
      </c>
      <c r="N13" s="133"/>
      <c r="O13" s="133"/>
    </row>
    <row r="14" spans="1:15">
      <c r="A14" s="124" t="s">
        <v>286</v>
      </c>
      <c r="B14" s="124">
        <v>16627</v>
      </c>
      <c r="C14" s="125"/>
      <c r="D14" s="124" t="s">
        <v>287</v>
      </c>
      <c r="E14" s="126">
        <v>250</v>
      </c>
      <c r="F14" s="124" t="s">
        <v>288</v>
      </c>
      <c r="G14" s="126"/>
      <c r="H14" s="126"/>
      <c r="I14" s="127">
        <v>12000000</v>
      </c>
      <c r="J14" s="128" t="s">
        <v>289</v>
      </c>
      <c r="K14" s="128" t="s">
        <v>290</v>
      </c>
      <c r="L14" s="128" t="s">
        <v>301</v>
      </c>
      <c r="M14" s="128" t="s">
        <v>294</v>
      </c>
      <c r="N14" s="128"/>
      <c r="O14" s="128"/>
    </row>
    <row r="15" spans="1:15">
      <c r="A15" s="129" t="s">
        <v>286</v>
      </c>
      <c r="B15" s="129">
        <v>16627</v>
      </c>
      <c r="C15" s="130"/>
      <c r="D15" s="129" t="s">
        <v>287</v>
      </c>
      <c r="E15" s="131">
        <v>4105</v>
      </c>
      <c r="F15" s="129" t="s">
        <v>288</v>
      </c>
      <c r="G15" s="131"/>
      <c r="H15" s="131"/>
      <c r="I15" s="132">
        <v>197460000</v>
      </c>
      <c r="J15" s="133" t="s">
        <v>289</v>
      </c>
      <c r="K15" s="133" t="s">
        <v>290</v>
      </c>
      <c r="L15" s="133" t="s">
        <v>302</v>
      </c>
      <c r="M15" s="133" t="s">
        <v>294</v>
      </c>
      <c r="N15" s="133"/>
      <c r="O15" s="133"/>
    </row>
    <row r="16" spans="1:15">
      <c r="A16" s="124" t="s">
        <v>286</v>
      </c>
      <c r="B16" s="124">
        <v>16627</v>
      </c>
      <c r="C16" s="125"/>
      <c r="D16" s="124" t="s">
        <v>287</v>
      </c>
      <c r="E16" s="126">
        <v>2298.9499999999998</v>
      </c>
      <c r="F16" s="124" t="s">
        <v>288</v>
      </c>
      <c r="G16" s="126"/>
      <c r="H16" s="126"/>
      <c r="I16" s="127">
        <v>110349600</v>
      </c>
      <c r="J16" s="128" t="s">
        <v>289</v>
      </c>
      <c r="K16" s="128" t="s">
        <v>290</v>
      </c>
      <c r="L16" s="128" t="s">
        <v>303</v>
      </c>
      <c r="M16" s="128" t="s">
        <v>294</v>
      </c>
      <c r="N16" s="128"/>
      <c r="O16" s="128"/>
    </row>
    <row r="17" spans="1:15">
      <c r="A17" s="129" t="s">
        <v>286</v>
      </c>
      <c r="B17" s="129">
        <v>16627</v>
      </c>
      <c r="C17" s="130"/>
      <c r="D17" s="129" t="s">
        <v>287</v>
      </c>
      <c r="E17" s="131">
        <v>642</v>
      </c>
      <c r="F17" s="129" t="s">
        <v>288</v>
      </c>
      <c r="G17" s="131"/>
      <c r="H17" s="131"/>
      <c r="I17" s="132">
        <v>30816000</v>
      </c>
      <c r="J17" s="133" t="s">
        <v>289</v>
      </c>
      <c r="K17" s="133" t="s">
        <v>290</v>
      </c>
      <c r="L17" s="133" t="s">
        <v>304</v>
      </c>
      <c r="M17" s="133" t="s">
        <v>294</v>
      </c>
      <c r="N17" s="133"/>
      <c r="O17" s="133"/>
    </row>
    <row r="18" spans="1:15">
      <c r="A18" s="124" t="s">
        <v>286</v>
      </c>
      <c r="B18" s="124">
        <v>16627</v>
      </c>
      <c r="C18" s="125"/>
      <c r="D18" s="124" t="s">
        <v>287</v>
      </c>
      <c r="E18" s="126">
        <v>7243.85</v>
      </c>
      <c r="F18" s="124" t="s">
        <v>288</v>
      </c>
      <c r="G18" s="126"/>
      <c r="H18" s="126"/>
      <c r="I18" s="127">
        <v>347704800</v>
      </c>
      <c r="J18" s="128" t="s">
        <v>289</v>
      </c>
      <c r="K18" s="128" t="s">
        <v>290</v>
      </c>
      <c r="L18" s="128" t="s">
        <v>305</v>
      </c>
      <c r="M18" s="128" t="s">
        <v>294</v>
      </c>
      <c r="N18" s="128"/>
      <c r="O18" s="128"/>
    </row>
    <row r="19" spans="1:15">
      <c r="A19" s="129" t="s">
        <v>286</v>
      </c>
      <c r="B19" s="129">
        <v>16627</v>
      </c>
      <c r="C19" s="130"/>
      <c r="D19" s="129" t="s">
        <v>287</v>
      </c>
      <c r="E19" s="131">
        <v>856</v>
      </c>
      <c r="F19" s="129" t="s">
        <v>288</v>
      </c>
      <c r="G19" s="131"/>
      <c r="H19" s="131"/>
      <c r="I19" s="132">
        <v>41088000</v>
      </c>
      <c r="J19" s="133" t="s">
        <v>289</v>
      </c>
      <c r="K19" s="133" t="s">
        <v>290</v>
      </c>
      <c r="L19" s="133" t="s">
        <v>306</v>
      </c>
      <c r="M19" s="133" t="s">
        <v>294</v>
      </c>
      <c r="N19" s="133"/>
      <c r="O19" s="133"/>
    </row>
    <row r="20" spans="1:15">
      <c r="A20" s="124" t="s">
        <v>286</v>
      </c>
      <c r="B20" s="124">
        <v>16627</v>
      </c>
      <c r="C20" s="125"/>
      <c r="D20" s="124" t="s">
        <v>287</v>
      </c>
      <c r="E20" s="126">
        <v>1200</v>
      </c>
      <c r="F20" s="124" t="s">
        <v>288</v>
      </c>
      <c r="G20" s="126"/>
      <c r="H20" s="126"/>
      <c r="I20" s="127">
        <v>68100000</v>
      </c>
      <c r="J20" s="128" t="s">
        <v>289</v>
      </c>
      <c r="K20" s="128" t="s">
        <v>290</v>
      </c>
      <c r="L20" s="128" t="s">
        <v>307</v>
      </c>
      <c r="M20" s="128" t="s">
        <v>294</v>
      </c>
      <c r="N20" s="128"/>
      <c r="O20" s="128"/>
    </row>
    <row r="21" spans="1:15">
      <c r="A21" s="129" t="s">
        <v>286</v>
      </c>
      <c r="B21" s="129">
        <v>16627</v>
      </c>
      <c r="C21" s="130"/>
      <c r="D21" s="129" t="s">
        <v>287</v>
      </c>
      <c r="E21" s="131">
        <v>205</v>
      </c>
      <c r="F21" s="129" t="s">
        <v>288</v>
      </c>
      <c r="G21" s="131"/>
      <c r="H21" s="131"/>
      <c r="I21" s="132">
        <v>9840000</v>
      </c>
      <c r="J21" s="133" t="s">
        <v>289</v>
      </c>
      <c r="K21" s="133" t="s">
        <v>290</v>
      </c>
      <c r="L21" s="133" t="s">
        <v>308</v>
      </c>
      <c r="M21" s="133" t="s">
        <v>294</v>
      </c>
      <c r="N21" s="133"/>
      <c r="O21" s="133"/>
    </row>
    <row r="22" spans="1:15">
      <c r="A22" s="124" t="s">
        <v>286</v>
      </c>
      <c r="B22" s="124">
        <v>16627</v>
      </c>
      <c r="C22" s="125"/>
      <c r="D22" s="124" t="s">
        <v>287</v>
      </c>
      <c r="E22" s="126">
        <v>200</v>
      </c>
      <c r="F22" s="124" t="s">
        <v>288</v>
      </c>
      <c r="G22" s="126"/>
      <c r="H22" s="126"/>
      <c r="I22" s="127">
        <v>9600000</v>
      </c>
      <c r="J22" s="128" t="s">
        <v>289</v>
      </c>
      <c r="K22" s="128" t="s">
        <v>290</v>
      </c>
      <c r="L22" s="128" t="s">
        <v>309</v>
      </c>
      <c r="M22" s="128" t="s">
        <v>294</v>
      </c>
      <c r="N22" s="128"/>
      <c r="O22" s="128"/>
    </row>
    <row r="23" spans="1:15">
      <c r="A23" s="129" t="s">
        <v>286</v>
      </c>
      <c r="B23" s="129">
        <v>16627</v>
      </c>
      <c r="C23" s="130"/>
      <c r="D23" s="129" t="s">
        <v>287</v>
      </c>
      <c r="E23" s="131">
        <v>330</v>
      </c>
      <c r="F23" s="129" t="s">
        <v>288</v>
      </c>
      <c r="G23" s="131"/>
      <c r="H23" s="131"/>
      <c r="I23" s="132">
        <v>15840000</v>
      </c>
      <c r="J23" s="133" t="s">
        <v>289</v>
      </c>
      <c r="K23" s="133" t="s">
        <v>290</v>
      </c>
      <c r="L23" s="133" t="s">
        <v>310</v>
      </c>
      <c r="M23" s="133" t="s">
        <v>294</v>
      </c>
      <c r="N23" s="133"/>
      <c r="O23" s="133"/>
    </row>
    <row r="24" spans="1:15">
      <c r="A24" s="124" t="s">
        <v>286</v>
      </c>
      <c r="B24" s="124">
        <v>16627</v>
      </c>
      <c r="C24" s="125"/>
      <c r="D24" s="124" t="s">
        <v>287</v>
      </c>
      <c r="E24" s="126">
        <v>50</v>
      </c>
      <c r="F24" s="124" t="s">
        <v>288</v>
      </c>
      <c r="G24" s="126"/>
      <c r="H24" s="126"/>
      <c r="I24" s="127">
        <v>2400000</v>
      </c>
      <c r="J24" s="128" t="s">
        <v>289</v>
      </c>
      <c r="K24" s="128" t="s">
        <v>290</v>
      </c>
      <c r="L24" s="128" t="s">
        <v>311</v>
      </c>
      <c r="M24" s="128" t="s">
        <v>294</v>
      </c>
      <c r="N24" s="128"/>
      <c r="O24" s="128"/>
    </row>
    <row r="25" spans="1:15">
      <c r="A25" s="129" t="s">
        <v>286</v>
      </c>
      <c r="B25" s="129">
        <v>16627</v>
      </c>
      <c r="C25" s="130"/>
      <c r="D25" s="129" t="s">
        <v>287</v>
      </c>
      <c r="E25" s="131">
        <v>320</v>
      </c>
      <c r="F25" s="129" t="s">
        <v>288</v>
      </c>
      <c r="G25" s="131"/>
      <c r="H25" s="131"/>
      <c r="I25" s="132">
        <v>15360000</v>
      </c>
      <c r="J25" s="133" t="s">
        <v>289</v>
      </c>
      <c r="K25" s="133" t="s">
        <v>290</v>
      </c>
      <c r="L25" s="133" t="s">
        <v>312</v>
      </c>
      <c r="M25" s="133" t="s">
        <v>313</v>
      </c>
      <c r="N25" s="133"/>
      <c r="O25" s="133"/>
    </row>
    <row r="26" spans="1:15">
      <c r="A26" s="124" t="s">
        <v>286</v>
      </c>
      <c r="B26" s="124">
        <v>16627</v>
      </c>
      <c r="C26" s="125"/>
      <c r="D26" s="124" t="s">
        <v>287</v>
      </c>
      <c r="E26" s="126">
        <v>508</v>
      </c>
      <c r="F26" s="124" t="s">
        <v>288</v>
      </c>
      <c r="G26" s="126"/>
      <c r="H26" s="126"/>
      <c r="I26" s="127">
        <v>25400000</v>
      </c>
      <c r="J26" s="128" t="s">
        <v>289</v>
      </c>
      <c r="K26" s="128" t="s">
        <v>290</v>
      </c>
      <c r="L26" s="128" t="s">
        <v>314</v>
      </c>
      <c r="M26" s="128" t="s">
        <v>261</v>
      </c>
      <c r="N26" s="128"/>
      <c r="O26" s="128"/>
    </row>
    <row r="27" spans="1:15">
      <c r="A27" s="129" t="s">
        <v>286</v>
      </c>
      <c r="B27" s="129">
        <v>16627</v>
      </c>
      <c r="C27" s="130"/>
      <c r="D27" s="129" t="s">
        <v>287</v>
      </c>
      <c r="E27" s="131">
        <v>808</v>
      </c>
      <c r="F27" s="129" t="s">
        <v>288</v>
      </c>
      <c r="G27" s="131"/>
      <c r="H27" s="131"/>
      <c r="I27" s="132">
        <v>40200000</v>
      </c>
      <c r="J27" s="133" t="s">
        <v>289</v>
      </c>
      <c r="K27" s="133" t="s">
        <v>290</v>
      </c>
      <c r="L27" s="133" t="s">
        <v>315</v>
      </c>
      <c r="M27" s="133" t="s">
        <v>261</v>
      </c>
      <c r="N27" s="133"/>
      <c r="O27" s="133"/>
    </row>
    <row r="28" spans="1:15">
      <c r="A28" s="124" t="s">
        <v>286</v>
      </c>
      <c r="B28" s="124">
        <v>16627</v>
      </c>
      <c r="C28" s="125"/>
      <c r="D28" s="124" t="s">
        <v>287</v>
      </c>
      <c r="E28" s="126">
        <v>397.75</v>
      </c>
      <c r="F28" s="124" t="s">
        <v>288</v>
      </c>
      <c r="G28" s="126"/>
      <c r="H28" s="126"/>
      <c r="I28" s="127">
        <v>18898750</v>
      </c>
      <c r="J28" s="128" t="s">
        <v>289</v>
      </c>
      <c r="K28" s="128" t="s">
        <v>290</v>
      </c>
      <c r="L28" s="128" t="s">
        <v>316</v>
      </c>
      <c r="M28" s="128" t="s">
        <v>261</v>
      </c>
      <c r="N28" s="128"/>
      <c r="O28" s="128"/>
    </row>
    <row r="29" spans="1:15">
      <c r="A29" s="129" t="s">
        <v>286</v>
      </c>
      <c r="B29" s="129">
        <v>16627</v>
      </c>
      <c r="C29" s="130"/>
      <c r="D29" s="129" t="s">
        <v>287</v>
      </c>
      <c r="E29" s="131">
        <v>550</v>
      </c>
      <c r="F29" s="129" t="s">
        <v>288</v>
      </c>
      <c r="G29" s="131"/>
      <c r="H29" s="131"/>
      <c r="I29" s="132">
        <v>27450000</v>
      </c>
      <c r="J29" s="133" t="s">
        <v>289</v>
      </c>
      <c r="K29" s="133" t="s">
        <v>290</v>
      </c>
      <c r="L29" s="133" t="s">
        <v>317</v>
      </c>
      <c r="M29" s="133" t="s">
        <v>261</v>
      </c>
      <c r="N29" s="133"/>
      <c r="O29" s="133"/>
    </row>
    <row r="30" spans="1:15">
      <c r="A30" s="124" t="s">
        <v>286</v>
      </c>
      <c r="B30" s="124">
        <v>16627</v>
      </c>
      <c r="C30" s="125"/>
      <c r="D30" s="124" t="s">
        <v>287</v>
      </c>
      <c r="E30" s="126">
        <v>792</v>
      </c>
      <c r="F30" s="124" t="s">
        <v>288</v>
      </c>
      <c r="G30" s="126"/>
      <c r="H30" s="126"/>
      <c r="I30" s="127">
        <v>56787500</v>
      </c>
      <c r="J30" s="128" t="s">
        <v>289</v>
      </c>
      <c r="K30" s="128" t="s">
        <v>290</v>
      </c>
      <c r="L30" s="128" t="s">
        <v>318</v>
      </c>
      <c r="M30" s="128" t="s">
        <v>261</v>
      </c>
      <c r="N30" s="128"/>
      <c r="O30" s="128"/>
    </row>
    <row r="31" spans="1:15">
      <c r="A31" s="129" t="s">
        <v>286</v>
      </c>
      <c r="B31" s="129">
        <v>16627</v>
      </c>
      <c r="C31" s="130"/>
      <c r="D31" s="129" t="s">
        <v>287</v>
      </c>
      <c r="E31" s="131">
        <v>897.9</v>
      </c>
      <c r="F31" s="129" t="s">
        <v>288</v>
      </c>
      <c r="G31" s="131"/>
      <c r="H31" s="131"/>
      <c r="I31" s="132">
        <v>44523000</v>
      </c>
      <c r="J31" s="133" t="s">
        <v>289</v>
      </c>
      <c r="K31" s="133" t="s">
        <v>290</v>
      </c>
      <c r="L31" s="133" t="s">
        <v>319</v>
      </c>
      <c r="M31" s="133" t="s">
        <v>261</v>
      </c>
      <c r="N31" s="133"/>
      <c r="O31" s="133"/>
    </row>
    <row r="32" spans="1:15">
      <c r="A32" s="124" t="s">
        <v>286</v>
      </c>
      <c r="B32" s="124">
        <v>16627</v>
      </c>
      <c r="C32" s="125"/>
      <c r="D32" s="124" t="s">
        <v>287</v>
      </c>
      <c r="E32" s="126">
        <v>57866.049999999981</v>
      </c>
      <c r="F32" s="124" t="s">
        <v>288</v>
      </c>
      <c r="G32" s="126"/>
      <c r="H32" s="126"/>
      <c r="I32" s="127">
        <v>2883948750</v>
      </c>
      <c r="J32" s="128" t="s">
        <v>289</v>
      </c>
      <c r="K32" s="128" t="s">
        <v>290</v>
      </c>
      <c r="L32" s="128" t="s">
        <v>320</v>
      </c>
      <c r="M32" s="128" t="s">
        <v>261</v>
      </c>
      <c r="N32" s="128"/>
      <c r="O32" s="128"/>
    </row>
    <row r="33" spans="1:15">
      <c r="A33" s="129" t="s">
        <v>286</v>
      </c>
      <c r="B33" s="129">
        <v>16627</v>
      </c>
      <c r="C33" s="130"/>
      <c r="D33" s="129" t="s">
        <v>287</v>
      </c>
      <c r="E33" s="131">
        <v>18906</v>
      </c>
      <c r="F33" s="129" t="s">
        <v>288</v>
      </c>
      <c r="G33" s="131"/>
      <c r="H33" s="131"/>
      <c r="I33" s="132">
        <v>944748000</v>
      </c>
      <c r="J33" s="133" t="s">
        <v>289</v>
      </c>
      <c r="K33" s="133" t="s">
        <v>290</v>
      </c>
      <c r="L33" s="133" t="s">
        <v>321</v>
      </c>
      <c r="M33" s="133" t="s">
        <v>261</v>
      </c>
      <c r="N33" s="133"/>
      <c r="O33" s="133"/>
    </row>
    <row r="34" spans="1:15">
      <c r="A34" s="124" t="s">
        <v>286</v>
      </c>
      <c r="B34" s="124">
        <v>16627</v>
      </c>
      <c r="C34" s="125"/>
      <c r="D34" s="124" t="s">
        <v>287</v>
      </c>
      <c r="E34" s="126">
        <v>14049</v>
      </c>
      <c r="F34" s="124" t="s">
        <v>288</v>
      </c>
      <c r="G34" s="126"/>
      <c r="H34" s="126"/>
      <c r="I34" s="127">
        <v>699453000</v>
      </c>
      <c r="J34" s="128" t="s">
        <v>289</v>
      </c>
      <c r="K34" s="128" t="s">
        <v>290</v>
      </c>
      <c r="L34" s="128" t="s">
        <v>322</v>
      </c>
      <c r="M34" s="128" t="s">
        <v>261</v>
      </c>
      <c r="N34" s="128"/>
      <c r="O34" s="128"/>
    </row>
    <row r="35" spans="1:15">
      <c r="A35" s="129" t="s">
        <v>286</v>
      </c>
      <c r="B35" s="129">
        <v>16627</v>
      </c>
      <c r="C35" s="130"/>
      <c r="D35" s="129" t="s">
        <v>287</v>
      </c>
      <c r="E35" s="131">
        <v>570</v>
      </c>
      <c r="F35" s="129" t="s">
        <v>288</v>
      </c>
      <c r="G35" s="131"/>
      <c r="H35" s="131"/>
      <c r="I35" s="132">
        <v>28500000</v>
      </c>
      <c r="J35" s="133" t="s">
        <v>289</v>
      </c>
      <c r="K35" s="133" t="s">
        <v>290</v>
      </c>
      <c r="L35" s="133" t="s">
        <v>323</v>
      </c>
      <c r="M35" s="133" t="s">
        <v>261</v>
      </c>
      <c r="N35" s="133"/>
      <c r="O35" s="133"/>
    </row>
    <row r="36" spans="1:15">
      <c r="A36" s="124" t="s">
        <v>286</v>
      </c>
      <c r="B36" s="124">
        <v>16627</v>
      </c>
      <c r="C36" s="125"/>
      <c r="D36" s="124" t="s">
        <v>287</v>
      </c>
      <c r="E36" s="126">
        <v>156</v>
      </c>
      <c r="F36" s="124" t="s">
        <v>288</v>
      </c>
      <c r="G36" s="126"/>
      <c r="H36" s="126"/>
      <c r="I36" s="127">
        <v>7800000</v>
      </c>
      <c r="J36" s="128" t="s">
        <v>289</v>
      </c>
      <c r="K36" s="128" t="s">
        <v>290</v>
      </c>
      <c r="L36" s="128" t="s">
        <v>324</v>
      </c>
      <c r="M36" s="128" t="s">
        <v>261</v>
      </c>
      <c r="N36" s="128"/>
      <c r="O36" s="128"/>
    </row>
    <row r="37" spans="1:15">
      <c r="A37" s="129" t="s">
        <v>286</v>
      </c>
      <c r="B37" s="129">
        <v>16627</v>
      </c>
      <c r="C37" s="130"/>
      <c r="D37" s="129" t="s">
        <v>287</v>
      </c>
      <c r="E37" s="131">
        <v>1599.4699999999993</v>
      </c>
      <c r="F37" s="129" t="s">
        <v>288</v>
      </c>
      <c r="G37" s="131"/>
      <c r="H37" s="131"/>
      <c r="I37" s="132">
        <v>113962247</v>
      </c>
      <c r="J37" s="133" t="s">
        <v>289</v>
      </c>
      <c r="K37" s="133" t="s">
        <v>290</v>
      </c>
      <c r="L37" s="133" t="s">
        <v>325</v>
      </c>
      <c r="M37" s="133" t="s">
        <v>261</v>
      </c>
      <c r="N37" s="133"/>
      <c r="O37" s="133"/>
    </row>
    <row r="38" spans="1:15">
      <c r="A38" s="124" t="s">
        <v>286</v>
      </c>
      <c r="B38" s="124">
        <v>16627</v>
      </c>
      <c r="C38" s="125"/>
      <c r="D38" s="124" t="s">
        <v>287</v>
      </c>
      <c r="E38" s="126">
        <v>917.9</v>
      </c>
      <c r="F38" s="124" t="s">
        <v>288</v>
      </c>
      <c r="G38" s="126"/>
      <c r="H38" s="126"/>
      <c r="I38" s="127">
        <v>45807000</v>
      </c>
      <c r="J38" s="128" t="s">
        <v>289</v>
      </c>
      <c r="K38" s="128" t="s">
        <v>290</v>
      </c>
      <c r="L38" s="128" t="s">
        <v>326</v>
      </c>
      <c r="M38" s="128" t="s">
        <v>261</v>
      </c>
      <c r="N38" s="128"/>
      <c r="O38" s="128"/>
    </row>
    <row r="39" spans="1:15">
      <c r="A39" s="129" t="s">
        <v>286</v>
      </c>
      <c r="B39" s="129">
        <v>16627</v>
      </c>
      <c r="C39" s="130"/>
      <c r="D39" s="129" t="s">
        <v>287</v>
      </c>
      <c r="E39" s="131">
        <v>4338.1000000000004</v>
      </c>
      <c r="F39" s="129" t="s">
        <v>288</v>
      </c>
      <c r="G39" s="131"/>
      <c r="H39" s="131"/>
      <c r="I39" s="132">
        <v>215123000</v>
      </c>
      <c r="J39" s="133" t="s">
        <v>289</v>
      </c>
      <c r="K39" s="133" t="s">
        <v>290</v>
      </c>
      <c r="L39" s="133" t="s">
        <v>327</v>
      </c>
      <c r="M39" s="133" t="s">
        <v>261</v>
      </c>
      <c r="N39" s="133"/>
      <c r="O39" s="133"/>
    </row>
    <row r="40" spans="1:15">
      <c r="A40" s="124" t="s">
        <v>286</v>
      </c>
      <c r="B40" s="124">
        <v>16627</v>
      </c>
      <c r="C40" s="125"/>
      <c r="D40" s="124" t="s">
        <v>287</v>
      </c>
      <c r="E40" s="126">
        <v>500</v>
      </c>
      <c r="F40" s="124" t="s">
        <v>288</v>
      </c>
      <c r="G40" s="126"/>
      <c r="H40" s="126"/>
      <c r="I40" s="127">
        <v>24000000</v>
      </c>
      <c r="J40" s="128" t="s">
        <v>289</v>
      </c>
      <c r="K40" s="128" t="s">
        <v>290</v>
      </c>
      <c r="L40" s="128" t="s">
        <v>328</v>
      </c>
      <c r="M40" s="128" t="s">
        <v>329</v>
      </c>
      <c r="N40" s="128"/>
      <c r="O40" s="128"/>
    </row>
    <row r="41" spans="1:15">
      <c r="A41" s="129" t="s">
        <v>286</v>
      </c>
      <c r="B41" s="129">
        <v>16627</v>
      </c>
      <c r="C41" s="130"/>
      <c r="D41" s="129" t="s">
        <v>287</v>
      </c>
      <c r="E41" s="131">
        <v>3900.5</v>
      </c>
      <c r="F41" s="129" t="s">
        <v>288</v>
      </c>
      <c r="G41" s="131"/>
      <c r="H41" s="131"/>
      <c r="I41" s="132">
        <v>187224000</v>
      </c>
      <c r="J41" s="133" t="s">
        <v>289</v>
      </c>
      <c r="K41" s="133" t="s">
        <v>290</v>
      </c>
      <c r="L41" s="133" t="s">
        <v>330</v>
      </c>
      <c r="M41" s="133" t="s">
        <v>329</v>
      </c>
      <c r="N41" s="133"/>
      <c r="O41" s="133"/>
    </row>
    <row r="42" spans="1:15">
      <c r="A42" s="124" t="s">
        <v>286</v>
      </c>
      <c r="B42" s="124">
        <v>16627</v>
      </c>
      <c r="C42" s="125"/>
      <c r="D42" s="124" t="s">
        <v>287</v>
      </c>
      <c r="E42" s="126">
        <v>2612.9299999999998</v>
      </c>
      <c r="F42" s="124" t="s">
        <v>288</v>
      </c>
      <c r="G42" s="126"/>
      <c r="H42" s="126"/>
      <c r="I42" s="127">
        <v>199235933</v>
      </c>
      <c r="J42" s="128" t="s">
        <v>289</v>
      </c>
      <c r="K42" s="128" t="s">
        <v>290</v>
      </c>
      <c r="L42" s="128" t="s">
        <v>331</v>
      </c>
      <c r="M42" s="128" t="s">
        <v>329</v>
      </c>
      <c r="N42" s="128"/>
      <c r="O42" s="128"/>
    </row>
    <row r="43" spans="1:15">
      <c r="A43" s="129" t="s">
        <v>70</v>
      </c>
      <c r="B43" s="129" t="s">
        <v>332</v>
      </c>
      <c r="C43" s="130">
        <v>45296</v>
      </c>
      <c r="D43" s="129" t="s">
        <v>333</v>
      </c>
      <c r="E43" s="131">
        <v>181.96799999999999</v>
      </c>
      <c r="F43" s="129" t="s">
        <v>334</v>
      </c>
      <c r="G43" s="131">
        <v>2050</v>
      </c>
      <c r="H43" s="131">
        <v>373034.39999999997</v>
      </c>
      <c r="I43" s="132">
        <v>222902975.37599996</v>
      </c>
      <c r="J43" s="133" t="s">
        <v>335</v>
      </c>
      <c r="K43" s="133" t="s">
        <v>336</v>
      </c>
      <c r="L43" s="133" t="s">
        <v>337</v>
      </c>
      <c r="M43" s="133" t="s">
        <v>338</v>
      </c>
      <c r="N43" s="133" t="s">
        <v>337</v>
      </c>
      <c r="O43" s="133" t="s">
        <v>71</v>
      </c>
    </row>
    <row r="44" spans="1:15">
      <c r="A44" s="124" t="s">
        <v>70</v>
      </c>
      <c r="B44" s="124" t="s">
        <v>332</v>
      </c>
      <c r="C44" s="125">
        <v>45296</v>
      </c>
      <c r="D44" s="124" t="s">
        <v>333</v>
      </c>
      <c r="E44" s="126">
        <v>10.371</v>
      </c>
      <c r="F44" s="124" t="s">
        <v>334</v>
      </c>
      <c r="G44" s="126">
        <v>2050</v>
      </c>
      <c r="H44" s="126">
        <v>21260.55</v>
      </c>
      <c r="I44" s="127">
        <v>12704029.046999998</v>
      </c>
      <c r="J44" s="128" t="s">
        <v>335</v>
      </c>
      <c r="K44" s="128" t="s">
        <v>336</v>
      </c>
      <c r="L44" s="128" t="s">
        <v>337</v>
      </c>
      <c r="M44" s="128" t="s">
        <v>338</v>
      </c>
      <c r="N44" s="128" t="s">
        <v>337</v>
      </c>
      <c r="O44" s="128" t="s">
        <v>71</v>
      </c>
    </row>
    <row r="45" spans="1:15">
      <c r="A45" s="129" t="s">
        <v>70</v>
      </c>
      <c r="B45" s="129" t="s">
        <v>332</v>
      </c>
      <c r="C45" s="130">
        <v>45308</v>
      </c>
      <c r="D45" s="129" t="s">
        <v>333</v>
      </c>
      <c r="E45" s="131">
        <v>783.33</v>
      </c>
      <c r="F45" s="129" t="s">
        <v>334</v>
      </c>
      <c r="G45" s="131">
        <v>2011.65</v>
      </c>
      <c r="H45" s="131">
        <v>1575785.7945000001</v>
      </c>
      <c r="I45" s="132">
        <v>945912696.72246003</v>
      </c>
      <c r="J45" s="133" t="s">
        <v>335</v>
      </c>
      <c r="K45" s="133" t="s">
        <v>336</v>
      </c>
      <c r="L45" s="133" t="s">
        <v>337</v>
      </c>
      <c r="M45" s="133" t="s">
        <v>339</v>
      </c>
      <c r="N45" s="133" t="s">
        <v>340</v>
      </c>
      <c r="O45" s="133" t="s">
        <v>71</v>
      </c>
    </row>
    <row r="46" spans="1:15">
      <c r="A46" s="124" t="s">
        <v>70</v>
      </c>
      <c r="B46" s="124" t="s">
        <v>332</v>
      </c>
      <c r="C46" s="125">
        <v>45315</v>
      </c>
      <c r="D46" s="124" t="s">
        <v>333</v>
      </c>
      <c r="E46" s="126">
        <v>2015.383</v>
      </c>
      <c r="F46" s="124" t="s">
        <v>334</v>
      </c>
      <c r="G46" s="126">
        <v>2024.55</v>
      </c>
      <c r="H46" s="126">
        <v>4080243.6526500001</v>
      </c>
      <c r="I46" s="127">
        <v>2448227796.4630527</v>
      </c>
      <c r="J46" s="128" t="s">
        <v>335</v>
      </c>
      <c r="K46" s="128" t="s">
        <v>336</v>
      </c>
      <c r="L46" s="128" t="s">
        <v>337</v>
      </c>
      <c r="M46" s="128" t="s">
        <v>339</v>
      </c>
      <c r="N46" s="128" t="s">
        <v>340</v>
      </c>
      <c r="O46" s="128" t="s">
        <v>71</v>
      </c>
    </row>
    <row r="47" spans="1:15">
      <c r="A47" s="129" t="s">
        <v>70</v>
      </c>
      <c r="B47" s="129" t="s">
        <v>332</v>
      </c>
      <c r="C47" s="130">
        <v>45315</v>
      </c>
      <c r="D47" s="129" t="s">
        <v>333</v>
      </c>
      <c r="E47" s="131">
        <v>3488.49</v>
      </c>
      <c r="F47" s="129" t="s">
        <v>334</v>
      </c>
      <c r="G47" s="131">
        <v>2024.55</v>
      </c>
      <c r="H47" s="131">
        <v>7062622.4294999996</v>
      </c>
      <c r="I47" s="132">
        <v>4248167391.3442497</v>
      </c>
      <c r="J47" s="133" t="s">
        <v>335</v>
      </c>
      <c r="K47" s="133" t="s">
        <v>336</v>
      </c>
      <c r="L47" s="133" t="s">
        <v>337</v>
      </c>
      <c r="M47" s="133" t="s">
        <v>339</v>
      </c>
      <c r="N47" s="133" t="s">
        <v>340</v>
      </c>
      <c r="O47" s="133" t="s">
        <v>71</v>
      </c>
    </row>
    <row r="48" spans="1:15">
      <c r="A48" s="124" t="s">
        <v>70</v>
      </c>
      <c r="B48" s="124" t="s">
        <v>332</v>
      </c>
      <c r="C48" s="125">
        <v>45321</v>
      </c>
      <c r="D48" s="124" t="s">
        <v>333</v>
      </c>
      <c r="E48" s="126">
        <v>2050.415</v>
      </c>
      <c r="F48" s="124" t="s">
        <v>334</v>
      </c>
      <c r="G48" s="126">
        <v>2042.95</v>
      </c>
      <c r="H48" s="126">
        <v>4188895.3242500001</v>
      </c>
      <c r="I48" s="127">
        <v>2517526089.8742499</v>
      </c>
      <c r="J48" s="128" t="s">
        <v>335</v>
      </c>
      <c r="K48" s="128" t="s">
        <v>336</v>
      </c>
      <c r="L48" s="128" t="s">
        <v>337</v>
      </c>
      <c r="M48" s="128" t="s">
        <v>339</v>
      </c>
      <c r="N48" s="128" t="s">
        <v>340</v>
      </c>
      <c r="O48" s="128" t="s">
        <v>71</v>
      </c>
    </row>
    <row r="49" spans="1:15">
      <c r="A49" s="129" t="s">
        <v>70</v>
      </c>
      <c r="B49" s="129" t="s">
        <v>332</v>
      </c>
      <c r="C49" s="130">
        <v>45321</v>
      </c>
      <c r="D49" s="129" t="s">
        <v>333</v>
      </c>
      <c r="E49" s="131">
        <v>3882.7719999999999</v>
      </c>
      <c r="F49" s="129" t="s">
        <v>334</v>
      </c>
      <c r="G49" s="131">
        <v>2042.95</v>
      </c>
      <c r="H49" s="131">
        <v>7932309.0574000003</v>
      </c>
      <c r="I49" s="132">
        <v>957602456.92172003</v>
      </c>
      <c r="J49" s="133" t="s">
        <v>335</v>
      </c>
      <c r="K49" s="133" t="s">
        <v>336</v>
      </c>
      <c r="L49" s="133" t="s">
        <v>337</v>
      </c>
      <c r="M49" s="133" t="s">
        <v>339</v>
      </c>
      <c r="N49" s="133" t="s">
        <v>340</v>
      </c>
      <c r="O49" s="133" t="s">
        <v>71</v>
      </c>
    </row>
    <row r="50" spans="1:15">
      <c r="A50" s="124" t="s">
        <v>70</v>
      </c>
      <c r="B50" s="124" t="s">
        <v>332</v>
      </c>
      <c r="C50" s="125">
        <v>45321</v>
      </c>
      <c r="D50" s="124" t="s">
        <v>333</v>
      </c>
      <c r="E50" s="126">
        <v>2888.4520000000002</v>
      </c>
      <c r="F50" s="124" t="s">
        <v>334</v>
      </c>
      <c r="G50" s="126">
        <v>4229.8587561434288</v>
      </c>
      <c r="H50" s="126">
        <v>12217743.983899999</v>
      </c>
      <c r="I50" s="127">
        <v>7391735110.2594995</v>
      </c>
      <c r="J50" s="128" t="s">
        <v>335</v>
      </c>
      <c r="K50" s="128" t="s">
        <v>336</v>
      </c>
      <c r="L50" s="128" t="s">
        <v>337</v>
      </c>
      <c r="M50" s="128" t="s">
        <v>339</v>
      </c>
      <c r="N50" s="128" t="s">
        <v>340</v>
      </c>
      <c r="O50" s="128" t="s">
        <v>71</v>
      </c>
    </row>
    <row r="51" spans="1:15">
      <c r="A51" s="129" t="s">
        <v>70</v>
      </c>
      <c r="B51" s="129" t="s">
        <v>332</v>
      </c>
      <c r="C51" s="130">
        <v>45299</v>
      </c>
      <c r="D51" s="129" t="s">
        <v>341</v>
      </c>
      <c r="E51" s="131">
        <v>255.54300000000001</v>
      </c>
      <c r="F51" s="129" t="s">
        <v>334</v>
      </c>
      <c r="G51" s="131">
        <v>22.844999999999999</v>
      </c>
      <c r="H51" s="131">
        <v>5837.8798349999997</v>
      </c>
      <c r="I51" s="132">
        <v>3488366.7166058999</v>
      </c>
      <c r="J51" s="133" t="s">
        <v>335</v>
      </c>
      <c r="K51" s="133" t="s">
        <v>336</v>
      </c>
      <c r="L51" s="133" t="s">
        <v>337</v>
      </c>
      <c r="M51" s="133" t="s">
        <v>338</v>
      </c>
      <c r="N51" s="133" t="s">
        <v>337</v>
      </c>
      <c r="O51" s="133" t="s">
        <v>71</v>
      </c>
    </row>
    <row r="52" spans="1:15">
      <c r="A52" s="124" t="s">
        <v>70</v>
      </c>
      <c r="B52" s="124" t="s">
        <v>332</v>
      </c>
      <c r="C52" s="125">
        <v>45307</v>
      </c>
      <c r="D52" s="124" t="s">
        <v>341</v>
      </c>
      <c r="E52" s="126">
        <v>286.38400000000001</v>
      </c>
      <c r="F52" s="124" t="s">
        <v>334</v>
      </c>
      <c r="G52" s="126">
        <v>22.952000000000002</v>
      </c>
      <c r="H52" s="126">
        <v>6573.0855680000004</v>
      </c>
      <c r="I52" s="127">
        <v>3945691.80475904</v>
      </c>
      <c r="J52" s="128" t="s">
        <v>335</v>
      </c>
      <c r="K52" s="128" t="s">
        <v>336</v>
      </c>
      <c r="L52" s="128" t="s">
        <v>337</v>
      </c>
      <c r="M52" s="128" t="s">
        <v>339</v>
      </c>
      <c r="N52" s="128" t="s">
        <v>340</v>
      </c>
      <c r="O52" s="128" t="s">
        <v>71</v>
      </c>
    </row>
    <row r="53" spans="1:15">
      <c r="A53" s="129" t="s">
        <v>70</v>
      </c>
      <c r="B53" s="129" t="s">
        <v>332</v>
      </c>
      <c r="C53" s="130">
        <v>45321</v>
      </c>
      <c r="D53" s="129" t="s">
        <v>341</v>
      </c>
      <c r="E53" s="131">
        <v>455.142</v>
      </c>
      <c r="F53" s="129" t="s">
        <v>334</v>
      </c>
      <c r="G53" s="131">
        <v>23.079000000000001</v>
      </c>
      <c r="H53" s="131">
        <v>10504.222218000001</v>
      </c>
      <c r="I53" s="132">
        <v>6327743.4641232006</v>
      </c>
      <c r="J53" s="133" t="s">
        <v>335</v>
      </c>
      <c r="K53" s="133" t="s">
        <v>336</v>
      </c>
      <c r="L53" s="133" t="s">
        <v>337</v>
      </c>
      <c r="M53" s="133" t="s">
        <v>339</v>
      </c>
      <c r="N53" s="133" t="s">
        <v>340</v>
      </c>
      <c r="O53" s="133" t="s">
        <v>71</v>
      </c>
    </row>
    <row r="54" spans="1:15">
      <c r="A54" s="124" t="s">
        <v>70</v>
      </c>
      <c r="B54" s="124" t="s">
        <v>332</v>
      </c>
      <c r="C54" s="125">
        <v>45321</v>
      </c>
      <c r="D54" s="124" t="s">
        <v>341</v>
      </c>
      <c r="E54" s="126">
        <v>379.298</v>
      </c>
      <c r="F54" s="124" t="s">
        <v>334</v>
      </c>
      <c r="G54" s="126">
        <v>23.079000000000001</v>
      </c>
      <c r="H54" s="126">
        <v>8753.8185420000009</v>
      </c>
      <c r="I54" s="127">
        <v>9473998.3834206238</v>
      </c>
      <c r="J54" s="128" t="s">
        <v>335</v>
      </c>
      <c r="K54" s="128" t="s">
        <v>336</v>
      </c>
      <c r="L54" s="128" t="s">
        <v>337</v>
      </c>
      <c r="M54" s="128" t="s">
        <v>339</v>
      </c>
      <c r="N54" s="128" t="s">
        <v>340</v>
      </c>
      <c r="O54" s="128" t="s">
        <v>71</v>
      </c>
    </row>
    <row r="55" spans="1:15">
      <c r="A55" s="129" t="s">
        <v>70</v>
      </c>
      <c r="B55" s="129" t="s">
        <v>332</v>
      </c>
      <c r="C55" s="130">
        <v>45329</v>
      </c>
      <c r="D55" s="129" t="s">
        <v>333</v>
      </c>
      <c r="E55" s="131">
        <v>4263.2969999999996</v>
      </c>
      <c r="F55" s="129" t="s">
        <v>334</v>
      </c>
      <c r="G55" s="131">
        <v>2041.4999999999998</v>
      </c>
      <c r="H55" s="131">
        <v>8703520.8254999984</v>
      </c>
      <c r="I55" s="132">
        <v>5283037141.0784988</v>
      </c>
      <c r="J55" s="133" t="s">
        <v>335</v>
      </c>
      <c r="K55" s="133" t="s">
        <v>336</v>
      </c>
      <c r="L55" s="133" t="s">
        <v>337</v>
      </c>
      <c r="M55" s="133" t="s">
        <v>339</v>
      </c>
      <c r="N55" s="133" t="s">
        <v>340</v>
      </c>
      <c r="O55" s="133" t="s">
        <v>71</v>
      </c>
    </row>
    <row r="56" spans="1:15">
      <c r="A56" s="124" t="s">
        <v>70</v>
      </c>
      <c r="B56" s="124" t="s">
        <v>332</v>
      </c>
      <c r="C56" s="125">
        <v>45336</v>
      </c>
      <c r="D56" s="124" t="s">
        <v>333</v>
      </c>
      <c r="E56" s="126">
        <v>4159.76</v>
      </c>
      <c r="F56" s="124" t="s">
        <v>334</v>
      </c>
      <c r="G56" s="126">
        <v>1985</v>
      </c>
      <c r="H56" s="126">
        <v>8257123.6000000006</v>
      </c>
      <c r="I56" s="127">
        <v>5007450035.9840012</v>
      </c>
      <c r="J56" s="128" t="s">
        <v>335</v>
      </c>
      <c r="K56" s="128" t="s">
        <v>336</v>
      </c>
      <c r="L56" s="128" t="s">
        <v>337</v>
      </c>
      <c r="M56" s="128" t="s">
        <v>339</v>
      </c>
      <c r="N56" s="128" t="s">
        <v>340</v>
      </c>
      <c r="O56" s="128" t="s">
        <v>71</v>
      </c>
    </row>
    <row r="57" spans="1:15">
      <c r="A57" s="129" t="s">
        <v>70</v>
      </c>
      <c r="B57" s="129" t="s">
        <v>332</v>
      </c>
      <c r="C57" s="130">
        <v>45343</v>
      </c>
      <c r="D57" s="129" t="s">
        <v>333</v>
      </c>
      <c r="E57" s="131">
        <v>3725.4160000000002</v>
      </c>
      <c r="F57" s="129" t="s">
        <v>334</v>
      </c>
      <c r="G57" s="131">
        <v>2026.65</v>
      </c>
      <c r="H57" s="131">
        <v>7550114.3364000004</v>
      </c>
      <c r="I57" s="132">
        <v>4549094889.9677277</v>
      </c>
      <c r="J57" s="133" t="s">
        <v>335</v>
      </c>
      <c r="K57" s="133" t="s">
        <v>336</v>
      </c>
      <c r="L57" s="133" t="s">
        <v>337</v>
      </c>
      <c r="M57" s="133" t="s">
        <v>339</v>
      </c>
      <c r="N57" s="133" t="s">
        <v>340</v>
      </c>
      <c r="O57" s="133" t="s">
        <v>71</v>
      </c>
    </row>
    <row r="58" spans="1:15">
      <c r="A58" s="124" t="s">
        <v>70</v>
      </c>
      <c r="B58" s="124" t="s">
        <v>332</v>
      </c>
      <c r="C58" s="125">
        <v>45350</v>
      </c>
      <c r="D58" s="124" t="s">
        <v>333</v>
      </c>
      <c r="E58" s="126">
        <v>2864.0349999999999</v>
      </c>
      <c r="F58" s="124" t="s">
        <v>334</v>
      </c>
      <c r="G58" s="126">
        <v>2032.35</v>
      </c>
      <c r="H58" s="126">
        <v>5820721.5322499992</v>
      </c>
      <c r="I58" s="127">
        <v>3514551661.1725492</v>
      </c>
      <c r="J58" s="128" t="s">
        <v>335</v>
      </c>
      <c r="K58" s="128" t="s">
        <v>336</v>
      </c>
      <c r="L58" s="128" t="s">
        <v>337</v>
      </c>
      <c r="M58" s="128" t="s">
        <v>339</v>
      </c>
      <c r="N58" s="128" t="s">
        <v>340</v>
      </c>
      <c r="O58" s="128" t="s">
        <v>71</v>
      </c>
    </row>
    <row r="59" spans="1:15">
      <c r="A59" s="129" t="s">
        <v>70</v>
      </c>
      <c r="B59" s="129" t="s">
        <v>332</v>
      </c>
      <c r="C59" s="130">
        <v>45350</v>
      </c>
      <c r="D59" s="129" t="s">
        <v>333</v>
      </c>
      <c r="E59" s="131">
        <v>3693</v>
      </c>
      <c r="F59" s="129" t="s">
        <v>334</v>
      </c>
      <c r="G59" s="131">
        <v>2032.35</v>
      </c>
      <c r="H59" s="131">
        <v>7505468.5499999998</v>
      </c>
      <c r="I59" s="132">
        <v>4533077840.1435003</v>
      </c>
      <c r="J59" s="133" t="s">
        <v>335</v>
      </c>
      <c r="K59" s="133" t="s">
        <v>336</v>
      </c>
      <c r="L59" s="133" t="s">
        <v>337</v>
      </c>
      <c r="M59" s="133" t="s">
        <v>338</v>
      </c>
      <c r="N59" s="133" t="s">
        <v>337</v>
      </c>
      <c r="O59" s="133" t="s">
        <v>71</v>
      </c>
    </row>
    <row r="60" spans="1:15">
      <c r="A60" s="124" t="s">
        <v>70</v>
      </c>
      <c r="B60" s="124" t="s">
        <v>332</v>
      </c>
      <c r="C60" s="125">
        <v>45329</v>
      </c>
      <c r="D60" s="124" t="s">
        <v>341</v>
      </c>
      <c r="E60" s="126">
        <v>384.65800000000002</v>
      </c>
      <c r="F60" s="124" t="s">
        <v>334</v>
      </c>
      <c r="G60" s="126">
        <v>22.327000000000002</v>
      </c>
      <c r="H60" s="126">
        <v>8588.2591660000016</v>
      </c>
      <c r="I60" s="127">
        <v>5213073.3137620008</v>
      </c>
      <c r="J60" s="128" t="s">
        <v>335</v>
      </c>
      <c r="K60" s="128" t="s">
        <v>336</v>
      </c>
      <c r="L60" s="128" t="s">
        <v>337</v>
      </c>
      <c r="M60" s="128" t="s">
        <v>339</v>
      </c>
      <c r="N60" s="128" t="s">
        <v>340</v>
      </c>
      <c r="O60" s="128" t="s">
        <v>71</v>
      </c>
    </row>
    <row r="61" spans="1:15">
      <c r="A61" s="129" t="s">
        <v>70</v>
      </c>
      <c r="B61" s="129" t="s">
        <v>332</v>
      </c>
      <c r="C61" s="130">
        <v>45336</v>
      </c>
      <c r="D61" s="129" t="s">
        <v>341</v>
      </c>
      <c r="E61" s="131">
        <v>406.29700000000003</v>
      </c>
      <c r="F61" s="129" t="s">
        <v>334</v>
      </c>
      <c r="G61" s="131">
        <v>22.126999999999999</v>
      </c>
      <c r="H61" s="131">
        <v>8990.1337189999995</v>
      </c>
      <c r="I61" s="132">
        <v>5451976.6925503602</v>
      </c>
      <c r="J61" s="133" t="s">
        <v>335</v>
      </c>
      <c r="K61" s="133" t="s">
        <v>336</v>
      </c>
      <c r="L61" s="133" t="s">
        <v>337</v>
      </c>
      <c r="M61" s="133" t="s">
        <v>339</v>
      </c>
      <c r="N61" s="133" t="s">
        <v>340</v>
      </c>
      <c r="O61" s="133" t="s">
        <v>71</v>
      </c>
    </row>
    <row r="62" spans="1:15">
      <c r="A62" s="124" t="s">
        <v>70</v>
      </c>
      <c r="B62" s="124" t="s">
        <v>332</v>
      </c>
      <c r="C62" s="125">
        <v>45343</v>
      </c>
      <c r="D62" s="124" t="s">
        <v>341</v>
      </c>
      <c r="E62" s="126">
        <v>397.59300000000002</v>
      </c>
      <c r="F62" s="124" t="s">
        <v>334</v>
      </c>
      <c r="G62" s="126">
        <v>23.061</v>
      </c>
      <c r="H62" s="126">
        <v>9168.8921730000002</v>
      </c>
      <c r="I62" s="127">
        <v>5524440.9120759601</v>
      </c>
      <c r="J62" s="128" t="s">
        <v>335</v>
      </c>
      <c r="K62" s="128" t="s">
        <v>336</v>
      </c>
      <c r="L62" s="128" t="s">
        <v>337</v>
      </c>
      <c r="M62" s="128" t="s">
        <v>339</v>
      </c>
      <c r="N62" s="128" t="s">
        <v>340</v>
      </c>
      <c r="O62" s="128" t="s">
        <v>71</v>
      </c>
    </row>
    <row r="63" spans="1:15">
      <c r="A63" s="129" t="s">
        <v>70</v>
      </c>
      <c r="B63" s="129" t="s">
        <v>332</v>
      </c>
      <c r="C63" s="130">
        <v>45350</v>
      </c>
      <c r="D63" s="129" t="s">
        <v>341</v>
      </c>
      <c r="E63" s="131">
        <v>367.29700000000003</v>
      </c>
      <c r="F63" s="129" t="s">
        <v>334</v>
      </c>
      <c r="G63" s="131">
        <v>22.379000000000001</v>
      </c>
      <c r="H63" s="131">
        <v>8219.739563000001</v>
      </c>
      <c r="I63" s="132">
        <v>4963078.7481394</v>
      </c>
      <c r="J63" s="133" t="s">
        <v>335</v>
      </c>
      <c r="K63" s="133" t="s">
        <v>336</v>
      </c>
      <c r="L63" s="133" t="s">
        <v>337</v>
      </c>
      <c r="M63" s="133" t="s">
        <v>339</v>
      </c>
      <c r="N63" s="133" t="s">
        <v>340</v>
      </c>
      <c r="O63" s="133" t="s">
        <v>71</v>
      </c>
    </row>
    <row r="64" spans="1:15">
      <c r="A64" s="124" t="s">
        <v>70</v>
      </c>
      <c r="B64" s="124" t="s">
        <v>332</v>
      </c>
      <c r="C64" s="125">
        <v>45357</v>
      </c>
      <c r="D64" s="124" t="s">
        <v>333</v>
      </c>
      <c r="E64" s="126">
        <v>112.691</v>
      </c>
      <c r="F64" s="124" t="s">
        <v>334</v>
      </c>
      <c r="G64" s="126">
        <v>2142.75</v>
      </c>
      <c r="H64" s="126">
        <v>241468.64025</v>
      </c>
      <c r="I64" s="127">
        <v>144832890.42194998</v>
      </c>
      <c r="J64" s="128" t="s">
        <v>335</v>
      </c>
      <c r="K64" s="128" t="s">
        <v>336</v>
      </c>
      <c r="L64" s="128" t="s">
        <v>337</v>
      </c>
      <c r="M64" s="128" t="s">
        <v>338</v>
      </c>
      <c r="N64" s="128" t="s">
        <v>337</v>
      </c>
      <c r="O64" s="128" t="s">
        <v>71</v>
      </c>
    </row>
    <row r="65" spans="1:15">
      <c r="A65" s="129" t="s">
        <v>70</v>
      </c>
      <c r="B65" s="129" t="s">
        <v>332</v>
      </c>
      <c r="C65" s="130">
        <v>45364</v>
      </c>
      <c r="D65" s="129" t="s">
        <v>333</v>
      </c>
      <c r="E65" s="131">
        <v>684.56899999999996</v>
      </c>
      <c r="F65" s="129" t="s">
        <v>334</v>
      </c>
      <c r="G65" s="131">
        <v>2168.3000000000002</v>
      </c>
      <c r="H65" s="131">
        <v>1484350.9627</v>
      </c>
      <c r="I65" s="132">
        <v>890610577.62</v>
      </c>
      <c r="J65" s="133" t="s">
        <v>335</v>
      </c>
      <c r="K65" s="133" t="s">
        <v>336</v>
      </c>
      <c r="L65" s="133" t="s">
        <v>337</v>
      </c>
      <c r="M65" s="133" t="s">
        <v>339</v>
      </c>
      <c r="N65" s="133" t="s">
        <v>340</v>
      </c>
      <c r="O65" s="133" t="s">
        <v>71</v>
      </c>
    </row>
    <row r="66" spans="1:15">
      <c r="A66" s="124" t="s">
        <v>70</v>
      </c>
      <c r="B66" s="124" t="s">
        <v>332</v>
      </c>
      <c r="C66" s="125">
        <v>45364</v>
      </c>
      <c r="D66" s="124" t="s">
        <v>333</v>
      </c>
      <c r="E66" s="126">
        <v>783.33</v>
      </c>
      <c r="F66" s="124" t="s">
        <v>334</v>
      </c>
      <c r="G66" s="126">
        <v>2168.3000000000002</v>
      </c>
      <c r="H66" s="126">
        <v>1698494.4390000002</v>
      </c>
      <c r="I66" s="127">
        <v>1019096663.4000001</v>
      </c>
      <c r="J66" s="128" t="s">
        <v>335</v>
      </c>
      <c r="K66" s="128" t="s">
        <v>336</v>
      </c>
      <c r="L66" s="128" t="s">
        <v>337</v>
      </c>
      <c r="M66" s="128" t="s">
        <v>339</v>
      </c>
      <c r="N66" s="128" t="s">
        <v>340</v>
      </c>
      <c r="O66" s="128" t="s">
        <v>71</v>
      </c>
    </row>
    <row r="67" spans="1:15">
      <c r="A67" s="129" t="s">
        <v>70</v>
      </c>
      <c r="B67" s="129" t="s">
        <v>332</v>
      </c>
      <c r="C67" s="130">
        <v>45364</v>
      </c>
      <c r="D67" s="129" t="s">
        <v>333</v>
      </c>
      <c r="E67" s="131">
        <v>2758</v>
      </c>
      <c r="F67" s="129" t="s">
        <v>334</v>
      </c>
      <c r="G67" s="131">
        <v>2168.3000000000002</v>
      </c>
      <c r="H67" s="131">
        <v>5980171.4000000004</v>
      </c>
      <c r="I67" s="132">
        <v>3588102840</v>
      </c>
      <c r="J67" s="133" t="s">
        <v>335</v>
      </c>
      <c r="K67" s="133" t="s">
        <v>336</v>
      </c>
      <c r="L67" s="133" t="s">
        <v>337</v>
      </c>
      <c r="M67" s="133" t="s">
        <v>338</v>
      </c>
      <c r="N67" s="133" t="s">
        <v>337</v>
      </c>
      <c r="O67" s="133" t="s">
        <v>71</v>
      </c>
    </row>
    <row r="68" spans="1:15">
      <c r="A68" s="124" t="s">
        <v>70</v>
      </c>
      <c r="B68" s="124" t="s">
        <v>332</v>
      </c>
      <c r="C68" s="125">
        <v>45372</v>
      </c>
      <c r="D68" s="124" t="s">
        <v>333</v>
      </c>
      <c r="E68" s="126">
        <v>3252.0169999999998</v>
      </c>
      <c r="F68" s="124" t="s">
        <v>334</v>
      </c>
      <c r="G68" s="126">
        <v>2170.4</v>
      </c>
      <c r="H68" s="126">
        <v>7058177.6968</v>
      </c>
      <c r="I68" s="127">
        <v>4249022973.4735999</v>
      </c>
      <c r="J68" s="128" t="s">
        <v>335</v>
      </c>
      <c r="K68" s="128" t="s">
        <v>336</v>
      </c>
      <c r="L68" s="128" t="s">
        <v>337</v>
      </c>
      <c r="M68" s="128" t="s">
        <v>338</v>
      </c>
      <c r="N68" s="128" t="s">
        <v>337</v>
      </c>
      <c r="O68" s="128" t="s">
        <v>71</v>
      </c>
    </row>
    <row r="69" spans="1:15">
      <c r="A69" s="129" t="s">
        <v>70</v>
      </c>
      <c r="B69" s="129" t="s">
        <v>332</v>
      </c>
      <c r="C69" s="130">
        <v>45378</v>
      </c>
      <c r="D69" s="129" t="s">
        <v>333</v>
      </c>
      <c r="E69" s="131">
        <v>93.287000000000006</v>
      </c>
      <c r="F69" s="129" t="s">
        <v>334</v>
      </c>
      <c r="G69" s="131">
        <v>2192.6</v>
      </c>
      <c r="H69" s="131">
        <v>204541.07620000001</v>
      </c>
      <c r="I69" s="132">
        <v>123747351.10100001</v>
      </c>
      <c r="J69" s="133" t="s">
        <v>335</v>
      </c>
      <c r="K69" s="133" t="s">
        <v>336</v>
      </c>
      <c r="L69" s="133" t="s">
        <v>337</v>
      </c>
      <c r="M69" s="133" t="s">
        <v>338</v>
      </c>
      <c r="N69" s="133" t="s">
        <v>337</v>
      </c>
      <c r="O69" s="133" t="s">
        <v>71</v>
      </c>
    </row>
    <row r="70" spans="1:15">
      <c r="A70" s="124" t="s">
        <v>70</v>
      </c>
      <c r="B70" s="124" t="s">
        <v>332</v>
      </c>
      <c r="C70" s="125">
        <v>45377</v>
      </c>
      <c r="D70" s="124" t="s">
        <v>333</v>
      </c>
      <c r="E70" s="126">
        <v>3800</v>
      </c>
      <c r="F70" s="124" t="s">
        <v>334</v>
      </c>
      <c r="G70" s="126">
        <v>2179.6999999999998</v>
      </c>
      <c r="H70" s="126">
        <v>8282859.9999999991</v>
      </c>
      <c r="I70" s="127">
        <v>4998706009.999999</v>
      </c>
      <c r="J70" s="128" t="s">
        <v>335</v>
      </c>
      <c r="K70" s="128" t="s">
        <v>336</v>
      </c>
      <c r="L70" s="128" t="s">
        <v>337</v>
      </c>
      <c r="M70" s="128" t="s">
        <v>338</v>
      </c>
      <c r="N70" s="128" t="s">
        <v>337</v>
      </c>
      <c r="O70" s="128" t="s">
        <v>71</v>
      </c>
    </row>
    <row r="71" spans="1:15">
      <c r="A71" s="129" t="s">
        <v>70</v>
      </c>
      <c r="B71" s="129" t="s">
        <v>332</v>
      </c>
      <c r="C71" s="130">
        <v>45378</v>
      </c>
      <c r="D71" s="129" t="s">
        <v>333</v>
      </c>
      <c r="E71" s="131">
        <v>189.51599999999999</v>
      </c>
      <c r="F71" s="129" t="s">
        <v>334</v>
      </c>
      <c r="G71" s="131">
        <v>2192.6</v>
      </c>
      <c r="H71" s="131">
        <v>415532.78159999999</v>
      </c>
      <c r="I71" s="132">
        <v>251397332.868</v>
      </c>
      <c r="J71" s="133" t="s">
        <v>335</v>
      </c>
      <c r="K71" s="133" t="s">
        <v>336</v>
      </c>
      <c r="L71" s="133" t="s">
        <v>337</v>
      </c>
      <c r="M71" s="133" t="s">
        <v>338</v>
      </c>
      <c r="N71" s="133" t="s">
        <v>337</v>
      </c>
      <c r="O71" s="133" t="s">
        <v>71</v>
      </c>
    </row>
    <row r="72" spans="1:15">
      <c r="A72" s="124" t="s">
        <v>70</v>
      </c>
      <c r="B72" s="124" t="s">
        <v>332</v>
      </c>
      <c r="C72" s="125">
        <v>45379</v>
      </c>
      <c r="D72" s="124" t="s">
        <v>333</v>
      </c>
      <c r="E72" s="126">
        <v>1344</v>
      </c>
      <c r="F72" s="124" t="s">
        <v>334</v>
      </c>
      <c r="G72" s="126">
        <v>2205</v>
      </c>
      <c r="H72" s="126">
        <v>2963520</v>
      </c>
      <c r="I72" s="127">
        <v>1792929600</v>
      </c>
      <c r="J72" s="128" t="s">
        <v>335</v>
      </c>
      <c r="K72" s="128" t="s">
        <v>336</v>
      </c>
      <c r="L72" s="128" t="s">
        <v>337</v>
      </c>
      <c r="M72" s="128" t="s">
        <v>338</v>
      </c>
      <c r="N72" s="128" t="s">
        <v>337</v>
      </c>
      <c r="O72" s="128" t="s">
        <v>71</v>
      </c>
    </row>
    <row r="73" spans="1:15">
      <c r="A73" s="129" t="s">
        <v>70</v>
      </c>
      <c r="B73" s="129" t="s">
        <v>332</v>
      </c>
      <c r="C73" s="130">
        <v>45357</v>
      </c>
      <c r="D73" s="129" t="s">
        <v>341</v>
      </c>
      <c r="E73" s="131">
        <v>368.30200000000002</v>
      </c>
      <c r="F73" s="129" t="s">
        <v>334</v>
      </c>
      <c r="G73" s="131">
        <v>23.795000000000002</v>
      </c>
      <c r="H73" s="131">
        <v>8763.7460900000005</v>
      </c>
      <c r="I73" s="132">
        <v>5256494.904782</v>
      </c>
      <c r="J73" s="133" t="s">
        <v>335</v>
      </c>
      <c r="K73" s="133" t="s">
        <v>336</v>
      </c>
      <c r="L73" s="133" t="s">
        <v>337</v>
      </c>
      <c r="M73" s="133" t="s">
        <v>338</v>
      </c>
      <c r="N73" s="133" t="s">
        <v>337</v>
      </c>
      <c r="O73" s="133" t="s">
        <v>71</v>
      </c>
    </row>
    <row r="74" spans="1:15">
      <c r="A74" s="124" t="s">
        <v>70</v>
      </c>
      <c r="B74" s="124" t="s">
        <v>332</v>
      </c>
      <c r="C74" s="125">
        <v>45363</v>
      </c>
      <c r="D74" s="124" t="s">
        <v>341</v>
      </c>
      <c r="E74" s="126">
        <v>358.04199999999997</v>
      </c>
      <c r="F74" s="124" t="s">
        <v>334</v>
      </c>
      <c r="G74" s="126">
        <v>24.418999999999997</v>
      </c>
      <c r="H74" s="126">
        <v>8743.0275979999988</v>
      </c>
      <c r="I74" s="127">
        <v>5245816.5587999988</v>
      </c>
      <c r="J74" s="128" t="s">
        <v>335</v>
      </c>
      <c r="K74" s="128" t="s">
        <v>336</v>
      </c>
      <c r="L74" s="128" t="s">
        <v>337</v>
      </c>
      <c r="M74" s="128" t="s">
        <v>339</v>
      </c>
      <c r="N74" s="128" t="s">
        <v>340</v>
      </c>
      <c r="O74" s="128" t="s">
        <v>71</v>
      </c>
    </row>
    <row r="75" spans="1:15">
      <c r="A75" s="129" t="s">
        <v>70</v>
      </c>
      <c r="B75" s="129" t="s">
        <v>332</v>
      </c>
      <c r="C75" s="130">
        <v>45371</v>
      </c>
      <c r="D75" s="129" t="s">
        <v>341</v>
      </c>
      <c r="E75" s="131">
        <v>310.435</v>
      </c>
      <c r="F75" s="129" t="s">
        <v>334</v>
      </c>
      <c r="G75" s="131">
        <v>24.855</v>
      </c>
      <c r="H75" s="131">
        <v>7715.8619250000002</v>
      </c>
      <c r="I75" s="132">
        <v>4629517.1550000003</v>
      </c>
      <c r="J75" s="133" t="s">
        <v>335</v>
      </c>
      <c r="K75" s="133" t="s">
        <v>336</v>
      </c>
      <c r="L75" s="133" t="s">
        <v>337</v>
      </c>
      <c r="M75" s="133" t="s">
        <v>338</v>
      </c>
      <c r="N75" s="133" t="s">
        <v>337</v>
      </c>
      <c r="O75" s="133" t="s">
        <v>71</v>
      </c>
    </row>
    <row r="76" spans="1:15">
      <c r="A76" s="124" t="s">
        <v>70</v>
      </c>
      <c r="B76" s="124" t="s">
        <v>332</v>
      </c>
      <c r="C76" s="125">
        <v>45378</v>
      </c>
      <c r="D76" s="124" t="s">
        <v>341</v>
      </c>
      <c r="E76" s="126">
        <v>311.13400000000001</v>
      </c>
      <c r="F76" s="124" t="s">
        <v>334</v>
      </c>
      <c r="G76" s="126">
        <v>24.45</v>
      </c>
      <c r="H76" s="126">
        <v>7607.2263000000003</v>
      </c>
      <c r="I76" s="127">
        <v>4602371.9115000004</v>
      </c>
      <c r="J76" s="128" t="s">
        <v>335</v>
      </c>
      <c r="K76" s="128" t="s">
        <v>336</v>
      </c>
      <c r="L76" s="128" t="s">
        <v>337</v>
      </c>
      <c r="M76" s="128" t="s">
        <v>338</v>
      </c>
      <c r="N76" s="128" t="s">
        <v>337</v>
      </c>
      <c r="O76" s="128" t="s">
        <v>71</v>
      </c>
    </row>
    <row r="77" spans="1:15">
      <c r="A77" s="129" t="s">
        <v>70</v>
      </c>
      <c r="B77" s="129" t="s">
        <v>332</v>
      </c>
      <c r="C77" s="130">
        <v>45392</v>
      </c>
      <c r="D77" s="129" t="s">
        <v>333</v>
      </c>
      <c r="E77" s="131">
        <v>134.666</v>
      </c>
      <c r="F77" s="129" t="s">
        <v>334</v>
      </c>
      <c r="G77" s="131">
        <v>2332.9</v>
      </c>
      <c r="H77" s="131">
        <v>314162.31140000001</v>
      </c>
      <c r="I77" s="132">
        <v>192267334.57679999</v>
      </c>
      <c r="J77" s="133" t="s">
        <v>335</v>
      </c>
      <c r="K77" s="133" t="s">
        <v>336</v>
      </c>
      <c r="L77" s="133" t="s">
        <v>337</v>
      </c>
      <c r="M77" s="133" t="s">
        <v>338</v>
      </c>
      <c r="N77" s="133" t="s">
        <v>337</v>
      </c>
      <c r="O77" s="133" t="s">
        <v>71</v>
      </c>
    </row>
    <row r="78" spans="1:15">
      <c r="A78" s="124" t="s">
        <v>70</v>
      </c>
      <c r="B78" s="124" t="s">
        <v>332</v>
      </c>
      <c r="C78" s="125">
        <v>45399</v>
      </c>
      <c r="D78" s="124" t="s">
        <v>333</v>
      </c>
      <c r="E78" s="126">
        <v>1533.751</v>
      </c>
      <c r="F78" s="124" t="s">
        <v>334</v>
      </c>
      <c r="G78" s="126">
        <v>2390.25</v>
      </c>
      <c r="H78" s="126">
        <v>3666048.3277500002</v>
      </c>
      <c r="I78" s="127">
        <v>2248387439.4090748</v>
      </c>
      <c r="J78" s="128" t="s">
        <v>335</v>
      </c>
      <c r="K78" s="128" t="s">
        <v>336</v>
      </c>
      <c r="L78" s="128" t="s">
        <v>337</v>
      </c>
      <c r="M78" s="128" t="s">
        <v>339</v>
      </c>
      <c r="N78" s="128" t="s">
        <v>340</v>
      </c>
      <c r="O78" s="128" t="s">
        <v>71</v>
      </c>
    </row>
    <row r="79" spans="1:15">
      <c r="A79" s="129" t="s">
        <v>70</v>
      </c>
      <c r="B79" s="129" t="s">
        <v>332</v>
      </c>
      <c r="C79" s="130">
        <v>45399</v>
      </c>
      <c r="D79" s="129" t="s">
        <v>333</v>
      </c>
      <c r="E79" s="131">
        <v>66.765000000000001</v>
      </c>
      <c r="F79" s="129" t="s">
        <v>334</v>
      </c>
      <c r="G79" s="131">
        <v>2390.25</v>
      </c>
      <c r="H79" s="131">
        <v>159585.04125000001</v>
      </c>
      <c r="I79" s="132">
        <v>97865526.546562508</v>
      </c>
      <c r="J79" s="133" t="s">
        <v>335</v>
      </c>
      <c r="K79" s="133" t="s">
        <v>336</v>
      </c>
      <c r="L79" s="133" t="s">
        <v>337</v>
      </c>
      <c r="M79" s="133" t="s">
        <v>339</v>
      </c>
      <c r="N79" s="133" t="s">
        <v>340</v>
      </c>
      <c r="O79" s="133" t="s">
        <v>71</v>
      </c>
    </row>
    <row r="80" spans="1:15">
      <c r="A80" s="124" t="s">
        <v>70</v>
      </c>
      <c r="B80" s="124" t="s">
        <v>332</v>
      </c>
      <c r="C80" s="125">
        <v>45406</v>
      </c>
      <c r="D80" s="124" t="s">
        <v>333</v>
      </c>
      <c r="E80" s="126">
        <v>2897.2350000000001</v>
      </c>
      <c r="F80" s="124" t="s">
        <v>334</v>
      </c>
      <c r="G80" s="126">
        <v>2320.15</v>
      </c>
      <c r="H80" s="126">
        <v>6722019.7852500007</v>
      </c>
      <c r="I80" s="127">
        <v>4107960731.1619806</v>
      </c>
      <c r="J80" s="128" t="s">
        <v>335</v>
      </c>
      <c r="K80" s="128" t="s">
        <v>336</v>
      </c>
      <c r="L80" s="128" t="s">
        <v>337</v>
      </c>
      <c r="M80" s="128" t="s">
        <v>339</v>
      </c>
      <c r="N80" s="128" t="s">
        <v>340</v>
      </c>
      <c r="O80" s="128" t="s">
        <v>71</v>
      </c>
    </row>
    <row r="81" spans="1:15">
      <c r="A81" s="129" t="s">
        <v>70</v>
      </c>
      <c r="B81" s="129" t="s">
        <v>332</v>
      </c>
      <c r="C81" s="130">
        <v>45406</v>
      </c>
      <c r="D81" s="129" t="s">
        <v>333</v>
      </c>
      <c r="E81" s="131">
        <v>783.33</v>
      </c>
      <c r="F81" s="129" t="s">
        <v>334</v>
      </c>
      <c r="G81" s="131">
        <v>2320.15</v>
      </c>
      <c r="H81" s="131">
        <v>1817443.0995000002</v>
      </c>
      <c r="I81" s="132">
        <v>1110675826.9664402</v>
      </c>
      <c r="J81" s="133" t="s">
        <v>335</v>
      </c>
      <c r="K81" s="133" t="s">
        <v>336</v>
      </c>
      <c r="L81" s="133" t="s">
        <v>337</v>
      </c>
      <c r="M81" s="133" t="s">
        <v>339</v>
      </c>
      <c r="N81" s="133" t="s">
        <v>340</v>
      </c>
      <c r="O81" s="133" t="s">
        <v>71</v>
      </c>
    </row>
    <row r="82" spans="1:15">
      <c r="A82" s="124" t="s">
        <v>70</v>
      </c>
      <c r="B82" s="124" t="s">
        <v>332</v>
      </c>
      <c r="C82" s="125">
        <v>45406</v>
      </c>
      <c r="D82" s="124" t="s">
        <v>333</v>
      </c>
      <c r="E82" s="126">
        <v>4100</v>
      </c>
      <c r="F82" s="124" t="s">
        <v>334</v>
      </c>
      <c r="G82" s="126">
        <v>2320.15</v>
      </c>
      <c r="H82" s="126">
        <v>9512615</v>
      </c>
      <c r="I82" s="127">
        <v>5812778521.8999996</v>
      </c>
      <c r="J82" s="128" t="s">
        <v>335</v>
      </c>
      <c r="K82" s="128" t="s">
        <v>336</v>
      </c>
      <c r="L82" s="128" t="s">
        <v>337</v>
      </c>
      <c r="M82" s="128" t="s">
        <v>339</v>
      </c>
      <c r="N82" s="128" t="s">
        <v>340</v>
      </c>
      <c r="O82" s="128" t="s">
        <v>71</v>
      </c>
    </row>
    <row r="83" spans="1:15">
      <c r="A83" s="129" t="s">
        <v>70</v>
      </c>
      <c r="B83" s="129" t="s">
        <v>332</v>
      </c>
      <c r="C83" s="130">
        <v>45411</v>
      </c>
      <c r="D83" s="129" t="s">
        <v>333</v>
      </c>
      <c r="E83" s="131">
        <v>148.059</v>
      </c>
      <c r="F83" s="129" t="s">
        <v>334</v>
      </c>
      <c r="G83" s="131">
        <v>2333.4499999999998</v>
      </c>
      <c r="H83" s="131">
        <v>345488.27354999998</v>
      </c>
      <c r="I83" s="132">
        <v>211055331.42895949</v>
      </c>
      <c r="J83" s="133" t="s">
        <v>335</v>
      </c>
      <c r="K83" s="133" t="s">
        <v>336</v>
      </c>
      <c r="L83" s="133" t="s">
        <v>337</v>
      </c>
      <c r="M83" s="133" t="s">
        <v>339</v>
      </c>
      <c r="N83" s="133" t="s">
        <v>340</v>
      </c>
      <c r="O83" s="133" t="s">
        <v>71</v>
      </c>
    </row>
    <row r="84" spans="1:15">
      <c r="A84" s="124" t="s">
        <v>70</v>
      </c>
      <c r="B84" s="124" t="s">
        <v>332</v>
      </c>
      <c r="C84" s="125">
        <v>45411</v>
      </c>
      <c r="D84" s="124" t="s">
        <v>333</v>
      </c>
      <c r="E84" s="126">
        <v>716.69299999999998</v>
      </c>
      <c r="F84" s="124" t="s">
        <v>334</v>
      </c>
      <c r="G84" s="126">
        <v>2333.4499999999998</v>
      </c>
      <c r="H84" s="126">
        <v>1672367.2808499997</v>
      </c>
      <c r="I84" s="127">
        <v>1013354230.1582489</v>
      </c>
      <c r="J84" s="128" t="s">
        <v>335</v>
      </c>
      <c r="K84" s="128" t="s">
        <v>336</v>
      </c>
      <c r="L84" s="128" t="s">
        <v>337</v>
      </c>
      <c r="M84" s="128" t="s">
        <v>339</v>
      </c>
      <c r="N84" s="128" t="s">
        <v>340</v>
      </c>
      <c r="O84" s="128" t="s">
        <v>71</v>
      </c>
    </row>
    <row r="85" spans="1:15">
      <c r="A85" s="129" t="s">
        <v>70</v>
      </c>
      <c r="B85" s="129" t="s">
        <v>332</v>
      </c>
      <c r="C85" s="130">
        <v>45391</v>
      </c>
      <c r="D85" s="129" t="s">
        <v>341</v>
      </c>
      <c r="E85" s="131">
        <v>337.18299999999999</v>
      </c>
      <c r="F85" s="129" t="s">
        <v>334</v>
      </c>
      <c r="G85" s="131">
        <v>27.95</v>
      </c>
      <c r="H85" s="131">
        <v>9424.2648499999996</v>
      </c>
      <c r="I85" s="132">
        <v>5767650.0882000001</v>
      </c>
      <c r="J85" s="133" t="s">
        <v>335</v>
      </c>
      <c r="K85" s="133" t="s">
        <v>336</v>
      </c>
      <c r="L85" s="133" t="s">
        <v>337</v>
      </c>
      <c r="M85" s="133" t="s">
        <v>338</v>
      </c>
      <c r="N85" s="133" t="s">
        <v>337</v>
      </c>
      <c r="O85" s="133" t="s">
        <v>71</v>
      </c>
    </row>
    <row r="86" spans="1:15">
      <c r="A86" s="124" t="s">
        <v>70</v>
      </c>
      <c r="B86" s="124" t="s">
        <v>332</v>
      </c>
      <c r="C86" s="125">
        <v>45391</v>
      </c>
      <c r="D86" s="124" t="s">
        <v>341</v>
      </c>
      <c r="E86" s="126">
        <v>117.752</v>
      </c>
      <c r="F86" s="124" t="s">
        <v>334</v>
      </c>
      <c r="G86" s="126">
        <v>27.949999999999996</v>
      </c>
      <c r="H86" s="126">
        <v>3291.1683999999996</v>
      </c>
      <c r="I86" s="127">
        <v>2014195.0607999996</v>
      </c>
      <c r="J86" s="128" t="s">
        <v>335</v>
      </c>
      <c r="K86" s="128" t="s">
        <v>336</v>
      </c>
      <c r="L86" s="128" t="s">
        <v>337</v>
      </c>
      <c r="M86" s="128" t="s">
        <v>338</v>
      </c>
      <c r="N86" s="128" t="s">
        <v>337</v>
      </c>
      <c r="O86" s="128" t="s">
        <v>71</v>
      </c>
    </row>
    <row r="87" spans="1:15">
      <c r="A87" s="129" t="s">
        <v>70</v>
      </c>
      <c r="B87" s="129" t="s">
        <v>332</v>
      </c>
      <c r="C87" s="130">
        <v>45398</v>
      </c>
      <c r="D87" s="129" t="s">
        <v>341</v>
      </c>
      <c r="E87" s="131">
        <v>165.249</v>
      </c>
      <c r="F87" s="129" t="s">
        <v>334</v>
      </c>
      <c r="G87" s="131">
        <v>28.367999999999999</v>
      </c>
      <c r="H87" s="131">
        <v>4687.7836319999997</v>
      </c>
      <c r="I87" s="132">
        <v>2875017.7015055995</v>
      </c>
      <c r="J87" s="133" t="s">
        <v>335</v>
      </c>
      <c r="K87" s="133" t="s">
        <v>336</v>
      </c>
      <c r="L87" s="133" t="s">
        <v>337</v>
      </c>
      <c r="M87" s="133" t="s">
        <v>339</v>
      </c>
      <c r="N87" s="133" t="s">
        <v>340</v>
      </c>
      <c r="O87" s="133" t="s">
        <v>71</v>
      </c>
    </row>
    <row r="88" spans="1:15">
      <c r="A88" s="124" t="s">
        <v>70</v>
      </c>
      <c r="B88" s="124" t="s">
        <v>332</v>
      </c>
      <c r="C88" s="125">
        <v>45407</v>
      </c>
      <c r="D88" s="124" t="s">
        <v>341</v>
      </c>
      <c r="E88" s="126">
        <v>327.07499999999999</v>
      </c>
      <c r="F88" s="124" t="s">
        <v>334</v>
      </c>
      <c r="G88" s="126">
        <v>27.29</v>
      </c>
      <c r="H88" s="126">
        <v>8925.8767499999994</v>
      </c>
      <c r="I88" s="127">
        <v>5454781.7994599994</v>
      </c>
      <c r="J88" s="128" t="s">
        <v>335</v>
      </c>
      <c r="K88" s="128" t="s">
        <v>336</v>
      </c>
      <c r="L88" s="128" t="s">
        <v>337</v>
      </c>
      <c r="M88" s="128" t="s">
        <v>339</v>
      </c>
      <c r="N88" s="128" t="s">
        <v>340</v>
      </c>
      <c r="O88" s="128" t="s">
        <v>71</v>
      </c>
    </row>
    <row r="89" spans="1:15">
      <c r="A89" s="129" t="s">
        <v>70</v>
      </c>
      <c r="B89" s="129" t="s">
        <v>332</v>
      </c>
      <c r="C89" s="130">
        <v>45411</v>
      </c>
      <c r="D89" s="129" t="s">
        <v>341</v>
      </c>
      <c r="E89" s="131">
        <v>423.27800000000002</v>
      </c>
      <c r="F89" s="129" t="s">
        <v>334</v>
      </c>
      <c r="G89" s="131">
        <v>27.190999999999999</v>
      </c>
      <c r="H89" s="131">
        <v>11509.352097999999</v>
      </c>
      <c r="I89" s="132">
        <v>7030948.1031472199</v>
      </c>
      <c r="J89" s="133" t="s">
        <v>335</v>
      </c>
      <c r="K89" s="133" t="s">
        <v>336</v>
      </c>
      <c r="L89" s="133" t="s">
        <v>337</v>
      </c>
      <c r="M89" s="133" t="s">
        <v>339</v>
      </c>
      <c r="N89" s="133" t="s">
        <v>340</v>
      </c>
      <c r="O89" s="133" t="s">
        <v>71</v>
      </c>
    </row>
    <row r="90" spans="1:15">
      <c r="A90" s="124" t="s">
        <v>70</v>
      </c>
      <c r="B90" s="124" t="s">
        <v>332</v>
      </c>
      <c r="C90" s="125">
        <v>45420</v>
      </c>
      <c r="D90" s="124" t="s">
        <v>333</v>
      </c>
      <c r="E90" s="126">
        <v>2428.2559999999999</v>
      </c>
      <c r="F90" s="124" t="s">
        <v>334</v>
      </c>
      <c r="G90" s="126">
        <v>2308.9499999999998</v>
      </c>
      <c r="H90" s="126">
        <v>5606721.6911999993</v>
      </c>
      <c r="I90" s="127">
        <v>3401766251.7017756</v>
      </c>
      <c r="J90" s="128" t="s">
        <v>335</v>
      </c>
      <c r="K90" s="128" t="s">
        <v>336</v>
      </c>
      <c r="L90" s="128" t="s">
        <v>337</v>
      </c>
      <c r="M90" s="128" t="s">
        <v>339</v>
      </c>
      <c r="N90" s="128" t="s">
        <v>340</v>
      </c>
      <c r="O90" s="128" t="s">
        <v>71</v>
      </c>
    </row>
    <row r="91" spans="1:15">
      <c r="A91" s="129" t="s">
        <v>70</v>
      </c>
      <c r="B91" s="129" t="s">
        <v>332</v>
      </c>
      <c r="C91" s="130">
        <v>45420</v>
      </c>
      <c r="D91" s="129" t="s">
        <v>333</v>
      </c>
      <c r="E91" s="131">
        <v>2268.9389999999999</v>
      </c>
      <c r="F91" s="129" t="s">
        <v>334</v>
      </c>
      <c r="G91" s="131">
        <v>2308.9499999999998</v>
      </c>
      <c r="H91" s="131">
        <v>5238866.7040499989</v>
      </c>
      <c r="I91" s="132">
        <v>3163803991.2428346</v>
      </c>
      <c r="J91" s="133" t="s">
        <v>335</v>
      </c>
      <c r="K91" s="133" t="s">
        <v>336</v>
      </c>
      <c r="L91" s="133" t="s">
        <v>337</v>
      </c>
      <c r="M91" s="133" t="s">
        <v>339</v>
      </c>
      <c r="N91" s="133" t="s">
        <v>340</v>
      </c>
      <c r="O91" s="133" t="s">
        <v>71</v>
      </c>
    </row>
    <row r="92" spans="1:15">
      <c r="A92" s="124" t="s">
        <v>70</v>
      </c>
      <c r="B92" s="124" t="s">
        <v>332</v>
      </c>
      <c r="C92" s="125">
        <v>45427</v>
      </c>
      <c r="D92" s="124" t="s">
        <v>333</v>
      </c>
      <c r="E92" s="126">
        <v>1401.855</v>
      </c>
      <c r="F92" s="124" t="s">
        <v>334</v>
      </c>
      <c r="G92" s="126">
        <v>2357.4</v>
      </c>
      <c r="H92" s="126">
        <v>3304732.977</v>
      </c>
      <c r="I92" s="127">
        <v>1987301175.71895</v>
      </c>
      <c r="J92" s="128" t="s">
        <v>335</v>
      </c>
      <c r="K92" s="128" t="s">
        <v>336</v>
      </c>
      <c r="L92" s="128" t="s">
        <v>337</v>
      </c>
      <c r="M92" s="128" t="s">
        <v>339</v>
      </c>
      <c r="N92" s="128" t="s">
        <v>340</v>
      </c>
      <c r="O92" s="128" t="s">
        <v>71</v>
      </c>
    </row>
    <row r="93" spans="1:15">
      <c r="A93" s="129" t="s">
        <v>70</v>
      </c>
      <c r="B93" s="129" t="s">
        <v>332</v>
      </c>
      <c r="C93" s="130">
        <v>45434</v>
      </c>
      <c r="D93" s="129" t="s">
        <v>333</v>
      </c>
      <c r="E93" s="131">
        <v>2416.67</v>
      </c>
      <c r="F93" s="129" t="s">
        <v>334</v>
      </c>
      <c r="G93" s="131">
        <v>2407.8000000000002</v>
      </c>
      <c r="H93" s="131">
        <v>5818858.0260000005</v>
      </c>
      <c r="I93" s="132">
        <v>3505338263.4426603</v>
      </c>
      <c r="J93" s="133" t="s">
        <v>335</v>
      </c>
      <c r="K93" s="133" t="s">
        <v>336</v>
      </c>
      <c r="L93" s="133" t="s">
        <v>337</v>
      </c>
      <c r="M93" s="133" t="s">
        <v>339</v>
      </c>
      <c r="N93" s="133" t="s">
        <v>340</v>
      </c>
      <c r="O93" s="133" t="s">
        <v>71</v>
      </c>
    </row>
    <row r="94" spans="1:15">
      <c r="A94" s="124" t="s">
        <v>70</v>
      </c>
      <c r="B94" s="124" t="s">
        <v>332</v>
      </c>
      <c r="C94" s="125">
        <v>45434</v>
      </c>
      <c r="D94" s="124" t="s">
        <v>333</v>
      </c>
      <c r="E94" s="126">
        <v>783.33</v>
      </c>
      <c r="F94" s="124" t="s">
        <v>334</v>
      </c>
      <c r="G94" s="126">
        <v>2407.8000000000002</v>
      </c>
      <c r="H94" s="126">
        <v>1886101.9740000002</v>
      </c>
      <c r="I94" s="127">
        <v>1136206690.15734</v>
      </c>
      <c r="J94" s="128" t="s">
        <v>335</v>
      </c>
      <c r="K94" s="128" t="s">
        <v>336</v>
      </c>
      <c r="L94" s="128" t="s">
        <v>337</v>
      </c>
      <c r="M94" s="128" t="s">
        <v>339</v>
      </c>
      <c r="N94" s="128" t="s">
        <v>340</v>
      </c>
      <c r="O94" s="128" t="s">
        <v>71</v>
      </c>
    </row>
    <row r="95" spans="1:15">
      <c r="A95" s="129" t="s">
        <v>70</v>
      </c>
      <c r="B95" s="129" t="s">
        <v>332</v>
      </c>
      <c r="C95" s="130">
        <v>45441</v>
      </c>
      <c r="D95" s="129" t="s">
        <v>333</v>
      </c>
      <c r="E95" s="131">
        <v>310.23200000000003</v>
      </c>
      <c r="F95" s="129" t="s">
        <v>334</v>
      </c>
      <c r="G95" s="131">
        <v>2343.25</v>
      </c>
      <c r="H95" s="131">
        <v>726951.13400000008</v>
      </c>
      <c r="I95" s="132">
        <v>438038944.81438011</v>
      </c>
      <c r="J95" s="133" t="s">
        <v>335</v>
      </c>
      <c r="K95" s="133" t="s">
        <v>336</v>
      </c>
      <c r="L95" s="133" t="s">
        <v>337</v>
      </c>
      <c r="M95" s="133" t="s">
        <v>339</v>
      </c>
      <c r="N95" s="133" t="s">
        <v>340</v>
      </c>
      <c r="O95" s="133" t="s">
        <v>71</v>
      </c>
    </row>
    <row r="96" spans="1:15">
      <c r="A96" s="124" t="s">
        <v>70</v>
      </c>
      <c r="B96" s="124" t="s">
        <v>332</v>
      </c>
      <c r="C96" s="125">
        <v>45441</v>
      </c>
      <c r="D96" s="124" t="s">
        <v>333</v>
      </c>
      <c r="E96" s="126">
        <v>3424.752</v>
      </c>
      <c r="F96" s="124" t="s">
        <v>334</v>
      </c>
      <c r="G96" s="126">
        <v>2343.25</v>
      </c>
      <c r="H96" s="126">
        <v>8025050.1239999998</v>
      </c>
      <c r="I96" s="127">
        <v>4834691447.2038002</v>
      </c>
      <c r="J96" s="128" t="s">
        <v>335</v>
      </c>
      <c r="K96" s="128" t="s">
        <v>336</v>
      </c>
      <c r="L96" s="128" t="s">
        <v>337</v>
      </c>
      <c r="M96" s="128" t="s">
        <v>339</v>
      </c>
      <c r="N96" s="128" t="s">
        <v>340</v>
      </c>
      <c r="O96" s="128" t="s">
        <v>71</v>
      </c>
    </row>
    <row r="97" spans="1:15">
      <c r="A97" s="129" t="s">
        <v>70</v>
      </c>
      <c r="B97" s="129" t="s">
        <v>332</v>
      </c>
      <c r="C97" s="130">
        <v>45427</v>
      </c>
      <c r="D97" s="129" t="s">
        <v>333</v>
      </c>
      <c r="E97" s="131">
        <v>4400</v>
      </c>
      <c r="F97" s="129" t="s">
        <v>334</v>
      </c>
      <c r="G97" s="131">
        <v>2357.4</v>
      </c>
      <c r="H97" s="131">
        <v>10372560</v>
      </c>
      <c r="I97" s="132">
        <v>6237538956</v>
      </c>
      <c r="J97" s="133" t="s">
        <v>335</v>
      </c>
      <c r="K97" s="133" t="s">
        <v>336</v>
      </c>
      <c r="L97" s="133" t="s">
        <v>337</v>
      </c>
      <c r="M97" s="133" t="s">
        <v>338</v>
      </c>
      <c r="N97" s="133" t="s">
        <v>337</v>
      </c>
      <c r="O97" s="133" t="s">
        <v>71</v>
      </c>
    </row>
    <row r="98" spans="1:15">
      <c r="A98" s="124" t="s">
        <v>70</v>
      </c>
      <c r="B98" s="124" t="s">
        <v>332</v>
      </c>
      <c r="C98" s="125">
        <v>45434</v>
      </c>
      <c r="D98" s="124" t="s">
        <v>333</v>
      </c>
      <c r="E98" s="126">
        <v>140.29300000000001</v>
      </c>
      <c r="F98" s="124" t="s">
        <v>334</v>
      </c>
      <c r="G98" s="126">
        <v>2407.8000000000002</v>
      </c>
      <c r="H98" s="126">
        <v>337797.48540000006</v>
      </c>
      <c r="I98" s="127">
        <v>203245991.01547202</v>
      </c>
      <c r="J98" s="128" t="s">
        <v>335</v>
      </c>
      <c r="K98" s="128" t="s">
        <v>336</v>
      </c>
      <c r="L98" s="128" t="s">
        <v>337</v>
      </c>
      <c r="M98" s="128" t="s">
        <v>338</v>
      </c>
      <c r="N98" s="128" t="s">
        <v>337</v>
      </c>
      <c r="O98" s="128" t="s">
        <v>71</v>
      </c>
    </row>
    <row r="99" spans="1:15">
      <c r="A99" s="129" t="s">
        <v>70</v>
      </c>
      <c r="B99" s="129" t="s">
        <v>332</v>
      </c>
      <c r="C99" s="130">
        <v>45441</v>
      </c>
      <c r="D99" s="129" t="s">
        <v>333</v>
      </c>
      <c r="E99" s="131">
        <v>3800</v>
      </c>
      <c r="F99" s="129" t="s">
        <v>334</v>
      </c>
      <c r="G99" s="131">
        <v>2343.25</v>
      </c>
      <c r="H99" s="131">
        <v>8904350</v>
      </c>
      <c r="I99" s="132">
        <v>5369323050</v>
      </c>
      <c r="J99" s="133" t="s">
        <v>335</v>
      </c>
      <c r="K99" s="133" t="s">
        <v>336</v>
      </c>
      <c r="L99" s="133" t="s">
        <v>337</v>
      </c>
      <c r="M99" s="133" t="s">
        <v>338</v>
      </c>
      <c r="N99" s="133" t="s">
        <v>337</v>
      </c>
      <c r="O99" s="133" t="s">
        <v>71</v>
      </c>
    </row>
    <row r="100" spans="1:15">
      <c r="A100" s="124" t="s">
        <v>70</v>
      </c>
      <c r="B100" s="124" t="s">
        <v>332</v>
      </c>
      <c r="C100" s="125">
        <v>45418</v>
      </c>
      <c r="D100" s="124" t="s">
        <v>341</v>
      </c>
      <c r="E100" s="126">
        <v>299.46600000000001</v>
      </c>
      <c r="F100" s="124" t="s">
        <v>334</v>
      </c>
      <c r="G100" s="126">
        <v>27.085999999999999</v>
      </c>
      <c r="H100" s="126">
        <v>8111.3360759999996</v>
      </c>
      <c r="I100" s="127">
        <v>4921390.9373914795</v>
      </c>
      <c r="J100" s="128" t="s">
        <v>335</v>
      </c>
      <c r="K100" s="128" t="s">
        <v>336</v>
      </c>
      <c r="L100" s="128" t="s">
        <v>337</v>
      </c>
      <c r="M100" s="128" t="s">
        <v>339</v>
      </c>
      <c r="N100" s="128" t="s">
        <v>340</v>
      </c>
      <c r="O100" s="128" t="s">
        <v>71</v>
      </c>
    </row>
    <row r="101" spans="1:15">
      <c r="A101" s="129" t="s">
        <v>70</v>
      </c>
      <c r="B101" s="129" t="s">
        <v>332</v>
      </c>
      <c r="C101" s="130">
        <v>45425</v>
      </c>
      <c r="D101" s="129" t="s">
        <v>341</v>
      </c>
      <c r="E101" s="131">
        <v>383.83</v>
      </c>
      <c r="F101" s="129" t="s">
        <v>334</v>
      </c>
      <c r="G101" s="131">
        <v>28.350999999999999</v>
      </c>
      <c r="H101" s="131">
        <v>10881.964329999999</v>
      </c>
      <c r="I101" s="132">
        <v>6571727.0785302985</v>
      </c>
      <c r="J101" s="133" t="s">
        <v>335</v>
      </c>
      <c r="K101" s="133" t="s">
        <v>336</v>
      </c>
      <c r="L101" s="133" t="s">
        <v>337</v>
      </c>
      <c r="M101" s="133" t="s">
        <v>339</v>
      </c>
      <c r="N101" s="133" t="s">
        <v>340</v>
      </c>
      <c r="O101" s="133" t="s">
        <v>71</v>
      </c>
    </row>
    <row r="102" spans="1:15">
      <c r="A102" s="124" t="s">
        <v>70</v>
      </c>
      <c r="B102" s="124" t="s">
        <v>332</v>
      </c>
      <c r="C102" s="125">
        <v>45434</v>
      </c>
      <c r="D102" s="124" t="s">
        <v>341</v>
      </c>
      <c r="E102" s="126">
        <v>395.80399999999997</v>
      </c>
      <c r="F102" s="124" t="s">
        <v>334</v>
      </c>
      <c r="G102" s="126">
        <v>31.815000000000001</v>
      </c>
      <c r="H102" s="126">
        <v>12592.50426</v>
      </c>
      <c r="I102" s="127">
        <v>7576657.9631567989</v>
      </c>
      <c r="J102" s="128" t="s">
        <v>335</v>
      </c>
      <c r="K102" s="128" t="s">
        <v>336</v>
      </c>
      <c r="L102" s="128" t="s">
        <v>337</v>
      </c>
      <c r="M102" s="128" t="s">
        <v>339</v>
      </c>
      <c r="N102" s="128" t="s">
        <v>340</v>
      </c>
      <c r="O102" s="128" t="s">
        <v>71</v>
      </c>
    </row>
    <row r="103" spans="1:15">
      <c r="A103" s="129" t="s">
        <v>70</v>
      </c>
      <c r="B103" s="129" t="s">
        <v>332</v>
      </c>
      <c r="C103" s="130">
        <v>45441</v>
      </c>
      <c r="D103" s="129" t="s">
        <v>341</v>
      </c>
      <c r="E103" s="131">
        <v>369.30799999999999</v>
      </c>
      <c r="F103" s="129" t="s">
        <v>334</v>
      </c>
      <c r="G103" s="131">
        <v>32.021999999999998</v>
      </c>
      <c r="H103" s="131">
        <v>11825.980775999999</v>
      </c>
      <c r="I103" s="132">
        <v>7125981.23619432</v>
      </c>
      <c r="J103" s="133" t="s">
        <v>335</v>
      </c>
      <c r="K103" s="133" t="s">
        <v>336</v>
      </c>
      <c r="L103" s="133" t="s">
        <v>337</v>
      </c>
      <c r="M103" s="133" t="s">
        <v>339</v>
      </c>
      <c r="N103" s="133" t="s">
        <v>340</v>
      </c>
      <c r="O103" s="133" t="s">
        <v>71</v>
      </c>
    </row>
    <row r="104" spans="1:15">
      <c r="A104" s="124" t="s">
        <v>70</v>
      </c>
      <c r="B104" s="124" t="s">
        <v>332</v>
      </c>
      <c r="C104" s="125">
        <v>45442</v>
      </c>
      <c r="D104" s="124" t="s">
        <v>341</v>
      </c>
      <c r="E104" s="126">
        <v>358.61599999999999</v>
      </c>
      <c r="F104" s="124" t="s">
        <v>334</v>
      </c>
      <c r="G104" s="126">
        <v>31.507000000000005</v>
      </c>
      <c r="H104" s="126">
        <v>11298.914312000001</v>
      </c>
      <c r="I104" s="127">
        <v>6807030.9272644008</v>
      </c>
      <c r="J104" s="128" t="s">
        <v>335</v>
      </c>
      <c r="K104" s="128" t="s">
        <v>336</v>
      </c>
      <c r="L104" s="128" t="s">
        <v>337</v>
      </c>
      <c r="M104" s="128" t="s">
        <v>339</v>
      </c>
      <c r="N104" s="128" t="s">
        <v>340</v>
      </c>
      <c r="O104" s="128" t="s">
        <v>71</v>
      </c>
    </row>
    <row r="105" spans="1:15">
      <c r="A105" s="129" t="s">
        <v>70</v>
      </c>
      <c r="B105" s="129" t="s">
        <v>332</v>
      </c>
      <c r="C105" s="130">
        <v>45455</v>
      </c>
      <c r="D105" s="129" t="s">
        <v>333</v>
      </c>
      <c r="E105" s="131">
        <v>138.93799999999999</v>
      </c>
      <c r="F105" s="129" t="s">
        <v>334</v>
      </c>
      <c r="G105" s="131">
        <v>2326.15</v>
      </c>
      <c r="H105" s="131">
        <v>323190.6287</v>
      </c>
      <c r="I105" s="132">
        <v>197437155.07282999</v>
      </c>
      <c r="J105" s="133" t="s">
        <v>335</v>
      </c>
      <c r="K105" s="133" t="s">
        <v>336</v>
      </c>
      <c r="L105" s="133" t="s">
        <v>337</v>
      </c>
      <c r="M105" s="133" t="s">
        <v>338</v>
      </c>
      <c r="N105" s="133" t="s">
        <v>337</v>
      </c>
      <c r="O105" s="133" t="s">
        <v>71</v>
      </c>
    </row>
    <row r="106" spans="1:15">
      <c r="A106" s="124" t="s">
        <v>70</v>
      </c>
      <c r="B106" s="124" t="s">
        <v>332</v>
      </c>
      <c r="C106" s="125">
        <v>45455</v>
      </c>
      <c r="D106" s="124" t="s">
        <v>333</v>
      </c>
      <c r="E106" s="126">
        <v>783.33</v>
      </c>
      <c r="F106" s="124" t="s">
        <v>334</v>
      </c>
      <c r="G106" s="126">
        <v>2326.15</v>
      </c>
      <c r="H106" s="126">
        <v>1822143.0795000002</v>
      </c>
      <c r="I106" s="127">
        <v>1113147207.2665501</v>
      </c>
      <c r="J106" s="128" t="s">
        <v>335</v>
      </c>
      <c r="K106" s="128" t="s">
        <v>336</v>
      </c>
      <c r="L106" s="128" t="s">
        <v>337</v>
      </c>
      <c r="M106" s="128" t="s">
        <v>339</v>
      </c>
      <c r="N106" s="128" t="s">
        <v>340</v>
      </c>
      <c r="O106" s="128" t="s">
        <v>71</v>
      </c>
    </row>
    <row r="107" spans="1:15">
      <c r="A107" s="129" t="s">
        <v>70</v>
      </c>
      <c r="B107" s="129" t="s">
        <v>332</v>
      </c>
      <c r="C107" s="130">
        <v>45455</v>
      </c>
      <c r="D107" s="129" t="s">
        <v>333</v>
      </c>
      <c r="E107" s="131">
        <v>2716.67</v>
      </c>
      <c r="F107" s="129" t="s">
        <v>334</v>
      </c>
      <c r="G107" s="131">
        <v>2326.15</v>
      </c>
      <c r="H107" s="131">
        <v>6319381.9205</v>
      </c>
      <c r="I107" s="132">
        <v>3860510415.2334499</v>
      </c>
      <c r="J107" s="133" t="s">
        <v>335</v>
      </c>
      <c r="K107" s="133" t="s">
        <v>336</v>
      </c>
      <c r="L107" s="133" t="s">
        <v>337</v>
      </c>
      <c r="M107" s="133" t="s">
        <v>339</v>
      </c>
      <c r="N107" s="133" t="s">
        <v>340</v>
      </c>
      <c r="O107" s="133" t="s">
        <v>71</v>
      </c>
    </row>
    <row r="108" spans="1:15">
      <c r="A108" s="124" t="s">
        <v>70</v>
      </c>
      <c r="B108" s="124" t="s">
        <v>332</v>
      </c>
      <c r="C108" s="125">
        <v>45462</v>
      </c>
      <c r="D108" s="124" t="s">
        <v>333</v>
      </c>
      <c r="E108" s="126">
        <v>330.05200000000002</v>
      </c>
      <c r="F108" s="124" t="s">
        <v>334</v>
      </c>
      <c r="G108" s="126">
        <v>2324.15</v>
      </c>
      <c r="H108" s="126">
        <v>767090.35580000014</v>
      </c>
      <c r="I108" s="127">
        <v>468692207.39380008</v>
      </c>
      <c r="J108" s="128" t="s">
        <v>335</v>
      </c>
      <c r="K108" s="128" t="s">
        <v>336</v>
      </c>
      <c r="L108" s="128" t="s">
        <v>337</v>
      </c>
      <c r="M108" s="128" t="s">
        <v>339</v>
      </c>
      <c r="N108" s="128" t="s">
        <v>340</v>
      </c>
      <c r="O108" s="128" t="s">
        <v>71</v>
      </c>
    </row>
    <row r="109" spans="1:15">
      <c r="A109" s="129" t="s">
        <v>70</v>
      </c>
      <c r="B109" s="129" t="s">
        <v>332</v>
      </c>
      <c r="C109" s="130">
        <v>45462</v>
      </c>
      <c r="D109" s="129" t="s">
        <v>333</v>
      </c>
      <c r="E109" s="131">
        <v>752.77300000000002</v>
      </c>
      <c r="F109" s="129" t="s">
        <v>334</v>
      </c>
      <c r="G109" s="131">
        <v>2324.15</v>
      </c>
      <c r="H109" s="131">
        <v>1749557.3679500001</v>
      </c>
      <c r="I109" s="132">
        <v>1068979551.81745</v>
      </c>
      <c r="J109" s="133" t="s">
        <v>335</v>
      </c>
      <c r="K109" s="133" t="s">
        <v>336</v>
      </c>
      <c r="L109" s="133" t="s">
        <v>337</v>
      </c>
      <c r="M109" s="133" t="s">
        <v>338</v>
      </c>
      <c r="N109" s="133" t="s">
        <v>337</v>
      </c>
      <c r="O109" s="133" t="s">
        <v>71</v>
      </c>
    </row>
    <row r="110" spans="1:15">
      <c r="A110" s="124" t="s">
        <v>70</v>
      </c>
      <c r="B110" s="124" t="s">
        <v>332</v>
      </c>
      <c r="C110" s="125">
        <v>45464</v>
      </c>
      <c r="D110" s="124" t="s">
        <v>333</v>
      </c>
      <c r="E110" s="126">
        <v>127.18300000000001</v>
      </c>
      <c r="F110" s="124" t="s">
        <v>334</v>
      </c>
      <c r="G110" s="126">
        <v>2351.5</v>
      </c>
      <c r="H110" s="126">
        <v>299070.82449999999</v>
      </c>
      <c r="I110" s="127">
        <v>182283667.53274998</v>
      </c>
      <c r="J110" s="128" t="s">
        <v>335</v>
      </c>
      <c r="K110" s="128" t="s">
        <v>336</v>
      </c>
      <c r="L110" s="128" t="s">
        <v>337</v>
      </c>
      <c r="M110" s="128" t="s">
        <v>338</v>
      </c>
      <c r="N110" s="128" t="s">
        <v>337</v>
      </c>
      <c r="O110" s="128" t="s">
        <v>71</v>
      </c>
    </row>
    <row r="111" spans="1:15">
      <c r="A111" s="129" t="s">
        <v>70</v>
      </c>
      <c r="B111" s="129" t="s">
        <v>332</v>
      </c>
      <c r="C111" s="130">
        <v>45464</v>
      </c>
      <c r="D111" s="129" t="s">
        <v>333</v>
      </c>
      <c r="E111" s="131">
        <v>3495.5189999999998</v>
      </c>
      <c r="F111" s="129" t="s">
        <v>334</v>
      </c>
      <c r="G111" s="131">
        <v>2351.5</v>
      </c>
      <c r="H111" s="131">
        <v>8219712.9284999995</v>
      </c>
      <c r="I111" s="132">
        <v>5003503653.8365202</v>
      </c>
      <c r="J111" s="133" t="s">
        <v>335</v>
      </c>
      <c r="K111" s="133" t="s">
        <v>336</v>
      </c>
      <c r="L111" s="133" t="s">
        <v>337</v>
      </c>
      <c r="M111" s="133" t="s">
        <v>338</v>
      </c>
      <c r="N111" s="133" t="s">
        <v>337</v>
      </c>
      <c r="O111" s="133" t="s">
        <v>71</v>
      </c>
    </row>
    <row r="112" spans="1:15">
      <c r="A112" s="124" t="s">
        <v>70</v>
      </c>
      <c r="B112" s="124" t="s">
        <v>332</v>
      </c>
      <c r="C112" s="125">
        <v>45470</v>
      </c>
      <c r="D112" s="124" t="s">
        <v>333</v>
      </c>
      <c r="E112" s="126">
        <v>28.725999999999999</v>
      </c>
      <c r="F112" s="124" t="s">
        <v>334</v>
      </c>
      <c r="G112" s="126">
        <v>2323.5000000000005</v>
      </c>
      <c r="H112" s="126">
        <v>66744.861000000004</v>
      </c>
      <c r="I112" s="127">
        <v>40701683.686410002</v>
      </c>
      <c r="J112" s="128" t="s">
        <v>335</v>
      </c>
      <c r="K112" s="128" t="s">
        <v>336</v>
      </c>
      <c r="L112" s="128" t="s">
        <v>337</v>
      </c>
      <c r="M112" s="128" t="s">
        <v>338</v>
      </c>
      <c r="N112" s="128" t="s">
        <v>337</v>
      </c>
      <c r="O112" s="128" t="s">
        <v>71</v>
      </c>
    </row>
    <row r="113" spans="1:15">
      <c r="A113" s="129" t="s">
        <v>70</v>
      </c>
      <c r="B113" s="129" t="s">
        <v>332</v>
      </c>
      <c r="C113" s="130">
        <v>45469</v>
      </c>
      <c r="D113" s="129" t="s">
        <v>333</v>
      </c>
      <c r="E113" s="131">
        <v>3254.7950000000001</v>
      </c>
      <c r="F113" s="129" t="s">
        <v>334</v>
      </c>
      <c r="G113" s="131">
        <v>2299.5500000000002</v>
      </c>
      <c r="H113" s="131">
        <v>7484563.8422500007</v>
      </c>
      <c r="I113" s="132">
        <v>4572993661.9763279</v>
      </c>
      <c r="J113" s="133" t="s">
        <v>335</v>
      </c>
      <c r="K113" s="133" t="s">
        <v>336</v>
      </c>
      <c r="L113" s="133" t="s">
        <v>337</v>
      </c>
      <c r="M113" s="133" t="s">
        <v>338</v>
      </c>
      <c r="N113" s="133" t="s">
        <v>337</v>
      </c>
      <c r="O113" s="133" t="s">
        <v>71</v>
      </c>
    </row>
    <row r="114" spans="1:15">
      <c r="A114" s="124" t="s">
        <v>70</v>
      </c>
      <c r="B114" s="124" t="s">
        <v>332</v>
      </c>
      <c r="C114" s="125">
        <v>45469</v>
      </c>
      <c r="D114" s="124" t="s">
        <v>333</v>
      </c>
      <c r="E114" s="126">
        <v>905.61099999999999</v>
      </c>
      <c r="F114" s="124" t="s">
        <v>334</v>
      </c>
      <c r="G114" s="126">
        <v>2299.5500000000002</v>
      </c>
      <c r="H114" s="126">
        <v>2082497.7750500001</v>
      </c>
      <c r="I114" s="127">
        <v>1264929973.5431204</v>
      </c>
      <c r="J114" s="128" t="s">
        <v>335</v>
      </c>
      <c r="K114" s="128" t="s">
        <v>336</v>
      </c>
      <c r="L114" s="128" t="s">
        <v>337</v>
      </c>
      <c r="M114" s="128" t="s">
        <v>338</v>
      </c>
      <c r="N114" s="128" t="s">
        <v>337</v>
      </c>
      <c r="O114" s="128" t="s">
        <v>71</v>
      </c>
    </row>
    <row r="115" spans="1:15">
      <c r="A115" s="129" t="s">
        <v>70</v>
      </c>
      <c r="B115" s="129" t="s">
        <v>332</v>
      </c>
      <c r="C115" s="130">
        <v>45470</v>
      </c>
      <c r="D115" s="129" t="s">
        <v>333</v>
      </c>
      <c r="E115" s="131">
        <v>549.38900000000001</v>
      </c>
      <c r="F115" s="129" t="s">
        <v>334</v>
      </c>
      <c r="G115" s="131">
        <v>2323.5</v>
      </c>
      <c r="H115" s="131">
        <v>1276505.3415000001</v>
      </c>
      <c r="I115" s="132">
        <v>775362109.480515</v>
      </c>
      <c r="J115" s="133" t="s">
        <v>335</v>
      </c>
      <c r="K115" s="133" t="s">
        <v>336</v>
      </c>
      <c r="L115" s="133" t="s">
        <v>337</v>
      </c>
      <c r="M115" s="133" t="s">
        <v>338</v>
      </c>
      <c r="N115" s="133" t="s">
        <v>337</v>
      </c>
      <c r="O115" s="133" t="s">
        <v>71</v>
      </c>
    </row>
    <row r="116" spans="1:15">
      <c r="A116" s="124" t="s">
        <v>70</v>
      </c>
      <c r="B116" s="124" t="s">
        <v>332</v>
      </c>
      <c r="C116" s="125">
        <v>45471</v>
      </c>
      <c r="D116" s="124" t="s">
        <v>333</v>
      </c>
      <c r="E116" s="126">
        <v>182.36</v>
      </c>
      <c r="F116" s="124" t="s">
        <v>334</v>
      </c>
      <c r="G116" s="126">
        <v>2335</v>
      </c>
      <c r="H116" s="126">
        <v>425810.60000000003</v>
      </c>
      <c r="I116" s="127">
        <v>258641616.546</v>
      </c>
      <c r="J116" s="128" t="s">
        <v>335</v>
      </c>
      <c r="K116" s="128" t="s">
        <v>336</v>
      </c>
      <c r="L116" s="128" t="s">
        <v>337</v>
      </c>
      <c r="M116" s="128" t="s">
        <v>338</v>
      </c>
      <c r="N116" s="128" t="s">
        <v>337</v>
      </c>
      <c r="O116" s="128" t="s">
        <v>71</v>
      </c>
    </row>
    <row r="117" spans="1:15">
      <c r="A117" s="129" t="s">
        <v>70</v>
      </c>
      <c r="B117" s="129" t="s">
        <v>332</v>
      </c>
      <c r="C117" s="130">
        <v>45464</v>
      </c>
      <c r="D117" s="129" t="s">
        <v>333</v>
      </c>
      <c r="E117" s="131">
        <v>2704.2660000000001</v>
      </c>
      <c r="F117" s="129" t="s">
        <v>334</v>
      </c>
      <c r="G117" s="131">
        <v>2351.5</v>
      </c>
      <c r="H117" s="131">
        <v>6359081.4989999998</v>
      </c>
      <c r="I117" s="132">
        <v>3870900090.07128</v>
      </c>
      <c r="J117" s="133" t="s">
        <v>335</v>
      </c>
      <c r="K117" s="133" t="s">
        <v>336</v>
      </c>
      <c r="L117" s="133" t="s">
        <v>337</v>
      </c>
      <c r="M117" s="133" t="s">
        <v>338</v>
      </c>
      <c r="N117" s="133" t="s">
        <v>337</v>
      </c>
      <c r="O117" s="133" t="s">
        <v>71</v>
      </c>
    </row>
    <row r="118" spans="1:15">
      <c r="A118" s="124" t="s">
        <v>70</v>
      </c>
      <c r="B118" s="124" t="s">
        <v>332</v>
      </c>
      <c r="C118" s="125">
        <v>45469</v>
      </c>
      <c r="D118" s="124" t="s">
        <v>333</v>
      </c>
      <c r="E118" s="126">
        <v>1084.261</v>
      </c>
      <c r="F118" s="124" t="s">
        <v>334</v>
      </c>
      <c r="G118" s="126">
        <v>2299.5500000000002</v>
      </c>
      <c r="H118" s="126">
        <v>2493312.3825500002</v>
      </c>
      <c r="I118" s="127">
        <v>1523388932.6142247</v>
      </c>
      <c r="J118" s="128" t="s">
        <v>335</v>
      </c>
      <c r="K118" s="128" t="s">
        <v>336</v>
      </c>
      <c r="L118" s="128" t="s">
        <v>337</v>
      </c>
      <c r="M118" s="128" t="s">
        <v>338</v>
      </c>
      <c r="N118" s="128" t="s">
        <v>337</v>
      </c>
      <c r="O118" s="128" t="s">
        <v>71</v>
      </c>
    </row>
    <row r="119" spans="1:15">
      <c r="A119" s="129" t="s">
        <v>70</v>
      </c>
      <c r="B119" s="129" t="s">
        <v>332</v>
      </c>
      <c r="C119" s="130">
        <v>45455</v>
      </c>
      <c r="D119" s="129" t="s">
        <v>341</v>
      </c>
      <c r="E119" s="131">
        <v>383.45800000000003</v>
      </c>
      <c r="F119" s="129" t="s">
        <v>334</v>
      </c>
      <c r="G119" s="131">
        <v>29.38</v>
      </c>
      <c r="H119" s="131">
        <v>11265.99604</v>
      </c>
      <c r="I119" s="132">
        <v>6882396.9808359994</v>
      </c>
      <c r="J119" s="133" t="s">
        <v>335</v>
      </c>
      <c r="K119" s="133" t="s">
        <v>336</v>
      </c>
      <c r="L119" s="133" t="s">
        <v>337</v>
      </c>
      <c r="M119" s="133" t="s">
        <v>338</v>
      </c>
      <c r="N119" s="133" t="s">
        <v>337</v>
      </c>
      <c r="O119" s="133" t="s">
        <v>71</v>
      </c>
    </row>
    <row r="120" spans="1:15">
      <c r="A120" s="124" t="s">
        <v>70</v>
      </c>
      <c r="B120" s="124" t="s">
        <v>332</v>
      </c>
      <c r="C120" s="125">
        <v>45461</v>
      </c>
      <c r="D120" s="124" t="s">
        <v>341</v>
      </c>
      <c r="E120" s="126">
        <v>418.75299999999999</v>
      </c>
      <c r="F120" s="124" t="s">
        <v>334</v>
      </c>
      <c r="G120" s="126">
        <v>29.306999999999995</v>
      </c>
      <c r="H120" s="126">
        <v>12272.394170999998</v>
      </c>
      <c r="I120" s="127">
        <v>7498432.8384809988</v>
      </c>
      <c r="J120" s="128" t="s">
        <v>335</v>
      </c>
      <c r="K120" s="128" t="s">
        <v>336</v>
      </c>
      <c r="L120" s="128" t="s">
        <v>337</v>
      </c>
      <c r="M120" s="128" t="s">
        <v>338</v>
      </c>
      <c r="N120" s="128" t="s">
        <v>337</v>
      </c>
      <c r="O120" s="128" t="s">
        <v>71</v>
      </c>
    </row>
    <row r="121" spans="1:15">
      <c r="A121" s="129" t="s">
        <v>70</v>
      </c>
      <c r="B121" s="129" t="s">
        <v>332</v>
      </c>
      <c r="C121" s="130">
        <v>45464</v>
      </c>
      <c r="D121" s="129" t="s">
        <v>341</v>
      </c>
      <c r="E121" s="131">
        <v>291.96100000000001</v>
      </c>
      <c r="F121" s="129" t="s">
        <v>334</v>
      </c>
      <c r="G121" s="131">
        <v>30.434999999999999</v>
      </c>
      <c r="H121" s="131">
        <v>8885.8330349999997</v>
      </c>
      <c r="I121" s="132">
        <v>5415915.2348325001</v>
      </c>
      <c r="J121" s="133" t="s">
        <v>335</v>
      </c>
      <c r="K121" s="133" t="s">
        <v>336</v>
      </c>
      <c r="L121" s="133" t="s">
        <v>337</v>
      </c>
      <c r="M121" s="133" t="s">
        <v>338</v>
      </c>
      <c r="N121" s="133" t="s">
        <v>337</v>
      </c>
      <c r="O121" s="133" t="s">
        <v>71</v>
      </c>
    </row>
    <row r="122" spans="1:15">
      <c r="A122" s="124" t="s">
        <v>70</v>
      </c>
      <c r="B122" s="124" t="s">
        <v>332</v>
      </c>
      <c r="C122" s="125">
        <v>45471</v>
      </c>
      <c r="D122" s="124" t="s">
        <v>341</v>
      </c>
      <c r="E122" s="126">
        <v>392.74299999999999</v>
      </c>
      <c r="F122" s="124" t="s">
        <v>334</v>
      </c>
      <c r="G122" s="126">
        <v>29.199999999999996</v>
      </c>
      <c r="H122" s="126">
        <v>11468.095599999999</v>
      </c>
      <c r="I122" s="127">
        <v>6993359.3778359983</v>
      </c>
      <c r="J122" s="128" t="s">
        <v>335</v>
      </c>
      <c r="K122" s="128" t="s">
        <v>336</v>
      </c>
      <c r="L122" s="128" t="s">
        <v>337</v>
      </c>
      <c r="M122" s="128" t="s">
        <v>338</v>
      </c>
      <c r="N122" s="128" t="s">
        <v>337</v>
      </c>
      <c r="O122" s="128" t="s">
        <v>71</v>
      </c>
    </row>
    <row r="123" spans="1:15">
      <c r="A123" s="129" t="s">
        <v>70</v>
      </c>
      <c r="B123" s="129" t="s">
        <v>332</v>
      </c>
      <c r="C123" s="130">
        <v>45471</v>
      </c>
      <c r="D123" s="129" t="s">
        <v>341</v>
      </c>
      <c r="E123" s="131">
        <v>247.64599999999999</v>
      </c>
      <c r="F123" s="129" t="s">
        <v>334</v>
      </c>
      <c r="G123" s="131">
        <v>29.2</v>
      </c>
      <c r="H123" s="131">
        <v>7231.2631999999994</v>
      </c>
      <c r="I123" s="132">
        <v>4409696.6119919997</v>
      </c>
      <c r="J123" s="133" t="s">
        <v>335</v>
      </c>
      <c r="K123" s="133" t="s">
        <v>336</v>
      </c>
      <c r="L123" s="133" t="s">
        <v>337</v>
      </c>
      <c r="M123" s="133" t="s">
        <v>338</v>
      </c>
      <c r="N123" s="133" t="s">
        <v>337</v>
      </c>
      <c r="O123" s="133" t="s">
        <v>71</v>
      </c>
    </row>
    <row r="124" spans="1:15">
      <c r="A124" s="124" t="s">
        <v>70</v>
      </c>
      <c r="B124" s="124" t="s">
        <v>332</v>
      </c>
      <c r="C124" s="125">
        <v>45483</v>
      </c>
      <c r="D124" s="124" t="s">
        <v>333</v>
      </c>
      <c r="E124" s="126">
        <v>186.28</v>
      </c>
      <c r="F124" s="124" t="s">
        <v>334</v>
      </c>
      <c r="G124" s="126">
        <v>2384.25</v>
      </c>
      <c r="H124" s="126">
        <v>444138.09</v>
      </c>
      <c r="I124" s="127">
        <v>266909226.56640002</v>
      </c>
      <c r="J124" s="128" t="s">
        <v>335</v>
      </c>
      <c r="K124" s="128" t="s">
        <v>336</v>
      </c>
      <c r="L124" s="128" t="s">
        <v>337</v>
      </c>
      <c r="M124" s="128" t="s">
        <v>338</v>
      </c>
      <c r="N124" s="128" t="s">
        <v>337</v>
      </c>
      <c r="O124" s="128" t="s">
        <v>71</v>
      </c>
    </row>
    <row r="125" spans="1:15">
      <c r="A125" s="129" t="s">
        <v>70</v>
      </c>
      <c r="B125" s="129" t="s">
        <v>332</v>
      </c>
      <c r="C125" s="130">
        <v>45483</v>
      </c>
      <c r="D125" s="129" t="s">
        <v>333</v>
      </c>
      <c r="E125" s="131">
        <v>35.256999999999998</v>
      </c>
      <c r="F125" s="129" t="s">
        <v>334</v>
      </c>
      <c r="G125" s="131">
        <v>2384.25</v>
      </c>
      <c r="H125" s="131">
        <v>84061.50224999999</v>
      </c>
      <c r="I125" s="132">
        <v>50517600.392159998</v>
      </c>
      <c r="J125" s="133" t="s">
        <v>335</v>
      </c>
      <c r="K125" s="133" t="s">
        <v>336</v>
      </c>
      <c r="L125" s="133" t="s">
        <v>337</v>
      </c>
      <c r="M125" s="133" t="s">
        <v>338</v>
      </c>
      <c r="N125" s="133" t="s">
        <v>337</v>
      </c>
      <c r="O125" s="133" t="s">
        <v>71</v>
      </c>
    </row>
    <row r="126" spans="1:15">
      <c r="A126" s="124" t="s">
        <v>70</v>
      </c>
      <c r="B126" s="124" t="s">
        <v>332</v>
      </c>
      <c r="C126" s="125">
        <v>45471</v>
      </c>
      <c r="D126" s="124" t="s">
        <v>333</v>
      </c>
      <c r="E126" s="126">
        <v>970</v>
      </c>
      <c r="F126" s="124" t="s">
        <v>334</v>
      </c>
      <c r="G126" s="126">
        <v>2330.8000000000002</v>
      </c>
      <c r="H126" s="126">
        <v>2260876</v>
      </c>
      <c r="I126" s="127">
        <v>1355689075.8799999</v>
      </c>
      <c r="J126" s="128" t="s">
        <v>335</v>
      </c>
      <c r="K126" s="128" t="s">
        <v>336</v>
      </c>
      <c r="L126" s="128" t="s">
        <v>337</v>
      </c>
      <c r="M126" s="128" t="s">
        <v>338</v>
      </c>
      <c r="N126" s="128" t="s">
        <v>337</v>
      </c>
      <c r="O126" s="128" t="s">
        <v>71</v>
      </c>
    </row>
    <row r="127" spans="1:15">
      <c r="A127" s="129" t="s">
        <v>70</v>
      </c>
      <c r="B127" s="129" t="s">
        <v>332</v>
      </c>
      <c r="C127" s="130">
        <v>45489</v>
      </c>
      <c r="D127" s="129" t="s">
        <v>333</v>
      </c>
      <c r="E127" s="131">
        <v>5500</v>
      </c>
      <c r="F127" s="129" t="s">
        <v>334</v>
      </c>
      <c r="G127" s="131">
        <v>2439.15</v>
      </c>
      <c r="H127" s="131">
        <v>13415325</v>
      </c>
      <c r="I127" s="132">
        <v>8021291123.999999</v>
      </c>
      <c r="J127" s="133" t="s">
        <v>335</v>
      </c>
      <c r="K127" s="133" t="s">
        <v>336</v>
      </c>
      <c r="L127" s="133" t="s">
        <v>337</v>
      </c>
      <c r="M127" s="133" t="s">
        <v>338</v>
      </c>
      <c r="N127" s="133" t="s">
        <v>337</v>
      </c>
      <c r="O127" s="133" t="s">
        <v>71</v>
      </c>
    </row>
    <row r="128" spans="1:15">
      <c r="A128" s="124" t="s">
        <v>70</v>
      </c>
      <c r="B128" s="124" t="s">
        <v>332</v>
      </c>
      <c r="C128" s="125">
        <v>45492</v>
      </c>
      <c r="D128" s="124" t="s">
        <v>333</v>
      </c>
      <c r="E128" s="126">
        <v>32.374000000000002</v>
      </c>
      <c r="F128" s="124" t="s">
        <v>334</v>
      </c>
      <c r="G128" s="126">
        <v>2404</v>
      </c>
      <c r="H128" s="126">
        <v>77827.096000000005</v>
      </c>
      <c r="I128" s="127">
        <v>46740619.044720009</v>
      </c>
      <c r="J128" s="128" t="s">
        <v>335</v>
      </c>
      <c r="K128" s="128" t="s">
        <v>336</v>
      </c>
      <c r="L128" s="128" t="s">
        <v>337</v>
      </c>
      <c r="M128" s="128" t="s">
        <v>338</v>
      </c>
      <c r="N128" s="128" t="s">
        <v>337</v>
      </c>
      <c r="O128" s="128" t="s">
        <v>71</v>
      </c>
    </row>
    <row r="129" spans="1:15">
      <c r="A129" s="129" t="s">
        <v>70</v>
      </c>
      <c r="B129" s="129" t="s">
        <v>332</v>
      </c>
      <c r="C129" s="130">
        <v>45496</v>
      </c>
      <c r="D129" s="129" t="s">
        <v>333</v>
      </c>
      <c r="E129" s="131">
        <v>2446</v>
      </c>
      <c r="F129" s="129" t="s">
        <v>334</v>
      </c>
      <c r="G129" s="131">
        <v>2407.6999999999998</v>
      </c>
      <c r="H129" s="131">
        <v>5889234.1999999993</v>
      </c>
      <c r="I129" s="132">
        <v>3544730064.9799995</v>
      </c>
      <c r="J129" s="133" t="s">
        <v>335</v>
      </c>
      <c r="K129" s="133" t="s">
        <v>336</v>
      </c>
      <c r="L129" s="133" t="s">
        <v>337</v>
      </c>
      <c r="M129" s="133" t="s">
        <v>338</v>
      </c>
      <c r="N129" s="133" t="s">
        <v>337</v>
      </c>
      <c r="O129" s="133" t="s">
        <v>71</v>
      </c>
    </row>
    <row r="130" spans="1:15">
      <c r="A130" s="124" t="s">
        <v>70</v>
      </c>
      <c r="B130" s="124" t="s">
        <v>332</v>
      </c>
      <c r="C130" s="125">
        <v>45503</v>
      </c>
      <c r="D130" s="124" t="s">
        <v>333</v>
      </c>
      <c r="E130" s="126">
        <v>60.988</v>
      </c>
      <c r="F130" s="124" t="s">
        <v>334</v>
      </c>
      <c r="G130" s="126">
        <v>2390.15</v>
      </c>
      <c r="H130" s="126">
        <v>145770.4682</v>
      </c>
      <c r="I130" s="127">
        <v>87698429.078483999</v>
      </c>
      <c r="J130" s="128" t="s">
        <v>335</v>
      </c>
      <c r="K130" s="128" t="s">
        <v>336</v>
      </c>
      <c r="L130" s="128" t="s">
        <v>337</v>
      </c>
      <c r="M130" s="128" t="s">
        <v>338</v>
      </c>
      <c r="N130" s="128" t="s">
        <v>337</v>
      </c>
      <c r="O130" s="128" t="s">
        <v>71</v>
      </c>
    </row>
    <row r="131" spans="1:15">
      <c r="A131" s="129" t="s">
        <v>70</v>
      </c>
      <c r="B131" s="129" t="s">
        <v>332</v>
      </c>
      <c r="C131" s="130">
        <v>45497</v>
      </c>
      <c r="D131" s="129" t="s">
        <v>333</v>
      </c>
      <c r="E131" s="131">
        <v>2835</v>
      </c>
      <c r="F131" s="129" t="s">
        <v>334</v>
      </c>
      <c r="G131" s="131">
        <v>2421.35</v>
      </c>
      <c r="H131" s="131">
        <v>6864527.25</v>
      </c>
      <c r="I131" s="132">
        <v>4136701411.395</v>
      </c>
      <c r="J131" s="133" t="s">
        <v>335</v>
      </c>
      <c r="K131" s="133" t="s">
        <v>336</v>
      </c>
      <c r="L131" s="133" t="s">
        <v>337</v>
      </c>
      <c r="M131" s="133" t="s">
        <v>338</v>
      </c>
      <c r="N131" s="133" t="s">
        <v>337</v>
      </c>
      <c r="O131" s="133" t="s">
        <v>71</v>
      </c>
    </row>
    <row r="132" spans="1:15">
      <c r="A132" s="124" t="s">
        <v>70</v>
      </c>
      <c r="B132" s="124" t="s">
        <v>332</v>
      </c>
      <c r="C132" s="125">
        <v>45503</v>
      </c>
      <c r="D132" s="124" t="s">
        <v>333</v>
      </c>
      <c r="E132" s="126">
        <v>2915</v>
      </c>
      <c r="F132" s="124" t="s">
        <v>334</v>
      </c>
      <c r="G132" s="126">
        <v>2390.15</v>
      </c>
      <c r="H132" s="126">
        <v>6967287.25</v>
      </c>
      <c r="I132" s="127">
        <v>4191659355.3450003</v>
      </c>
      <c r="J132" s="128" t="s">
        <v>335</v>
      </c>
      <c r="K132" s="128" t="s">
        <v>336</v>
      </c>
      <c r="L132" s="128" t="s">
        <v>337</v>
      </c>
      <c r="M132" s="128" t="s">
        <v>338</v>
      </c>
      <c r="N132" s="128" t="s">
        <v>337</v>
      </c>
      <c r="O132" s="128" t="s">
        <v>71</v>
      </c>
    </row>
    <row r="133" spans="1:15">
      <c r="A133" s="129" t="s">
        <v>70</v>
      </c>
      <c r="B133" s="129" t="s">
        <v>332</v>
      </c>
      <c r="C133" s="130">
        <v>45496</v>
      </c>
      <c r="D133" s="129" t="s">
        <v>333</v>
      </c>
      <c r="E133" s="131">
        <v>1500.732</v>
      </c>
      <c r="F133" s="129" t="s">
        <v>334</v>
      </c>
      <c r="G133" s="131">
        <v>2404.1999999999998</v>
      </c>
      <c r="H133" s="131">
        <v>3608059.8743999996</v>
      </c>
      <c r="I133" s="132">
        <v>2171691238.4013596</v>
      </c>
      <c r="J133" s="133" t="s">
        <v>335</v>
      </c>
      <c r="K133" s="133" t="s">
        <v>336</v>
      </c>
      <c r="L133" s="133" t="s">
        <v>337</v>
      </c>
      <c r="M133" s="133" t="s">
        <v>338</v>
      </c>
      <c r="N133" s="133" t="s">
        <v>337</v>
      </c>
      <c r="O133" s="133" t="s">
        <v>71</v>
      </c>
    </row>
    <row r="134" spans="1:15">
      <c r="A134" s="124" t="s">
        <v>70</v>
      </c>
      <c r="B134" s="124" t="s">
        <v>332</v>
      </c>
      <c r="C134" s="125">
        <v>45497</v>
      </c>
      <c r="D134" s="124" t="s">
        <v>333</v>
      </c>
      <c r="E134" s="126">
        <v>783.33</v>
      </c>
      <c r="F134" s="124" t="s">
        <v>334</v>
      </c>
      <c r="G134" s="126">
        <v>2421.35</v>
      </c>
      <c r="H134" s="126">
        <v>1896716.0955000001</v>
      </c>
      <c r="I134" s="127">
        <v>1141936892.4567299</v>
      </c>
      <c r="J134" s="128" t="s">
        <v>335</v>
      </c>
      <c r="K134" s="128" t="s">
        <v>336</v>
      </c>
      <c r="L134" s="128" t="s">
        <v>337</v>
      </c>
      <c r="M134" s="128" t="s">
        <v>339</v>
      </c>
      <c r="N134" s="128" t="s">
        <v>340</v>
      </c>
      <c r="O134" s="128" t="s">
        <v>71</v>
      </c>
    </row>
    <row r="135" spans="1:15">
      <c r="A135" s="129" t="s">
        <v>70</v>
      </c>
      <c r="B135" s="129" t="s">
        <v>332</v>
      </c>
      <c r="C135" s="130">
        <v>45497</v>
      </c>
      <c r="D135" s="129" t="s">
        <v>333</v>
      </c>
      <c r="E135" s="131">
        <v>850</v>
      </c>
      <c r="F135" s="129" t="s">
        <v>334</v>
      </c>
      <c r="G135" s="131">
        <v>2421.35</v>
      </c>
      <c r="H135" s="131">
        <v>2058147.5</v>
      </c>
      <c r="I135" s="132">
        <v>1240280846.45</v>
      </c>
      <c r="J135" s="133" t="s">
        <v>335</v>
      </c>
      <c r="K135" s="133" t="s">
        <v>336</v>
      </c>
      <c r="L135" s="133" t="s">
        <v>337</v>
      </c>
      <c r="M135" s="133" t="s">
        <v>338</v>
      </c>
      <c r="N135" s="133" t="s">
        <v>337</v>
      </c>
      <c r="O135" s="133" t="s">
        <v>71</v>
      </c>
    </row>
    <row r="136" spans="1:15">
      <c r="A136" s="124" t="s">
        <v>70</v>
      </c>
      <c r="B136" s="124" t="s">
        <v>332</v>
      </c>
      <c r="C136" s="125">
        <v>45503</v>
      </c>
      <c r="D136" s="124" t="s">
        <v>333</v>
      </c>
      <c r="E136" s="126">
        <v>86.468999999999994</v>
      </c>
      <c r="F136" s="124" t="s">
        <v>334</v>
      </c>
      <c r="G136" s="126">
        <v>2390.15</v>
      </c>
      <c r="H136" s="126">
        <v>206673.88034999999</v>
      </c>
      <c r="I136" s="127">
        <v>124339139.896167</v>
      </c>
      <c r="J136" s="128" t="s">
        <v>335</v>
      </c>
      <c r="K136" s="128" t="s">
        <v>336</v>
      </c>
      <c r="L136" s="128" t="s">
        <v>337</v>
      </c>
      <c r="M136" s="128" t="s">
        <v>338</v>
      </c>
      <c r="N136" s="128" t="s">
        <v>337</v>
      </c>
      <c r="O136" s="128" t="s">
        <v>71</v>
      </c>
    </row>
    <row r="137" spans="1:15">
      <c r="A137" s="129" t="s">
        <v>70</v>
      </c>
      <c r="B137" s="129" t="s">
        <v>332</v>
      </c>
      <c r="C137" s="130">
        <v>45497</v>
      </c>
      <c r="D137" s="129" t="s">
        <v>333</v>
      </c>
      <c r="E137" s="131">
        <v>720</v>
      </c>
      <c r="F137" s="129" t="s">
        <v>334</v>
      </c>
      <c r="G137" s="131">
        <v>2421.35</v>
      </c>
      <c r="H137" s="131">
        <v>1743372</v>
      </c>
      <c r="I137" s="132">
        <v>1050590834.64</v>
      </c>
      <c r="J137" s="133" t="s">
        <v>335</v>
      </c>
      <c r="K137" s="133" t="s">
        <v>336</v>
      </c>
      <c r="L137" s="133" t="s">
        <v>337</v>
      </c>
      <c r="M137" s="133" t="s">
        <v>338</v>
      </c>
      <c r="N137" s="133" t="s">
        <v>337</v>
      </c>
      <c r="O137" s="133" t="s">
        <v>71</v>
      </c>
    </row>
    <row r="138" spans="1:15">
      <c r="A138" s="124" t="s">
        <v>70</v>
      </c>
      <c r="B138" s="124" t="s">
        <v>332</v>
      </c>
      <c r="C138" s="125">
        <v>45503</v>
      </c>
      <c r="D138" s="124" t="s">
        <v>333</v>
      </c>
      <c r="E138" s="126">
        <v>940</v>
      </c>
      <c r="F138" s="124" t="s">
        <v>334</v>
      </c>
      <c r="G138" s="126">
        <v>2390.15</v>
      </c>
      <c r="H138" s="126">
        <v>2246741</v>
      </c>
      <c r="I138" s="127">
        <v>1351684320.4200001</v>
      </c>
      <c r="J138" s="128" t="s">
        <v>335</v>
      </c>
      <c r="K138" s="128" t="s">
        <v>336</v>
      </c>
      <c r="L138" s="128" t="s">
        <v>337</v>
      </c>
      <c r="M138" s="128" t="s">
        <v>338</v>
      </c>
      <c r="N138" s="128" t="s">
        <v>337</v>
      </c>
      <c r="O138" s="128" t="s">
        <v>71</v>
      </c>
    </row>
    <row r="139" spans="1:15">
      <c r="A139" s="129" t="s">
        <v>70</v>
      </c>
      <c r="B139" s="129" t="s">
        <v>332</v>
      </c>
      <c r="C139" s="130">
        <v>45484</v>
      </c>
      <c r="D139" s="129" t="s">
        <v>341</v>
      </c>
      <c r="E139" s="131">
        <v>328.81299999999999</v>
      </c>
      <c r="F139" s="129" t="s">
        <v>334</v>
      </c>
      <c r="G139" s="131">
        <v>31.02</v>
      </c>
      <c r="H139" s="131">
        <v>10199.779259999999</v>
      </c>
      <c r="I139" s="132">
        <v>6129659.3440896003</v>
      </c>
      <c r="J139" s="133" t="s">
        <v>335</v>
      </c>
      <c r="K139" s="133" t="s">
        <v>336</v>
      </c>
      <c r="L139" s="133" t="s">
        <v>337</v>
      </c>
      <c r="M139" s="133" t="s">
        <v>338</v>
      </c>
      <c r="N139" s="133" t="s">
        <v>337</v>
      </c>
      <c r="O139" s="133" t="s">
        <v>71</v>
      </c>
    </row>
    <row r="140" spans="1:15">
      <c r="A140" s="124" t="s">
        <v>70</v>
      </c>
      <c r="B140" s="124" t="s">
        <v>332</v>
      </c>
      <c r="C140" s="125">
        <v>45484</v>
      </c>
      <c r="D140" s="124" t="s">
        <v>341</v>
      </c>
      <c r="E140" s="126">
        <v>151.101</v>
      </c>
      <c r="F140" s="124" t="s">
        <v>334</v>
      </c>
      <c r="G140" s="126">
        <v>31.02</v>
      </c>
      <c r="H140" s="126">
        <v>4687.1530199999997</v>
      </c>
      <c r="I140" s="127">
        <v>2816791.4788992</v>
      </c>
      <c r="J140" s="128" t="s">
        <v>335</v>
      </c>
      <c r="K140" s="128" t="s">
        <v>336</v>
      </c>
      <c r="L140" s="128" t="s">
        <v>337</v>
      </c>
      <c r="M140" s="128" t="s">
        <v>338</v>
      </c>
      <c r="N140" s="128" t="s">
        <v>337</v>
      </c>
      <c r="O140" s="128" t="s">
        <v>71</v>
      </c>
    </row>
    <row r="141" spans="1:15">
      <c r="A141" s="129" t="s">
        <v>70</v>
      </c>
      <c r="B141" s="129" t="s">
        <v>332</v>
      </c>
      <c r="C141" s="130">
        <v>45492</v>
      </c>
      <c r="D141" s="129" t="s">
        <v>341</v>
      </c>
      <c r="E141" s="131">
        <v>519.40700000000004</v>
      </c>
      <c r="F141" s="129" t="s">
        <v>334</v>
      </c>
      <c r="G141" s="131">
        <v>29.08</v>
      </c>
      <c r="H141" s="131">
        <v>15104.35556</v>
      </c>
      <c r="I141" s="132">
        <v>9071222.8186691999</v>
      </c>
      <c r="J141" s="133" t="s">
        <v>335</v>
      </c>
      <c r="K141" s="133" t="s">
        <v>336</v>
      </c>
      <c r="L141" s="133" t="s">
        <v>337</v>
      </c>
      <c r="M141" s="133" t="s">
        <v>338</v>
      </c>
      <c r="N141" s="133" t="s">
        <v>337</v>
      </c>
      <c r="O141" s="133" t="s">
        <v>71</v>
      </c>
    </row>
    <row r="142" spans="1:15">
      <c r="A142" s="124" t="s">
        <v>70</v>
      </c>
      <c r="B142" s="124" t="s">
        <v>332</v>
      </c>
      <c r="C142" s="125">
        <v>45503</v>
      </c>
      <c r="D142" s="124" t="s">
        <v>341</v>
      </c>
      <c r="E142" s="126">
        <v>200.84</v>
      </c>
      <c r="F142" s="124" t="s">
        <v>334</v>
      </c>
      <c r="G142" s="126">
        <v>27.880000000000003</v>
      </c>
      <c r="H142" s="126">
        <v>5599.4192000000003</v>
      </c>
      <c r="I142" s="127">
        <v>3368722.5791040002</v>
      </c>
      <c r="J142" s="128" t="s">
        <v>335</v>
      </c>
      <c r="K142" s="128" t="s">
        <v>336</v>
      </c>
      <c r="L142" s="128" t="s">
        <v>337</v>
      </c>
      <c r="M142" s="128" t="s">
        <v>338</v>
      </c>
      <c r="N142" s="128" t="s">
        <v>337</v>
      </c>
      <c r="O142" s="128" t="s">
        <v>71</v>
      </c>
    </row>
    <row r="143" spans="1:15">
      <c r="A143" s="129" t="s">
        <v>70</v>
      </c>
      <c r="B143" s="129" t="s">
        <v>332</v>
      </c>
      <c r="C143" s="130">
        <v>45490</v>
      </c>
      <c r="D143" s="129" t="s">
        <v>341</v>
      </c>
      <c r="E143" s="131">
        <v>141.16900000000001</v>
      </c>
      <c r="F143" s="129" t="s">
        <v>334</v>
      </c>
      <c r="G143" s="131">
        <v>30.914999999999996</v>
      </c>
      <c r="H143" s="131">
        <v>4364.2396349999999</v>
      </c>
      <c r="I143" s="132">
        <v>2609466.1625591996</v>
      </c>
      <c r="J143" s="133" t="s">
        <v>335</v>
      </c>
      <c r="K143" s="133" t="s">
        <v>336</v>
      </c>
      <c r="L143" s="133" t="s">
        <v>337</v>
      </c>
      <c r="M143" s="133" t="s">
        <v>338</v>
      </c>
      <c r="N143" s="133" t="s">
        <v>337</v>
      </c>
      <c r="O143" s="133" t="s">
        <v>71</v>
      </c>
    </row>
    <row r="144" spans="1:15">
      <c r="A144" s="124" t="s">
        <v>70</v>
      </c>
      <c r="B144" s="124" t="s">
        <v>332</v>
      </c>
      <c r="C144" s="125">
        <v>45496</v>
      </c>
      <c r="D144" s="124" t="s">
        <v>341</v>
      </c>
      <c r="E144" s="126">
        <v>272.22199999999998</v>
      </c>
      <c r="F144" s="124" t="s">
        <v>334</v>
      </c>
      <c r="G144" s="126">
        <v>28.96</v>
      </c>
      <c r="H144" s="126">
        <v>7883.5491199999997</v>
      </c>
      <c r="I144" s="127">
        <v>4745108.2153279996</v>
      </c>
      <c r="J144" s="128" t="s">
        <v>335</v>
      </c>
      <c r="K144" s="128" t="s">
        <v>336</v>
      </c>
      <c r="L144" s="128" t="s">
        <v>337</v>
      </c>
      <c r="M144" s="128" t="s">
        <v>338</v>
      </c>
      <c r="N144" s="128" t="s">
        <v>337</v>
      </c>
      <c r="O144" s="128" t="s">
        <v>71</v>
      </c>
    </row>
    <row r="145" spans="1:15">
      <c r="A145" s="129" t="s">
        <v>70</v>
      </c>
      <c r="B145" s="129" t="s">
        <v>332</v>
      </c>
      <c r="C145" s="130">
        <v>45496</v>
      </c>
      <c r="D145" s="129" t="s">
        <v>341</v>
      </c>
      <c r="E145" s="131">
        <v>106.09399999999999</v>
      </c>
      <c r="F145" s="129" t="s">
        <v>334</v>
      </c>
      <c r="G145" s="131">
        <v>27.819999999999997</v>
      </c>
      <c r="H145" s="131">
        <v>2951.5350799999997</v>
      </c>
      <c r="I145" s="132">
        <v>1775702.5348295998</v>
      </c>
      <c r="J145" s="133" t="s">
        <v>335</v>
      </c>
      <c r="K145" s="133" t="s">
        <v>336</v>
      </c>
      <c r="L145" s="133" t="s">
        <v>337</v>
      </c>
      <c r="M145" s="133" t="s">
        <v>338</v>
      </c>
      <c r="N145" s="133" t="s">
        <v>337</v>
      </c>
      <c r="O145" s="133" t="s">
        <v>71</v>
      </c>
    </row>
    <row r="146" spans="1:15">
      <c r="A146" s="124" t="s">
        <v>70</v>
      </c>
      <c r="B146" s="124" t="s">
        <v>332</v>
      </c>
      <c r="C146" s="125">
        <v>45510</v>
      </c>
      <c r="D146" s="124" t="s">
        <v>333</v>
      </c>
      <c r="E146" s="126">
        <v>70.662999999999997</v>
      </c>
      <c r="F146" s="124" t="s">
        <v>334</v>
      </c>
      <c r="G146" s="126">
        <v>2396.4499999999998</v>
      </c>
      <c r="H146" s="126">
        <v>169340.34634999998</v>
      </c>
      <c r="I146" s="127">
        <v>102047879.51743698</v>
      </c>
      <c r="J146" s="128" t="s">
        <v>335</v>
      </c>
      <c r="K146" s="128" t="s">
        <v>336</v>
      </c>
      <c r="L146" s="128" t="s">
        <v>337</v>
      </c>
      <c r="M146" s="128" t="s">
        <v>338</v>
      </c>
      <c r="N146" s="128" t="s">
        <v>337</v>
      </c>
      <c r="O146" s="128" t="s">
        <v>71</v>
      </c>
    </row>
    <row r="147" spans="1:15">
      <c r="A147" s="129" t="s">
        <v>70</v>
      </c>
      <c r="B147" s="129" t="s">
        <v>332</v>
      </c>
      <c r="C147" s="130">
        <v>45517</v>
      </c>
      <c r="D147" s="129" t="s">
        <v>333</v>
      </c>
      <c r="E147" s="131">
        <v>162.51300000000001</v>
      </c>
      <c r="F147" s="129" t="s">
        <v>334</v>
      </c>
      <c r="G147" s="131">
        <v>2471.4499999999998</v>
      </c>
      <c r="H147" s="131">
        <v>401642.75384999998</v>
      </c>
      <c r="I147" s="132">
        <v>238226366.59105048</v>
      </c>
      <c r="J147" s="133" t="s">
        <v>335</v>
      </c>
      <c r="K147" s="133" t="s">
        <v>336</v>
      </c>
      <c r="L147" s="133" t="s">
        <v>337</v>
      </c>
      <c r="M147" s="133" t="s">
        <v>338</v>
      </c>
      <c r="N147" s="133" t="s">
        <v>337</v>
      </c>
      <c r="O147" s="133" t="s">
        <v>71</v>
      </c>
    </row>
    <row r="148" spans="1:15">
      <c r="A148" s="124" t="s">
        <v>70</v>
      </c>
      <c r="B148" s="124" t="s">
        <v>332</v>
      </c>
      <c r="C148" s="125">
        <v>45510</v>
      </c>
      <c r="D148" s="124" t="s">
        <v>333</v>
      </c>
      <c r="E148" s="126">
        <v>1672</v>
      </c>
      <c r="F148" s="124" t="s">
        <v>334</v>
      </c>
      <c r="G148" s="126">
        <v>2396.4499999999998</v>
      </c>
      <c r="H148" s="126">
        <v>4006864.4</v>
      </c>
      <c r="I148" s="127">
        <v>2410609760.3280001</v>
      </c>
      <c r="J148" s="128" t="s">
        <v>335</v>
      </c>
      <c r="K148" s="128" t="s">
        <v>336</v>
      </c>
      <c r="L148" s="128" t="s">
        <v>337</v>
      </c>
      <c r="M148" s="128" t="s">
        <v>338</v>
      </c>
      <c r="N148" s="128" t="s">
        <v>337</v>
      </c>
      <c r="O148" s="128" t="s">
        <v>71</v>
      </c>
    </row>
    <row r="149" spans="1:15">
      <c r="A149" s="129" t="s">
        <v>70</v>
      </c>
      <c r="B149" s="129" t="s">
        <v>332</v>
      </c>
      <c r="C149" s="130">
        <v>45510</v>
      </c>
      <c r="D149" s="129" t="s">
        <v>333</v>
      </c>
      <c r="E149" s="131">
        <v>783.33</v>
      </c>
      <c r="F149" s="129" t="s">
        <v>334</v>
      </c>
      <c r="G149" s="131">
        <v>2396.4499999999998</v>
      </c>
      <c r="H149" s="131">
        <v>1877211.1784999999</v>
      </c>
      <c r="I149" s="132">
        <v>1129367789.2091699</v>
      </c>
      <c r="J149" s="133" t="s">
        <v>335</v>
      </c>
      <c r="K149" s="133" t="s">
        <v>336</v>
      </c>
      <c r="L149" s="133" t="s">
        <v>337</v>
      </c>
      <c r="M149" s="133" t="s">
        <v>338</v>
      </c>
      <c r="N149" s="133" t="s">
        <v>337</v>
      </c>
      <c r="O149" s="133" t="s">
        <v>71</v>
      </c>
    </row>
    <row r="150" spans="1:15">
      <c r="A150" s="124" t="s">
        <v>70</v>
      </c>
      <c r="B150" s="124" t="s">
        <v>332</v>
      </c>
      <c r="C150" s="125">
        <v>45533</v>
      </c>
      <c r="D150" s="124" t="s">
        <v>333</v>
      </c>
      <c r="E150" s="126">
        <v>76.808000000000007</v>
      </c>
      <c r="F150" s="124" t="s">
        <v>334</v>
      </c>
      <c r="G150" s="126">
        <v>2518</v>
      </c>
      <c r="H150" s="126">
        <v>193402.54400000002</v>
      </c>
      <c r="I150" s="127">
        <v>114848232.70352001</v>
      </c>
      <c r="J150" s="128" t="s">
        <v>335</v>
      </c>
      <c r="K150" s="128" t="s">
        <v>336</v>
      </c>
      <c r="L150" s="128" t="s">
        <v>337</v>
      </c>
      <c r="M150" s="128" t="s">
        <v>338</v>
      </c>
      <c r="N150" s="128" t="s">
        <v>337</v>
      </c>
      <c r="O150" s="128" t="s">
        <v>71</v>
      </c>
    </row>
    <row r="151" spans="1:15">
      <c r="A151" s="129" t="s">
        <v>70</v>
      </c>
      <c r="B151" s="129" t="s">
        <v>332</v>
      </c>
      <c r="C151" s="130">
        <v>45517</v>
      </c>
      <c r="D151" s="129" t="s">
        <v>333</v>
      </c>
      <c r="E151" s="131">
        <v>1714</v>
      </c>
      <c r="F151" s="129" t="s">
        <v>334</v>
      </c>
      <c r="G151" s="131">
        <v>2471.4499999999998</v>
      </c>
      <c r="H151" s="131">
        <v>4236065.3</v>
      </c>
      <c r="I151" s="132">
        <v>2510970067.2279997</v>
      </c>
      <c r="J151" s="133" t="s">
        <v>335</v>
      </c>
      <c r="K151" s="133" t="s">
        <v>336</v>
      </c>
      <c r="L151" s="133" t="s">
        <v>337</v>
      </c>
      <c r="M151" s="133" t="s">
        <v>338</v>
      </c>
      <c r="N151" s="133" t="s">
        <v>337</v>
      </c>
      <c r="O151" s="133" t="s">
        <v>71</v>
      </c>
    </row>
    <row r="152" spans="1:15">
      <c r="A152" s="124" t="s">
        <v>70</v>
      </c>
      <c r="B152" s="124" t="s">
        <v>332</v>
      </c>
      <c r="C152" s="125">
        <v>45533</v>
      </c>
      <c r="D152" s="124" t="s">
        <v>333</v>
      </c>
      <c r="E152" s="126">
        <v>382.16399999999999</v>
      </c>
      <c r="F152" s="124" t="s">
        <v>334</v>
      </c>
      <c r="G152" s="126">
        <v>2518</v>
      </c>
      <c r="H152" s="126">
        <v>962288.95199999993</v>
      </c>
      <c r="I152" s="127">
        <v>567586892.55815995</v>
      </c>
      <c r="J152" s="128" t="s">
        <v>335</v>
      </c>
      <c r="K152" s="128" t="s">
        <v>336</v>
      </c>
      <c r="L152" s="128" t="s">
        <v>337</v>
      </c>
      <c r="M152" s="128" t="s">
        <v>338</v>
      </c>
      <c r="N152" s="128" t="s">
        <v>337</v>
      </c>
      <c r="O152" s="128" t="s">
        <v>71</v>
      </c>
    </row>
    <row r="153" spans="1:15">
      <c r="A153" s="129" t="s">
        <v>70</v>
      </c>
      <c r="B153" s="129" t="s">
        <v>332</v>
      </c>
      <c r="C153" s="130">
        <v>45533</v>
      </c>
      <c r="D153" s="129" t="s">
        <v>333</v>
      </c>
      <c r="E153" s="131">
        <v>3654.4870000000001</v>
      </c>
      <c r="F153" s="129" t="s">
        <v>334</v>
      </c>
      <c r="G153" s="131">
        <v>2518</v>
      </c>
      <c r="H153" s="131">
        <v>9201998.2660000008</v>
      </c>
      <c r="I153" s="132">
        <v>5427614637.2347813</v>
      </c>
      <c r="J153" s="133" t="s">
        <v>335</v>
      </c>
      <c r="K153" s="133" t="s">
        <v>336</v>
      </c>
      <c r="L153" s="133" t="s">
        <v>337</v>
      </c>
      <c r="M153" s="133" t="s">
        <v>338</v>
      </c>
      <c r="N153" s="133" t="s">
        <v>337</v>
      </c>
      <c r="O153" s="133" t="s">
        <v>71</v>
      </c>
    </row>
    <row r="154" spans="1:15">
      <c r="A154" s="124" t="s">
        <v>70</v>
      </c>
      <c r="B154" s="124" t="s">
        <v>332</v>
      </c>
      <c r="C154" s="125">
        <v>45533</v>
      </c>
      <c r="D154" s="124" t="s">
        <v>333</v>
      </c>
      <c r="E154" s="126">
        <v>3960</v>
      </c>
      <c r="F154" s="124" t="s">
        <v>334</v>
      </c>
      <c r="G154" s="126">
        <v>2518</v>
      </c>
      <c r="H154" s="126">
        <v>9971280</v>
      </c>
      <c r="I154" s="127">
        <v>5903795462.4000006</v>
      </c>
      <c r="J154" s="128" t="s">
        <v>335</v>
      </c>
      <c r="K154" s="128" t="s">
        <v>336</v>
      </c>
      <c r="L154" s="128" t="s">
        <v>337</v>
      </c>
      <c r="M154" s="128" t="s">
        <v>338</v>
      </c>
      <c r="N154" s="128" t="s">
        <v>337</v>
      </c>
      <c r="O154" s="128" t="s">
        <v>71</v>
      </c>
    </row>
    <row r="155" spans="1:15">
      <c r="A155" s="129" t="s">
        <v>70</v>
      </c>
      <c r="B155" s="129" t="s">
        <v>332</v>
      </c>
      <c r="C155" s="130">
        <v>45510</v>
      </c>
      <c r="D155" s="129" t="s">
        <v>333</v>
      </c>
      <c r="E155" s="131">
        <v>32.722999999999999</v>
      </c>
      <c r="F155" s="129" t="s">
        <v>334</v>
      </c>
      <c r="G155" s="131">
        <v>2396.4499999999998</v>
      </c>
      <c r="H155" s="131">
        <v>78419.033349999998</v>
      </c>
      <c r="I155" s="132">
        <v>47178458.844026998</v>
      </c>
      <c r="J155" s="133" t="s">
        <v>335</v>
      </c>
      <c r="K155" s="133" t="s">
        <v>336</v>
      </c>
      <c r="L155" s="133" t="s">
        <v>337</v>
      </c>
      <c r="M155" s="133" t="s">
        <v>338</v>
      </c>
      <c r="N155" s="133" t="s">
        <v>337</v>
      </c>
      <c r="O155" s="133" t="s">
        <v>71</v>
      </c>
    </row>
    <row r="156" spans="1:15">
      <c r="A156" s="124" t="s">
        <v>70</v>
      </c>
      <c r="B156" s="124" t="s">
        <v>332</v>
      </c>
      <c r="C156" s="125">
        <v>45517</v>
      </c>
      <c r="D156" s="124" t="s">
        <v>333</v>
      </c>
      <c r="E156" s="126">
        <v>36.847000000000001</v>
      </c>
      <c r="F156" s="124" t="s">
        <v>334</v>
      </c>
      <c r="G156" s="126">
        <v>2471.4499999999998</v>
      </c>
      <c r="H156" s="126">
        <v>91065.518150000004</v>
      </c>
      <c r="I156" s="127">
        <v>54013690.780309498</v>
      </c>
      <c r="J156" s="128" t="s">
        <v>335</v>
      </c>
      <c r="K156" s="128" t="s">
        <v>336</v>
      </c>
      <c r="L156" s="128" t="s">
        <v>337</v>
      </c>
      <c r="M156" s="128" t="s">
        <v>338</v>
      </c>
      <c r="N156" s="128" t="s">
        <v>337</v>
      </c>
      <c r="O156" s="128" t="s">
        <v>71</v>
      </c>
    </row>
    <row r="157" spans="1:15">
      <c r="A157" s="129" t="s">
        <v>70</v>
      </c>
      <c r="B157" s="129" t="s">
        <v>332</v>
      </c>
      <c r="C157" s="130">
        <v>45510</v>
      </c>
      <c r="D157" s="129" t="s">
        <v>333</v>
      </c>
      <c r="E157" s="131">
        <v>890</v>
      </c>
      <c r="F157" s="129" t="s">
        <v>334</v>
      </c>
      <c r="G157" s="131">
        <v>2396.4499999999998</v>
      </c>
      <c r="H157" s="131">
        <v>2132840.5</v>
      </c>
      <c r="I157" s="132">
        <v>1283159501.6099999</v>
      </c>
      <c r="J157" s="133" t="s">
        <v>335</v>
      </c>
      <c r="K157" s="133" t="s">
        <v>336</v>
      </c>
      <c r="L157" s="133" t="s">
        <v>337</v>
      </c>
      <c r="M157" s="133" t="s">
        <v>338</v>
      </c>
      <c r="N157" s="133" t="s">
        <v>337</v>
      </c>
      <c r="O157" s="133" t="s">
        <v>71</v>
      </c>
    </row>
    <row r="158" spans="1:15">
      <c r="A158" s="124" t="s">
        <v>70</v>
      </c>
      <c r="B158" s="124" t="s">
        <v>332</v>
      </c>
      <c r="C158" s="125">
        <v>45533</v>
      </c>
      <c r="D158" s="124" t="s">
        <v>333</v>
      </c>
      <c r="E158" s="126">
        <v>51.445999999999998</v>
      </c>
      <c r="F158" s="124" t="s">
        <v>334</v>
      </c>
      <c r="G158" s="126">
        <v>2518</v>
      </c>
      <c r="H158" s="126">
        <v>129541.02799999999</v>
      </c>
      <c r="I158" s="127">
        <v>76407184.54524</v>
      </c>
      <c r="J158" s="128" t="s">
        <v>335</v>
      </c>
      <c r="K158" s="128" t="s">
        <v>336</v>
      </c>
      <c r="L158" s="128" t="s">
        <v>337</v>
      </c>
      <c r="M158" s="128" t="s">
        <v>338</v>
      </c>
      <c r="N158" s="128" t="s">
        <v>337</v>
      </c>
      <c r="O158" s="128" t="s">
        <v>71</v>
      </c>
    </row>
    <row r="159" spans="1:15">
      <c r="A159" s="129" t="s">
        <v>70</v>
      </c>
      <c r="B159" s="129" t="s">
        <v>332</v>
      </c>
      <c r="C159" s="130">
        <v>45517</v>
      </c>
      <c r="D159" s="129" t="s">
        <v>333</v>
      </c>
      <c r="E159" s="131">
        <v>950</v>
      </c>
      <c r="F159" s="129" t="s">
        <v>334</v>
      </c>
      <c r="G159" s="131">
        <v>2471.4499999999998</v>
      </c>
      <c r="H159" s="131">
        <v>2347877.5</v>
      </c>
      <c r="I159" s="132">
        <v>1391727866.9000001</v>
      </c>
      <c r="J159" s="133" t="s">
        <v>335</v>
      </c>
      <c r="K159" s="133" t="s">
        <v>336</v>
      </c>
      <c r="L159" s="133" t="s">
        <v>337</v>
      </c>
      <c r="M159" s="133" t="s">
        <v>338</v>
      </c>
      <c r="N159" s="133" t="s">
        <v>337</v>
      </c>
      <c r="O159" s="133" t="s">
        <v>71</v>
      </c>
    </row>
    <row r="160" spans="1:15">
      <c r="A160" s="124" t="s">
        <v>70</v>
      </c>
      <c r="B160" s="124" t="s">
        <v>332</v>
      </c>
      <c r="C160" s="125">
        <v>45533</v>
      </c>
      <c r="D160" s="124" t="s">
        <v>333</v>
      </c>
      <c r="E160" s="126">
        <v>1415.91</v>
      </c>
      <c r="F160" s="124" t="s">
        <v>334</v>
      </c>
      <c r="G160" s="126">
        <v>2518</v>
      </c>
      <c r="H160" s="126">
        <v>3565261.3800000004</v>
      </c>
      <c r="I160" s="127">
        <v>2102898119.7654004</v>
      </c>
      <c r="J160" s="128" t="s">
        <v>335</v>
      </c>
      <c r="K160" s="128" t="s">
        <v>336</v>
      </c>
      <c r="L160" s="128" t="s">
        <v>337</v>
      </c>
      <c r="M160" s="128" t="s">
        <v>338</v>
      </c>
      <c r="N160" s="128" t="s">
        <v>337</v>
      </c>
      <c r="O160" s="128" t="s">
        <v>71</v>
      </c>
    </row>
    <row r="161" spans="1:15">
      <c r="A161" s="129" t="s">
        <v>70</v>
      </c>
      <c r="B161" s="129" t="s">
        <v>332</v>
      </c>
      <c r="C161" s="130">
        <v>45533</v>
      </c>
      <c r="D161" s="129" t="s">
        <v>333</v>
      </c>
      <c r="E161" s="131">
        <v>1440</v>
      </c>
      <c r="F161" s="129" t="s">
        <v>334</v>
      </c>
      <c r="G161" s="131">
        <v>2518</v>
      </c>
      <c r="H161" s="131">
        <v>3625920</v>
      </c>
      <c r="I161" s="132">
        <v>2146834713.6000001</v>
      </c>
      <c r="J161" s="133" t="s">
        <v>335</v>
      </c>
      <c r="K161" s="133" t="s">
        <v>336</v>
      </c>
      <c r="L161" s="133" t="s">
        <v>337</v>
      </c>
      <c r="M161" s="133" t="s">
        <v>338</v>
      </c>
      <c r="N161" s="133" t="s">
        <v>337</v>
      </c>
      <c r="O161" s="133" t="s">
        <v>71</v>
      </c>
    </row>
    <row r="162" spans="1:15">
      <c r="A162" s="124" t="s">
        <v>70</v>
      </c>
      <c r="B162" s="124" t="s">
        <v>332</v>
      </c>
      <c r="C162" s="125">
        <v>45510</v>
      </c>
      <c r="D162" s="124" t="s">
        <v>341</v>
      </c>
      <c r="E162" s="126">
        <v>197.39699999999999</v>
      </c>
      <c r="F162" s="124" t="s">
        <v>334</v>
      </c>
      <c r="G162" s="126">
        <v>27.064999999999998</v>
      </c>
      <c r="H162" s="126">
        <v>5342.5498049999997</v>
      </c>
      <c r="I162" s="127">
        <v>3219527.3634890998</v>
      </c>
      <c r="J162" s="128" t="s">
        <v>335</v>
      </c>
      <c r="K162" s="128" t="s">
        <v>336</v>
      </c>
      <c r="L162" s="128" t="s">
        <v>337</v>
      </c>
      <c r="M162" s="128"/>
      <c r="N162" s="128"/>
      <c r="O162" s="128" t="s">
        <v>71</v>
      </c>
    </row>
    <row r="163" spans="1:15">
      <c r="A163" s="129" t="s">
        <v>70</v>
      </c>
      <c r="B163" s="129" t="s">
        <v>332</v>
      </c>
      <c r="C163" s="130">
        <v>45517</v>
      </c>
      <c r="D163" s="129" t="s">
        <v>341</v>
      </c>
      <c r="E163" s="131">
        <v>199.898</v>
      </c>
      <c r="F163" s="129" t="s">
        <v>334</v>
      </c>
      <c r="G163" s="131">
        <v>27.695</v>
      </c>
      <c r="H163" s="131">
        <v>5536.1751100000001</v>
      </c>
      <c r="I163" s="132">
        <v>3283671.5429942999</v>
      </c>
      <c r="J163" s="133" t="s">
        <v>335</v>
      </c>
      <c r="K163" s="133" t="s">
        <v>336</v>
      </c>
      <c r="L163" s="133" t="s">
        <v>337</v>
      </c>
      <c r="M163" s="133"/>
      <c r="N163" s="133"/>
      <c r="O163" s="133" t="s">
        <v>71</v>
      </c>
    </row>
    <row r="164" spans="1:15">
      <c r="A164" s="124" t="s">
        <v>70</v>
      </c>
      <c r="B164" s="124" t="s">
        <v>332</v>
      </c>
      <c r="C164" s="125">
        <v>45533</v>
      </c>
      <c r="D164" s="124" t="s">
        <v>341</v>
      </c>
      <c r="E164" s="126">
        <v>142.88499999999999</v>
      </c>
      <c r="F164" s="124" t="s">
        <v>334</v>
      </c>
      <c r="G164" s="126">
        <v>29.490000000000002</v>
      </c>
      <c r="H164" s="126">
        <v>4213.6786499999998</v>
      </c>
      <c r="I164" s="127">
        <v>2485354.0781295002</v>
      </c>
      <c r="J164" s="128" t="s">
        <v>335</v>
      </c>
      <c r="K164" s="128" t="s">
        <v>336</v>
      </c>
      <c r="L164" s="128" t="s">
        <v>337</v>
      </c>
      <c r="M164" s="128"/>
      <c r="N164" s="128"/>
      <c r="O164" s="128" t="s">
        <v>71</v>
      </c>
    </row>
    <row r="165" spans="1:15">
      <c r="A165" s="129" t="s">
        <v>70</v>
      </c>
      <c r="B165" s="129" t="s">
        <v>332</v>
      </c>
      <c r="C165" s="130">
        <v>45533</v>
      </c>
      <c r="D165" s="129" t="s">
        <v>341</v>
      </c>
      <c r="E165" s="131">
        <v>101.123</v>
      </c>
      <c r="F165" s="129" t="s">
        <v>334</v>
      </c>
      <c r="G165" s="131">
        <v>29.490000000000002</v>
      </c>
      <c r="H165" s="131">
        <v>2982.1172700000002</v>
      </c>
      <c r="I165" s="132">
        <v>1758942.2293641001</v>
      </c>
      <c r="J165" s="133" t="s">
        <v>335</v>
      </c>
      <c r="K165" s="133" t="s">
        <v>336</v>
      </c>
      <c r="L165" s="133" t="s">
        <v>337</v>
      </c>
      <c r="M165" s="133"/>
      <c r="N165" s="133"/>
      <c r="O165" s="133" t="s">
        <v>71</v>
      </c>
    </row>
    <row r="166" spans="1:15">
      <c r="A166" s="124" t="s">
        <v>70</v>
      </c>
      <c r="B166" s="124" t="s">
        <v>332</v>
      </c>
      <c r="C166" s="125">
        <v>45533</v>
      </c>
      <c r="D166" s="124" t="s">
        <v>341</v>
      </c>
      <c r="E166" s="126">
        <v>152.648</v>
      </c>
      <c r="F166" s="124" t="s">
        <v>334</v>
      </c>
      <c r="G166" s="126">
        <v>29.49</v>
      </c>
      <c r="H166" s="126">
        <v>4501.5895199999995</v>
      </c>
      <c r="I166" s="127">
        <v>2655172.5465815999</v>
      </c>
      <c r="J166" s="128" t="s">
        <v>335</v>
      </c>
      <c r="K166" s="128" t="s">
        <v>336</v>
      </c>
      <c r="L166" s="128" t="s">
        <v>337</v>
      </c>
      <c r="M166" s="128"/>
      <c r="N166" s="128"/>
      <c r="O166" s="128" t="s">
        <v>71</v>
      </c>
    </row>
    <row r="167" spans="1:15">
      <c r="A167" s="129" t="s">
        <v>70</v>
      </c>
      <c r="B167" s="129" t="s">
        <v>332</v>
      </c>
      <c r="C167" s="130">
        <v>45510</v>
      </c>
      <c r="D167" s="129" t="s">
        <v>341</v>
      </c>
      <c r="E167" s="131">
        <v>81.695999999999998</v>
      </c>
      <c r="F167" s="129" t="s">
        <v>334</v>
      </c>
      <c r="G167" s="131">
        <v>27.065000000000001</v>
      </c>
      <c r="H167" s="131">
        <v>2211.1022400000002</v>
      </c>
      <c r="I167" s="132">
        <v>1330243.3296288</v>
      </c>
      <c r="J167" s="133" t="s">
        <v>335</v>
      </c>
      <c r="K167" s="133" t="s">
        <v>336</v>
      </c>
      <c r="L167" s="133" t="s">
        <v>337</v>
      </c>
      <c r="M167" s="133"/>
      <c r="N167" s="133"/>
      <c r="O167" s="133" t="s">
        <v>71</v>
      </c>
    </row>
    <row r="168" spans="1:15">
      <c r="A168" s="124" t="s">
        <v>70</v>
      </c>
      <c r="B168" s="124" t="s">
        <v>332</v>
      </c>
      <c r="C168" s="125">
        <v>45517</v>
      </c>
      <c r="D168" s="124" t="s">
        <v>341</v>
      </c>
      <c r="E168" s="126">
        <v>95.513999999999996</v>
      </c>
      <c r="F168" s="124" t="s">
        <v>334</v>
      </c>
      <c r="G168" s="126">
        <v>27.695</v>
      </c>
      <c r="H168" s="126">
        <v>2645.2602299999999</v>
      </c>
      <c r="I168" s="127">
        <v>1568983.2002198999</v>
      </c>
      <c r="J168" s="128" t="s">
        <v>335</v>
      </c>
      <c r="K168" s="128" t="s">
        <v>336</v>
      </c>
      <c r="L168" s="128" t="s">
        <v>337</v>
      </c>
      <c r="M168" s="128"/>
      <c r="N168" s="128"/>
      <c r="O168" s="128" t="s">
        <v>71</v>
      </c>
    </row>
    <row r="169" spans="1:15">
      <c r="A169" s="129" t="s">
        <v>70</v>
      </c>
      <c r="B169" s="129" t="s">
        <v>332</v>
      </c>
      <c r="C169" s="130">
        <v>45533</v>
      </c>
      <c r="D169" s="129" t="s">
        <v>341</v>
      </c>
      <c r="E169" s="131">
        <v>110.256</v>
      </c>
      <c r="F169" s="129" t="s">
        <v>334</v>
      </c>
      <c r="G169" s="131">
        <v>29.49</v>
      </c>
      <c r="H169" s="131">
        <v>3251.4494399999999</v>
      </c>
      <c r="I169" s="132">
        <v>1917802.4231952</v>
      </c>
      <c r="J169" s="133" t="s">
        <v>335</v>
      </c>
      <c r="K169" s="133" t="s">
        <v>336</v>
      </c>
      <c r="L169" s="133" t="s">
        <v>337</v>
      </c>
      <c r="M169" s="133"/>
      <c r="N169" s="133"/>
      <c r="O169" s="133" t="s">
        <v>71</v>
      </c>
    </row>
    <row r="170" spans="1:15">
      <c r="A170" s="124" t="s">
        <v>70</v>
      </c>
      <c r="B170" s="124" t="s">
        <v>332</v>
      </c>
      <c r="C170" s="125">
        <v>45533</v>
      </c>
      <c r="D170" s="124" t="s">
        <v>341</v>
      </c>
      <c r="E170" s="126">
        <v>162.447</v>
      </c>
      <c r="F170" s="124" t="s">
        <v>334</v>
      </c>
      <c r="G170" s="126">
        <v>29.49</v>
      </c>
      <c r="H170" s="126">
        <v>4790.56203</v>
      </c>
      <c r="I170" s="127">
        <v>2825617.2021549004</v>
      </c>
      <c r="J170" s="128" t="s">
        <v>335</v>
      </c>
      <c r="K170" s="128" t="s">
        <v>336</v>
      </c>
      <c r="L170" s="128" t="s">
        <v>337</v>
      </c>
      <c r="M170" s="128"/>
      <c r="N170" s="128"/>
      <c r="O170" s="128" t="s">
        <v>71</v>
      </c>
    </row>
    <row r="171" spans="1:15">
      <c r="A171" s="129" t="s">
        <v>70</v>
      </c>
      <c r="B171" s="129" t="s">
        <v>332</v>
      </c>
      <c r="C171" s="130">
        <v>45546</v>
      </c>
      <c r="D171" s="129" t="s">
        <v>333</v>
      </c>
      <c r="E171" s="131">
        <v>132.26499999999999</v>
      </c>
      <c r="F171" s="129" t="s">
        <v>334</v>
      </c>
      <c r="G171" s="131">
        <v>2507.65</v>
      </c>
      <c r="H171" s="131">
        <v>331674.32724999997</v>
      </c>
      <c r="I171" s="132">
        <v>195648052.15822998</v>
      </c>
      <c r="J171" s="133" t="s">
        <v>335</v>
      </c>
      <c r="K171" s="133" t="s">
        <v>336</v>
      </c>
      <c r="L171" s="133" t="s">
        <v>337</v>
      </c>
      <c r="M171" s="133" t="s">
        <v>338</v>
      </c>
      <c r="N171" s="133" t="s">
        <v>337</v>
      </c>
      <c r="O171" s="133" t="s">
        <v>71</v>
      </c>
    </row>
    <row r="172" spans="1:15">
      <c r="A172" s="124" t="s">
        <v>70</v>
      </c>
      <c r="B172" s="124" t="s">
        <v>332</v>
      </c>
      <c r="C172" s="125">
        <v>45540</v>
      </c>
      <c r="D172" s="124" t="s">
        <v>333</v>
      </c>
      <c r="E172" s="126">
        <v>3432.8440000000001</v>
      </c>
      <c r="F172" s="124" t="s">
        <v>334</v>
      </c>
      <c r="G172" s="126">
        <v>2509.4499999999994</v>
      </c>
      <c r="H172" s="126">
        <v>8614550.3757999986</v>
      </c>
      <c r="I172" s="127">
        <v>5065355620.9703989</v>
      </c>
      <c r="J172" s="128" t="s">
        <v>335</v>
      </c>
      <c r="K172" s="128" t="s">
        <v>336</v>
      </c>
      <c r="L172" s="128" t="s">
        <v>337</v>
      </c>
      <c r="M172" s="128" t="s">
        <v>338</v>
      </c>
      <c r="N172" s="128" t="s">
        <v>337</v>
      </c>
      <c r="O172" s="128" t="s">
        <v>71</v>
      </c>
    </row>
    <row r="173" spans="1:15">
      <c r="A173" s="129" t="s">
        <v>70</v>
      </c>
      <c r="B173" s="129" t="s">
        <v>332</v>
      </c>
      <c r="C173" s="130">
        <v>45553</v>
      </c>
      <c r="D173" s="129" t="s">
        <v>333</v>
      </c>
      <c r="E173" s="131">
        <v>128.119</v>
      </c>
      <c r="F173" s="129" t="s">
        <v>334</v>
      </c>
      <c r="G173" s="131">
        <v>2570</v>
      </c>
      <c r="H173" s="131">
        <v>329265.83</v>
      </c>
      <c r="I173" s="132">
        <v>192850996.63100001</v>
      </c>
      <c r="J173" s="133" t="s">
        <v>335</v>
      </c>
      <c r="K173" s="133" t="s">
        <v>336</v>
      </c>
      <c r="L173" s="133" t="s">
        <v>337</v>
      </c>
      <c r="M173" s="133" t="s">
        <v>338</v>
      </c>
      <c r="N173" s="133" t="s">
        <v>337</v>
      </c>
      <c r="O173" s="133" t="s">
        <v>71</v>
      </c>
    </row>
    <row r="174" spans="1:15">
      <c r="A174" s="124" t="s">
        <v>70</v>
      </c>
      <c r="B174" s="124" t="s">
        <v>332</v>
      </c>
      <c r="C174" s="125">
        <v>45545</v>
      </c>
      <c r="D174" s="124" t="s">
        <v>333</v>
      </c>
      <c r="E174" s="126">
        <v>514.41200000000003</v>
      </c>
      <c r="F174" s="124" t="s">
        <v>334</v>
      </c>
      <c r="G174" s="126">
        <v>2506.3000000000002</v>
      </c>
      <c r="H174" s="126">
        <v>1289270.7956000001</v>
      </c>
      <c r="I174" s="127">
        <v>765375607.80794001</v>
      </c>
      <c r="J174" s="128" t="s">
        <v>335</v>
      </c>
      <c r="K174" s="128" t="s">
        <v>336</v>
      </c>
      <c r="L174" s="128" t="s">
        <v>337</v>
      </c>
      <c r="M174" s="128"/>
      <c r="N174" s="128" t="s">
        <v>342</v>
      </c>
      <c r="O174" s="128" t="s">
        <v>71</v>
      </c>
    </row>
    <row r="175" spans="1:15">
      <c r="A175" s="129" t="s">
        <v>70</v>
      </c>
      <c r="B175" s="129" t="s">
        <v>332</v>
      </c>
      <c r="C175" s="130">
        <v>45546</v>
      </c>
      <c r="D175" s="129" t="s">
        <v>333</v>
      </c>
      <c r="E175" s="131">
        <v>643.90800000000002</v>
      </c>
      <c r="F175" s="129" t="s">
        <v>334</v>
      </c>
      <c r="G175" s="131">
        <v>2507.65</v>
      </c>
      <c r="H175" s="131">
        <v>1614695.8962000001</v>
      </c>
      <c r="I175" s="132">
        <v>951055882.86180007</v>
      </c>
      <c r="J175" s="133" t="s">
        <v>335</v>
      </c>
      <c r="K175" s="133" t="s">
        <v>336</v>
      </c>
      <c r="L175" s="133" t="s">
        <v>337</v>
      </c>
      <c r="M175" s="133" t="s">
        <v>338</v>
      </c>
      <c r="N175" s="133" t="s">
        <v>337</v>
      </c>
      <c r="O175" s="133" t="s">
        <v>71</v>
      </c>
    </row>
    <row r="176" spans="1:15">
      <c r="A176" s="124" t="s">
        <v>70</v>
      </c>
      <c r="B176" s="124" t="s">
        <v>332</v>
      </c>
      <c r="C176" s="125">
        <v>45553</v>
      </c>
      <c r="D176" s="124" t="s">
        <v>333</v>
      </c>
      <c r="E176" s="126">
        <v>268.56</v>
      </c>
      <c r="F176" s="124" t="s">
        <v>334</v>
      </c>
      <c r="G176" s="126">
        <v>2570</v>
      </c>
      <c r="H176" s="126">
        <v>690199.2</v>
      </c>
      <c r="I176" s="127">
        <v>404249671.44</v>
      </c>
      <c r="J176" s="128" t="s">
        <v>335</v>
      </c>
      <c r="K176" s="128" t="s">
        <v>336</v>
      </c>
      <c r="L176" s="128" t="s">
        <v>337</v>
      </c>
      <c r="M176" s="128" t="s">
        <v>338</v>
      </c>
      <c r="N176" s="128" t="s">
        <v>337</v>
      </c>
      <c r="O176" s="128" t="s">
        <v>71</v>
      </c>
    </row>
    <row r="177" spans="1:15">
      <c r="A177" s="129" t="s">
        <v>70</v>
      </c>
      <c r="B177" s="129" t="s">
        <v>332</v>
      </c>
      <c r="C177" s="130">
        <v>45553</v>
      </c>
      <c r="D177" s="129" t="s">
        <v>333</v>
      </c>
      <c r="E177" s="131">
        <v>2455</v>
      </c>
      <c r="F177" s="129" t="s">
        <v>334</v>
      </c>
      <c r="G177" s="131">
        <v>2570</v>
      </c>
      <c r="H177" s="131">
        <v>6309350</v>
      </c>
      <c r="I177" s="132">
        <v>3695386295.0000005</v>
      </c>
      <c r="J177" s="133" t="s">
        <v>335</v>
      </c>
      <c r="K177" s="133" t="s">
        <v>336</v>
      </c>
      <c r="L177" s="133" t="s">
        <v>337</v>
      </c>
      <c r="M177" s="133" t="s">
        <v>338</v>
      </c>
      <c r="N177" s="133" t="s">
        <v>337</v>
      </c>
      <c r="O177" s="133" t="s">
        <v>71</v>
      </c>
    </row>
    <row r="178" spans="1:15">
      <c r="A178" s="124" t="s">
        <v>70</v>
      </c>
      <c r="B178" s="124" t="s">
        <v>332</v>
      </c>
      <c r="C178" s="125">
        <v>45558</v>
      </c>
      <c r="D178" s="124" t="s">
        <v>333</v>
      </c>
      <c r="E178" s="126">
        <v>783.33</v>
      </c>
      <c r="F178" s="124" t="s">
        <v>334</v>
      </c>
      <c r="G178" s="126">
        <v>2629.85</v>
      </c>
      <c r="H178" s="126">
        <v>2060040.4005</v>
      </c>
      <c r="I178" s="127">
        <v>1207183674.6930001</v>
      </c>
      <c r="J178" s="128" t="s">
        <v>335</v>
      </c>
      <c r="K178" s="128" t="s">
        <v>336</v>
      </c>
      <c r="L178" s="128" t="s">
        <v>337</v>
      </c>
      <c r="M178" s="128" t="s">
        <v>339</v>
      </c>
      <c r="N178" s="128" t="s">
        <v>340</v>
      </c>
      <c r="O178" s="128" t="s">
        <v>71</v>
      </c>
    </row>
    <row r="179" spans="1:15">
      <c r="A179" s="129" t="s">
        <v>70</v>
      </c>
      <c r="B179" s="129" t="s">
        <v>332</v>
      </c>
      <c r="C179" s="130">
        <v>45560</v>
      </c>
      <c r="D179" s="129" t="s">
        <v>333</v>
      </c>
      <c r="E179" s="131">
        <v>99.65</v>
      </c>
      <c r="F179" s="129" t="s">
        <v>334</v>
      </c>
      <c r="G179" s="131">
        <v>2661.35</v>
      </c>
      <c r="H179" s="131">
        <v>265203.52750000003</v>
      </c>
      <c r="I179" s="132">
        <v>155409267.11500001</v>
      </c>
      <c r="J179" s="133" t="s">
        <v>335</v>
      </c>
      <c r="K179" s="133" t="s">
        <v>336</v>
      </c>
      <c r="L179" s="133" t="s">
        <v>337</v>
      </c>
      <c r="M179" s="133" t="s">
        <v>338</v>
      </c>
      <c r="N179" s="133" t="s">
        <v>337</v>
      </c>
      <c r="O179" s="133" t="s">
        <v>71</v>
      </c>
    </row>
    <row r="180" spans="1:15">
      <c r="A180" s="124" t="s">
        <v>70</v>
      </c>
      <c r="B180" s="124" t="s">
        <v>332</v>
      </c>
      <c r="C180" s="125">
        <v>45559</v>
      </c>
      <c r="D180" s="124" t="s">
        <v>333</v>
      </c>
      <c r="E180" s="126">
        <v>3504.5529999999999</v>
      </c>
      <c r="F180" s="124" t="s">
        <v>334</v>
      </c>
      <c r="G180" s="126">
        <v>2635.85</v>
      </c>
      <c r="H180" s="126">
        <v>9237476.0250499994</v>
      </c>
      <c r="I180" s="127">
        <v>5403923474.6542492</v>
      </c>
      <c r="J180" s="128" t="s">
        <v>335</v>
      </c>
      <c r="K180" s="128" t="s">
        <v>336</v>
      </c>
      <c r="L180" s="128" t="s">
        <v>337</v>
      </c>
      <c r="M180" s="128" t="s">
        <v>338</v>
      </c>
      <c r="N180" s="128" t="s">
        <v>337</v>
      </c>
      <c r="O180" s="128" t="s">
        <v>71</v>
      </c>
    </row>
    <row r="181" spans="1:15">
      <c r="A181" s="129" t="s">
        <v>70</v>
      </c>
      <c r="B181" s="129" t="s">
        <v>332</v>
      </c>
      <c r="C181" s="130">
        <v>45561</v>
      </c>
      <c r="D181" s="129" t="s">
        <v>333</v>
      </c>
      <c r="E181" s="131">
        <v>1859.49</v>
      </c>
      <c r="F181" s="129" t="s">
        <v>334</v>
      </c>
      <c r="G181" s="131">
        <v>2663.65</v>
      </c>
      <c r="H181" s="131">
        <v>4953030.5384999998</v>
      </c>
      <c r="I181" s="132">
        <v>2901485289.4532995</v>
      </c>
      <c r="J181" s="133" t="s">
        <v>335</v>
      </c>
      <c r="K181" s="133" t="s">
        <v>336</v>
      </c>
      <c r="L181" s="133" t="s">
        <v>337</v>
      </c>
      <c r="M181" s="133" t="s">
        <v>338</v>
      </c>
      <c r="N181" s="133" t="s">
        <v>337</v>
      </c>
      <c r="O181" s="133" t="s">
        <v>71</v>
      </c>
    </row>
    <row r="182" spans="1:15">
      <c r="A182" s="124" t="s">
        <v>70</v>
      </c>
      <c r="B182" s="124" t="s">
        <v>332</v>
      </c>
      <c r="C182" s="125">
        <v>45562</v>
      </c>
      <c r="D182" s="124" t="s">
        <v>333</v>
      </c>
      <c r="E182" s="126">
        <v>800</v>
      </c>
      <c r="F182" s="124" t="s">
        <v>334</v>
      </c>
      <c r="G182" s="126">
        <v>2661.75</v>
      </c>
      <c r="H182" s="126">
        <v>2129400</v>
      </c>
      <c r="I182" s="127">
        <v>1258688340</v>
      </c>
      <c r="J182" s="128" t="s">
        <v>335</v>
      </c>
      <c r="K182" s="128" t="s">
        <v>336</v>
      </c>
      <c r="L182" s="128" t="s">
        <v>337</v>
      </c>
      <c r="M182" s="128" t="s">
        <v>338</v>
      </c>
      <c r="N182" s="128" t="s">
        <v>337</v>
      </c>
      <c r="O182" s="128" t="s">
        <v>71</v>
      </c>
    </row>
    <row r="183" spans="1:15">
      <c r="A183" s="129" t="s">
        <v>70</v>
      </c>
      <c r="B183" s="129" t="s">
        <v>332</v>
      </c>
      <c r="C183" s="130">
        <v>45565</v>
      </c>
      <c r="D183" s="129" t="s">
        <v>333</v>
      </c>
      <c r="E183" s="131">
        <v>2137.9409999999998</v>
      </c>
      <c r="F183" s="129" t="s">
        <v>334</v>
      </c>
      <c r="G183" s="131">
        <v>2632.5</v>
      </c>
      <c r="H183" s="131">
        <v>5628129.6824999992</v>
      </c>
      <c r="I183" s="132">
        <v>3326787455.3257499</v>
      </c>
      <c r="J183" s="133" t="s">
        <v>335</v>
      </c>
      <c r="K183" s="133" t="s">
        <v>336</v>
      </c>
      <c r="L183" s="133" t="s">
        <v>337</v>
      </c>
      <c r="M183" s="133" t="s">
        <v>338</v>
      </c>
      <c r="N183" s="133" t="s">
        <v>337</v>
      </c>
      <c r="O183" s="133" t="s">
        <v>71</v>
      </c>
    </row>
    <row r="184" spans="1:15">
      <c r="A184" s="124" t="s">
        <v>70</v>
      </c>
      <c r="B184" s="124" t="s">
        <v>332</v>
      </c>
      <c r="C184" s="125">
        <v>45546</v>
      </c>
      <c r="D184" s="124" t="s">
        <v>333</v>
      </c>
      <c r="E184" s="126">
        <v>9.9909999999999997</v>
      </c>
      <c r="F184" s="124" t="s">
        <v>334</v>
      </c>
      <c r="G184" s="126">
        <v>2507.65</v>
      </c>
      <c r="H184" s="126">
        <v>25053.93115</v>
      </c>
      <c r="I184" s="127">
        <v>14778812.906762</v>
      </c>
      <c r="J184" s="128" t="s">
        <v>335</v>
      </c>
      <c r="K184" s="128" t="s">
        <v>336</v>
      </c>
      <c r="L184" s="128" t="s">
        <v>337</v>
      </c>
      <c r="M184" s="128" t="s">
        <v>338</v>
      </c>
      <c r="N184" s="128" t="s">
        <v>337</v>
      </c>
      <c r="O184" s="128" t="s">
        <v>71</v>
      </c>
    </row>
    <row r="185" spans="1:15">
      <c r="A185" s="129" t="s">
        <v>70</v>
      </c>
      <c r="B185" s="129" t="s">
        <v>332</v>
      </c>
      <c r="C185" s="130">
        <v>45540</v>
      </c>
      <c r="D185" s="129" t="s">
        <v>333</v>
      </c>
      <c r="E185" s="131">
        <v>1151.153</v>
      </c>
      <c r="F185" s="129" t="s">
        <v>334</v>
      </c>
      <c r="G185" s="131">
        <v>2509.4499999999998</v>
      </c>
      <c r="H185" s="131">
        <v>2888760.89585</v>
      </c>
      <c r="I185" s="132">
        <v>1698591406.7598</v>
      </c>
      <c r="J185" s="133" t="s">
        <v>335</v>
      </c>
      <c r="K185" s="133" t="s">
        <v>336</v>
      </c>
      <c r="L185" s="133" t="s">
        <v>337</v>
      </c>
      <c r="M185" s="133" t="s">
        <v>338</v>
      </c>
      <c r="N185" s="133" t="s">
        <v>337</v>
      </c>
      <c r="O185" s="133" t="s">
        <v>71</v>
      </c>
    </row>
    <row r="186" spans="1:15">
      <c r="A186" s="124" t="s">
        <v>70</v>
      </c>
      <c r="B186" s="124" t="s">
        <v>332</v>
      </c>
      <c r="C186" s="125">
        <v>45553</v>
      </c>
      <c r="D186" s="124" t="s">
        <v>333</v>
      </c>
      <c r="E186" s="126">
        <v>49.189</v>
      </c>
      <c r="F186" s="124" t="s">
        <v>334</v>
      </c>
      <c r="G186" s="126">
        <v>2570</v>
      </c>
      <c r="H186" s="126">
        <v>126415.73</v>
      </c>
      <c r="I186" s="127">
        <v>74041693.061000004</v>
      </c>
      <c r="J186" s="128" t="s">
        <v>335</v>
      </c>
      <c r="K186" s="128" t="s">
        <v>336</v>
      </c>
      <c r="L186" s="128" t="s">
        <v>337</v>
      </c>
      <c r="M186" s="128" t="s">
        <v>338</v>
      </c>
      <c r="N186" s="128" t="s">
        <v>337</v>
      </c>
      <c r="O186" s="128" t="s">
        <v>71</v>
      </c>
    </row>
    <row r="187" spans="1:15">
      <c r="A187" s="129" t="s">
        <v>70</v>
      </c>
      <c r="B187" s="129" t="s">
        <v>332</v>
      </c>
      <c r="C187" s="130">
        <v>45546</v>
      </c>
      <c r="D187" s="129" t="s">
        <v>333</v>
      </c>
      <c r="E187" s="131">
        <v>424</v>
      </c>
      <c r="F187" s="129" t="s">
        <v>334</v>
      </c>
      <c r="G187" s="131">
        <v>2507.65</v>
      </c>
      <c r="H187" s="131">
        <v>1063243.6000000001</v>
      </c>
      <c r="I187" s="132">
        <v>626250480.4000001</v>
      </c>
      <c r="J187" s="133" t="s">
        <v>335</v>
      </c>
      <c r="K187" s="133" t="s">
        <v>336</v>
      </c>
      <c r="L187" s="133" t="s">
        <v>337</v>
      </c>
      <c r="M187" s="133" t="s">
        <v>338</v>
      </c>
      <c r="N187" s="133" t="s">
        <v>337</v>
      </c>
      <c r="O187" s="133" t="s">
        <v>71</v>
      </c>
    </row>
    <row r="188" spans="1:15">
      <c r="A188" s="124" t="s">
        <v>70</v>
      </c>
      <c r="B188" s="124" t="s">
        <v>332</v>
      </c>
      <c r="C188" s="125">
        <v>45553</v>
      </c>
      <c r="D188" s="124" t="s">
        <v>333</v>
      </c>
      <c r="E188" s="126">
        <v>11.914999999999999</v>
      </c>
      <c r="F188" s="124" t="s">
        <v>334</v>
      </c>
      <c r="G188" s="126">
        <v>2570</v>
      </c>
      <c r="H188" s="126">
        <v>30621.55</v>
      </c>
      <c r="I188" s="127">
        <v>17935041.835000001</v>
      </c>
      <c r="J188" s="128" t="s">
        <v>335</v>
      </c>
      <c r="K188" s="128" t="s">
        <v>336</v>
      </c>
      <c r="L188" s="128" t="s">
        <v>337</v>
      </c>
      <c r="M188" s="128" t="s">
        <v>338</v>
      </c>
      <c r="N188" s="128" t="s">
        <v>337</v>
      </c>
      <c r="O188" s="128" t="s">
        <v>71</v>
      </c>
    </row>
    <row r="189" spans="1:15">
      <c r="A189" s="129" t="s">
        <v>70</v>
      </c>
      <c r="B189" s="129" t="s">
        <v>332</v>
      </c>
      <c r="C189" s="130">
        <v>45553</v>
      </c>
      <c r="D189" s="129" t="s">
        <v>333</v>
      </c>
      <c r="E189" s="131">
        <v>797</v>
      </c>
      <c r="F189" s="129" t="s">
        <v>334</v>
      </c>
      <c r="G189" s="131">
        <v>2570</v>
      </c>
      <c r="H189" s="131">
        <v>2048290</v>
      </c>
      <c r="I189" s="132">
        <v>1199683453</v>
      </c>
      <c r="J189" s="133" t="s">
        <v>335</v>
      </c>
      <c r="K189" s="133" t="s">
        <v>336</v>
      </c>
      <c r="L189" s="133" t="s">
        <v>337</v>
      </c>
      <c r="M189" s="133" t="s">
        <v>338</v>
      </c>
      <c r="N189" s="133" t="s">
        <v>337</v>
      </c>
      <c r="O189" s="133" t="s">
        <v>71</v>
      </c>
    </row>
    <row r="190" spans="1:15">
      <c r="A190" s="124" t="s">
        <v>70</v>
      </c>
      <c r="B190" s="124" t="s">
        <v>332</v>
      </c>
      <c r="C190" s="125">
        <v>45560</v>
      </c>
      <c r="D190" s="124" t="s">
        <v>333</v>
      </c>
      <c r="E190" s="126">
        <v>37.798000000000002</v>
      </c>
      <c r="F190" s="124" t="s">
        <v>334</v>
      </c>
      <c r="G190" s="126">
        <v>2661.35</v>
      </c>
      <c r="H190" s="126">
        <v>100593.70729999999</v>
      </c>
      <c r="I190" s="127">
        <v>58947912.477799997</v>
      </c>
      <c r="J190" s="128" t="s">
        <v>335</v>
      </c>
      <c r="K190" s="128" t="s">
        <v>336</v>
      </c>
      <c r="L190" s="128" t="s">
        <v>337</v>
      </c>
      <c r="M190" s="128" t="s">
        <v>338</v>
      </c>
      <c r="N190" s="128" t="s">
        <v>337</v>
      </c>
      <c r="O190" s="128" t="s">
        <v>71</v>
      </c>
    </row>
    <row r="191" spans="1:15">
      <c r="A191" s="129" t="s">
        <v>70</v>
      </c>
      <c r="B191" s="129" t="s">
        <v>332</v>
      </c>
      <c r="C191" s="130">
        <v>45559</v>
      </c>
      <c r="D191" s="129" t="s">
        <v>333</v>
      </c>
      <c r="E191" s="131">
        <v>1161.4190000000001</v>
      </c>
      <c r="F191" s="129" t="s">
        <v>334</v>
      </c>
      <c r="G191" s="131">
        <v>2635.85</v>
      </c>
      <c r="H191" s="131">
        <v>3061326.2711499999</v>
      </c>
      <c r="I191" s="132">
        <v>1790875868.62275</v>
      </c>
      <c r="J191" s="133" t="s">
        <v>335</v>
      </c>
      <c r="K191" s="133" t="s">
        <v>336</v>
      </c>
      <c r="L191" s="133" t="s">
        <v>337</v>
      </c>
      <c r="M191" s="133" t="s">
        <v>338</v>
      </c>
      <c r="N191" s="133" t="s">
        <v>337</v>
      </c>
      <c r="O191" s="133" t="s">
        <v>71</v>
      </c>
    </row>
    <row r="192" spans="1:15">
      <c r="A192" s="124" t="s">
        <v>70</v>
      </c>
      <c r="B192" s="124" t="s">
        <v>332</v>
      </c>
      <c r="C192" s="125">
        <v>45561</v>
      </c>
      <c r="D192" s="124" t="s">
        <v>333</v>
      </c>
      <c r="E192" s="126">
        <v>447.17</v>
      </c>
      <c r="F192" s="124" t="s">
        <v>334</v>
      </c>
      <c r="G192" s="126">
        <v>2663.6500000000005</v>
      </c>
      <c r="H192" s="126">
        <v>1191104.3705000002</v>
      </c>
      <c r="I192" s="127">
        <v>697748940.23890007</v>
      </c>
      <c r="J192" s="128" t="s">
        <v>335</v>
      </c>
      <c r="K192" s="128" t="s">
        <v>336</v>
      </c>
      <c r="L192" s="128" t="s">
        <v>337</v>
      </c>
      <c r="M192" s="128" t="s">
        <v>338</v>
      </c>
      <c r="N192" s="128" t="s">
        <v>337</v>
      </c>
      <c r="O192" s="128" t="s">
        <v>71</v>
      </c>
    </row>
    <row r="193" spans="1:15">
      <c r="A193" s="129" t="s">
        <v>70</v>
      </c>
      <c r="B193" s="129" t="s">
        <v>332</v>
      </c>
      <c r="C193" s="130">
        <v>45562</v>
      </c>
      <c r="D193" s="129" t="s">
        <v>333</v>
      </c>
      <c r="E193" s="131">
        <v>200</v>
      </c>
      <c r="F193" s="129" t="s">
        <v>334</v>
      </c>
      <c r="G193" s="131">
        <v>2661.75</v>
      </c>
      <c r="H193" s="131">
        <v>532350</v>
      </c>
      <c r="I193" s="132">
        <v>314672085</v>
      </c>
      <c r="J193" s="133" t="s">
        <v>335</v>
      </c>
      <c r="K193" s="133" t="s">
        <v>336</v>
      </c>
      <c r="L193" s="133" t="s">
        <v>337</v>
      </c>
      <c r="M193" s="133" t="s">
        <v>338</v>
      </c>
      <c r="N193" s="133" t="s">
        <v>337</v>
      </c>
      <c r="O193" s="133" t="s">
        <v>71</v>
      </c>
    </row>
    <row r="194" spans="1:15">
      <c r="A194" s="124" t="s">
        <v>70</v>
      </c>
      <c r="B194" s="124" t="s">
        <v>332</v>
      </c>
      <c r="C194" s="125">
        <v>45565</v>
      </c>
      <c r="D194" s="124" t="s">
        <v>333</v>
      </c>
      <c r="E194" s="126">
        <v>666.08399999999995</v>
      </c>
      <c r="F194" s="124" t="s">
        <v>334</v>
      </c>
      <c r="G194" s="126">
        <v>2632.5</v>
      </c>
      <c r="H194" s="126">
        <v>1753466.13</v>
      </c>
      <c r="I194" s="127">
        <v>1036473829.443</v>
      </c>
      <c r="J194" s="128" t="s">
        <v>335</v>
      </c>
      <c r="K194" s="128" t="s">
        <v>336</v>
      </c>
      <c r="L194" s="128" t="s">
        <v>337</v>
      </c>
      <c r="M194" s="128" t="s">
        <v>338</v>
      </c>
      <c r="N194" s="128" t="s">
        <v>337</v>
      </c>
      <c r="O194" s="128" t="s">
        <v>71</v>
      </c>
    </row>
    <row r="195" spans="1:15">
      <c r="A195" s="129" t="s">
        <v>70</v>
      </c>
      <c r="B195" s="129" t="s">
        <v>332</v>
      </c>
      <c r="C195" s="130">
        <v>45546</v>
      </c>
      <c r="D195" s="129" t="s">
        <v>341</v>
      </c>
      <c r="E195" s="131">
        <v>119.79300000000001</v>
      </c>
      <c r="F195" s="129" t="s">
        <v>334</v>
      </c>
      <c r="G195" s="131">
        <v>28.819999999999997</v>
      </c>
      <c r="H195" s="131">
        <v>3452.43426</v>
      </c>
      <c r="I195" s="132">
        <v>2036521.9212888</v>
      </c>
      <c r="J195" s="133" t="s">
        <v>335</v>
      </c>
      <c r="K195" s="133" t="s">
        <v>336</v>
      </c>
      <c r="L195" s="133" t="s">
        <v>337</v>
      </c>
      <c r="M195" s="133" t="s">
        <v>338</v>
      </c>
      <c r="N195" s="133" t="s">
        <v>337</v>
      </c>
      <c r="O195" s="133" t="s">
        <v>71</v>
      </c>
    </row>
    <row r="196" spans="1:15">
      <c r="A196" s="124" t="s">
        <v>70</v>
      </c>
      <c r="B196" s="124" t="s">
        <v>332</v>
      </c>
      <c r="C196" s="125">
        <v>45553</v>
      </c>
      <c r="D196" s="124" t="s">
        <v>341</v>
      </c>
      <c r="E196" s="126">
        <v>107.339</v>
      </c>
      <c r="F196" s="124" t="s">
        <v>334</v>
      </c>
      <c r="G196" s="126">
        <v>30.589999999999996</v>
      </c>
      <c r="H196" s="126">
        <v>3283.5000099999997</v>
      </c>
      <c r="I196" s="127">
        <v>1923145.9558570001</v>
      </c>
      <c r="J196" s="128" t="s">
        <v>335</v>
      </c>
      <c r="K196" s="128" t="s">
        <v>336</v>
      </c>
      <c r="L196" s="128" t="s">
        <v>337</v>
      </c>
      <c r="M196" s="128" t="s">
        <v>338</v>
      </c>
      <c r="N196" s="128" t="s">
        <v>337</v>
      </c>
      <c r="O196" s="128" t="s">
        <v>71</v>
      </c>
    </row>
    <row r="197" spans="1:15">
      <c r="A197" s="129" t="s">
        <v>70</v>
      </c>
      <c r="B197" s="129" t="s">
        <v>332</v>
      </c>
      <c r="C197" s="130">
        <v>45553</v>
      </c>
      <c r="D197" s="129" t="s">
        <v>341</v>
      </c>
      <c r="E197" s="131">
        <v>131.68600000000001</v>
      </c>
      <c r="F197" s="129" t="s">
        <v>334</v>
      </c>
      <c r="G197" s="131">
        <v>30.59</v>
      </c>
      <c r="H197" s="131">
        <v>4028.2747400000003</v>
      </c>
      <c r="I197" s="132">
        <v>2359360.5152180004</v>
      </c>
      <c r="J197" s="133" t="s">
        <v>335</v>
      </c>
      <c r="K197" s="133" t="s">
        <v>336</v>
      </c>
      <c r="L197" s="133" t="s">
        <v>337</v>
      </c>
      <c r="M197" s="133" t="s">
        <v>338</v>
      </c>
      <c r="N197" s="133" t="s">
        <v>337</v>
      </c>
      <c r="O197" s="133" t="s">
        <v>71</v>
      </c>
    </row>
    <row r="198" spans="1:15">
      <c r="A198" s="124" t="s">
        <v>70</v>
      </c>
      <c r="B198" s="124" t="s">
        <v>332</v>
      </c>
      <c r="C198" s="125">
        <v>45560</v>
      </c>
      <c r="D198" s="124" t="s">
        <v>341</v>
      </c>
      <c r="E198" s="126">
        <v>135.833</v>
      </c>
      <c r="F198" s="124" t="s">
        <v>334</v>
      </c>
      <c r="G198" s="126">
        <v>31.850000000000005</v>
      </c>
      <c r="H198" s="126">
        <v>4326.2810500000005</v>
      </c>
      <c r="I198" s="127">
        <v>2535200.6953000003</v>
      </c>
      <c r="J198" s="128" t="s">
        <v>335</v>
      </c>
      <c r="K198" s="128" t="s">
        <v>336</v>
      </c>
      <c r="L198" s="128" t="s">
        <v>337</v>
      </c>
      <c r="M198" s="128" t="s">
        <v>338</v>
      </c>
      <c r="N198" s="128" t="s">
        <v>337</v>
      </c>
      <c r="O198" s="128" t="s">
        <v>71</v>
      </c>
    </row>
    <row r="199" spans="1:15">
      <c r="A199" s="129" t="s">
        <v>70</v>
      </c>
      <c r="B199" s="129" t="s">
        <v>332</v>
      </c>
      <c r="C199" s="130">
        <v>45546</v>
      </c>
      <c r="D199" s="129" t="s">
        <v>341</v>
      </c>
      <c r="E199" s="131">
        <v>158.46600000000001</v>
      </c>
      <c r="F199" s="129" t="s">
        <v>334</v>
      </c>
      <c r="G199" s="131">
        <v>28.82</v>
      </c>
      <c r="H199" s="131">
        <v>4566.9901200000004</v>
      </c>
      <c r="I199" s="132">
        <v>2693976.1319856001</v>
      </c>
      <c r="J199" s="133" t="s">
        <v>335</v>
      </c>
      <c r="K199" s="133" t="s">
        <v>336</v>
      </c>
      <c r="L199" s="133" t="s">
        <v>337</v>
      </c>
      <c r="M199" s="133" t="s">
        <v>338</v>
      </c>
      <c r="N199" s="133" t="s">
        <v>337</v>
      </c>
      <c r="O199" s="133" t="s">
        <v>71</v>
      </c>
    </row>
    <row r="200" spans="1:15">
      <c r="A200" s="124" t="s">
        <v>70</v>
      </c>
      <c r="B200" s="124" t="s">
        <v>332</v>
      </c>
      <c r="C200" s="125">
        <v>45553</v>
      </c>
      <c r="D200" s="124" t="s">
        <v>341</v>
      </c>
      <c r="E200" s="126">
        <v>139.286</v>
      </c>
      <c r="F200" s="124" t="s">
        <v>334</v>
      </c>
      <c r="G200" s="126">
        <v>30.59</v>
      </c>
      <c r="H200" s="126">
        <v>4260.7587400000002</v>
      </c>
      <c r="I200" s="127">
        <v>2495526.3940180005</v>
      </c>
      <c r="J200" s="128" t="s">
        <v>335</v>
      </c>
      <c r="K200" s="128" t="s">
        <v>336</v>
      </c>
      <c r="L200" s="128" t="s">
        <v>337</v>
      </c>
      <c r="M200" s="128" t="s">
        <v>338</v>
      </c>
      <c r="N200" s="128" t="s">
        <v>337</v>
      </c>
      <c r="O200" s="128" t="s">
        <v>71</v>
      </c>
    </row>
    <row r="201" spans="1:15">
      <c r="A201" s="129" t="s">
        <v>70</v>
      </c>
      <c r="B201" s="129" t="s">
        <v>332</v>
      </c>
      <c r="C201" s="130">
        <v>45553</v>
      </c>
      <c r="D201" s="129" t="s">
        <v>341</v>
      </c>
      <c r="E201" s="131">
        <v>53.064999999999998</v>
      </c>
      <c r="F201" s="129" t="s">
        <v>334</v>
      </c>
      <c r="G201" s="131">
        <v>30.59</v>
      </c>
      <c r="H201" s="131">
        <v>1623.2583499999998</v>
      </c>
      <c r="I201" s="132">
        <v>950742.41559500003</v>
      </c>
      <c r="J201" s="133" t="s">
        <v>335</v>
      </c>
      <c r="K201" s="133" t="s">
        <v>336</v>
      </c>
      <c r="L201" s="133" t="s">
        <v>337</v>
      </c>
      <c r="M201" s="133" t="s">
        <v>338</v>
      </c>
      <c r="N201" s="133" t="s">
        <v>337</v>
      </c>
      <c r="O201" s="133" t="s">
        <v>71</v>
      </c>
    </row>
    <row r="202" spans="1:15">
      <c r="A202" s="124" t="s">
        <v>70</v>
      </c>
      <c r="B202" s="124" t="s">
        <v>332</v>
      </c>
      <c r="C202" s="125">
        <v>45560</v>
      </c>
      <c r="D202" s="124" t="s">
        <v>341</v>
      </c>
      <c r="E202" s="126">
        <v>83.468999999999994</v>
      </c>
      <c r="F202" s="124" t="s">
        <v>334</v>
      </c>
      <c r="G202" s="126">
        <v>31.85</v>
      </c>
      <c r="H202" s="126">
        <v>2658.48765</v>
      </c>
      <c r="I202" s="127">
        <v>1557873.7629</v>
      </c>
      <c r="J202" s="128" t="s">
        <v>335</v>
      </c>
      <c r="K202" s="128" t="s">
        <v>336</v>
      </c>
      <c r="L202" s="128" t="s">
        <v>337</v>
      </c>
      <c r="M202" s="128" t="s">
        <v>338</v>
      </c>
      <c r="N202" s="128" t="s">
        <v>337</v>
      </c>
      <c r="O202" s="128" t="s">
        <v>71</v>
      </c>
    </row>
    <row r="203" spans="1:15">
      <c r="A203" s="129" t="s">
        <v>70</v>
      </c>
      <c r="B203" s="129" t="s">
        <v>332</v>
      </c>
      <c r="C203" s="130">
        <v>45574</v>
      </c>
      <c r="D203" s="129" t="s">
        <v>333</v>
      </c>
      <c r="E203" s="131">
        <v>102.44199999999999</v>
      </c>
      <c r="F203" s="129" t="s">
        <v>334</v>
      </c>
      <c r="G203" s="131">
        <v>2610.6</v>
      </c>
      <c r="H203" s="131">
        <v>267435.08519999997</v>
      </c>
      <c r="I203" s="132">
        <v>159966296.21237999</v>
      </c>
      <c r="J203" s="133" t="s">
        <v>335</v>
      </c>
      <c r="K203" s="133" t="s">
        <v>336</v>
      </c>
      <c r="L203" s="133" t="s">
        <v>337</v>
      </c>
      <c r="M203" s="133" t="s">
        <v>338</v>
      </c>
      <c r="N203" s="133" t="s">
        <v>337</v>
      </c>
      <c r="O203" s="133" t="s">
        <v>71</v>
      </c>
    </row>
    <row r="204" spans="1:15">
      <c r="A204" s="124" t="s">
        <v>70</v>
      </c>
      <c r="B204" s="124" t="s">
        <v>332</v>
      </c>
      <c r="C204" s="125">
        <v>45581</v>
      </c>
      <c r="D204" s="124" t="s">
        <v>333</v>
      </c>
      <c r="E204" s="126">
        <v>53.45</v>
      </c>
      <c r="F204" s="124" t="s">
        <v>334</v>
      </c>
      <c r="G204" s="126">
        <v>2675.15</v>
      </c>
      <c r="H204" s="126">
        <v>142986.76750000002</v>
      </c>
      <c r="I204" s="127">
        <v>86078034.035000011</v>
      </c>
      <c r="J204" s="128" t="s">
        <v>335</v>
      </c>
      <c r="K204" s="128" t="s">
        <v>336</v>
      </c>
      <c r="L204" s="128" t="s">
        <v>337</v>
      </c>
      <c r="M204" s="128" t="s">
        <v>338</v>
      </c>
      <c r="N204" s="128" t="s">
        <v>337</v>
      </c>
      <c r="O204" s="128" t="s">
        <v>71</v>
      </c>
    </row>
    <row r="205" spans="1:15">
      <c r="A205" s="129" t="s">
        <v>70</v>
      </c>
      <c r="B205" s="129" t="s">
        <v>332</v>
      </c>
      <c r="C205" s="130">
        <v>45574</v>
      </c>
      <c r="D205" s="129" t="s">
        <v>333</v>
      </c>
      <c r="E205" s="131">
        <v>73.694999999999993</v>
      </c>
      <c r="F205" s="129" t="s">
        <v>334</v>
      </c>
      <c r="G205" s="131">
        <v>2610.6</v>
      </c>
      <c r="H205" s="131">
        <v>192388.16699999999</v>
      </c>
      <c r="I205" s="132">
        <v>115076982.09104998</v>
      </c>
      <c r="J205" s="133" t="s">
        <v>335</v>
      </c>
      <c r="K205" s="133" t="s">
        <v>336</v>
      </c>
      <c r="L205" s="133" t="s">
        <v>337</v>
      </c>
      <c r="M205" s="133" t="s">
        <v>338</v>
      </c>
      <c r="N205" s="133" t="s">
        <v>337</v>
      </c>
      <c r="O205" s="133" t="s">
        <v>71</v>
      </c>
    </row>
    <row r="206" spans="1:15">
      <c r="A206" s="124" t="s">
        <v>70</v>
      </c>
      <c r="B206" s="124" t="s">
        <v>332</v>
      </c>
      <c r="C206" s="125">
        <v>45588</v>
      </c>
      <c r="D206" s="124" t="s">
        <v>333</v>
      </c>
      <c r="E206" s="126">
        <v>783.33</v>
      </c>
      <c r="F206" s="124" t="s">
        <v>334</v>
      </c>
      <c r="G206" s="126">
        <v>2736.35</v>
      </c>
      <c r="H206" s="126">
        <v>2143465.0455</v>
      </c>
      <c r="I206" s="127">
        <v>1297053568.3329601</v>
      </c>
      <c r="J206" s="128" t="s">
        <v>335</v>
      </c>
      <c r="K206" s="128" t="s">
        <v>336</v>
      </c>
      <c r="L206" s="128" t="s">
        <v>337</v>
      </c>
      <c r="M206" s="128" t="s">
        <v>339</v>
      </c>
      <c r="N206" s="128" t="s">
        <v>340</v>
      </c>
      <c r="O206" s="128" t="s">
        <v>71</v>
      </c>
    </row>
    <row r="207" spans="1:15">
      <c r="A207" s="129" t="s">
        <v>70</v>
      </c>
      <c r="B207" s="129" t="s">
        <v>332</v>
      </c>
      <c r="C207" s="130">
        <v>45595</v>
      </c>
      <c r="D207" s="129" t="s">
        <v>333</v>
      </c>
      <c r="E207" s="131">
        <v>2554.4389999999999</v>
      </c>
      <c r="F207" s="129" t="s">
        <v>334</v>
      </c>
      <c r="G207" s="131">
        <v>2777.7</v>
      </c>
      <c r="H207" s="131">
        <v>7095465.2102999995</v>
      </c>
      <c r="I207" s="132">
        <v>4254440940.09588</v>
      </c>
      <c r="J207" s="133" t="s">
        <v>335</v>
      </c>
      <c r="K207" s="133" t="s">
        <v>336</v>
      </c>
      <c r="L207" s="133" t="s">
        <v>337</v>
      </c>
      <c r="M207" s="133" t="s">
        <v>339</v>
      </c>
      <c r="N207" s="133" t="s">
        <v>340</v>
      </c>
      <c r="O207" s="133" t="s">
        <v>71</v>
      </c>
    </row>
    <row r="208" spans="1:15">
      <c r="A208" s="124" t="s">
        <v>70</v>
      </c>
      <c r="B208" s="124" t="s">
        <v>332</v>
      </c>
      <c r="C208" s="125">
        <v>45595</v>
      </c>
      <c r="D208" s="124" t="s">
        <v>333</v>
      </c>
      <c r="E208" s="126">
        <v>2913.9319999999998</v>
      </c>
      <c r="F208" s="124" t="s">
        <v>334</v>
      </c>
      <c r="G208" s="126">
        <v>2777.7</v>
      </c>
      <c r="H208" s="126">
        <v>8094028.9163999986</v>
      </c>
      <c r="I208" s="127">
        <v>4854798544.0567188</v>
      </c>
      <c r="J208" s="128" t="s">
        <v>335</v>
      </c>
      <c r="K208" s="128" t="s">
        <v>336</v>
      </c>
      <c r="L208" s="128" t="s">
        <v>337</v>
      </c>
      <c r="M208" s="128" t="s">
        <v>339</v>
      </c>
      <c r="N208" s="128" t="s">
        <v>340</v>
      </c>
      <c r="O208" s="128" t="s">
        <v>71</v>
      </c>
    </row>
    <row r="209" spans="1:15">
      <c r="A209" s="129" t="s">
        <v>70</v>
      </c>
      <c r="B209" s="129" t="s">
        <v>332</v>
      </c>
      <c r="C209" s="130">
        <v>45595</v>
      </c>
      <c r="D209" s="129" t="s">
        <v>333</v>
      </c>
      <c r="E209" s="131">
        <v>2474.0300000000002</v>
      </c>
      <c r="F209" s="129" t="s">
        <v>334</v>
      </c>
      <c r="G209" s="131">
        <v>2777.7</v>
      </c>
      <c r="H209" s="131">
        <v>6872113.1310000001</v>
      </c>
      <c r="I209" s="132">
        <v>4121481129.1859403</v>
      </c>
      <c r="J209" s="133" t="s">
        <v>335</v>
      </c>
      <c r="K209" s="133" t="s">
        <v>336</v>
      </c>
      <c r="L209" s="133" t="s">
        <v>337</v>
      </c>
      <c r="M209" s="133" t="s">
        <v>339</v>
      </c>
      <c r="N209" s="133" t="s">
        <v>340</v>
      </c>
      <c r="O209" s="133" t="s">
        <v>71</v>
      </c>
    </row>
    <row r="210" spans="1:15">
      <c r="A210" s="124" t="s">
        <v>70</v>
      </c>
      <c r="B210" s="124" t="s">
        <v>332</v>
      </c>
      <c r="C210" s="125">
        <v>45574</v>
      </c>
      <c r="D210" s="124" t="s">
        <v>333</v>
      </c>
      <c r="E210" s="126">
        <v>27.995000000000001</v>
      </c>
      <c r="F210" s="124" t="s">
        <v>334</v>
      </c>
      <c r="G210" s="126">
        <v>2610.6</v>
      </c>
      <c r="H210" s="126">
        <v>73083.747000000003</v>
      </c>
      <c r="I210" s="127">
        <v>43715043.26805</v>
      </c>
      <c r="J210" s="128" t="s">
        <v>335</v>
      </c>
      <c r="K210" s="128" t="s">
        <v>336</v>
      </c>
      <c r="L210" s="128" t="s">
        <v>337</v>
      </c>
      <c r="M210" s="128" t="s">
        <v>338</v>
      </c>
      <c r="N210" s="128" t="s">
        <v>337</v>
      </c>
      <c r="O210" s="128" t="s">
        <v>71</v>
      </c>
    </row>
    <row r="211" spans="1:15">
      <c r="A211" s="129" t="s">
        <v>70</v>
      </c>
      <c r="B211" s="129" t="s">
        <v>332</v>
      </c>
      <c r="C211" s="130">
        <v>45574</v>
      </c>
      <c r="D211" s="129" t="s">
        <v>333</v>
      </c>
      <c r="E211" s="131">
        <v>13.395</v>
      </c>
      <c r="F211" s="129" t="s">
        <v>334</v>
      </c>
      <c r="G211" s="131">
        <v>2610.6000000000004</v>
      </c>
      <c r="H211" s="131">
        <v>34968.987000000001</v>
      </c>
      <c r="I211" s="132">
        <v>20916699.574049998</v>
      </c>
      <c r="J211" s="133" t="s">
        <v>335</v>
      </c>
      <c r="K211" s="133" t="s">
        <v>336</v>
      </c>
      <c r="L211" s="133" t="s">
        <v>337</v>
      </c>
      <c r="M211" s="133" t="s">
        <v>338</v>
      </c>
      <c r="N211" s="133" t="s">
        <v>337</v>
      </c>
      <c r="O211" s="133" t="s">
        <v>71</v>
      </c>
    </row>
    <row r="212" spans="1:15">
      <c r="A212" s="124" t="s">
        <v>70</v>
      </c>
      <c r="B212" s="124" t="s">
        <v>332</v>
      </c>
      <c r="C212" s="125">
        <v>191685</v>
      </c>
      <c r="D212" s="124" t="s">
        <v>333</v>
      </c>
      <c r="E212" s="126">
        <v>21.484999999999999</v>
      </c>
      <c r="F212" s="124" t="s">
        <v>334</v>
      </c>
      <c r="G212" s="126">
        <v>2736.35</v>
      </c>
      <c r="H212" s="126">
        <v>58790.479749999999</v>
      </c>
      <c r="I212" s="127">
        <v>35509449.769000001</v>
      </c>
      <c r="J212" s="128" t="s">
        <v>335</v>
      </c>
      <c r="K212" s="128" t="s">
        <v>336</v>
      </c>
      <c r="L212" s="128" t="s">
        <v>337</v>
      </c>
      <c r="M212" s="128" t="s">
        <v>339</v>
      </c>
      <c r="N212" s="128" t="s">
        <v>340</v>
      </c>
      <c r="O212" s="128" t="s">
        <v>71</v>
      </c>
    </row>
    <row r="213" spans="1:15">
      <c r="A213" s="129" t="s">
        <v>70</v>
      </c>
      <c r="B213" s="129" t="s">
        <v>332</v>
      </c>
      <c r="C213" s="130">
        <v>45595</v>
      </c>
      <c r="D213" s="129" t="s">
        <v>333</v>
      </c>
      <c r="E213" s="131">
        <v>1589.8420000000001</v>
      </c>
      <c r="F213" s="129" t="s">
        <v>334</v>
      </c>
      <c r="G213" s="131">
        <v>2777.7</v>
      </c>
      <c r="H213" s="131">
        <v>4416104.1233999999</v>
      </c>
      <c r="I213" s="132">
        <v>2647896032.3906403</v>
      </c>
      <c r="J213" s="133" t="s">
        <v>335</v>
      </c>
      <c r="K213" s="133" t="s">
        <v>336</v>
      </c>
      <c r="L213" s="133" t="s">
        <v>337</v>
      </c>
      <c r="M213" s="133" t="s">
        <v>339</v>
      </c>
      <c r="N213" s="133" t="s">
        <v>340</v>
      </c>
      <c r="O213" s="133" t="s">
        <v>71</v>
      </c>
    </row>
    <row r="214" spans="1:15">
      <c r="A214" s="124" t="s">
        <v>70</v>
      </c>
      <c r="B214" s="124" t="s">
        <v>332</v>
      </c>
      <c r="C214" s="125">
        <v>45595</v>
      </c>
      <c r="D214" s="124" t="s">
        <v>333</v>
      </c>
      <c r="E214" s="126">
        <v>889.26099999999997</v>
      </c>
      <c r="F214" s="124" t="s">
        <v>334</v>
      </c>
      <c r="G214" s="126">
        <v>2777.7</v>
      </c>
      <c r="H214" s="126">
        <v>2470100.2796999998</v>
      </c>
      <c r="I214" s="127">
        <v>1481566147.7640598</v>
      </c>
      <c r="J214" s="128" t="s">
        <v>335</v>
      </c>
      <c r="K214" s="128" t="s">
        <v>336</v>
      </c>
      <c r="L214" s="128" t="s">
        <v>337</v>
      </c>
      <c r="M214" s="128" t="s">
        <v>339</v>
      </c>
      <c r="N214" s="128" t="s">
        <v>340</v>
      </c>
      <c r="O214" s="128" t="s">
        <v>71</v>
      </c>
    </row>
    <row r="215" spans="1:15">
      <c r="A215" s="129" t="s">
        <v>70</v>
      </c>
      <c r="B215" s="129" t="s">
        <v>332</v>
      </c>
      <c r="C215" s="130">
        <v>45595</v>
      </c>
      <c r="D215" s="129" t="s">
        <v>333</v>
      </c>
      <c r="E215" s="131">
        <v>1150.626</v>
      </c>
      <c r="F215" s="129" t="s">
        <v>334</v>
      </c>
      <c r="G215" s="131">
        <v>2777.7</v>
      </c>
      <c r="H215" s="131">
        <v>3196093.8401999995</v>
      </c>
      <c r="I215" s="132">
        <v>1917176890.0439699</v>
      </c>
      <c r="J215" s="133" t="s">
        <v>335</v>
      </c>
      <c r="K215" s="133" t="s">
        <v>336</v>
      </c>
      <c r="L215" s="133" t="s">
        <v>337</v>
      </c>
      <c r="M215" s="133" t="s">
        <v>339</v>
      </c>
      <c r="N215" s="133" t="s">
        <v>340</v>
      </c>
      <c r="O215" s="133" t="s">
        <v>71</v>
      </c>
    </row>
    <row r="216" spans="1:15">
      <c r="A216" s="124" t="s">
        <v>70</v>
      </c>
      <c r="B216" s="124" t="s">
        <v>332</v>
      </c>
      <c r="C216" s="125">
        <v>45574</v>
      </c>
      <c r="D216" s="124" t="s">
        <v>341</v>
      </c>
      <c r="E216" s="126">
        <v>189.834</v>
      </c>
      <c r="F216" s="124" t="s">
        <v>334</v>
      </c>
      <c r="G216" s="126">
        <v>30.684999999999999</v>
      </c>
      <c r="H216" s="126">
        <v>5825.0562899999995</v>
      </c>
      <c r="I216" s="127">
        <v>3484257.4198634997</v>
      </c>
      <c r="J216" s="128" t="s">
        <v>335</v>
      </c>
      <c r="K216" s="128" t="s">
        <v>336</v>
      </c>
      <c r="L216" s="128" t="s">
        <v>337</v>
      </c>
      <c r="M216" s="128" t="s">
        <v>338</v>
      </c>
      <c r="N216" s="128" t="s">
        <v>337</v>
      </c>
      <c r="O216" s="128" t="s">
        <v>71</v>
      </c>
    </row>
    <row r="217" spans="1:15">
      <c r="A217" s="129" t="s">
        <v>70</v>
      </c>
      <c r="B217" s="129" t="s">
        <v>332</v>
      </c>
      <c r="C217" s="130">
        <v>45581</v>
      </c>
      <c r="D217" s="129" t="s">
        <v>341</v>
      </c>
      <c r="E217" s="131">
        <v>79.319999999999993</v>
      </c>
      <c r="F217" s="129" t="s">
        <v>334</v>
      </c>
      <c r="G217" s="131">
        <v>31.794999999999998</v>
      </c>
      <c r="H217" s="131">
        <v>2521.9793999999997</v>
      </c>
      <c r="I217" s="132">
        <v>1518231.5987999998</v>
      </c>
      <c r="J217" s="133" t="s">
        <v>335</v>
      </c>
      <c r="K217" s="133" t="s">
        <v>336</v>
      </c>
      <c r="L217" s="133" t="s">
        <v>337</v>
      </c>
      <c r="M217" s="133" t="s">
        <v>338</v>
      </c>
      <c r="N217" s="133" t="s">
        <v>337</v>
      </c>
      <c r="O217" s="133" t="s">
        <v>71</v>
      </c>
    </row>
    <row r="218" spans="1:15">
      <c r="A218" s="124" t="s">
        <v>70</v>
      </c>
      <c r="B218" s="124" t="s">
        <v>332</v>
      </c>
      <c r="C218" s="125">
        <v>45574</v>
      </c>
      <c r="D218" s="124" t="s">
        <v>341</v>
      </c>
      <c r="E218" s="126">
        <v>114.892</v>
      </c>
      <c r="F218" s="124" t="s">
        <v>334</v>
      </c>
      <c r="G218" s="126">
        <v>30.684999999999999</v>
      </c>
      <c r="H218" s="126">
        <v>3525.4610199999997</v>
      </c>
      <c r="I218" s="127">
        <v>2108754.5091129998</v>
      </c>
      <c r="J218" s="128" t="s">
        <v>335</v>
      </c>
      <c r="K218" s="128" t="s">
        <v>336</v>
      </c>
      <c r="L218" s="128" t="s">
        <v>337</v>
      </c>
      <c r="M218" s="128" t="s">
        <v>338</v>
      </c>
      <c r="N218" s="128" t="s">
        <v>337</v>
      </c>
      <c r="O218" s="128" t="s">
        <v>71</v>
      </c>
    </row>
    <row r="219" spans="1:15">
      <c r="A219" s="129" t="s">
        <v>70</v>
      </c>
      <c r="B219" s="129" t="s">
        <v>332</v>
      </c>
      <c r="C219" s="130">
        <v>45587</v>
      </c>
      <c r="D219" s="129" t="s">
        <v>341</v>
      </c>
      <c r="E219" s="131">
        <v>119.316</v>
      </c>
      <c r="F219" s="129" t="s">
        <v>334</v>
      </c>
      <c r="G219" s="131">
        <v>34.204000000000001</v>
      </c>
      <c r="H219" s="131">
        <v>4081.084464</v>
      </c>
      <c r="I219" s="132">
        <v>2469545.8308556802</v>
      </c>
      <c r="J219" s="133" t="s">
        <v>335</v>
      </c>
      <c r="K219" s="133" t="s">
        <v>336</v>
      </c>
      <c r="L219" s="133" t="s">
        <v>337</v>
      </c>
      <c r="M219" s="133" t="s">
        <v>339</v>
      </c>
      <c r="N219" s="133" t="s">
        <v>340</v>
      </c>
      <c r="O219" s="133" t="s">
        <v>71</v>
      </c>
    </row>
    <row r="220" spans="1:15">
      <c r="A220" s="124" t="s">
        <v>70</v>
      </c>
      <c r="B220" s="124" t="s">
        <v>332</v>
      </c>
      <c r="C220" s="125">
        <v>45594</v>
      </c>
      <c r="D220" s="124" t="s">
        <v>341</v>
      </c>
      <c r="E220" s="126">
        <v>108.658</v>
      </c>
      <c r="F220" s="124" t="s">
        <v>334</v>
      </c>
      <c r="G220" s="126">
        <v>34.4</v>
      </c>
      <c r="H220" s="126">
        <v>3737.8352</v>
      </c>
      <c r="I220" s="127">
        <v>2241953.55296</v>
      </c>
      <c r="J220" s="128" t="s">
        <v>335</v>
      </c>
      <c r="K220" s="128" t="s">
        <v>336</v>
      </c>
      <c r="L220" s="128" t="s">
        <v>337</v>
      </c>
      <c r="M220" s="128" t="s">
        <v>339</v>
      </c>
      <c r="N220" s="128" t="s">
        <v>340</v>
      </c>
      <c r="O220" s="128" t="s">
        <v>71</v>
      </c>
    </row>
    <row r="221" spans="1:15">
      <c r="A221" s="129" t="s">
        <v>70</v>
      </c>
      <c r="B221" s="129" t="s">
        <v>332</v>
      </c>
      <c r="C221" s="130">
        <v>45595</v>
      </c>
      <c r="D221" s="129" t="s">
        <v>341</v>
      </c>
      <c r="E221" s="131">
        <v>127.161</v>
      </c>
      <c r="F221" s="129" t="s">
        <v>334</v>
      </c>
      <c r="G221" s="131">
        <v>34.228000000000002</v>
      </c>
      <c r="H221" s="131">
        <v>4352.4667079999999</v>
      </c>
      <c r="I221" s="132">
        <v>2610348.38345592</v>
      </c>
      <c r="J221" s="133" t="s">
        <v>335</v>
      </c>
      <c r="K221" s="133" t="s">
        <v>336</v>
      </c>
      <c r="L221" s="133" t="s">
        <v>337</v>
      </c>
      <c r="M221" s="133" t="s">
        <v>339</v>
      </c>
      <c r="N221" s="133" t="s">
        <v>340</v>
      </c>
      <c r="O221" s="133" t="s">
        <v>71</v>
      </c>
    </row>
    <row r="222" spans="1:15">
      <c r="A222" s="124" t="s">
        <v>70</v>
      </c>
      <c r="B222" s="124" t="s">
        <v>332</v>
      </c>
      <c r="C222" s="125">
        <v>45574</v>
      </c>
      <c r="D222" s="124" t="s">
        <v>341</v>
      </c>
      <c r="E222" s="126">
        <v>122.17</v>
      </c>
      <c r="F222" s="124" t="s">
        <v>334</v>
      </c>
      <c r="G222" s="126">
        <v>30.684999999999999</v>
      </c>
      <c r="H222" s="126">
        <v>3748.7864500000001</v>
      </c>
      <c r="I222" s="127">
        <v>2242336.6150675002</v>
      </c>
      <c r="J222" s="128" t="s">
        <v>335</v>
      </c>
      <c r="K222" s="128" t="s">
        <v>336</v>
      </c>
      <c r="L222" s="128" t="s">
        <v>337</v>
      </c>
      <c r="M222" s="128" t="s">
        <v>338</v>
      </c>
      <c r="N222" s="128" t="s">
        <v>337</v>
      </c>
      <c r="O222" s="128" t="s">
        <v>71</v>
      </c>
    </row>
    <row r="223" spans="1:15">
      <c r="A223" s="129" t="s">
        <v>70</v>
      </c>
      <c r="B223" s="129" t="s">
        <v>332</v>
      </c>
      <c r="C223" s="130">
        <v>45574</v>
      </c>
      <c r="D223" s="129" t="s">
        <v>341</v>
      </c>
      <c r="E223" s="131">
        <v>56.63</v>
      </c>
      <c r="F223" s="129" t="s">
        <v>334</v>
      </c>
      <c r="G223" s="131">
        <v>30.684999999999999</v>
      </c>
      <c r="H223" s="131">
        <v>1737.69155</v>
      </c>
      <c r="I223" s="132">
        <v>1039400.2006325</v>
      </c>
      <c r="J223" s="133" t="s">
        <v>335</v>
      </c>
      <c r="K223" s="133" t="s">
        <v>336</v>
      </c>
      <c r="L223" s="133" t="s">
        <v>337</v>
      </c>
      <c r="M223" s="133" t="s">
        <v>338</v>
      </c>
      <c r="N223" s="133" t="s">
        <v>337</v>
      </c>
      <c r="O223" s="133" t="s">
        <v>71</v>
      </c>
    </row>
    <row r="224" spans="1:15">
      <c r="A224" s="124" t="s">
        <v>70</v>
      </c>
      <c r="B224" s="124" t="s">
        <v>332</v>
      </c>
      <c r="C224" s="125">
        <v>45587</v>
      </c>
      <c r="D224" s="124" t="s">
        <v>341</v>
      </c>
      <c r="E224" s="126">
        <v>97.221999999999994</v>
      </c>
      <c r="F224" s="124" t="s">
        <v>334</v>
      </c>
      <c r="G224" s="126">
        <v>34.22</v>
      </c>
      <c r="H224" s="126">
        <v>3326.9368399999998</v>
      </c>
      <c r="I224" s="127">
        <v>2009469.85136</v>
      </c>
      <c r="J224" s="128" t="s">
        <v>335</v>
      </c>
      <c r="K224" s="128" t="s">
        <v>336</v>
      </c>
      <c r="L224" s="128" t="s">
        <v>337</v>
      </c>
      <c r="M224" s="128" t="s">
        <v>339</v>
      </c>
      <c r="N224" s="128" t="s">
        <v>340</v>
      </c>
      <c r="O224" s="128" t="s">
        <v>71</v>
      </c>
    </row>
    <row r="225" spans="1:15">
      <c r="A225" s="129" t="s">
        <v>70</v>
      </c>
      <c r="B225" s="129" t="s">
        <v>332</v>
      </c>
      <c r="C225" s="130">
        <v>45594</v>
      </c>
      <c r="D225" s="129" t="s">
        <v>341</v>
      </c>
      <c r="E225" s="131">
        <v>174.148</v>
      </c>
      <c r="F225" s="129" t="s">
        <v>334</v>
      </c>
      <c r="G225" s="131">
        <v>34.401000000000003</v>
      </c>
      <c r="H225" s="131">
        <v>5990.8653480000003</v>
      </c>
      <c r="I225" s="132">
        <v>3592122.8626608001</v>
      </c>
      <c r="J225" s="133" t="s">
        <v>335</v>
      </c>
      <c r="K225" s="133" t="s">
        <v>336</v>
      </c>
      <c r="L225" s="133" t="s">
        <v>337</v>
      </c>
      <c r="M225" s="133" t="s">
        <v>339</v>
      </c>
      <c r="N225" s="133" t="s">
        <v>340</v>
      </c>
      <c r="O225" s="133" t="s">
        <v>71</v>
      </c>
    </row>
    <row r="226" spans="1:15">
      <c r="A226" s="124" t="s">
        <v>70</v>
      </c>
      <c r="B226" s="124" t="s">
        <v>332</v>
      </c>
      <c r="C226" s="125">
        <v>45594</v>
      </c>
      <c r="D226" s="124" t="s">
        <v>341</v>
      </c>
      <c r="E226" s="126">
        <v>125.58799999999999</v>
      </c>
      <c r="F226" s="124" t="s">
        <v>334</v>
      </c>
      <c r="G226" s="126">
        <v>34.396999999999998</v>
      </c>
      <c r="H226" s="126">
        <v>4319.8504359999997</v>
      </c>
      <c r="I226" s="127">
        <v>2591046.2915127994</v>
      </c>
      <c r="J226" s="128" t="s">
        <v>335</v>
      </c>
      <c r="K226" s="128" t="s">
        <v>336</v>
      </c>
      <c r="L226" s="128" t="s">
        <v>337</v>
      </c>
      <c r="M226" s="128" t="s">
        <v>339</v>
      </c>
      <c r="N226" s="128" t="s">
        <v>340</v>
      </c>
      <c r="O226" s="128" t="s">
        <v>71</v>
      </c>
    </row>
    <row r="227" spans="1:15">
      <c r="A227" s="129" t="s">
        <v>70</v>
      </c>
      <c r="B227" s="129" t="s">
        <v>332</v>
      </c>
      <c r="C227" s="130">
        <v>45595</v>
      </c>
      <c r="D227" s="129" t="s">
        <v>341</v>
      </c>
      <c r="E227" s="131">
        <v>158.91999999999999</v>
      </c>
      <c r="F227" s="129" t="s">
        <v>334</v>
      </c>
      <c r="G227" s="131">
        <v>34.219000000000001</v>
      </c>
      <c r="H227" s="131">
        <v>5438.0834799999993</v>
      </c>
      <c r="I227" s="132">
        <v>3262034.3754779999</v>
      </c>
      <c r="J227" s="133" t="s">
        <v>335</v>
      </c>
      <c r="K227" s="133" t="s">
        <v>336</v>
      </c>
      <c r="L227" s="133" t="s">
        <v>337</v>
      </c>
      <c r="M227" s="133" t="s">
        <v>339</v>
      </c>
      <c r="N227" s="133" t="s">
        <v>340</v>
      </c>
      <c r="O227" s="133" t="s">
        <v>71</v>
      </c>
    </row>
    <row r="228" spans="1:15">
      <c r="A228" s="124" t="s">
        <v>70</v>
      </c>
      <c r="B228" s="124" t="s">
        <v>332</v>
      </c>
      <c r="C228" s="125">
        <v>45602</v>
      </c>
      <c r="D228" s="124" t="s">
        <v>343</v>
      </c>
      <c r="E228" s="126">
        <v>3200</v>
      </c>
      <c r="F228" s="124" t="s">
        <v>334</v>
      </c>
      <c r="G228" s="126">
        <v>2660.1</v>
      </c>
      <c r="H228" s="126">
        <v>8512320</v>
      </c>
      <c r="I228" s="127">
        <v>5152677542.4000006</v>
      </c>
      <c r="J228" s="128" t="s">
        <v>335</v>
      </c>
      <c r="K228" s="128" t="s">
        <v>336</v>
      </c>
      <c r="L228" s="128" t="s">
        <v>337</v>
      </c>
      <c r="M228" s="128" t="s">
        <v>339</v>
      </c>
      <c r="N228" s="128" t="s">
        <v>340</v>
      </c>
      <c r="O228" s="128" t="s">
        <v>71</v>
      </c>
    </row>
    <row r="229" spans="1:15">
      <c r="A229" s="129" t="s">
        <v>70</v>
      </c>
      <c r="B229" s="129" t="s">
        <v>332</v>
      </c>
      <c r="C229" s="130">
        <v>45616</v>
      </c>
      <c r="D229" s="129" t="s">
        <v>343</v>
      </c>
      <c r="E229" s="131">
        <v>114.61799999999999</v>
      </c>
      <c r="F229" s="129" t="s">
        <v>334</v>
      </c>
      <c r="G229" s="131">
        <v>2640.45</v>
      </c>
      <c r="H229" s="131">
        <v>302643.09809999994</v>
      </c>
      <c r="I229" s="132">
        <v>188906795.40303898</v>
      </c>
      <c r="J229" s="133" t="s">
        <v>335</v>
      </c>
      <c r="K229" s="133" t="s">
        <v>336</v>
      </c>
      <c r="L229" s="133" t="s">
        <v>337</v>
      </c>
      <c r="M229" s="133" t="s">
        <v>339</v>
      </c>
      <c r="N229" s="133" t="s">
        <v>340</v>
      </c>
      <c r="O229" s="133" t="s">
        <v>71</v>
      </c>
    </row>
    <row r="230" spans="1:15">
      <c r="A230" s="124" t="s">
        <v>70</v>
      </c>
      <c r="B230" s="124" t="s">
        <v>332</v>
      </c>
      <c r="C230" s="125">
        <v>45609</v>
      </c>
      <c r="D230" s="124" t="s">
        <v>343</v>
      </c>
      <c r="E230" s="126">
        <v>3719.8409999999999</v>
      </c>
      <c r="F230" s="124" t="s">
        <v>334</v>
      </c>
      <c r="G230" s="126">
        <v>2598.6499999999996</v>
      </c>
      <c r="H230" s="126">
        <v>9666564.8146499991</v>
      </c>
      <c r="I230" s="127">
        <v>5998103467.490324</v>
      </c>
      <c r="J230" s="128" t="s">
        <v>335</v>
      </c>
      <c r="K230" s="128" t="s">
        <v>336</v>
      </c>
      <c r="L230" s="128" t="s">
        <v>337</v>
      </c>
      <c r="M230" s="128" t="s">
        <v>339</v>
      </c>
      <c r="N230" s="128" t="s">
        <v>340</v>
      </c>
      <c r="O230" s="128" t="s">
        <v>71</v>
      </c>
    </row>
    <row r="231" spans="1:15">
      <c r="A231" s="129" t="s">
        <v>70</v>
      </c>
      <c r="B231" s="129" t="s">
        <v>332</v>
      </c>
      <c r="C231" s="130">
        <v>45609</v>
      </c>
      <c r="D231" s="129" t="s">
        <v>343</v>
      </c>
      <c r="E231" s="131">
        <v>2966.3780000000002</v>
      </c>
      <c r="F231" s="129" t="s">
        <v>334</v>
      </c>
      <c r="G231" s="131">
        <v>2598.65</v>
      </c>
      <c r="H231" s="131">
        <v>7708578.1897000009</v>
      </c>
      <c r="I231" s="132">
        <v>4776080874.7743273</v>
      </c>
      <c r="J231" s="133" t="s">
        <v>335</v>
      </c>
      <c r="K231" s="133" t="s">
        <v>336</v>
      </c>
      <c r="L231" s="133" t="s">
        <v>337</v>
      </c>
      <c r="M231" s="133" t="s">
        <v>339</v>
      </c>
      <c r="N231" s="133" t="s">
        <v>340</v>
      </c>
      <c r="O231" s="133" t="s">
        <v>71</v>
      </c>
    </row>
    <row r="232" spans="1:15">
      <c r="A232" s="124" t="s">
        <v>70</v>
      </c>
      <c r="B232" s="124" t="s">
        <v>332</v>
      </c>
      <c r="C232" s="125">
        <v>45616</v>
      </c>
      <c r="D232" s="124" t="s">
        <v>343</v>
      </c>
      <c r="E232" s="126">
        <v>86.424999999999997</v>
      </c>
      <c r="F232" s="124" t="s">
        <v>334</v>
      </c>
      <c r="G232" s="126">
        <v>2640.45</v>
      </c>
      <c r="H232" s="126">
        <v>228200.89124999999</v>
      </c>
      <c r="I232" s="127">
        <v>142417894.22021249</v>
      </c>
      <c r="J232" s="128" t="s">
        <v>335</v>
      </c>
      <c r="K232" s="128" t="s">
        <v>336</v>
      </c>
      <c r="L232" s="128" t="s">
        <v>337</v>
      </c>
      <c r="M232" s="128" t="s">
        <v>339</v>
      </c>
      <c r="N232" s="128" t="s">
        <v>340</v>
      </c>
      <c r="O232" s="128" t="s">
        <v>71</v>
      </c>
    </row>
    <row r="233" spans="1:15">
      <c r="A233" s="129" t="s">
        <v>70</v>
      </c>
      <c r="B233" s="129" t="s">
        <v>332</v>
      </c>
      <c r="C233" s="130">
        <v>45623</v>
      </c>
      <c r="D233" s="129" t="s">
        <v>343</v>
      </c>
      <c r="E233" s="131">
        <v>4116.67</v>
      </c>
      <c r="F233" s="129" t="s">
        <v>334</v>
      </c>
      <c r="G233" s="131">
        <v>2640.75</v>
      </c>
      <c r="H233" s="131">
        <v>10871096.3025</v>
      </c>
      <c r="I233" s="132">
        <v>6722468531.5399504</v>
      </c>
      <c r="J233" s="133" t="s">
        <v>335</v>
      </c>
      <c r="K233" s="133" t="s">
        <v>336</v>
      </c>
      <c r="L233" s="133" t="s">
        <v>337</v>
      </c>
      <c r="M233" s="133" t="s">
        <v>339</v>
      </c>
      <c r="N233" s="133" t="s">
        <v>340</v>
      </c>
      <c r="O233" s="133" t="s">
        <v>71</v>
      </c>
    </row>
    <row r="234" spans="1:15">
      <c r="A234" s="124" t="s">
        <v>70</v>
      </c>
      <c r="B234" s="124" t="s">
        <v>332</v>
      </c>
      <c r="C234" s="125">
        <v>45623</v>
      </c>
      <c r="D234" s="124" t="s">
        <v>343</v>
      </c>
      <c r="E234" s="126">
        <v>783.33</v>
      </c>
      <c r="F234" s="124" t="s">
        <v>334</v>
      </c>
      <c r="G234" s="126">
        <v>2640.75</v>
      </c>
      <c r="H234" s="126">
        <v>2068578.6975</v>
      </c>
      <c r="I234" s="127">
        <v>1279167694.9600501</v>
      </c>
      <c r="J234" s="128" t="s">
        <v>335</v>
      </c>
      <c r="K234" s="128" t="s">
        <v>336</v>
      </c>
      <c r="L234" s="128" t="s">
        <v>337</v>
      </c>
      <c r="M234" s="128" t="s">
        <v>339</v>
      </c>
      <c r="N234" s="128" t="s">
        <v>340</v>
      </c>
      <c r="O234" s="128" t="s">
        <v>71</v>
      </c>
    </row>
    <row r="235" spans="1:15">
      <c r="A235" s="129" t="s">
        <v>70</v>
      </c>
      <c r="B235" s="129" t="s">
        <v>332</v>
      </c>
      <c r="C235" s="130">
        <v>45602</v>
      </c>
      <c r="D235" s="129" t="s">
        <v>343</v>
      </c>
      <c r="E235" s="131">
        <v>14.481999999999999</v>
      </c>
      <c r="F235" s="129" t="s">
        <v>334</v>
      </c>
      <c r="G235" s="131">
        <v>2660.1</v>
      </c>
      <c r="H235" s="131">
        <v>38523.568199999994</v>
      </c>
      <c r="I235" s="132">
        <v>23383805.897399995</v>
      </c>
      <c r="J235" s="133" t="s">
        <v>335</v>
      </c>
      <c r="K235" s="133" t="s">
        <v>336</v>
      </c>
      <c r="L235" s="133" t="s">
        <v>337</v>
      </c>
      <c r="M235" s="133" t="s">
        <v>338</v>
      </c>
      <c r="N235" s="133" t="s">
        <v>337</v>
      </c>
      <c r="O235" s="133" t="s">
        <v>71</v>
      </c>
    </row>
    <row r="236" spans="1:15">
      <c r="A236" s="124" t="s">
        <v>70</v>
      </c>
      <c r="B236" s="124" t="s">
        <v>332</v>
      </c>
      <c r="C236" s="125">
        <v>45609</v>
      </c>
      <c r="D236" s="124" t="s">
        <v>343</v>
      </c>
      <c r="E236" s="126">
        <v>3.7370000000000001</v>
      </c>
      <c r="F236" s="124" t="s">
        <v>334</v>
      </c>
      <c r="G236" s="126">
        <v>2598.65</v>
      </c>
      <c r="H236" s="126">
        <v>9711.1550500000012</v>
      </c>
      <c r="I236" s="127">
        <v>5948364.0916214511</v>
      </c>
      <c r="J236" s="128" t="s">
        <v>335</v>
      </c>
      <c r="K236" s="128" t="s">
        <v>336</v>
      </c>
      <c r="L236" s="128" t="s">
        <v>337</v>
      </c>
      <c r="M236" s="128" t="s">
        <v>338</v>
      </c>
      <c r="N236" s="128" t="s">
        <v>337</v>
      </c>
      <c r="O236" s="128" t="s">
        <v>71</v>
      </c>
    </row>
    <row r="237" spans="1:15">
      <c r="A237" s="129" t="s">
        <v>70</v>
      </c>
      <c r="B237" s="129" t="s">
        <v>332</v>
      </c>
      <c r="C237" s="130">
        <v>45602</v>
      </c>
      <c r="D237" s="129" t="s">
        <v>343</v>
      </c>
      <c r="E237" s="131">
        <v>195.446</v>
      </c>
      <c r="F237" s="129" t="s">
        <v>334</v>
      </c>
      <c r="G237" s="131">
        <v>2660.1</v>
      </c>
      <c r="H237" s="131">
        <v>519905.90459999995</v>
      </c>
      <c r="I237" s="132">
        <v>314709442.172472</v>
      </c>
      <c r="J237" s="133" t="s">
        <v>335</v>
      </c>
      <c r="K237" s="133" t="s">
        <v>336</v>
      </c>
      <c r="L237" s="133" t="s">
        <v>337</v>
      </c>
      <c r="M237" s="133" t="s">
        <v>339</v>
      </c>
      <c r="N237" s="133" t="s">
        <v>340</v>
      </c>
      <c r="O237" s="133" t="s">
        <v>71</v>
      </c>
    </row>
    <row r="238" spans="1:15">
      <c r="A238" s="124" t="s">
        <v>70</v>
      </c>
      <c r="B238" s="124" t="s">
        <v>332</v>
      </c>
      <c r="C238" s="125">
        <v>45609</v>
      </c>
      <c r="D238" s="124" t="s">
        <v>343</v>
      </c>
      <c r="E238" s="126">
        <v>762.63199999999995</v>
      </c>
      <c r="F238" s="124" t="s">
        <v>334</v>
      </c>
      <c r="G238" s="126">
        <v>2598.65</v>
      </c>
      <c r="H238" s="126">
        <v>1981813.6468</v>
      </c>
      <c r="I238" s="127">
        <v>1224562652.3577199</v>
      </c>
      <c r="J238" s="128" t="s">
        <v>335</v>
      </c>
      <c r="K238" s="128" t="s">
        <v>336</v>
      </c>
      <c r="L238" s="128" t="s">
        <v>337</v>
      </c>
      <c r="M238" s="128" t="s">
        <v>339</v>
      </c>
      <c r="N238" s="128" t="s">
        <v>340</v>
      </c>
      <c r="O238" s="128" t="s">
        <v>71</v>
      </c>
    </row>
    <row r="239" spans="1:15">
      <c r="A239" s="129" t="s">
        <v>70</v>
      </c>
      <c r="B239" s="129" t="s">
        <v>332</v>
      </c>
      <c r="C239" s="130">
        <v>45609</v>
      </c>
      <c r="D239" s="129" t="s">
        <v>343</v>
      </c>
      <c r="E239" s="131">
        <v>1698.375</v>
      </c>
      <c r="F239" s="129" t="s">
        <v>334</v>
      </c>
      <c r="G239" s="131">
        <v>2598.6500000000005</v>
      </c>
      <c r="H239" s="131">
        <v>4413482.1937500006</v>
      </c>
      <c r="I239" s="132">
        <v>2738565701.2218752</v>
      </c>
      <c r="J239" s="133" t="s">
        <v>335</v>
      </c>
      <c r="K239" s="133" t="s">
        <v>336</v>
      </c>
      <c r="L239" s="133" t="s">
        <v>337</v>
      </c>
      <c r="M239" s="133" t="s">
        <v>339</v>
      </c>
      <c r="N239" s="133" t="s">
        <v>340</v>
      </c>
      <c r="O239" s="133" t="s">
        <v>71</v>
      </c>
    </row>
    <row r="240" spans="1:15">
      <c r="A240" s="124" t="s">
        <v>70</v>
      </c>
      <c r="B240" s="124" t="s">
        <v>332</v>
      </c>
      <c r="C240" s="125">
        <v>1381.2170000000001</v>
      </c>
      <c r="D240" s="124" t="s">
        <v>343</v>
      </c>
      <c r="E240" s="126">
        <v>1381.2170000000001</v>
      </c>
      <c r="F240" s="124" t="s">
        <v>334</v>
      </c>
      <c r="G240" s="126">
        <v>2598.65</v>
      </c>
      <c r="H240" s="126">
        <v>3589299.5570500004</v>
      </c>
      <c r="I240" s="127">
        <v>2223858219.5570393</v>
      </c>
      <c r="J240" s="128" t="s">
        <v>335</v>
      </c>
      <c r="K240" s="128" t="s">
        <v>336</v>
      </c>
      <c r="L240" s="128" t="s">
        <v>337</v>
      </c>
      <c r="M240" s="128" t="s">
        <v>339</v>
      </c>
      <c r="N240" s="128" t="s">
        <v>340</v>
      </c>
      <c r="O240" s="128" t="s">
        <v>71</v>
      </c>
    </row>
    <row r="241" spans="1:15">
      <c r="A241" s="129" t="s">
        <v>70</v>
      </c>
      <c r="B241" s="129" t="s">
        <v>332</v>
      </c>
      <c r="C241" s="130">
        <v>45616</v>
      </c>
      <c r="D241" s="129" t="s">
        <v>343</v>
      </c>
      <c r="E241" s="131">
        <v>37.716999999999999</v>
      </c>
      <c r="F241" s="129" t="s">
        <v>334</v>
      </c>
      <c r="G241" s="131">
        <v>2640.45</v>
      </c>
      <c r="H241" s="131">
        <v>99589.852649999986</v>
      </c>
      <c r="I241" s="132">
        <v>62153031.140338495</v>
      </c>
      <c r="J241" s="133" t="s">
        <v>335</v>
      </c>
      <c r="K241" s="133" t="s">
        <v>336</v>
      </c>
      <c r="L241" s="133" t="s">
        <v>337</v>
      </c>
      <c r="M241" s="133" t="s">
        <v>339</v>
      </c>
      <c r="N241" s="133" t="s">
        <v>340</v>
      </c>
      <c r="O241" s="133" t="s">
        <v>71</v>
      </c>
    </row>
    <row r="242" spans="1:15">
      <c r="A242" s="124" t="s">
        <v>70</v>
      </c>
      <c r="B242" s="124" t="s">
        <v>332</v>
      </c>
      <c r="C242" s="125">
        <v>45623</v>
      </c>
      <c r="D242" s="124" t="s">
        <v>343</v>
      </c>
      <c r="E242" s="126">
        <v>1600</v>
      </c>
      <c r="F242" s="124" t="s">
        <v>334</v>
      </c>
      <c r="G242" s="126">
        <v>2640.75</v>
      </c>
      <c r="H242" s="126">
        <v>4225200</v>
      </c>
      <c r="I242" s="127">
        <v>2612779176</v>
      </c>
      <c r="J242" s="128" t="s">
        <v>335</v>
      </c>
      <c r="K242" s="128" t="s">
        <v>336</v>
      </c>
      <c r="L242" s="128" t="s">
        <v>337</v>
      </c>
      <c r="M242" s="128" t="s">
        <v>339</v>
      </c>
      <c r="N242" s="128" t="s">
        <v>340</v>
      </c>
      <c r="O242" s="128" t="s">
        <v>71</v>
      </c>
    </row>
    <row r="243" spans="1:15">
      <c r="A243" s="129" t="s">
        <v>70</v>
      </c>
      <c r="B243" s="129" t="s">
        <v>332</v>
      </c>
      <c r="C243" s="130">
        <v>45615</v>
      </c>
      <c r="D243" s="129" t="s">
        <v>344</v>
      </c>
      <c r="E243" s="131">
        <v>112.648</v>
      </c>
      <c r="F243" s="129" t="s">
        <v>334</v>
      </c>
      <c r="G243" s="131">
        <v>31.213000000000001</v>
      </c>
      <c r="H243" s="131">
        <v>3516.0820239999998</v>
      </c>
      <c r="I243" s="132">
        <v>2194703.2385605602</v>
      </c>
      <c r="J243" s="133" t="s">
        <v>335</v>
      </c>
      <c r="K243" s="133" t="s">
        <v>336</v>
      </c>
      <c r="L243" s="133" t="s">
        <v>337</v>
      </c>
      <c r="M243" s="133" t="s">
        <v>339</v>
      </c>
      <c r="N243" s="133" t="s">
        <v>340</v>
      </c>
      <c r="O243" s="133" t="s">
        <v>71</v>
      </c>
    </row>
    <row r="244" spans="1:15">
      <c r="A244" s="124" t="s">
        <v>70</v>
      </c>
      <c r="B244" s="124" t="s">
        <v>332</v>
      </c>
      <c r="C244" s="125">
        <v>45609</v>
      </c>
      <c r="D244" s="124" t="s">
        <v>344</v>
      </c>
      <c r="E244" s="126">
        <v>123.413</v>
      </c>
      <c r="F244" s="124" t="s">
        <v>334</v>
      </c>
      <c r="G244" s="126">
        <v>30.670999999999999</v>
      </c>
      <c r="H244" s="126">
        <v>3785.2001229999996</v>
      </c>
      <c r="I244" s="127">
        <v>2348716.6763215</v>
      </c>
      <c r="J244" s="128" t="s">
        <v>335</v>
      </c>
      <c r="K244" s="128" t="s">
        <v>336</v>
      </c>
      <c r="L244" s="128" t="s">
        <v>337</v>
      </c>
      <c r="M244" s="128" t="s">
        <v>339</v>
      </c>
      <c r="N244" s="128" t="s">
        <v>340</v>
      </c>
      <c r="O244" s="128" t="s">
        <v>71</v>
      </c>
    </row>
    <row r="245" spans="1:15">
      <c r="A245" s="129" t="s">
        <v>70</v>
      </c>
      <c r="B245" s="129" t="s">
        <v>332</v>
      </c>
      <c r="C245" s="130">
        <v>45615</v>
      </c>
      <c r="D245" s="129" t="s">
        <v>344</v>
      </c>
      <c r="E245" s="131">
        <v>112.747</v>
      </c>
      <c r="F245" s="129" t="s">
        <v>334</v>
      </c>
      <c r="G245" s="131">
        <v>31.173999999999999</v>
      </c>
      <c r="H245" s="131">
        <v>3514.7749779999999</v>
      </c>
      <c r="I245" s="132">
        <v>2193535.9160200199</v>
      </c>
      <c r="J245" s="133" t="s">
        <v>335</v>
      </c>
      <c r="K245" s="133" t="s">
        <v>336</v>
      </c>
      <c r="L245" s="133" t="s">
        <v>337</v>
      </c>
      <c r="M245" s="133" t="s">
        <v>339</v>
      </c>
      <c r="N245" s="133" t="s">
        <v>340</v>
      </c>
      <c r="O245" s="133" t="s">
        <v>71</v>
      </c>
    </row>
    <row r="246" spans="1:15">
      <c r="A246" s="124" t="s">
        <v>70</v>
      </c>
      <c r="B246" s="124" t="s">
        <v>332</v>
      </c>
      <c r="C246" s="125">
        <v>45602</v>
      </c>
      <c r="D246" s="124" t="s">
        <v>344</v>
      </c>
      <c r="E246" s="126">
        <v>1.663</v>
      </c>
      <c r="F246" s="124" t="s">
        <v>334</v>
      </c>
      <c r="G246" s="126">
        <v>31.8</v>
      </c>
      <c r="H246" s="126">
        <v>52.883400000000002</v>
      </c>
      <c r="I246" s="127">
        <v>32100.2238</v>
      </c>
      <c r="J246" s="128" t="s">
        <v>335</v>
      </c>
      <c r="K246" s="128" t="s">
        <v>336</v>
      </c>
      <c r="L246" s="128" t="s">
        <v>337</v>
      </c>
      <c r="M246" s="128" t="s">
        <v>338</v>
      </c>
      <c r="N246" s="128" t="s">
        <v>337</v>
      </c>
      <c r="O246" s="128" t="s">
        <v>71</v>
      </c>
    </row>
    <row r="247" spans="1:15">
      <c r="A247" s="129" t="s">
        <v>70</v>
      </c>
      <c r="B247" s="129" t="s">
        <v>332</v>
      </c>
      <c r="C247" s="130">
        <v>45609</v>
      </c>
      <c r="D247" s="129" t="s">
        <v>344</v>
      </c>
      <c r="E247" s="131">
        <v>0.95299999999999996</v>
      </c>
      <c r="F247" s="129" t="s">
        <v>334</v>
      </c>
      <c r="G247" s="131">
        <v>30.91</v>
      </c>
      <c r="H247" s="131">
        <v>29.457229999999999</v>
      </c>
      <c r="I247" s="132">
        <v>18043.407634669999</v>
      </c>
      <c r="J247" s="133" t="s">
        <v>335</v>
      </c>
      <c r="K247" s="133" t="s">
        <v>336</v>
      </c>
      <c r="L247" s="133" t="s">
        <v>337</v>
      </c>
      <c r="M247" s="133" t="s">
        <v>338</v>
      </c>
      <c r="N247" s="133" t="s">
        <v>337</v>
      </c>
      <c r="O247" s="133" t="s">
        <v>71</v>
      </c>
    </row>
    <row r="248" spans="1:15">
      <c r="A248" s="124" t="s">
        <v>70</v>
      </c>
      <c r="B248" s="124" t="s">
        <v>332</v>
      </c>
      <c r="C248" s="125">
        <v>45608</v>
      </c>
      <c r="D248" s="124" t="s">
        <v>344</v>
      </c>
      <c r="E248" s="126">
        <v>113.71599999999999</v>
      </c>
      <c r="F248" s="124" t="s">
        <v>334</v>
      </c>
      <c r="G248" s="126">
        <v>30.658000000000001</v>
      </c>
      <c r="H248" s="126">
        <v>3486.305128</v>
      </c>
      <c r="I248" s="127">
        <v>2154187.9385911999</v>
      </c>
      <c r="J248" s="128" t="s">
        <v>335</v>
      </c>
      <c r="K248" s="128" t="s">
        <v>336</v>
      </c>
      <c r="L248" s="128" t="s">
        <v>337</v>
      </c>
      <c r="M248" s="128" t="s">
        <v>339</v>
      </c>
      <c r="N248" s="128" t="s">
        <v>340</v>
      </c>
      <c r="O248" s="128" t="s">
        <v>71</v>
      </c>
    </row>
    <row r="249" spans="1:15">
      <c r="A249" s="129" t="s">
        <v>70</v>
      </c>
      <c r="B249" s="129" t="s">
        <v>332</v>
      </c>
      <c r="C249" s="130">
        <v>45609</v>
      </c>
      <c r="D249" s="129" t="s">
        <v>344</v>
      </c>
      <c r="E249" s="131">
        <v>219.512</v>
      </c>
      <c r="F249" s="129" t="s">
        <v>334</v>
      </c>
      <c r="G249" s="131">
        <v>30.663</v>
      </c>
      <c r="H249" s="131">
        <v>6730.8964560000004</v>
      </c>
      <c r="I249" s="132">
        <v>4176521.2509480002</v>
      </c>
      <c r="J249" s="133" t="s">
        <v>335</v>
      </c>
      <c r="K249" s="133" t="s">
        <v>336</v>
      </c>
      <c r="L249" s="133" t="s">
        <v>337</v>
      </c>
      <c r="M249" s="133" t="s">
        <v>339</v>
      </c>
      <c r="N249" s="133" t="s">
        <v>340</v>
      </c>
      <c r="O249" s="133" t="s">
        <v>71</v>
      </c>
    </row>
    <row r="250" spans="1:15">
      <c r="A250" s="124" t="s">
        <v>70</v>
      </c>
      <c r="B250" s="124" t="s">
        <v>332</v>
      </c>
      <c r="C250" s="125">
        <v>45615</v>
      </c>
      <c r="D250" s="124" t="s">
        <v>344</v>
      </c>
      <c r="E250" s="126">
        <v>150.947</v>
      </c>
      <c r="F250" s="124" t="s">
        <v>334</v>
      </c>
      <c r="G250" s="126">
        <v>31.164999999999999</v>
      </c>
      <c r="H250" s="126">
        <v>4704.2632549999998</v>
      </c>
      <c r="I250" s="127">
        <v>2935883.6548129502</v>
      </c>
      <c r="J250" s="128" t="s">
        <v>335</v>
      </c>
      <c r="K250" s="128" t="s">
        <v>336</v>
      </c>
      <c r="L250" s="128" t="s">
        <v>337</v>
      </c>
      <c r="M250" s="128" t="s">
        <v>339</v>
      </c>
      <c r="N250" s="128" t="s">
        <v>340</v>
      </c>
      <c r="O250" s="128" t="s">
        <v>71</v>
      </c>
    </row>
    <row r="251" spans="1:15">
      <c r="A251" s="129" t="s">
        <v>70</v>
      </c>
      <c r="B251" s="129" t="s">
        <v>332</v>
      </c>
      <c r="C251" s="130">
        <v>45630</v>
      </c>
      <c r="D251" s="129" t="s">
        <v>343</v>
      </c>
      <c r="E251" s="131">
        <v>171.01599999999999</v>
      </c>
      <c r="F251" s="129" t="s">
        <v>334</v>
      </c>
      <c r="G251" s="131">
        <v>2648.5500036216195</v>
      </c>
      <c r="H251" s="131">
        <v>452944.42741935485</v>
      </c>
      <c r="I251" s="132">
        <v>280825545</v>
      </c>
      <c r="J251" s="133" t="s">
        <v>335</v>
      </c>
      <c r="K251" s="133" t="s">
        <v>336</v>
      </c>
      <c r="L251" s="133" t="s">
        <v>337</v>
      </c>
      <c r="M251" s="133" t="s">
        <v>339</v>
      </c>
      <c r="N251" s="133" t="s">
        <v>340</v>
      </c>
      <c r="O251" s="133" t="s">
        <v>71</v>
      </c>
    </row>
    <row r="252" spans="1:15">
      <c r="A252" s="124" t="s">
        <v>70</v>
      </c>
      <c r="B252" s="124" t="s">
        <v>332</v>
      </c>
      <c r="C252" s="125">
        <v>45630</v>
      </c>
      <c r="D252" s="124" t="s">
        <v>343</v>
      </c>
      <c r="E252" s="126">
        <v>2054.4380000000001</v>
      </c>
      <c r="F252" s="124" t="s">
        <v>334</v>
      </c>
      <c r="G252" s="126">
        <v>2648.5499998131504</v>
      </c>
      <c r="H252" s="126">
        <v>5441281.7645161292</v>
      </c>
      <c r="I252" s="127">
        <v>3373594694</v>
      </c>
      <c r="J252" s="128" t="s">
        <v>335</v>
      </c>
      <c r="K252" s="128" t="s">
        <v>336</v>
      </c>
      <c r="L252" s="128" t="s">
        <v>337</v>
      </c>
      <c r="M252" s="128" t="s">
        <v>339</v>
      </c>
      <c r="N252" s="128" t="s">
        <v>340</v>
      </c>
      <c r="O252" s="128" t="s">
        <v>71</v>
      </c>
    </row>
    <row r="253" spans="1:15">
      <c r="A253" s="129" t="s">
        <v>70</v>
      </c>
      <c r="B253" s="129" t="s">
        <v>332</v>
      </c>
      <c r="C253" s="130">
        <v>45636</v>
      </c>
      <c r="D253" s="129" t="s">
        <v>343</v>
      </c>
      <c r="E253" s="131">
        <v>4666.1099999999997</v>
      </c>
      <c r="F253" s="129" t="s">
        <v>334</v>
      </c>
      <c r="G253" s="131">
        <v>2689.4999998570606</v>
      </c>
      <c r="H253" s="131">
        <v>12549502.844333028</v>
      </c>
      <c r="I253" s="132">
        <v>7809430125</v>
      </c>
      <c r="J253" s="133" t="s">
        <v>335</v>
      </c>
      <c r="K253" s="133" t="s">
        <v>336</v>
      </c>
      <c r="L253" s="133" t="s">
        <v>337</v>
      </c>
      <c r="M253" s="133" t="s">
        <v>339</v>
      </c>
      <c r="N253" s="133" t="s">
        <v>340</v>
      </c>
      <c r="O253" s="133" t="s">
        <v>71</v>
      </c>
    </row>
    <row r="254" spans="1:15">
      <c r="A254" s="124" t="s">
        <v>70</v>
      </c>
      <c r="B254" s="124" t="s">
        <v>332</v>
      </c>
      <c r="C254" s="125">
        <v>45637</v>
      </c>
      <c r="D254" s="124" t="s">
        <v>343</v>
      </c>
      <c r="E254" s="126">
        <v>783.33</v>
      </c>
      <c r="F254" s="124" t="s">
        <v>334</v>
      </c>
      <c r="G254" s="126">
        <v>2705.350000071423</v>
      </c>
      <c r="H254" s="126">
        <v>2119181.8155559478</v>
      </c>
      <c r="I254" s="127">
        <v>1320610532</v>
      </c>
      <c r="J254" s="128" t="s">
        <v>335</v>
      </c>
      <c r="K254" s="128" t="s">
        <v>336</v>
      </c>
      <c r="L254" s="128" t="s">
        <v>337</v>
      </c>
      <c r="M254" s="128" t="s">
        <v>339</v>
      </c>
      <c r="N254" s="128" t="s">
        <v>340</v>
      </c>
      <c r="O254" s="128" t="s">
        <v>71</v>
      </c>
    </row>
    <row r="255" spans="1:15">
      <c r="A255" s="129" t="s">
        <v>70</v>
      </c>
      <c r="B255" s="129" t="s">
        <v>332</v>
      </c>
      <c r="C255" s="130">
        <v>45637</v>
      </c>
      <c r="D255" s="129" t="s">
        <v>343</v>
      </c>
      <c r="E255" s="131">
        <v>485.762</v>
      </c>
      <c r="F255" s="129" t="s">
        <v>334</v>
      </c>
      <c r="G255" s="131">
        <v>2705.3500006850104</v>
      </c>
      <c r="H255" s="131">
        <v>1314156.227032752</v>
      </c>
      <c r="I255" s="132">
        <v>818942736</v>
      </c>
      <c r="J255" s="133" t="s">
        <v>335</v>
      </c>
      <c r="K255" s="133" t="s">
        <v>336</v>
      </c>
      <c r="L255" s="133" t="s">
        <v>337</v>
      </c>
      <c r="M255" s="133" t="s">
        <v>339</v>
      </c>
      <c r="N255" s="133" t="s">
        <v>340</v>
      </c>
      <c r="O255" s="133" t="s">
        <v>71</v>
      </c>
    </row>
    <row r="256" spans="1:15">
      <c r="A256" s="124" t="s">
        <v>70</v>
      </c>
      <c r="B256" s="124" t="s">
        <v>332</v>
      </c>
      <c r="C256" s="125">
        <v>45637</v>
      </c>
      <c r="D256" s="124" t="s">
        <v>343</v>
      </c>
      <c r="E256" s="126">
        <v>293.05900000000003</v>
      </c>
      <c r="F256" s="124" t="s">
        <v>334</v>
      </c>
      <c r="G256" s="126">
        <v>2705.3499975015484</v>
      </c>
      <c r="H256" s="126">
        <v>792827.16491780628</v>
      </c>
      <c r="I256" s="127">
        <v>493384273</v>
      </c>
      <c r="J256" s="128" t="s">
        <v>335</v>
      </c>
      <c r="K256" s="128" t="s">
        <v>336</v>
      </c>
      <c r="L256" s="128" t="s">
        <v>337</v>
      </c>
      <c r="M256" s="128" t="s">
        <v>338</v>
      </c>
      <c r="N256" s="128" t="s">
        <v>337</v>
      </c>
      <c r="O256" s="128" t="s">
        <v>71</v>
      </c>
    </row>
    <row r="257" spans="1:15">
      <c r="A257" s="129" t="s">
        <v>70</v>
      </c>
      <c r="B257" s="129" t="s">
        <v>332</v>
      </c>
      <c r="C257" s="130">
        <v>45646</v>
      </c>
      <c r="D257" s="129" t="s">
        <v>343</v>
      </c>
      <c r="E257" s="131">
        <v>35.186</v>
      </c>
      <c r="F257" s="129" t="s">
        <v>334</v>
      </c>
      <c r="G257" s="131">
        <v>2616.3500205268851</v>
      </c>
      <c r="H257" s="131">
        <v>92058.891822258985</v>
      </c>
      <c r="I257" s="132">
        <v>57884790</v>
      </c>
      <c r="J257" s="133" t="s">
        <v>335</v>
      </c>
      <c r="K257" s="133" t="s">
        <v>336</v>
      </c>
      <c r="L257" s="133" t="s">
        <v>337</v>
      </c>
      <c r="M257" s="133" t="s">
        <v>338</v>
      </c>
      <c r="N257" s="133" t="s">
        <v>337</v>
      </c>
      <c r="O257" s="133" t="s">
        <v>71</v>
      </c>
    </row>
    <row r="258" spans="1:15">
      <c r="A258" s="124" t="s">
        <v>70</v>
      </c>
      <c r="B258" s="124" t="s">
        <v>332</v>
      </c>
      <c r="C258" s="125">
        <v>45644</v>
      </c>
      <c r="D258" s="124" t="s">
        <v>343</v>
      </c>
      <c r="E258" s="126">
        <v>4210</v>
      </c>
      <c r="F258" s="124" t="s">
        <v>334</v>
      </c>
      <c r="G258" s="126">
        <v>2635.5499998866389</v>
      </c>
      <c r="H258" s="126">
        <v>11095665.499522749</v>
      </c>
      <c r="I258" s="127">
        <v>6974735333</v>
      </c>
      <c r="J258" s="128" t="s">
        <v>335</v>
      </c>
      <c r="K258" s="128" t="s">
        <v>336</v>
      </c>
      <c r="L258" s="128" t="s">
        <v>337</v>
      </c>
      <c r="M258" s="128" t="s">
        <v>339</v>
      </c>
      <c r="N258" s="128" t="s">
        <v>340</v>
      </c>
      <c r="O258" s="128" t="s">
        <v>71</v>
      </c>
    </row>
    <row r="259" spans="1:15">
      <c r="A259" s="129" t="s">
        <v>70</v>
      </c>
      <c r="B259" s="129" t="s">
        <v>332</v>
      </c>
      <c r="C259" s="130">
        <v>45653</v>
      </c>
      <c r="D259" s="129" t="s">
        <v>343</v>
      </c>
      <c r="E259" s="131">
        <v>14.053000000000001</v>
      </c>
      <c r="F259" s="129" t="s">
        <v>334</v>
      </c>
      <c r="G259" s="131">
        <v>2615.8499467386732</v>
      </c>
      <c r="H259" s="131">
        <v>36760.539301518576</v>
      </c>
      <c r="I259" s="132">
        <v>23093706</v>
      </c>
      <c r="J259" s="133" t="s">
        <v>335</v>
      </c>
      <c r="K259" s="133" t="s">
        <v>336</v>
      </c>
      <c r="L259" s="133" t="s">
        <v>337</v>
      </c>
      <c r="M259" s="133" t="s">
        <v>339</v>
      </c>
      <c r="N259" s="133" t="s">
        <v>340</v>
      </c>
      <c r="O259" s="133" t="s">
        <v>71</v>
      </c>
    </row>
    <row r="260" spans="1:15">
      <c r="A260" s="124" t="s">
        <v>70</v>
      </c>
      <c r="B260" s="124" t="s">
        <v>332</v>
      </c>
      <c r="C260" s="125">
        <v>45649</v>
      </c>
      <c r="D260" s="124" t="s">
        <v>343</v>
      </c>
      <c r="E260" s="126">
        <v>3955.4279999999999</v>
      </c>
      <c r="F260" s="124" t="s">
        <v>334</v>
      </c>
      <c r="G260" s="126">
        <v>2613.7000001410038</v>
      </c>
      <c r="H260" s="126">
        <v>10338302.16415773</v>
      </c>
      <c r="I260" s="127">
        <v>6496795846</v>
      </c>
      <c r="J260" s="128" t="s">
        <v>335</v>
      </c>
      <c r="K260" s="128" t="s">
        <v>336</v>
      </c>
      <c r="L260" s="128" t="s">
        <v>337</v>
      </c>
      <c r="M260" s="128" t="s">
        <v>339</v>
      </c>
      <c r="N260" s="128" t="s">
        <v>340</v>
      </c>
      <c r="O260" s="128" t="s">
        <v>71</v>
      </c>
    </row>
    <row r="261" spans="1:15">
      <c r="A261" s="129" t="s">
        <v>70</v>
      </c>
      <c r="B261" s="129" t="s">
        <v>332</v>
      </c>
      <c r="C261" s="130">
        <v>45653</v>
      </c>
      <c r="D261" s="129" t="s">
        <v>343</v>
      </c>
      <c r="E261" s="131">
        <v>1799.309</v>
      </c>
      <c r="F261" s="129" t="s">
        <v>334</v>
      </c>
      <c r="G261" s="131">
        <v>2615.8499999445462</v>
      </c>
      <c r="H261" s="131">
        <v>4706722.4475502213</v>
      </c>
      <c r="I261" s="132">
        <v>2956857176</v>
      </c>
      <c r="J261" s="133" t="s">
        <v>335</v>
      </c>
      <c r="K261" s="133" t="s">
        <v>336</v>
      </c>
      <c r="L261" s="133" t="s">
        <v>337</v>
      </c>
      <c r="M261" s="133" t="s">
        <v>338</v>
      </c>
      <c r="N261" s="133" t="s">
        <v>337</v>
      </c>
      <c r="O261" s="133" t="s">
        <v>71</v>
      </c>
    </row>
    <row r="262" spans="1:15">
      <c r="A262" s="124" t="s">
        <v>70</v>
      </c>
      <c r="B262" s="124" t="s">
        <v>332</v>
      </c>
      <c r="C262" s="125">
        <v>45656</v>
      </c>
      <c r="D262" s="124" t="s">
        <v>343</v>
      </c>
      <c r="E262" s="126">
        <v>2425</v>
      </c>
      <c r="F262" s="124" t="s">
        <v>334</v>
      </c>
      <c r="G262" s="126">
        <v>2609.0000001637254</v>
      </c>
      <c r="H262" s="126">
        <v>6326825.000397034</v>
      </c>
      <c r="I262" s="127">
        <v>3983811898</v>
      </c>
      <c r="J262" s="128" t="s">
        <v>335</v>
      </c>
      <c r="K262" s="128" t="s">
        <v>336</v>
      </c>
      <c r="L262" s="128" t="s">
        <v>337</v>
      </c>
      <c r="M262" s="128" t="s">
        <v>338</v>
      </c>
      <c r="N262" s="128" t="s">
        <v>337</v>
      </c>
      <c r="O262" s="128" t="s">
        <v>71</v>
      </c>
    </row>
    <row r="263" spans="1:15">
      <c r="A263" s="129" t="s">
        <v>70</v>
      </c>
      <c r="B263" s="129" t="s">
        <v>332</v>
      </c>
      <c r="C263" s="130">
        <v>45657</v>
      </c>
      <c r="D263" s="129" t="s">
        <v>343</v>
      </c>
      <c r="E263" s="131">
        <v>959.07899999999995</v>
      </c>
      <c r="F263" s="129" t="s">
        <v>334</v>
      </c>
      <c r="G263" s="131">
        <v>2613.6500001537593</v>
      </c>
      <c r="H263" s="131">
        <v>2506696.8284974671</v>
      </c>
      <c r="I263" s="132">
        <v>1578391792</v>
      </c>
      <c r="J263" s="133" t="s">
        <v>335</v>
      </c>
      <c r="K263" s="133" t="s">
        <v>336</v>
      </c>
      <c r="L263" s="133" t="s">
        <v>337</v>
      </c>
      <c r="M263" s="133" t="s">
        <v>338</v>
      </c>
      <c r="N263" s="133" t="s">
        <v>337</v>
      </c>
      <c r="O263" s="133" t="s">
        <v>71</v>
      </c>
    </row>
    <row r="264" spans="1:15">
      <c r="A264" s="124" t="s">
        <v>70</v>
      </c>
      <c r="B264" s="124" t="s">
        <v>332</v>
      </c>
      <c r="C264" s="125">
        <v>45630</v>
      </c>
      <c r="D264" s="124" t="s">
        <v>343</v>
      </c>
      <c r="E264" s="126">
        <v>2.0990000000000002</v>
      </c>
      <c r="F264" s="124" t="s">
        <v>334</v>
      </c>
      <c r="G264" s="126">
        <v>2648.5503209919534</v>
      </c>
      <c r="H264" s="126">
        <v>5559.3071237621107</v>
      </c>
      <c r="I264" s="127">
        <v>3412564</v>
      </c>
      <c r="J264" s="128" t="s">
        <v>335</v>
      </c>
      <c r="K264" s="128" t="s">
        <v>336</v>
      </c>
      <c r="L264" s="128" t="s">
        <v>337</v>
      </c>
      <c r="M264" s="128" t="s">
        <v>338</v>
      </c>
      <c r="N264" s="128" t="s">
        <v>337</v>
      </c>
      <c r="O264" s="128" t="s">
        <v>71</v>
      </c>
    </row>
    <row r="265" spans="1:15">
      <c r="A265" s="129" t="s">
        <v>70</v>
      </c>
      <c r="B265" s="129" t="s">
        <v>332</v>
      </c>
      <c r="C265" s="130">
        <v>45630</v>
      </c>
      <c r="D265" s="129" t="s">
        <v>343</v>
      </c>
      <c r="E265" s="131">
        <v>101.334</v>
      </c>
      <c r="F265" s="129" t="s">
        <v>334</v>
      </c>
      <c r="G265" s="131">
        <v>2648.5500042338431</v>
      </c>
      <c r="H265" s="131">
        <v>268388.16612903227</v>
      </c>
      <c r="I265" s="132">
        <v>166400663</v>
      </c>
      <c r="J265" s="133" t="s">
        <v>335</v>
      </c>
      <c r="K265" s="133" t="s">
        <v>336</v>
      </c>
      <c r="L265" s="133" t="s">
        <v>337</v>
      </c>
      <c r="M265" s="133" t="s">
        <v>339</v>
      </c>
      <c r="N265" s="133" t="s">
        <v>340</v>
      </c>
      <c r="O265" s="133" t="s">
        <v>71</v>
      </c>
    </row>
    <row r="266" spans="1:15">
      <c r="A266" s="124" t="s">
        <v>70</v>
      </c>
      <c r="B266" s="124" t="s">
        <v>332</v>
      </c>
      <c r="C266" s="125">
        <v>45637</v>
      </c>
      <c r="D266" s="124" t="s">
        <v>343</v>
      </c>
      <c r="E266" s="126">
        <v>800</v>
      </c>
      <c r="F266" s="124" t="s">
        <v>334</v>
      </c>
      <c r="G266" s="126">
        <v>2705.35</v>
      </c>
      <c r="H266" s="126">
        <v>2164280</v>
      </c>
      <c r="I266" s="127">
        <v>1344883592</v>
      </c>
      <c r="J266" s="128" t="s">
        <v>335</v>
      </c>
      <c r="K266" s="128" t="s">
        <v>336</v>
      </c>
      <c r="L266" s="128" t="s">
        <v>337</v>
      </c>
      <c r="M266" s="128" t="s">
        <v>339</v>
      </c>
      <c r="N266" s="128" t="s">
        <v>340</v>
      </c>
      <c r="O266" s="128" t="s">
        <v>71</v>
      </c>
    </row>
    <row r="267" spans="1:15">
      <c r="A267" s="129" t="s">
        <v>70</v>
      </c>
      <c r="B267" s="129" t="s">
        <v>332</v>
      </c>
      <c r="C267" s="130">
        <v>45646</v>
      </c>
      <c r="D267" s="129" t="s">
        <v>343</v>
      </c>
      <c r="E267" s="131">
        <v>62.021000000000001</v>
      </c>
      <c r="F267" s="129" t="s">
        <v>334</v>
      </c>
      <c r="G267" s="131">
        <v>2616.3500120078443</v>
      </c>
      <c r="H267" s="131">
        <v>162268.6440947385</v>
      </c>
      <c r="I267" s="132">
        <v>102083204</v>
      </c>
      <c r="J267" s="133" t="s">
        <v>335</v>
      </c>
      <c r="K267" s="133" t="s">
        <v>336</v>
      </c>
      <c r="L267" s="133" t="s">
        <v>337</v>
      </c>
      <c r="M267" s="133" t="s">
        <v>338</v>
      </c>
      <c r="N267" s="133" t="s">
        <v>337</v>
      </c>
      <c r="O267" s="133" t="s">
        <v>71</v>
      </c>
    </row>
    <row r="268" spans="1:15">
      <c r="A268" s="124" t="s">
        <v>70</v>
      </c>
      <c r="B268" s="124" t="s">
        <v>332</v>
      </c>
      <c r="C268" s="125">
        <v>45636</v>
      </c>
      <c r="D268" s="124" t="s">
        <v>343</v>
      </c>
      <c r="E268" s="126">
        <v>1400</v>
      </c>
      <c r="F268" s="124" t="s">
        <v>334</v>
      </c>
      <c r="G268" s="126">
        <v>2689.5</v>
      </c>
      <c r="H268" s="126">
        <v>3765300</v>
      </c>
      <c r="I268" s="127">
        <v>2343108537</v>
      </c>
      <c r="J268" s="128" t="s">
        <v>335</v>
      </c>
      <c r="K268" s="128" t="s">
        <v>336</v>
      </c>
      <c r="L268" s="128" t="s">
        <v>337</v>
      </c>
      <c r="M268" s="128" t="s">
        <v>339</v>
      </c>
      <c r="N268" s="128" t="s">
        <v>340</v>
      </c>
      <c r="O268" s="128" t="s">
        <v>71</v>
      </c>
    </row>
    <row r="269" spans="1:15">
      <c r="A269" s="129" t="s">
        <v>70</v>
      </c>
      <c r="B269" s="129" t="s">
        <v>332</v>
      </c>
      <c r="C269" s="130">
        <v>45637</v>
      </c>
      <c r="D269" s="129" t="s">
        <v>343</v>
      </c>
      <c r="E269" s="131">
        <v>123.306</v>
      </c>
      <c r="F269" s="129" t="s">
        <v>334</v>
      </c>
      <c r="G269" s="131">
        <v>2705.3499965629239</v>
      </c>
      <c r="H269" s="131">
        <v>333585.88667618792</v>
      </c>
      <c r="I269" s="132">
        <v>207880717</v>
      </c>
      <c r="J269" s="133" t="s">
        <v>335</v>
      </c>
      <c r="K269" s="133" t="s">
        <v>336</v>
      </c>
      <c r="L269" s="133" t="s">
        <v>337</v>
      </c>
      <c r="M269" s="133" t="s">
        <v>339</v>
      </c>
      <c r="N269" s="133" t="s">
        <v>340</v>
      </c>
      <c r="O269" s="133" t="s">
        <v>71</v>
      </c>
    </row>
    <row r="270" spans="1:15">
      <c r="A270" s="124" t="s">
        <v>70</v>
      </c>
      <c r="B270" s="124" t="s">
        <v>332</v>
      </c>
      <c r="C270" s="125">
        <v>45637</v>
      </c>
      <c r="D270" s="124" t="s">
        <v>343</v>
      </c>
      <c r="E270" s="126">
        <v>1137.761</v>
      </c>
      <c r="F270" s="124" t="s">
        <v>334</v>
      </c>
      <c r="G270" s="126">
        <v>2705.3500005461296</v>
      </c>
      <c r="H270" s="126">
        <v>3078041.7219713652</v>
      </c>
      <c r="I270" s="127">
        <v>1915496144</v>
      </c>
      <c r="J270" s="128" t="s">
        <v>335</v>
      </c>
      <c r="K270" s="128" t="s">
        <v>336</v>
      </c>
      <c r="L270" s="128" t="s">
        <v>337</v>
      </c>
      <c r="M270" s="128" t="s">
        <v>338</v>
      </c>
      <c r="N270" s="128" t="s">
        <v>337</v>
      </c>
      <c r="O270" s="128" t="s">
        <v>71</v>
      </c>
    </row>
    <row r="271" spans="1:15">
      <c r="A271" s="129" t="s">
        <v>70</v>
      </c>
      <c r="B271" s="129" t="s">
        <v>332</v>
      </c>
      <c r="C271" s="130">
        <v>45646</v>
      </c>
      <c r="D271" s="129" t="s">
        <v>343</v>
      </c>
      <c r="E271" s="131">
        <v>53.112000000000002</v>
      </c>
      <c r="F271" s="129" t="s">
        <v>334</v>
      </c>
      <c r="G271" s="131">
        <v>2616.3499860181068</v>
      </c>
      <c r="H271" s="131">
        <v>138959.58045739369</v>
      </c>
      <c r="I271" s="132">
        <v>87375005</v>
      </c>
      <c r="J271" s="133" t="s">
        <v>335</v>
      </c>
      <c r="K271" s="133" t="s">
        <v>336</v>
      </c>
      <c r="L271" s="133" t="s">
        <v>337</v>
      </c>
      <c r="M271" s="133" t="s">
        <v>338</v>
      </c>
      <c r="N271" s="133" t="s">
        <v>337</v>
      </c>
      <c r="O271" s="133" t="s">
        <v>71</v>
      </c>
    </row>
    <row r="272" spans="1:15">
      <c r="A272" s="124" t="s">
        <v>70</v>
      </c>
      <c r="B272" s="124" t="s">
        <v>332</v>
      </c>
      <c r="C272" s="125">
        <v>45646</v>
      </c>
      <c r="D272" s="124" t="s">
        <v>343</v>
      </c>
      <c r="E272" s="126">
        <v>1959.5070000000001</v>
      </c>
      <c r="F272" s="124" t="s">
        <v>334</v>
      </c>
      <c r="G272" s="126">
        <v>2616.3500003030881</v>
      </c>
      <c r="H272" s="126">
        <v>5126756.1400439031</v>
      </c>
      <c r="I272" s="127">
        <v>3222986515</v>
      </c>
      <c r="J272" s="128" t="s">
        <v>335</v>
      </c>
      <c r="K272" s="128" t="s">
        <v>336</v>
      </c>
      <c r="L272" s="128" t="s">
        <v>337</v>
      </c>
      <c r="M272" s="128" t="s">
        <v>339</v>
      </c>
      <c r="N272" s="128" t="s">
        <v>340</v>
      </c>
      <c r="O272" s="128" t="s">
        <v>71</v>
      </c>
    </row>
    <row r="273" spans="1:15">
      <c r="A273" s="129" t="s">
        <v>70</v>
      </c>
      <c r="B273" s="129" t="s">
        <v>332</v>
      </c>
      <c r="C273" s="130">
        <v>45653</v>
      </c>
      <c r="D273" s="129" t="s">
        <v>343</v>
      </c>
      <c r="E273" s="131">
        <v>170.39099999999999</v>
      </c>
      <c r="F273" s="129" t="s">
        <v>334</v>
      </c>
      <c r="G273" s="131">
        <v>2615.8500039320802</v>
      </c>
      <c r="H273" s="131">
        <v>445717.29801999108</v>
      </c>
      <c r="I273" s="132">
        <v>280035264</v>
      </c>
      <c r="J273" s="133" t="s">
        <v>335</v>
      </c>
      <c r="K273" s="133" t="s">
        <v>336</v>
      </c>
      <c r="L273" s="133" t="s">
        <v>337</v>
      </c>
      <c r="M273" s="133" t="s">
        <v>339</v>
      </c>
      <c r="N273" s="133" t="s">
        <v>340</v>
      </c>
      <c r="O273" s="133" t="s">
        <v>71</v>
      </c>
    </row>
    <row r="274" spans="1:15">
      <c r="A274" s="124" t="s">
        <v>70</v>
      </c>
      <c r="B274" s="124" t="s">
        <v>332</v>
      </c>
      <c r="C274" s="125">
        <v>45649</v>
      </c>
      <c r="D274" s="124" t="s">
        <v>343</v>
      </c>
      <c r="E274" s="126">
        <v>2217.877</v>
      </c>
      <c r="F274" s="124" t="s">
        <v>334</v>
      </c>
      <c r="G274" s="126">
        <v>2613.6999999215222</v>
      </c>
      <c r="H274" s="126">
        <v>5796865.1147259455</v>
      </c>
      <c r="I274" s="127">
        <v>3645590502</v>
      </c>
      <c r="J274" s="128" t="s">
        <v>335</v>
      </c>
      <c r="K274" s="128" t="s">
        <v>336</v>
      </c>
      <c r="L274" s="128" t="s">
        <v>337</v>
      </c>
      <c r="M274" s="128" t="s">
        <v>339</v>
      </c>
      <c r="N274" s="128" t="s">
        <v>340</v>
      </c>
      <c r="O274" s="128" t="s">
        <v>71</v>
      </c>
    </row>
    <row r="275" spans="1:15">
      <c r="A275" s="129" t="s">
        <v>70</v>
      </c>
      <c r="B275" s="129" t="s">
        <v>332</v>
      </c>
      <c r="C275" s="130">
        <v>45653</v>
      </c>
      <c r="D275" s="129" t="s">
        <v>343</v>
      </c>
      <c r="E275" s="131">
        <v>1748.5450000000001</v>
      </c>
      <c r="F275" s="129" t="s">
        <v>334</v>
      </c>
      <c r="G275" s="131">
        <v>2615.849999874903</v>
      </c>
      <c r="H275" s="131">
        <v>4573931.4380312627</v>
      </c>
      <c r="I275" s="132">
        <v>2873435208</v>
      </c>
      <c r="J275" s="133" t="s">
        <v>335</v>
      </c>
      <c r="K275" s="133" t="s">
        <v>336</v>
      </c>
      <c r="L275" s="133" t="s">
        <v>337</v>
      </c>
      <c r="M275" s="133" t="s">
        <v>338</v>
      </c>
      <c r="N275" s="133" t="s">
        <v>337</v>
      </c>
      <c r="O275" s="133" t="s">
        <v>71</v>
      </c>
    </row>
    <row r="276" spans="1:15">
      <c r="A276" s="124" t="s">
        <v>70</v>
      </c>
      <c r="B276" s="124" t="s">
        <v>332</v>
      </c>
      <c r="C276" s="125">
        <v>45656</v>
      </c>
      <c r="D276" s="124" t="s">
        <v>343</v>
      </c>
      <c r="E276" s="126">
        <v>1759.58</v>
      </c>
      <c r="F276" s="124" t="s">
        <v>334</v>
      </c>
      <c r="G276" s="126">
        <v>2608.9999999933216</v>
      </c>
      <c r="H276" s="126">
        <v>4590744.2199882483</v>
      </c>
      <c r="I276" s="127">
        <v>2890653913</v>
      </c>
      <c r="J276" s="128" t="s">
        <v>335</v>
      </c>
      <c r="K276" s="128" t="s">
        <v>336</v>
      </c>
      <c r="L276" s="128" t="s">
        <v>337</v>
      </c>
      <c r="M276" s="128" t="s">
        <v>338</v>
      </c>
      <c r="N276" s="128" t="s">
        <v>337</v>
      </c>
      <c r="O276" s="128" t="s">
        <v>71</v>
      </c>
    </row>
    <row r="277" spans="1:15">
      <c r="A277" s="129" t="s">
        <v>70</v>
      </c>
      <c r="B277" s="129" t="s">
        <v>332</v>
      </c>
      <c r="C277" s="133">
        <v>45629</v>
      </c>
      <c r="D277" s="129" t="s">
        <v>344</v>
      </c>
      <c r="E277" s="131">
        <v>266.58300000000003</v>
      </c>
      <c r="F277" s="129" t="s">
        <v>334</v>
      </c>
      <c r="G277" s="131">
        <v>30.841002977587443</v>
      </c>
      <c r="H277" s="131">
        <v>8221.6870967741943</v>
      </c>
      <c r="I277" s="132">
        <v>5097446</v>
      </c>
      <c r="J277" s="133" t="s">
        <v>335</v>
      </c>
      <c r="K277" s="133" t="s">
        <v>336</v>
      </c>
      <c r="L277" s="133" t="s">
        <v>337</v>
      </c>
      <c r="M277" s="133" t="s">
        <v>339</v>
      </c>
      <c r="N277" s="133" t="s">
        <v>340</v>
      </c>
      <c r="O277" s="133" t="s">
        <v>71</v>
      </c>
    </row>
    <row r="278" spans="1:15">
      <c r="A278" s="124" t="s">
        <v>70</v>
      </c>
      <c r="B278" s="124" t="s">
        <v>332</v>
      </c>
      <c r="C278" s="128">
        <v>45629</v>
      </c>
      <c r="D278" s="124" t="s">
        <v>344</v>
      </c>
      <c r="E278" s="126">
        <v>46.451000000000001</v>
      </c>
      <c r="F278" s="124" t="s">
        <v>334</v>
      </c>
      <c r="G278" s="126">
        <v>30.820996943709677</v>
      </c>
      <c r="H278" s="126">
        <v>1431.6661290322581</v>
      </c>
      <c r="I278" s="127">
        <v>887633</v>
      </c>
      <c r="J278" s="128" t="s">
        <v>335</v>
      </c>
      <c r="K278" s="128" t="s">
        <v>336</v>
      </c>
      <c r="L278" s="128" t="s">
        <v>337</v>
      </c>
      <c r="M278" s="128" t="s">
        <v>339</v>
      </c>
      <c r="N278" s="128" t="s">
        <v>340</v>
      </c>
      <c r="O278" s="128" t="s">
        <v>71</v>
      </c>
    </row>
    <row r="279" spans="1:15">
      <c r="A279" s="129" t="s">
        <v>70</v>
      </c>
      <c r="B279" s="129" t="s">
        <v>332</v>
      </c>
      <c r="C279" s="133">
        <v>45637</v>
      </c>
      <c r="D279" s="129" t="s">
        <v>344</v>
      </c>
      <c r="E279" s="131">
        <v>274.78800000000001</v>
      </c>
      <c r="F279" s="129" t="s">
        <v>334</v>
      </c>
      <c r="G279" s="131">
        <v>31.945997230371624</v>
      </c>
      <c r="H279" s="131">
        <v>8778.3766869393585</v>
      </c>
      <c r="I279" s="132">
        <v>5470421</v>
      </c>
      <c r="J279" s="133" t="s">
        <v>335</v>
      </c>
      <c r="K279" s="133" t="s">
        <v>336</v>
      </c>
      <c r="L279" s="133" t="s">
        <v>337</v>
      </c>
      <c r="M279" s="133" t="s">
        <v>339</v>
      </c>
      <c r="N279" s="133" t="s">
        <v>340</v>
      </c>
      <c r="O279" s="133" t="s">
        <v>71</v>
      </c>
    </row>
    <row r="280" spans="1:15">
      <c r="A280" s="124" t="s">
        <v>70</v>
      </c>
      <c r="B280" s="124" t="s">
        <v>332</v>
      </c>
      <c r="C280" s="128">
        <v>45646</v>
      </c>
      <c r="D280" s="124" t="s">
        <v>344</v>
      </c>
      <c r="E280" s="126">
        <v>129.684</v>
      </c>
      <c r="F280" s="124" t="s">
        <v>334</v>
      </c>
      <c r="G280" s="126">
        <v>28.794997480480951</v>
      </c>
      <c r="H280" s="126">
        <v>3734.2504532586918</v>
      </c>
      <c r="I280" s="127">
        <v>2348022</v>
      </c>
      <c r="J280" s="128" t="s">
        <v>335</v>
      </c>
      <c r="K280" s="128" t="s">
        <v>336</v>
      </c>
      <c r="L280" s="128" t="s">
        <v>337</v>
      </c>
      <c r="M280" s="128" t="s">
        <v>338</v>
      </c>
      <c r="N280" s="128" t="s">
        <v>337</v>
      </c>
      <c r="O280" s="128" t="s">
        <v>71</v>
      </c>
    </row>
    <row r="281" spans="1:15">
      <c r="A281" s="129" t="s">
        <v>70</v>
      </c>
      <c r="B281" s="129" t="s">
        <v>332</v>
      </c>
      <c r="C281" s="133">
        <v>45653</v>
      </c>
      <c r="D281" s="129" t="s">
        <v>344</v>
      </c>
      <c r="E281" s="131">
        <v>284.14299999999997</v>
      </c>
      <c r="F281" s="129" t="s">
        <v>334</v>
      </c>
      <c r="G281" s="131">
        <v>29.467001884213158</v>
      </c>
      <c r="H281" s="131">
        <v>8372.8423163859788</v>
      </c>
      <c r="I281" s="132">
        <v>5259987</v>
      </c>
      <c r="J281" s="133" t="s">
        <v>335</v>
      </c>
      <c r="K281" s="133" t="s">
        <v>336</v>
      </c>
      <c r="L281" s="133" t="s">
        <v>337</v>
      </c>
      <c r="M281" s="133" t="s">
        <v>339</v>
      </c>
      <c r="N281" s="133" t="s">
        <v>340</v>
      </c>
      <c r="O281" s="133" t="s">
        <v>71</v>
      </c>
    </row>
    <row r="282" spans="1:15">
      <c r="A282" s="124" t="s">
        <v>70</v>
      </c>
      <c r="B282" s="124" t="s">
        <v>332</v>
      </c>
      <c r="C282" s="128">
        <v>45630</v>
      </c>
      <c r="D282" s="124" t="s">
        <v>344</v>
      </c>
      <c r="E282" s="126">
        <v>0.34899999999999998</v>
      </c>
      <c r="F282" s="124" t="s">
        <v>334</v>
      </c>
      <c r="G282" s="126">
        <v>30.835642696270654</v>
      </c>
      <c r="H282" s="126">
        <v>10.761639300998457</v>
      </c>
      <c r="I282" s="127">
        <v>6606</v>
      </c>
      <c r="J282" s="128" t="s">
        <v>335</v>
      </c>
      <c r="K282" s="128" t="s">
        <v>336</v>
      </c>
      <c r="L282" s="128" t="s">
        <v>337</v>
      </c>
      <c r="M282" s="128" t="s">
        <v>338</v>
      </c>
      <c r="N282" s="128" t="s">
        <v>337</v>
      </c>
      <c r="O282" s="128" t="s">
        <v>71</v>
      </c>
    </row>
    <row r="283" spans="1:15">
      <c r="A283" s="129" t="s">
        <v>70</v>
      </c>
      <c r="B283" s="129" t="s">
        <v>332</v>
      </c>
      <c r="C283" s="133">
        <v>45629</v>
      </c>
      <c r="D283" s="129" t="s">
        <v>344</v>
      </c>
      <c r="E283" s="131">
        <v>198.93100000000001</v>
      </c>
      <c r="F283" s="129" t="s">
        <v>334</v>
      </c>
      <c r="G283" s="131">
        <v>30.840998362051614</v>
      </c>
      <c r="H283" s="131">
        <v>6135.2306451612903</v>
      </c>
      <c r="I283" s="132">
        <v>3803843</v>
      </c>
      <c r="J283" s="133" t="s">
        <v>335</v>
      </c>
      <c r="K283" s="133" t="s">
        <v>336</v>
      </c>
      <c r="L283" s="133" t="s">
        <v>337</v>
      </c>
      <c r="M283" s="133" t="s">
        <v>339</v>
      </c>
      <c r="N283" s="133" t="s">
        <v>340</v>
      </c>
      <c r="O283" s="133" t="s">
        <v>71</v>
      </c>
    </row>
    <row r="284" spans="1:15">
      <c r="A284" s="124" t="s">
        <v>70</v>
      </c>
      <c r="B284" s="124" t="s">
        <v>332</v>
      </c>
      <c r="C284" s="128">
        <v>45646</v>
      </c>
      <c r="D284" s="124" t="s">
        <v>344</v>
      </c>
      <c r="E284" s="126">
        <v>48.015000000000001</v>
      </c>
      <c r="F284" s="124" t="s">
        <v>334</v>
      </c>
      <c r="G284" s="126">
        <v>28.795013903834064</v>
      </c>
      <c r="H284" s="126">
        <v>1382.5925925925926</v>
      </c>
      <c r="I284" s="127">
        <v>869789</v>
      </c>
      <c r="J284" s="128" t="s">
        <v>335</v>
      </c>
      <c r="K284" s="128" t="s">
        <v>336</v>
      </c>
      <c r="L284" s="128" t="s">
        <v>337</v>
      </c>
      <c r="M284" s="128" t="s">
        <v>338</v>
      </c>
      <c r="N284" s="128" t="s">
        <v>337</v>
      </c>
      <c r="O284" s="128" t="s">
        <v>71</v>
      </c>
    </row>
    <row r="285" spans="1:15">
      <c r="A285" s="129" t="s">
        <v>70</v>
      </c>
      <c r="B285" s="129" t="s">
        <v>332</v>
      </c>
      <c r="C285" s="133">
        <v>45637</v>
      </c>
      <c r="D285" s="129" t="s">
        <v>344</v>
      </c>
      <c r="E285" s="131">
        <v>144.67699999999999</v>
      </c>
      <c r="F285" s="129" t="s">
        <v>334</v>
      </c>
      <c r="G285" s="131">
        <v>31.951998743237208</v>
      </c>
      <c r="H285" s="131">
        <v>4622.7193221753296</v>
      </c>
      <c r="I285" s="132">
        <v>2880740</v>
      </c>
      <c r="J285" s="133" t="s">
        <v>335</v>
      </c>
      <c r="K285" s="133" t="s">
        <v>336</v>
      </c>
      <c r="L285" s="133" t="s">
        <v>337</v>
      </c>
      <c r="M285" s="133" t="s">
        <v>339</v>
      </c>
      <c r="N285" s="133" t="s">
        <v>340</v>
      </c>
      <c r="O285" s="133" t="s">
        <v>71</v>
      </c>
    </row>
    <row r="286" spans="1:15">
      <c r="A286" s="124" t="s">
        <v>70</v>
      </c>
      <c r="B286" s="124" t="s">
        <v>332</v>
      </c>
      <c r="C286" s="128">
        <v>45646</v>
      </c>
      <c r="D286" s="124" t="s">
        <v>344</v>
      </c>
      <c r="E286" s="126">
        <v>110.477</v>
      </c>
      <c r="F286" s="124" t="s">
        <v>334</v>
      </c>
      <c r="G286" s="126">
        <v>28.795005189786533</v>
      </c>
      <c r="H286" s="126">
        <v>3181.185788352047</v>
      </c>
      <c r="I286" s="127">
        <v>2000266</v>
      </c>
      <c r="J286" s="128" t="s">
        <v>335</v>
      </c>
      <c r="K286" s="128" t="s">
        <v>336</v>
      </c>
      <c r="L286" s="128" t="s">
        <v>337</v>
      </c>
      <c r="M286" s="128" t="s">
        <v>338</v>
      </c>
      <c r="N286" s="128" t="s">
        <v>337</v>
      </c>
      <c r="O286" s="128" t="s">
        <v>71</v>
      </c>
    </row>
    <row r="287" spans="1:15">
      <c r="A287" s="129" t="s">
        <v>70</v>
      </c>
      <c r="B287" s="129" t="s">
        <v>332</v>
      </c>
      <c r="C287" s="133">
        <v>45653</v>
      </c>
      <c r="D287" s="129" t="s">
        <v>344</v>
      </c>
      <c r="E287" s="131">
        <v>186.83</v>
      </c>
      <c r="F287" s="129" t="s">
        <v>334</v>
      </c>
      <c r="G287" s="131">
        <v>29.453001168520924</v>
      </c>
      <c r="H287" s="131">
        <v>5502.7042083147644</v>
      </c>
      <c r="I287" s="132">
        <v>3457239</v>
      </c>
      <c r="J287" s="133" t="s">
        <v>335</v>
      </c>
      <c r="K287" s="133" t="s">
        <v>336</v>
      </c>
      <c r="L287" s="133" t="s">
        <v>337</v>
      </c>
      <c r="M287" s="133" t="s">
        <v>339</v>
      </c>
      <c r="N287" s="133" t="s">
        <v>340</v>
      </c>
      <c r="O287" s="133" t="s">
        <v>71</v>
      </c>
    </row>
    <row r="288" spans="1:15">
      <c r="A288" s="124" t="s">
        <v>345</v>
      </c>
      <c r="B288" s="124" t="s">
        <v>346</v>
      </c>
      <c r="C288" s="128" t="s">
        <v>347</v>
      </c>
      <c r="D288" s="124" t="s">
        <v>348</v>
      </c>
      <c r="E288" s="126">
        <v>91021.5</v>
      </c>
      <c r="F288" s="124" t="s">
        <v>288</v>
      </c>
      <c r="G288" s="126"/>
      <c r="H288" s="126"/>
      <c r="I288" s="127">
        <v>4429636150</v>
      </c>
      <c r="J288" s="128"/>
      <c r="K288" s="128"/>
      <c r="L288" s="128"/>
      <c r="M288" s="128" t="s">
        <v>349</v>
      </c>
      <c r="N288" s="128"/>
      <c r="O288" s="128"/>
    </row>
    <row r="289" spans="1:15">
      <c r="A289" s="129" t="s">
        <v>345</v>
      </c>
      <c r="B289" s="129" t="s">
        <v>346</v>
      </c>
      <c r="C289" s="133" t="s">
        <v>350</v>
      </c>
      <c r="D289" s="129" t="s">
        <v>348</v>
      </c>
      <c r="E289" s="131">
        <v>99787.95</v>
      </c>
      <c r="F289" s="129" t="s">
        <v>288</v>
      </c>
      <c r="G289" s="131"/>
      <c r="H289" s="131"/>
      <c r="I289" s="132">
        <v>4899645950</v>
      </c>
      <c r="J289" s="133"/>
      <c r="K289" s="133"/>
      <c r="L289" s="133"/>
      <c r="M289" s="133" t="s">
        <v>349</v>
      </c>
      <c r="N289" s="133"/>
      <c r="O289" s="133"/>
    </row>
    <row r="290" spans="1:15">
      <c r="A290" s="124" t="s">
        <v>345</v>
      </c>
      <c r="B290" s="124" t="s">
        <v>346</v>
      </c>
      <c r="C290" s="128" t="s">
        <v>351</v>
      </c>
      <c r="D290" s="124" t="s">
        <v>348</v>
      </c>
      <c r="E290" s="126">
        <v>100822.1</v>
      </c>
      <c r="F290" s="124" t="s">
        <v>288</v>
      </c>
      <c r="G290" s="126"/>
      <c r="H290" s="126"/>
      <c r="I290" s="127">
        <v>4700098250</v>
      </c>
      <c r="J290" s="128"/>
      <c r="K290" s="128"/>
      <c r="L290" s="128"/>
      <c r="M290" s="128" t="s">
        <v>349</v>
      </c>
      <c r="N290" s="128"/>
      <c r="O290" s="128"/>
    </row>
    <row r="291" spans="1:15">
      <c r="A291" s="129" t="s">
        <v>345</v>
      </c>
      <c r="B291" s="129" t="s">
        <v>346</v>
      </c>
      <c r="C291" s="133" t="s">
        <v>352</v>
      </c>
      <c r="D291" s="129" t="s">
        <v>348</v>
      </c>
      <c r="E291" s="131">
        <v>82489.100000000006</v>
      </c>
      <c r="F291" s="129" t="s">
        <v>288</v>
      </c>
      <c r="G291" s="131"/>
      <c r="H291" s="131"/>
      <c r="I291" s="132">
        <v>3926863000</v>
      </c>
      <c r="J291" s="133"/>
      <c r="K291" s="133"/>
      <c r="L291" s="133"/>
      <c r="M291" s="133" t="s">
        <v>349</v>
      </c>
      <c r="N291" s="133"/>
      <c r="O291" s="133"/>
    </row>
    <row r="292" spans="1:15">
      <c r="A292" s="124" t="s">
        <v>345</v>
      </c>
      <c r="B292" s="124" t="s">
        <v>346</v>
      </c>
      <c r="C292" s="128" t="s">
        <v>353</v>
      </c>
      <c r="D292" s="124" t="s">
        <v>348</v>
      </c>
      <c r="E292" s="126">
        <v>127059.05</v>
      </c>
      <c r="F292" s="124" t="s">
        <v>288</v>
      </c>
      <c r="G292" s="126"/>
      <c r="H292" s="126"/>
      <c r="I292" s="127">
        <v>6145824200</v>
      </c>
      <c r="J292" s="128"/>
      <c r="K292" s="128"/>
      <c r="L292" s="128"/>
      <c r="M292" s="128" t="s">
        <v>349</v>
      </c>
      <c r="N292" s="128"/>
      <c r="O292" s="128"/>
    </row>
    <row r="293" spans="1:15">
      <c r="A293" s="129" t="s">
        <v>345</v>
      </c>
      <c r="B293" s="129" t="s">
        <v>346</v>
      </c>
      <c r="C293" s="133" t="s">
        <v>354</v>
      </c>
      <c r="D293" s="129" t="s">
        <v>348</v>
      </c>
      <c r="E293" s="131">
        <v>101457.35</v>
      </c>
      <c r="F293" s="129" t="s">
        <v>288</v>
      </c>
      <c r="G293" s="131"/>
      <c r="H293" s="131"/>
      <c r="I293" s="132">
        <v>4834132900</v>
      </c>
      <c r="J293" s="133"/>
      <c r="K293" s="133"/>
      <c r="L293" s="133"/>
      <c r="M293" s="133" t="s">
        <v>349</v>
      </c>
      <c r="N293" s="133"/>
      <c r="O293" s="133"/>
    </row>
    <row r="294" spans="1:15">
      <c r="A294" s="124" t="s">
        <v>345</v>
      </c>
      <c r="B294" s="124" t="s">
        <v>346</v>
      </c>
      <c r="C294" s="128" t="s">
        <v>355</v>
      </c>
      <c r="D294" s="124" t="s">
        <v>348</v>
      </c>
      <c r="E294" s="126">
        <v>130538.7</v>
      </c>
      <c r="F294" s="124" t="s">
        <v>288</v>
      </c>
      <c r="G294" s="126"/>
      <c r="H294" s="126"/>
      <c r="I294" s="127">
        <v>6195870000</v>
      </c>
      <c r="J294" s="128"/>
      <c r="K294" s="128"/>
      <c r="L294" s="128"/>
      <c r="M294" s="128" t="s">
        <v>349</v>
      </c>
      <c r="N294" s="128"/>
      <c r="O294" s="128"/>
    </row>
    <row r="295" spans="1:15">
      <c r="A295" s="129" t="s">
        <v>345</v>
      </c>
      <c r="B295" s="129" t="s">
        <v>346</v>
      </c>
      <c r="C295" s="133" t="s">
        <v>356</v>
      </c>
      <c r="D295" s="129" t="s">
        <v>348</v>
      </c>
      <c r="E295" s="131">
        <v>108376.1</v>
      </c>
      <c r="F295" s="129" t="s">
        <v>288</v>
      </c>
      <c r="G295" s="131"/>
      <c r="H295" s="131"/>
      <c r="I295" s="132">
        <v>5014402400</v>
      </c>
      <c r="J295" s="133"/>
      <c r="K295" s="133"/>
      <c r="L295" s="133"/>
      <c r="M295" s="133" t="s">
        <v>349</v>
      </c>
      <c r="N295" s="133"/>
      <c r="O295" s="133"/>
    </row>
    <row r="296" spans="1:15">
      <c r="A296" s="124" t="s">
        <v>345</v>
      </c>
      <c r="B296" s="124" t="s">
        <v>346</v>
      </c>
      <c r="C296" s="128" t="s">
        <v>357</v>
      </c>
      <c r="D296" s="124" t="s">
        <v>348</v>
      </c>
      <c r="E296" s="126">
        <v>86567.3</v>
      </c>
      <c r="F296" s="124" t="s">
        <v>288</v>
      </c>
      <c r="G296" s="126"/>
      <c r="H296" s="126"/>
      <c r="I296" s="127">
        <v>4079453800</v>
      </c>
      <c r="J296" s="128"/>
      <c r="K296" s="128"/>
      <c r="L296" s="128"/>
      <c r="M296" s="128" t="s">
        <v>349</v>
      </c>
      <c r="N296" s="128"/>
      <c r="O296" s="128"/>
    </row>
    <row r="297" spans="1:15">
      <c r="A297" s="129" t="s">
        <v>345</v>
      </c>
      <c r="B297" s="129" t="s">
        <v>346</v>
      </c>
      <c r="C297" s="133" t="s">
        <v>358</v>
      </c>
      <c r="D297" s="129" t="s">
        <v>348</v>
      </c>
      <c r="E297" s="131">
        <v>85594.75</v>
      </c>
      <c r="F297" s="129" t="s">
        <v>288</v>
      </c>
      <c r="G297" s="131"/>
      <c r="H297" s="131"/>
      <c r="I297" s="132">
        <v>4011449050</v>
      </c>
      <c r="J297" s="133"/>
      <c r="K297" s="133"/>
      <c r="L297" s="133"/>
      <c r="M297" s="133" t="s">
        <v>349</v>
      </c>
      <c r="N297" s="133"/>
      <c r="O297" s="133"/>
    </row>
    <row r="298" spans="1:15">
      <c r="A298" s="124" t="s">
        <v>345</v>
      </c>
      <c r="B298" s="124" t="s">
        <v>346</v>
      </c>
      <c r="C298" s="128" t="s">
        <v>359</v>
      </c>
      <c r="D298" s="124" t="s">
        <v>348</v>
      </c>
      <c r="E298" s="126">
        <v>83325</v>
      </c>
      <c r="F298" s="124" t="s">
        <v>288</v>
      </c>
      <c r="G298" s="126"/>
      <c r="H298" s="126"/>
      <c r="I298" s="127">
        <v>4007919500</v>
      </c>
      <c r="J298" s="128"/>
      <c r="K298" s="128"/>
      <c r="L298" s="128"/>
      <c r="M298" s="128" t="s">
        <v>349</v>
      </c>
      <c r="N298" s="128"/>
      <c r="O298" s="128"/>
    </row>
    <row r="299" spans="1:15">
      <c r="A299" s="129" t="s">
        <v>345</v>
      </c>
      <c r="B299" s="129" t="s">
        <v>346</v>
      </c>
      <c r="C299" s="133" t="s">
        <v>360</v>
      </c>
      <c r="D299" s="129" t="s">
        <v>348</v>
      </c>
      <c r="E299" s="131">
        <v>99632.75</v>
      </c>
      <c r="F299" s="129" t="s">
        <v>288</v>
      </c>
      <c r="G299" s="131"/>
      <c r="H299" s="131"/>
      <c r="I299" s="132">
        <v>4669311000</v>
      </c>
      <c r="J299" s="133"/>
      <c r="K299" s="133"/>
      <c r="L299" s="133"/>
      <c r="M299" s="133" t="s">
        <v>349</v>
      </c>
      <c r="N299" s="133"/>
      <c r="O299" s="133"/>
    </row>
    <row r="300" spans="1:15">
      <c r="A300" s="124" t="s">
        <v>345</v>
      </c>
      <c r="B300" s="124" t="s">
        <v>346</v>
      </c>
      <c r="C300" s="128" t="s">
        <v>347</v>
      </c>
      <c r="D300" s="124" t="s">
        <v>348</v>
      </c>
      <c r="E300" s="126">
        <v>91745.4</v>
      </c>
      <c r="F300" s="124" t="s">
        <v>288</v>
      </c>
      <c r="G300" s="126"/>
      <c r="H300" s="126"/>
      <c r="I300" s="127">
        <v>4411145600</v>
      </c>
      <c r="J300" s="128"/>
      <c r="K300" s="128"/>
      <c r="L300" s="128"/>
      <c r="M300" s="128" t="s">
        <v>361</v>
      </c>
      <c r="N300" s="128"/>
      <c r="O300" s="128"/>
    </row>
    <row r="301" spans="1:15">
      <c r="A301" s="129" t="s">
        <v>345</v>
      </c>
      <c r="B301" s="129" t="s">
        <v>346</v>
      </c>
      <c r="C301" s="133" t="s">
        <v>350</v>
      </c>
      <c r="D301" s="129" t="s">
        <v>348</v>
      </c>
      <c r="E301" s="131">
        <v>73841.83</v>
      </c>
      <c r="F301" s="129" t="s">
        <v>288</v>
      </c>
      <c r="G301" s="131"/>
      <c r="H301" s="131"/>
      <c r="I301" s="132">
        <v>3544885755</v>
      </c>
      <c r="J301" s="133"/>
      <c r="K301" s="133"/>
      <c r="L301" s="133"/>
      <c r="M301" s="133" t="s">
        <v>361</v>
      </c>
      <c r="N301" s="133"/>
      <c r="O301" s="133"/>
    </row>
    <row r="302" spans="1:15">
      <c r="A302" s="124" t="s">
        <v>345</v>
      </c>
      <c r="B302" s="124" t="s">
        <v>346</v>
      </c>
      <c r="C302" s="128" t="s">
        <v>351</v>
      </c>
      <c r="D302" s="124" t="s">
        <v>348</v>
      </c>
      <c r="E302" s="126">
        <v>54982.48</v>
      </c>
      <c r="F302" s="124" t="s">
        <v>288</v>
      </c>
      <c r="G302" s="126"/>
      <c r="H302" s="126"/>
      <c r="I302" s="127">
        <v>2636567905</v>
      </c>
      <c r="J302" s="128"/>
      <c r="K302" s="128"/>
      <c r="L302" s="128"/>
      <c r="M302" s="128" t="s">
        <v>361</v>
      </c>
      <c r="N302" s="128"/>
      <c r="O302" s="128"/>
    </row>
    <row r="303" spans="1:15">
      <c r="A303" s="129" t="s">
        <v>345</v>
      </c>
      <c r="B303" s="129" t="s">
        <v>346</v>
      </c>
      <c r="C303" s="133" t="s">
        <v>352</v>
      </c>
      <c r="D303" s="129" t="s">
        <v>348</v>
      </c>
      <c r="E303" s="131">
        <v>40118.550000000003</v>
      </c>
      <c r="F303" s="129" t="s">
        <v>288</v>
      </c>
      <c r="G303" s="131"/>
      <c r="H303" s="131"/>
      <c r="I303" s="132">
        <v>1913579975</v>
      </c>
      <c r="J303" s="133"/>
      <c r="K303" s="133"/>
      <c r="L303" s="133"/>
      <c r="M303" s="133" t="s">
        <v>361</v>
      </c>
      <c r="N303" s="133"/>
      <c r="O303" s="133"/>
    </row>
    <row r="304" spans="1:15">
      <c r="A304" s="124" t="s">
        <v>345</v>
      </c>
      <c r="B304" s="124" t="s">
        <v>346</v>
      </c>
      <c r="C304" s="128" t="s">
        <v>353</v>
      </c>
      <c r="D304" s="124" t="s">
        <v>348</v>
      </c>
      <c r="E304" s="126">
        <v>41981.15</v>
      </c>
      <c r="F304" s="124" t="s">
        <v>288</v>
      </c>
      <c r="G304" s="126"/>
      <c r="H304" s="126"/>
      <c r="I304" s="127">
        <v>1974809200</v>
      </c>
      <c r="J304" s="128"/>
      <c r="K304" s="128"/>
      <c r="L304" s="128"/>
      <c r="M304" s="128" t="s">
        <v>361</v>
      </c>
      <c r="N304" s="128"/>
      <c r="O304" s="128"/>
    </row>
    <row r="305" spans="1:15">
      <c r="A305" s="129" t="s">
        <v>345</v>
      </c>
      <c r="B305" s="129" t="s">
        <v>346</v>
      </c>
      <c r="C305" s="133" t="s">
        <v>354</v>
      </c>
      <c r="D305" s="129" t="s">
        <v>348</v>
      </c>
      <c r="E305" s="131">
        <v>9773.9</v>
      </c>
      <c r="F305" s="129" t="s">
        <v>288</v>
      </c>
      <c r="G305" s="131"/>
      <c r="H305" s="131"/>
      <c r="I305" s="132">
        <v>459628300</v>
      </c>
      <c r="J305" s="133"/>
      <c r="K305" s="133"/>
      <c r="L305" s="133"/>
      <c r="M305" s="133" t="s">
        <v>361</v>
      </c>
      <c r="N305" s="133"/>
      <c r="O305" s="133"/>
    </row>
    <row r="306" spans="1:15">
      <c r="A306" s="124" t="s">
        <v>345</v>
      </c>
      <c r="B306" s="124" t="s">
        <v>346</v>
      </c>
      <c r="C306" s="128" t="s">
        <v>355</v>
      </c>
      <c r="D306" s="124" t="s">
        <v>348</v>
      </c>
      <c r="E306" s="126">
        <v>1274.5</v>
      </c>
      <c r="F306" s="124" t="s">
        <v>288</v>
      </c>
      <c r="G306" s="126"/>
      <c r="H306" s="126"/>
      <c r="I306" s="127">
        <v>60052500</v>
      </c>
      <c r="J306" s="128"/>
      <c r="K306" s="128"/>
      <c r="L306" s="128"/>
      <c r="M306" s="128" t="s">
        <v>361</v>
      </c>
      <c r="N306" s="128"/>
      <c r="O306" s="128"/>
    </row>
    <row r="307" spans="1:15">
      <c r="A307" s="129" t="s">
        <v>345</v>
      </c>
      <c r="B307" s="129" t="s">
        <v>346</v>
      </c>
      <c r="C307" s="133" t="s">
        <v>356</v>
      </c>
      <c r="D307" s="129" t="s">
        <v>348</v>
      </c>
      <c r="E307" s="131">
        <v>1408.95</v>
      </c>
      <c r="F307" s="129" t="s">
        <v>288</v>
      </c>
      <c r="G307" s="131"/>
      <c r="H307" s="131"/>
      <c r="I307" s="132">
        <v>66323650</v>
      </c>
      <c r="J307" s="133"/>
      <c r="K307" s="133"/>
      <c r="L307" s="133"/>
      <c r="M307" s="133" t="s">
        <v>361</v>
      </c>
      <c r="N307" s="133"/>
      <c r="O307" s="133"/>
    </row>
    <row r="308" spans="1:15">
      <c r="A308" s="124" t="s">
        <v>345</v>
      </c>
      <c r="B308" s="124" t="s">
        <v>346</v>
      </c>
      <c r="C308" s="128" t="s">
        <v>357</v>
      </c>
      <c r="D308" s="124" t="s">
        <v>348</v>
      </c>
      <c r="E308" s="126">
        <v>530</v>
      </c>
      <c r="F308" s="124" t="s">
        <v>288</v>
      </c>
      <c r="G308" s="126"/>
      <c r="H308" s="126"/>
      <c r="I308" s="127">
        <v>24965000</v>
      </c>
      <c r="J308" s="128"/>
      <c r="K308" s="128"/>
      <c r="L308" s="128"/>
      <c r="M308" s="128" t="s">
        <v>361</v>
      </c>
      <c r="N308" s="128"/>
      <c r="O308" s="128"/>
    </row>
    <row r="309" spans="1:15">
      <c r="A309" s="129" t="s">
        <v>345</v>
      </c>
      <c r="B309" s="129" t="s">
        <v>346</v>
      </c>
      <c r="C309" s="133" t="s">
        <v>358</v>
      </c>
      <c r="D309" s="129" t="s">
        <v>348</v>
      </c>
      <c r="E309" s="131">
        <v>-363.9</v>
      </c>
      <c r="F309" s="129" t="s">
        <v>288</v>
      </c>
      <c r="G309" s="131"/>
      <c r="H309" s="131"/>
      <c r="I309" s="132">
        <v>-17103300</v>
      </c>
      <c r="J309" s="133"/>
      <c r="K309" s="133"/>
      <c r="L309" s="133"/>
      <c r="M309" s="133" t="s">
        <v>361</v>
      </c>
      <c r="N309" s="133"/>
      <c r="O309" s="133"/>
    </row>
    <row r="310" spans="1:15">
      <c r="A310" s="124" t="s">
        <v>345</v>
      </c>
      <c r="B310" s="124" t="s">
        <v>346</v>
      </c>
      <c r="C310" s="128" t="s">
        <v>359</v>
      </c>
      <c r="D310" s="124" t="s">
        <v>348</v>
      </c>
      <c r="E310" s="126">
        <v>2634</v>
      </c>
      <c r="F310" s="124" t="s">
        <v>288</v>
      </c>
      <c r="G310" s="126"/>
      <c r="H310" s="126"/>
      <c r="I310" s="127">
        <v>123905000</v>
      </c>
      <c r="J310" s="128"/>
      <c r="K310" s="128"/>
      <c r="L310" s="128"/>
      <c r="M310" s="128" t="s">
        <v>361</v>
      </c>
      <c r="N310" s="128"/>
      <c r="O310" s="128"/>
    </row>
    <row r="311" spans="1:15">
      <c r="A311" s="129" t="s">
        <v>345</v>
      </c>
      <c r="B311" s="129" t="s">
        <v>346</v>
      </c>
      <c r="C311" s="133" t="s">
        <v>360</v>
      </c>
      <c r="D311" s="129" t="s">
        <v>348</v>
      </c>
      <c r="E311" s="131">
        <v>2459</v>
      </c>
      <c r="F311" s="129" t="s">
        <v>288</v>
      </c>
      <c r="G311" s="131"/>
      <c r="H311" s="131"/>
      <c r="I311" s="132">
        <v>116233000</v>
      </c>
      <c r="J311" s="133"/>
      <c r="K311" s="133"/>
      <c r="L311" s="133"/>
      <c r="M311" s="133" t="s">
        <v>361</v>
      </c>
      <c r="N311" s="133"/>
      <c r="O311" s="133"/>
    </row>
    <row r="312" spans="1:15">
      <c r="A312" s="124" t="s">
        <v>362</v>
      </c>
      <c r="B312" s="124" t="s">
        <v>363</v>
      </c>
      <c r="C312" s="128">
        <v>45299</v>
      </c>
      <c r="D312" s="124" t="s">
        <v>364</v>
      </c>
      <c r="E312" s="126"/>
      <c r="F312" s="124" t="s">
        <v>365</v>
      </c>
      <c r="G312" s="126"/>
      <c r="H312" s="126">
        <v>-195.86</v>
      </c>
      <c r="I312" s="127">
        <v>-117351.71</v>
      </c>
      <c r="J312" s="128" t="s">
        <v>366</v>
      </c>
      <c r="K312" s="128" t="s">
        <v>367</v>
      </c>
      <c r="L312" s="128" t="s">
        <v>368</v>
      </c>
      <c r="M312" s="128" t="s">
        <v>369</v>
      </c>
      <c r="N312" s="128"/>
      <c r="O312" s="128"/>
    </row>
    <row r="313" spans="1:15">
      <c r="A313" s="129" t="s">
        <v>362</v>
      </c>
      <c r="B313" s="129" t="s">
        <v>363</v>
      </c>
      <c r="C313" s="133">
        <v>45296</v>
      </c>
      <c r="D313" s="129" t="s">
        <v>370</v>
      </c>
      <c r="E313" s="131">
        <v>20.007999999999999</v>
      </c>
      <c r="F313" s="129" t="s">
        <v>365</v>
      </c>
      <c r="G313" s="131"/>
      <c r="H313" s="131">
        <v>27945.37</v>
      </c>
      <c r="I313" s="132">
        <v>16743780.710000001</v>
      </c>
      <c r="J313" s="133" t="s">
        <v>366</v>
      </c>
      <c r="K313" s="133" t="s">
        <v>367</v>
      </c>
      <c r="L313" s="133" t="s">
        <v>368</v>
      </c>
      <c r="M313" s="133" t="s">
        <v>369</v>
      </c>
      <c r="N313" s="133"/>
      <c r="O313" s="133"/>
    </row>
    <row r="314" spans="1:15">
      <c r="A314" s="124" t="s">
        <v>362</v>
      </c>
      <c r="B314" s="124" t="s">
        <v>363</v>
      </c>
      <c r="C314" s="128">
        <v>45296</v>
      </c>
      <c r="D314" s="124" t="s">
        <v>370</v>
      </c>
      <c r="E314" s="126"/>
      <c r="F314" s="124" t="s">
        <v>365</v>
      </c>
      <c r="G314" s="126"/>
      <c r="H314" s="126">
        <v>386.95839999999998</v>
      </c>
      <c r="I314" s="127">
        <v>234095.58</v>
      </c>
      <c r="J314" s="128" t="s">
        <v>366</v>
      </c>
      <c r="K314" s="128" t="s">
        <v>367</v>
      </c>
      <c r="L314" s="128" t="s">
        <v>368</v>
      </c>
      <c r="M314" s="128" t="s">
        <v>369</v>
      </c>
      <c r="N314" s="128"/>
      <c r="O314" s="128"/>
    </row>
    <row r="315" spans="1:15">
      <c r="A315" s="129" t="s">
        <v>362</v>
      </c>
      <c r="B315" s="129" t="s">
        <v>363</v>
      </c>
      <c r="C315" s="133">
        <v>45303</v>
      </c>
      <c r="D315" s="129" t="s">
        <v>371</v>
      </c>
      <c r="E315" s="131">
        <v>741.33900000000006</v>
      </c>
      <c r="F315" s="129" t="s">
        <v>365</v>
      </c>
      <c r="G315" s="131"/>
      <c r="H315" s="131">
        <v>499156.75</v>
      </c>
      <c r="I315" s="132">
        <v>298182048.98000002</v>
      </c>
      <c r="J315" s="133" t="s">
        <v>366</v>
      </c>
      <c r="K315" s="133" t="s">
        <v>367</v>
      </c>
      <c r="L315" s="133" t="s">
        <v>368</v>
      </c>
      <c r="M315" s="133" t="s">
        <v>369</v>
      </c>
      <c r="N315" s="133"/>
      <c r="O315" s="133"/>
    </row>
    <row r="316" spans="1:15">
      <c r="A316" s="124" t="s">
        <v>362</v>
      </c>
      <c r="B316" s="124" t="s">
        <v>363</v>
      </c>
      <c r="C316" s="128">
        <v>45304</v>
      </c>
      <c r="D316" s="124" t="s">
        <v>364</v>
      </c>
      <c r="E316" s="126">
        <v>88.0488</v>
      </c>
      <c r="F316" s="124" t="s">
        <v>365</v>
      </c>
      <c r="G316" s="126"/>
      <c r="H316" s="126">
        <v>159040.26999999999</v>
      </c>
      <c r="I316" s="127">
        <v>95233694.609999999</v>
      </c>
      <c r="J316" s="128" t="s">
        <v>366</v>
      </c>
      <c r="K316" s="128" t="s">
        <v>367</v>
      </c>
      <c r="L316" s="128" t="s">
        <v>368</v>
      </c>
      <c r="M316" s="128" t="s">
        <v>369</v>
      </c>
      <c r="N316" s="128"/>
      <c r="O316" s="128"/>
    </row>
    <row r="317" spans="1:15">
      <c r="A317" s="129" t="s">
        <v>362</v>
      </c>
      <c r="B317" s="129" t="s">
        <v>363</v>
      </c>
      <c r="C317" s="133">
        <v>45305</v>
      </c>
      <c r="D317" s="129" t="s">
        <v>372</v>
      </c>
      <c r="E317" s="131">
        <v>100</v>
      </c>
      <c r="F317" s="129" t="s">
        <v>365</v>
      </c>
      <c r="G317" s="131"/>
      <c r="H317" s="131">
        <v>131961.15</v>
      </c>
      <c r="I317" s="132">
        <v>78971364.450000003</v>
      </c>
      <c r="J317" s="133" t="s">
        <v>366</v>
      </c>
      <c r="K317" s="133" t="s">
        <v>367</v>
      </c>
      <c r="L317" s="133" t="s">
        <v>368</v>
      </c>
      <c r="M317" s="133" t="s">
        <v>369</v>
      </c>
      <c r="N317" s="133"/>
      <c r="O317" s="133"/>
    </row>
    <row r="318" spans="1:15">
      <c r="A318" s="124" t="s">
        <v>362</v>
      </c>
      <c r="B318" s="124" t="s">
        <v>363</v>
      </c>
      <c r="C318" s="128">
        <v>45306</v>
      </c>
      <c r="D318" s="124" t="s">
        <v>364</v>
      </c>
      <c r="E318" s="126">
        <v>132.14500000000001</v>
      </c>
      <c r="F318" s="124" t="s">
        <v>365</v>
      </c>
      <c r="G318" s="126"/>
      <c r="H318" s="126">
        <v>241551.5</v>
      </c>
      <c r="I318" s="127">
        <v>144728280.41</v>
      </c>
      <c r="J318" s="128" t="s">
        <v>366</v>
      </c>
      <c r="K318" s="128" t="s">
        <v>367</v>
      </c>
      <c r="L318" s="128" t="s">
        <v>368</v>
      </c>
      <c r="M318" s="128" t="s">
        <v>369</v>
      </c>
      <c r="N318" s="128"/>
      <c r="O318" s="128"/>
    </row>
    <row r="319" spans="1:15">
      <c r="A319" s="129" t="s">
        <v>362</v>
      </c>
      <c r="B319" s="129" t="s">
        <v>363</v>
      </c>
      <c r="C319" s="133">
        <v>45306</v>
      </c>
      <c r="D319" s="129" t="s">
        <v>364</v>
      </c>
      <c r="E319" s="131">
        <v>132.13374999999999</v>
      </c>
      <c r="F319" s="129" t="s">
        <v>365</v>
      </c>
      <c r="G319" s="131"/>
      <c r="H319" s="131">
        <v>241531.39</v>
      </c>
      <c r="I319" s="132">
        <v>144716231.28</v>
      </c>
      <c r="J319" s="133" t="s">
        <v>366</v>
      </c>
      <c r="K319" s="133" t="s">
        <v>367</v>
      </c>
      <c r="L319" s="133" t="s">
        <v>368</v>
      </c>
      <c r="M319" s="133" t="s">
        <v>369</v>
      </c>
      <c r="N319" s="133"/>
      <c r="O319" s="133"/>
    </row>
    <row r="320" spans="1:15">
      <c r="A320" s="124" t="s">
        <v>362</v>
      </c>
      <c r="B320" s="124" t="s">
        <v>363</v>
      </c>
      <c r="C320" s="128">
        <v>45306</v>
      </c>
      <c r="D320" s="124" t="s">
        <v>364</v>
      </c>
      <c r="E320" s="126">
        <v>132.26249999999999</v>
      </c>
      <c r="F320" s="124" t="s">
        <v>365</v>
      </c>
      <c r="G320" s="126"/>
      <c r="H320" s="126">
        <v>241763.54</v>
      </c>
      <c r="I320" s="127">
        <v>144855326.53999999</v>
      </c>
      <c r="J320" s="128" t="s">
        <v>366</v>
      </c>
      <c r="K320" s="128" t="s">
        <v>367</v>
      </c>
      <c r="L320" s="128" t="s">
        <v>368</v>
      </c>
      <c r="M320" s="128" t="s">
        <v>369</v>
      </c>
      <c r="N320" s="128"/>
      <c r="O320" s="128"/>
    </row>
    <row r="321" spans="1:15">
      <c r="A321" s="129" t="s">
        <v>362</v>
      </c>
      <c r="B321" s="129" t="s">
        <v>363</v>
      </c>
      <c r="C321" s="133">
        <v>45306</v>
      </c>
      <c r="D321" s="129" t="s">
        <v>364</v>
      </c>
      <c r="E321" s="131">
        <v>99.516000000000005</v>
      </c>
      <c r="F321" s="129" t="s">
        <v>365</v>
      </c>
      <c r="G321" s="131"/>
      <c r="H321" s="131">
        <v>179845.32</v>
      </c>
      <c r="I321" s="132">
        <v>107756333.13</v>
      </c>
      <c r="J321" s="133" t="s">
        <v>366</v>
      </c>
      <c r="K321" s="133" t="s">
        <v>367</v>
      </c>
      <c r="L321" s="133" t="s">
        <v>368</v>
      </c>
      <c r="M321" s="133" t="s">
        <v>369</v>
      </c>
      <c r="N321" s="133"/>
      <c r="O321" s="133"/>
    </row>
    <row r="322" spans="1:15">
      <c r="A322" s="124" t="s">
        <v>362</v>
      </c>
      <c r="B322" s="124" t="s">
        <v>363</v>
      </c>
      <c r="C322" s="128">
        <v>45321</v>
      </c>
      <c r="D322" s="124" t="s">
        <v>371</v>
      </c>
      <c r="E322" s="126"/>
      <c r="F322" s="124" t="s">
        <v>365</v>
      </c>
      <c r="G322" s="126"/>
      <c r="H322" s="126">
        <v>-309878.08</v>
      </c>
      <c r="I322" s="127">
        <v>-187464053.24000001</v>
      </c>
      <c r="J322" s="128" t="s">
        <v>366</v>
      </c>
      <c r="K322" s="128" t="s">
        <v>367</v>
      </c>
      <c r="L322" s="128" t="s">
        <v>368</v>
      </c>
      <c r="M322" s="128" t="s">
        <v>369</v>
      </c>
      <c r="N322" s="128"/>
      <c r="O322" s="128"/>
    </row>
    <row r="323" spans="1:15">
      <c r="A323" s="129" t="s">
        <v>362</v>
      </c>
      <c r="B323" s="129" t="s">
        <v>363</v>
      </c>
      <c r="C323" s="133">
        <v>45317</v>
      </c>
      <c r="D323" s="129" t="s">
        <v>371</v>
      </c>
      <c r="E323" s="131">
        <v>1308.5999999999999</v>
      </c>
      <c r="F323" s="129" t="s">
        <v>365</v>
      </c>
      <c r="G323" s="131"/>
      <c r="H323" s="131">
        <v>302632.78000000003</v>
      </c>
      <c r="I323" s="132">
        <v>182970241.84</v>
      </c>
      <c r="J323" s="133" t="s">
        <v>366</v>
      </c>
      <c r="K323" s="133" t="s">
        <v>367</v>
      </c>
      <c r="L323" s="133" t="s">
        <v>368</v>
      </c>
      <c r="M323" s="133" t="s">
        <v>369</v>
      </c>
      <c r="N323" s="133"/>
      <c r="O323" s="133"/>
    </row>
    <row r="324" spans="1:15">
      <c r="A324" s="124" t="s">
        <v>362</v>
      </c>
      <c r="B324" s="124" t="s">
        <v>363</v>
      </c>
      <c r="C324" s="128">
        <v>45317</v>
      </c>
      <c r="D324" s="124" t="s">
        <v>364</v>
      </c>
      <c r="E324" s="126">
        <v>176.155</v>
      </c>
      <c r="F324" s="124" t="s">
        <v>365</v>
      </c>
      <c r="G324" s="126"/>
      <c r="H324" s="126">
        <v>320790.76</v>
      </c>
      <c r="I324" s="127">
        <v>193948464.33000001</v>
      </c>
      <c r="J324" s="128" t="s">
        <v>366</v>
      </c>
      <c r="K324" s="128" t="s">
        <v>367</v>
      </c>
      <c r="L324" s="128" t="s">
        <v>368</v>
      </c>
      <c r="M324" s="128" t="s">
        <v>369</v>
      </c>
      <c r="N324" s="128"/>
      <c r="O324" s="128"/>
    </row>
    <row r="325" spans="1:15">
      <c r="A325" s="129" t="s">
        <v>362</v>
      </c>
      <c r="B325" s="129" t="s">
        <v>363</v>
      </c>
      <c r="C325" s="133">
        <v>45317</v>
      </c>
      <c r="D325" s="129" t="s">
        <v>364</v>
      </c>
      <c r="E325" s="131">
        <v>176.13749999999999</v>
      </c>
      <c r="F325" s="129" t="s">
        <v>365</v>
      </c>
      <c r="G325" s="131"/>
      <c r="H325" s="131">
        <v>320757.99</v>
      </c>
      <c r="I325" s="132">
        <v>193928651.75</v>
      </c>
      <c r="J325" s="133" t="s">
        <v>366</v>
      </c>
      <c r="K325" s="133" t="s">
        <v>367</v>
      </c>
      <c r="L325" s="133" t="s">
        <v>368</v>
      </c>
      <c r="M325" s="133" t="s">
        <v>369</v>
      </c>
      <c r="N325" s="133"/>
      <c r="O325" s="133"/>
    </row>
    <row r="326" spans="1:15">
      <c r="A326" s="124" t="s">
        <v>362</v>
      </c>
      <c r="B326" s="124" t="s">
        <v>363</v>
      </c>
      <c r="C326" s="128">
        <v>45317</v>
      </c>
      <c r="D326" s="124" t="s">
        <v>364</v>
      </c>
      <c r="E326" s="126">
        <v>98.53</v>
      </c>
      <c r="F326" s="124" t="s">
        <v>365</v>
      </c>
      <c r="G326" s="126"/>
      <c r="H326" s="126">
        <v>191823.13</v>
      </c>
      <c r="I326" s="127">
        <v>115975290.20999999</v>
      </c>
      <c r="J326" s="128" t="s">
        <v>366</v>
      </c>
      <c r="K326" s="128" t="s">
        <v>367</v>
      </c>
      <c r="L326" s="128" t="s">
        <v>368</v>
      </c>
      <c r="M326" s="128" t="s">
        <v>369</v>
      </c>
      <c r="N326" s="128"/>
      <c r="O326" s="128"/>
    </row>
    <row r="327" spans="1:15">
      <c r="A327" s="129" t="s">
        <v>362</v>
      </c>
      <c r="B327" s="129" t="s">
        <v>363</v>
      </c>
      <c r="C327" s="133">
        <v>45317</v>
      </c>
      <c r="D327" s="129" t="s">
        <v>370</v>
      </c>
      <c r="E327" s="131">
        <v>110.11</v>
      </c>
      <c r="F327" s="129" t="s">
        <v>365</v>
      </c>
      <c r="G327" s="131"/>
      <c r="H327" s="131">
        <v>188454.98</v>
      </c>
      <c r="I327" s="132">
        <v>113938923.81999999</v>
      </c>
      <c r="J327" s="133" t="s">
        <v>366</v>
      </c>
      <c r="K327" s="133" t="s">
        <v>367</v>
      </c>
      <c r="L327" s="133" t="s">
        <v>368</v>
      </c>
      <c r="M327" s="133" t="s">
        <v>369</v>
      </c>
      <c r="N327" s="133"/>
      <c r="O327" s="133"/>
    </row>
    <row r="328" spans="1:15">
      <c r="A328" s="124" t="s">
        <v>362</v>
      </c>
      <c r="B328" s="124" t="s">
        <v>363</v>
      </c>
      <c r="C328" s="128">
        <v>45318</v>
      </c>
      <c r="D328" s="124" t="s">
        <v>371</v>
      </c>
      <c r="E328" s="126">
        <v>842.84900000000005</v>
      </c>
      <c r="F328" s="124" t="s">
        <v>365</v>
      </c>
      <c r="G328" s="126"/>
      <c r="H328" s="126">
        <v>190731.11</v>
      </c>
      <c r="I328" s="127">
        <v>115175791.06</v>
      </c>
      <c r="J328" s="128" t="s">
        <v>366</v>
      </c>
      <c r="K328" s="128" t="s">
        <v>367</v>
      </c>
      <c r="L328" s="128" t="s">
        <v>368</v>
      </c>
      <c r="M328" s="128" t="s">
        <v>369</v>
      </c>
      <c r="N328" s="128"/>
      <c r="O328" s="128"/>
    </row>
    <row r="329" spans="1:15">
      <c r="A329" s="129" t="s">
        <v>362</v>
      </c>
      <c r="B329" s="129" t="s">
        <v>363</v>
      </c>
      <c r="C329" s="133">
        <v>45322</v>
      </c>
      <c r="D329" s="129" t="s">
        <v>373</v>
      </c>
      <c r="E329" s="131">
        <v>25050.239000000001</v>
      </c>
      <c r="F329" s="129" t="s">
        <v>365</v>
      </c>
      <c r="G329" s="131"/>
      <c r="H329" s="131">
        <v>6570377.0899999999</v>
      </c>
      <c r="I329" s="132">
        <v>3974819776.1599998</v>
      </c>
      <c r="J329" s="133" t="s">
        <v>366</v>
      </c>
      <c r="K329" s="133" t="s">
        <v>367</v>
      </c>
      <c r="L329" s="133" t="s">
        <v>368</v>
      </c>
      <c r="M329" s="133" t="s">
        <v>369</v>
      </c>
      <c r="N329" s="133"/>
      <c r="O329" s="133"/>
    </row>
    <row r="330" spans="1:15">
      <c r="A330" s="124" t="s">
        <v>362</v>
      </c>
      <c r="B330" s="124" t="s">
        <v>363</v>
      </c>
      <c r="C330" s="128">
        <v>45314</v>
      </c>
      <c r="D330" s="124" t="s">
        <v>364</v>
      </c>
      <c r="E330" s="126">
        <v>100.01600000000001</v>
      </c>
      <c r="F330" s="124" t="s">
        <v>365</v>
      </c>
      <c r="G330" s="126"/>
      <c r="H330" s="126">
        <v>199996.99</v>
      </c>
      <c r="I330" s="127">
        <v>120625446.31999999</v>
      </c>
      <c r="J330" s="128" t="s">
        <v>366</v>
      </c>
      <c r="K330" s="128" t="s">
        <v>367</v>
      </c>
      <c r="L330" s="128" t="s">
        <v>368</v>
      </c>
      <c r="M330" s="128" t="s">
        <v>369</v>
      </c>
      <c r="N330" s="128"/>
      <c r="O330" s="128"/>
    </row>
    <row r="331" spans="1:15">
      <c r="A331" s="129" t="s">
        <v>362</v>
      </c>
      <c r="B331" s="129" t="s">
        <v>363</v>
      </c>
      <c r="C331" s="133">
        <v>45314</v>
      </c>
      <c r="D331" s="129" t="s">
        <v>364</v>
      </c>
      <c r="E331" s="131">
        <v>80.046000000000006</v>
      </c>
      <c r="F331" s="129" t="s">
        <v>365</v>
      </c>
      <c r="G331" s="131"/>
      <c r="H331" s="131">
        <v>144535.06</v>
      </c>
      <c r="I331" s="132">
        <v>87174342.579999998</v>
      </c>
      <c r="J331" s="133" t="s">
        <v>366</v>
      </c>
      <c r="K331" s="133" t="s">
        <v>367</v>
      </c>
      <c r="L331" s="133" t="s">
        <v>368</v>
      </c>
      <c r="M331" s="133" t="s">
        <v>369</v>
      </c>
      <c r="N331" s="133"/>
      <c r="O331" s="133"/>
    </row>
    <row r="332" spans="1:15">
      <c r="A332" s="124" t="s">
        <v>362</v>
      </c>
      <c r="B332" s="124" t="s">
        <v>363</v>
      </c>
      <c r="C332" s="128">
        <v>45322</v>
      </c>
      <c r="D332" s="124" t="s">
        <v>370</v>
      </c>
      <c r="E332" s="126">
        <v>179.995</v>
      </c>
      <c r="F332" s="124" t="s">
        <v>365</v>
      </c>
      <c r="G332" s="126"/>
      <c r="H332" s="126">
        <v>324539.98</v>
      </c>
      <c r="I332" s="127">
        <v>196333926.19</v>
      </c>
      <c r="J332" s="128" t="s">
        <v>366</v>
      </c>
      <c r="K332" s="128" t="s">
        <v>367</v>
      </c>
      <c r="L332" s="128" t="s">
        <v>368</v>
      </c>
      <c r="M332" s="128" t="s">
        <v>369</v>
      </c>
      <c r="N332" s="128"/>
      <c r="O332" s="128"/>
    </row>
    <row r="333" spans="1:15">
      <c r="A333" s="129" t="s">
        <v>362</v>
      </c>
      <c r="B333" s="129" t="s">
        <v>363</v>
      </c>
      <c r="C333" s="133">
        <v>45322</v>
      </c>
      <c r="D333" s="129" t="s">
        <v>370</v>
      </c>
      <c r="E333" s="131">
        <v>352.4</v>
      </c>
      <c r="F333" s="129" t="s">
        <v>365</v>
      </c>
      <c r="G333" s="131"/>
      <c r="H333" s="131">
        <v>620227.52</v>
      </c>
      <c r="I333" s="132">
        <v>375213260.74000001</v>
      </c>
      <c r="J333" s="133" t="s">
        <v>366</v>
      </c>
      <c r="K333" s="133" t="s">
        <v>367</v>
      </c>
      <c r="L333" s="133" t="s">
        <v>368</v>
      </c>
      <c r="M333" s="133" t="s">
        <v>369</v>
      </c>
      <c r="N333" s="133"/>
      <c r="O333" s="133"/>
    </row>
    <row r="334" spans="1:15">
      <c r="A334" s="124" t="s">
        <v>362</v>
      </c>
      <c r="B334" s="124" t="s">
        <v>363</v>
      </c>
      <c r="C334" s="128">
        <v>45322</v>
      </c>
      <c r="D334" s="124" t="s">
        <v>372</v>
      </c>
      <c r="E334" s="126">
        <v>40</v>
      </c>
      <c r="F334" s="124" t="s">
        <v>365</v>
      </c>
      <c r="G334" s="126"/>
      <c r="H334" s="126">
        <v>52062.64</v>
      </c>
      <c r="I334" s="127">
        <v>31495849.969999999</v>
      </c>
      <c r="J334" s="128" t="s">
        <v>366</v>
      </c>
      <c r="K334" s="128" t="s">
        <v>367</v>
      </c>
      <c r="L334" s="128" t="s">
        <v>368</v>
      </c>
      <c r="M334" s="128" t="s">
        <v>369</v>
      </c>
      <c r="N334" s="128"/>
      <c r="O334" s="128"/>
    </row>
    <row r="335" spans="1:15">
      <c r="A335" s="129" t="s">
        <v>362</v>
      </c>
      <c r="B335" s="129" t="s">
        <v>363</v>
      </c>
      <c r="C335" s="133">
        <v>45322</v>
      </c>
      <c r="D335" s="129" t="s">
        <v>372</v>
      </c>
      <c r="E335" s="131">
        <v>60</v>
      </c>
      <c r="F335" s="129" t="s">
        <v>365</v>
      </c>
      <c r="G335" s="131"/>
      <c r="H335" s="131">
        <v>78711</v>
      </c>
      <c r="I335" s="132">
        <v>47617059.890000001</v>
      </c>
      <c r="J335" s="133" t="s">
        <v>366</v>
      </c>
      <c r="K335" s="133" t="s">
        <v>367</v>
      </c>
      <c r="L335" s="133" t="s">
        <v>368</v>
      </c>
      <c r="M335" s="133" t="s">
        <v>369</v>
      </c>
      <c r="N335" s="133"/>
      <c r="O335" s="133"/>
    </row>
    <row r="336" spans="1:15">
      <c r="A336" s="124" t="s">
        <v>362</v>
      </c>
      <c r="B336" s="124" t="s">
        <v>363</v>
      </c>
      <c r="C336" s="128">
        <v>45322</v>
      </c>
      <c r="D336" s="124" t="s">
        <v>372</v>
      </c>
      <c r="E336" s="126">
        <v>40</v>
      </c>
      <c r="F336" s="124" t="s">
        <v>365</v>
      </c>
      <c r="G336" s="126"/>
      <c r="H336" s="126">
        <v>52474</v>
      </c>
      <c r="I336" s="127">
        <v>31744706.59</v>
      </c>
      <c r="J336" s="128" t="s">
        <v>366</v>
      </c>
      <c r="K336" s="128" t="s">
        <v>367</v>
      </c>
      <c r="L336" s="128" t="s">
        <v>368</v>
      </c>
      <c r="M336" s="128" t="s">
        <v>369</v>
      </c>
      <c r="N336" s="128"/>
      <c r="O336" s="128"/>
    </row>
    <row r="337" spans="1:15">
      <c r="A337" s="129" t="s">
        <v>362</v>
      </c>
      <c r="B337" s="129" t="s">
        <v>363</v>
      </c>
      <c r="C337" s="133">
        <v>45322</v>
      </c>
      <c r="D337" s="129" t="s">
        <v>374</v>
      </c>
      <c r="E337" s="131">
        <v>120</v>
      </c>
      <c r="F337" s="129" t="s">
        <v>365</v>
      </c>
      <c r="G337" s="131"/>
      <c r="H337" s="131">
        <v>229519.93</v>
      </c>
      <c r="I337" s="132">
        <v>138850532.37</v>
      </c>
      <c r="J337" s="133" t="s">
        <v>366</v>
      </c>
      <c r="K337" s="133" t="s">
        <v>367</v>
      </c>
      <c r="L337" s="133" t="s">
        <v>368</v>
      </c>
      <c r="M337" s="133" t="s">
        <v>369</v>
      </c>
      <c r="N337" s="133"/>
      <c r="O337" s="133"/>
    </row>
    <row r="338" spans="1:15">
      <c r="A338" s="124" t="s">
        <v>362</v>
      </c>
      <c r="B338" s="124" t="s">
        <v>363</v>
      </c>
      <c r="C338" s="128">
        <v>45322</v>
      </c>
      <c r="D338" s="124" t="s">
        <v>364</v>
      </c>
      <c r="E338" s="126">
        <v>97.515000000000001</v>
      </c>
      <c r="F338" s="124" t="s">
        <v>365</v>
      </c>
      <c r="G338" s="126"/>
      <c r="H338" s="126">
        <v>197278.87</v>
      </c>
      <c r="I338" s="127">
        <v>119345958.86</v>
      </c>
      <c r="J338" s="128" t="s">
        <v>366</v>
      </c>
      <c r="K338" s="128" t="s">
        <v>367</v>
      </c>
      <c r="L338" s="128" t="s">
        <v>368</v>
      </c>
      <c r="M338" s="128" t="s">
        <v>369</v>
      </c>
      <c r="N338" s="128"/>
      <c r="O338" s="128"/>
    </row>
    <row r="339" spans="1:15">
      <c r="A339" s="129" t="s">
        <v>362</v>
      </c>
      <c r="B339" s="129" t="s">
        <v>363</v>
      </c>
      <c r="C339" s="133">
        <v>45322</v>
      </c>
      <c r="D339" s="129" t="s">
        <v>364</v>
      </c>
      <c r="E339" s="131">
        <v>400.15199999999999</v>
      </c>
      <c r="F339" s="129" t="s">
        <v>365</v>
      </c>
      <c r="G339" s="131"/>
      <c r="H339" s="131">
        <v>644264.73</v>
      </c>
      <c r="I339" s="132">
        <v>389754827.58999997</v>
      </c>
      <c r="J339" s="133" t="s">
        <v>366</v>
      </c>
      <c r="K339" s="133" t="s">
        <v>367</v>
      </c>
      <c r="L339" s="133" t="s">
        <v>368</v>
      </c>
      <c r="M339" s="133" t="s">
        <v>369</v>
      </c>
      <c r="N339" s="133"/>
      <c r="O339" s="133"/>
    </row>
    <row r="340" spans="1:15">
      <c r="A340" s="124" t="s">
        <v>362</v>
      </c>
      <c r="B340" s="124" t="s">
        <v>363</v>
      </c>
      <c r="C340" s="125">
        <v>45322</v>
      </c>
      <c r="D340" s="124" t="s">
        <v>370</v>
      </c>
      <c r="E340" s="126">
        <v>600.33500000000004</v>
      </c>
      <c r="F340" s="124" t="s">
        <v>365</v>
      </c>
      <c r="G340" s="126"/>
      <c r="H340" s="126">
        <v>850104.38</v>
      </c>
      <c r="I340" s="127">
        <v>514279721.72000003</v>
      </c>
      <c r="J340" s="128" t="s">
        <v>366</v>
      </c>
      <c r="K340" s="128" t="s">
        <v>367</v>
      </c>
      <c r="L340" s="128" t="s">
        <v>368</v>
      </c>
      <c r="M340" s="128" t="s">
        <v>369</v>
      </c>
      <c r="N340" s="128"/>
      <c r="O340" s="128"/>
    </row>
    <row r="341" spans="1:15">
      <c r="A341" s="129" t="s">
        <v>362</v>
      </c>
      <c r="B341" s="129" t="s">
        <v>363</v>
      </c>
      <c r="C341" s="130">
        <v>45322</v>
      </c>
      <c r="D341" s="129" t="s">
        <v>370</v>
      </c>
      <c r="E341" s="131">
        <v>159.964</v>
      </c>
      <c r="F341" s="129" t="s">
        <v>365</v>
      </c>
      <c r="G341" s="131"/>
      <c r="H341" s="131">
        <v>269419.37</v>
      </c>
      <c r="I341" s="132">
        <v>162988124.62</v>
      </c>
      <c r="J341" s="133" t="s">
        <v>366</v>
      </c>
      <c r="K341" s="133" t="s">
        <v>367</v>
      </c>
      <c r="L341" s="133" t="s">
        <v>368</v>
      </c>
      <c r="M341" s="133" t="s">
        <v>369</v>
      </c>
      <c r="N341" s="133"/>
      <c r="O341" s="133"/>
    </row>
    <row r="342" spans="1:15">
      <c r="A342" s="124" t="s">
        <v>362</v>
      </c>
      <c r="B342" s="124" t="s">
        <v>363</v>
      </c>
      <c r="C342" s="125">
        <v>45322</v>
      </c>
      <c r="D342" s="124" t="s">
        <v>371</v>
      </c>
      <c r="E342" s="126"/>
      <c r="F342" s="124" t="s">
        <v>365</v>
      </c>
      <c r="G342" s="126"/>
      <c r="H342" s="126">
        <v>-12839.34</v>
      </c>
      <c r="I342" s="127">
        <v>-7766965.6820272217</v>
      </c>
      <c r="J342" s="128" t="s">
        <v>366</v>
      </c>
      <c r="K342" s="128" t="s">
        <v>367</v>
      </c>
      <c r="L342" s="128" t="s">
        <v>368</v>
      </c>
      <c r="M342" s="128" t="s">
        <v>369</v>
      </c>
      <c r="N342" s="128"/>
      <c r="O342" s="128"/>
    </row>
    <row r="343" spans="1:15">
      <c r="A343" s="129" t="s">
        <v>362</v>
      </c>
      <c r="B343" s="129" t="s">
        <v>363</v>
      </c>
      <c r="C343" s="130">
        <v>45322</v>
      </c>
      <c r="D343" s="129" t="s">
        <v>372</v>
      </c>
      <c r="E343" s="131"/>
      <c r="F343" s="129" t="s">
        <v>365</v>
      </c>
      <c r="G343" s="131"/>
      <c r="H343" s="131">
        <v>-1065.21</v>
      </c>
      <c r="I343" s="132">
        <v>-644385.88783088606</v>
      </c>
      <c r="J343" s="133" t="s">
        <v>366</v>
      </c>
      <c r="K343" s="133" t="s">
        <v>367</v>
      </c>
      <c r="L343" s="133" t="s">
        <v>368</v>
      </c>
      <c r="M343" s="133" t="s">
        <v>369</v>
      </c>
      <c r="N343" s="133"/>
      <c r="O343" s="133"/>
    </row>
    <row r="344" spans="1:15">
      <c r="A344" s="124" t="s">
        <v>362</v>
      </c>
      <c r="B344" s="124" t="s">
        <v>363</v>
      </c>
      <c r="C344" s="125">
        <v>45322</v>
      </c>
      <c r="D344" s="124" t="s">
        <v>374</v>
      </c>
      <c r="E344" s="126"/>
      <c r="F344" s="124" t="s">
        <v>365</v>
      </c>
      <c r="G344" s="126"/>
      <c r="H344" s="126">
        <v>-532.61</v>
      </c>
      <c r="I344" s="127">
        <v>-322192.94391544303</v>
      </c>
      <c r="J344" s="128" t="s">
        <v>366</v>
      </c>
      <c r="K344" s="128" t="s">
        <v>367</v>
      </c>
      <c r="L344" s="128" t="s">
        <v>368</v>
      </c>
      <c r="M344" s="128" t="s">
        <v>369</v>
      </c>
      <c r="N344" s="128"/>
      <c r="O344" s="128"/>
    </row>
    <row r="345" spans="1:15">
      <c r="A345" s="129" t="s">
        <v>362</v>
      </c>
      <c r="B345" s="129" t="s">
        <v>363</v>
      </c>
      <c r="C345" s="130">
        <v>45322</v>
      </c>
      <c r="D345" s="129" t="s">
        <v>364</v>
      </c>
      <c r="E345" s="131"/>
      <c r="F345" s="129" t="s">
        <v>365</v>
      </c>
      <c r="G345" s="131"/>
      <c r="H345" s="131">
        <v>-7601.45</v>
      </c>
      <c r="I345" s="132">
        <v>-4598384.8162792511</v>
      </c>
      <c r="J345" s="133" t="s">
        <v>366</v>
      </c>
      <c r="K345" s="133" t="s">
        <v>367</v>
      </c>
      <c r="L345" s="133" t="s">
        <v>368</v>
      </c>
      <c r="M345" s="133" t="s">
        <v>369</v>
      </c>
      <c r="N345" s="133"/>
      <c r="O345" s="133"/>
    </row>
    <row r="346" spans="1:15">
      <c r="A346" s="124" t="s">
        <v>362</v>
      </c>
      <c r="B346" s="124" t="s">
        <v>363</v>
      </c>
      <c r="C346" s="125">
        <v>45322</v>
      </c>
      <c r="D346" s="124" t="s">
        <v>370</v>
      </c>
      <c r="E346" s="126"/>
      <c r="F346" s="124" t="s">
        <v>365</v>
      </c>
      <c r="G346" s="126"/>
      <c r="H346" s="126">
        <v>-6315</v>
      </c>
      <c r="I346" s="127">
        <v>-3820166.5576518276</v>
      </c>
      <c r="J346" s="128" t="s">
        <v>366</v>
      </c>
      <c r="K346" s="128" t="s">
        <v>367</v>
      </c>
      <c r="L346" s="128" t="s">
        <v>368</v>
      </c>
      <c r="M346" s="128" t="s">
        <v>369</v>
      </c>
      <c r="N346" s="128"/>
      <c r="O346" s="128"/>
    </row>
    <row r="347" spans="1:15">
      <c r="A347" s="129" t="s">
        <v>362</v>
      </c>
      <c r="B347" s="129" t="s">
        <v>363</v>
      </c>
      <c r="C347" s="130">
        <v>45322</v>
      </c>
      <c r="D347" s="129" t="s">
        <v>373</v>
      </c>
      <c r="E347" s="131"/>
      <c r="F347" s="129" t="s">
        <v>365</v>
      </c>
      <c r="G347" s="131"/>
      <c r="H347" s="131">
        <v>-111182.87</v>
      </c>
      <c r="I347" s="132">
        <v>-67258418.743295357</v>
      </c>
      <c r="J347" s="133" t="s">
        <v>366</v>
      </c>
      <c r="K347" s="133" t="s">
        <v>367</v>
      </c>
      <c r="L347" s="133" t="s">
        <v>368</v>
      </c>
      <c r="M347" s="133" t="s">
        <v>369</v>
      </c>
      <c r="N347" s="133"/>
      <c r="O347" s="133"/>
    </row>
    <row r="348" spans="1:15">
      <c r="A348" s="124" t="s">
        <v>362</v>
      </c>
      <c r="B348" s="124" t="s">
        <v>363</v>
      </c>
      <c r="C348" s="125">
        <v>45324</v>
      </c>
      <c r="D348" s="124" t="s">
        <v>370</v>
      </c>
      <c r="E348" s="126">
        <v>19.991</v>
      </c>
      <c r="F348" s="124" t="s">
        <v>365</v>
      </c>
      <c r="G348" s="126"/>
      <c r="H348" s="126">
        <v>36535.65</v>
      </c>
      <c r="I348" s="127">
        <v>22035977.079999998</v>
      </c>
      <c r="J348" s="128" t="s">
        <v>366</v>
      </c>
      <c r="K348" s="128" t="s">
        <v>367</v>
      </c>
      <c r="L348" s="128" t="s">
        <v>368</v>
      </c>
      <c r="M348" s="128" t="s">
        <v>369</v>
      </c>
      <c r="N348" s="128"/>
      <c r="O348" s="128"/>
    </row>
    <row r="349" spans="1:15">
      <c r="A349" s="129" t="s">
        <v>362</v>
      </c>
      <c r="B349" s="129" t="s">
        <v>363</v>
      </c>
      <c r="C349" s="130">
        <v>45326</v>
      </c>
      <c r="D349" s="129" t="s">
        <v>372</v>
      </c>
      <c r="E349" s="131">
        <v>40</v>
      </c>
      <c r="F349" s="129" t="s">
        <v>365</v>
      </c>
      <c r="G349" s="131"/>
      <c r="H349" s="131">
        <v>53838</v>
      </c>
      <c r="I349" s="132">
        <v>32708383.960000001</v>
      </c>
      <c r="J349" s="133" t="s">
        <v>366</v>
      </c>
      <c r="K349" s="133" t="s">
        <v>367</v>
      </c>
      <c r="L349" s="133" t="s">
        <v>368</v>
      </c>
      <c r="M349" s="133" t="s">
        <v>369</v>
      </c>
      <c r="N349" s="133"/>
      <c r="O349" s="133"/>
    </row>
    <row r="350" spans="1:15">
      <c r="A350" s="124" t="s">
        <v>362</v>
      </c>
      <c r="B350" s="124" t="s">
        <v>363</v>
      </c>
      <c r="C350" s="125">
        <v>45326</v>
      </c>
      <c r="D350" s="124" t="s">
        <v>371</v>
      </c>
      <c r="E350" s="126">
        <v>156.4</v>
      </c>
      <c r="F350" s="124" t="s">
        <v>365</v>
      </c>
      <c r="G350" s="126"/>
      <c r="H350" s="126">
        <v>35396.959999999999</v>
      </c>
      <c r="I350" s="127">
        <v>21504835.969999999</v>
      </c>
      <c r="J350" s="128" t="s">
        <v>366</v>
      </c>
      <c r="K350" s="128" t="s">
        <v>367</v>
      </c>
      <c r="L350" s="128" t="s">
        <v>368</v>
      </c>
      <c r="M350" s="128" t="s">
        <v>369</v>
      </c>
      <c r="N350" s="128"/>
      <c r="O350" s="128"/>
    </row>
    <row r="351" spans="1:15">
      <c r="A351" s="129" t="s">
        <v>362</v>
      </c>
      <c r="B351" s="129" t="s">
        <v>363</v>
      </c>
      <c r="C351" s="130">
        <v>45326</v>
      </c>
      <c r="D351" s="129" t="s">
        <v>364</v>
      </c>
      <c r="E351" s="131">
        <v>120.123</v>
      </c>
      <c r="F351" s="129" t="s">
        <v>365</v>
      </c>
      <c r="G351" s="131"/>
      <c r="H351" s="131">
        <v>233861.46</v>
      </c>
      <c r="I351" s="132">
        <v>142078651.28</v>
      </c>
      <c r="J351" s="133" t="s">
        <v>366</v>
      </c>
      <c r="K351" s="133" t="s">
        <v>367</v>
      </c>
      <c r="L351" s="133" t="s">
        <v>368</v>
      </c>
      <c r="M351" s="133" t="s">
        <v>369</v>
      </c>
      <c r="N351" s="133"/>
      <c r="O351" s="133"/>
    </row>
    <row r="352" spans="1:15">
      <c r="A352" s="124" t="s">
        <v>362</v>
      </c>
      <c r="B352" s="124" t="s">
        <v>363</v>
      </c>
      <c r="C352" s="125">
        <v>45326</v>
      </c>
      <c r="D352" s="124" t="s">
        <v>364</v>
      </c>
      <c r="E352" s="126">
        <v>60.04</v>
      </c>
      <c r="F352" s="124" t="s">
        <v>365</v>
      </c>
      <c r="G352" s="126"/>
      <c r="H352" s="126">
        <v>118083.67</v>
      </c>
      <c r="I352" s="127">
        <v>71739775.209999993</v>
      </c>
      <c r="J352" s="128" t="s">
        <v>366</v>
      </c>
      <c r="K352" s="128" t="s">
        <v>367</v>
      </c>
      <c r="L352" s="128" t="s">
        <v>368</v>
      </c>
      <c r="M352" s="128" t="s">
        <v>369</v>
      </c>
      <c r="N352" s="128"/>
      <c r="O352" s="128"/>
    </row>
    <row r="353" spans="1:15">
      <c r="A353" s="129" t="s">
        <v>362</v>
      </c>
      <c r="B353" s="129" t="s">
        <v>363</v>
      </c>
      <c r="C353" s="130">
        <v>45328</v>
      </c>
      <c r="D353" s="129" t="s">
        <v>372</v>
      </c>
      <c r="E353" s="131">
        <v>100</v>
      </c>
      <c r="F353" s="129" t="s">
        <v>365</v>
      </c>
      <c r="G353" s="131"/>
      <c r="H353" s="131">
        <v>128655</v>
      </c>
      <c r="I353" s="132">
        <v>78543956.040000007</v>
      </c>
      <c r="J353" s="133" t="s">
        <v>366</v>
      </c>
      <c r="K353" s="133" t="s">
        <v>367</v>
      </c>
      <c r="L353" s="133" t="s">
        <v>368</v>
      </c>
      <c r="M353" s="133" t="s">
        <v>369</v>
      </c>
      <c r="N353" s="133"/>
      <c r="O353" s="133"/>
    </row>
    <row r="354" spans="1:15">
      <c r="A354" s="124" t="s">
        <v>362</v>
      </c>
      <c r="B354" s="124" t="s">
        <v>363</v>
      </c>
      <c r="C354" s="125">
        <v>45328</v>
      </c>
      <c r="D354" s="124" t="s">
        <v>364</v>
      </c>
      <c r="E354" s="126">
        <v>999.87400000000002</v>
      </c>
      <c r="F354" s="124" t="s">
        <v>365</v>
      </c>
      <c r="G354" s="126"/>
      <c r="H354" s="126">
        <v>1814571.34</v>
      </c>
      <c r="I354" s="127">
        <v>1107796910.8699999</v>
      </c>
      <c r="J354" s="128" t="s">
        <v>366</v>
      </c>
      <c r="K354" s="128" t="s">
        <v>367</v>
      </c>
      <c r="L354" s="128" t="s">
        <v>368</v>
      </c>
      <c r="M354" s="128" t="s">
        <v>369</v>
      </c>
      <c r="N354" s="128"/>
      <c r="O354" s="128"/>
    </row>
    <row r="355" spans="1:15">
      <c r="A355" s="129" t="s">
        <v>362</v>
      </c>
      <c r="B355" s="129" t="s">
        <v>363</v>
      </c>
      <c r="C355" s="130">
        <v>45343</v>
      </c>
      <c r="D355" s="129" t="s">
        <v>372</v>
      </c>
      <c r="E355" s="131">
        <v>40</v>
      </c>
      <c r="F355" s="129" t="s">
        <v>365</v>
      </c>
      <c r="G355" s="131"/>
      <c r="H355" s="131">
        <v>58588</v>
      </c>
      <c r="I355" s="132">
        <v>35637469.590000004</v>
      </c>
      <c r="J355" s="133" t="s">
        <v>366</v>
      </c>
      <c r="K355" s="133" t="s">
        <v>367</v>
      </c>
      <c r="L355" s="133" t="s">
        <v>368</v>
      </c>
      <c r="M355" s="133" t="s">
        <v>369</v>
      </c>
      <c r="N355" s="133"/>
      <c r="O355" s="133"/>
    </row>
    <row r="356" spans="1:15">
      <c r="A356" s="124" t="s">
        <v>362</v>
      </c>
      <c r="B356" s="124" t="s">
        <v>363</v>
      </c>
      <c r="C356" s="125">
        <v>45343</v>
      </c>
      <c r="D356" s="124" t="s">
        <v>372</v>
      </c>
      <c r="E356" s="126"/>
      <c r="F356" s="124" t="s">
        <v>365</v>
      </c>
      <c r="G356" s="126"/>
      <c r="H356" s="126">
        <v>-3078</v>
      </c>
      <c r="I356" s="127">
        <v>-1867718.45</v>
      </c>
      <c r="J356" s="128" t="s">
        <v>366</v>
      </c>
      <c r="K356" s="128" t="s">
        <v>367</v>
      </c>
      <c r="L356" s="128" t="s">
        <v>368</v>
      </c>
      <c r="M356" s="128" t="s">
        <v>369</v>
      </c>
      <c r="N356" s="128"/>
      <c r="O356" s="128"/>
    </row>
    <row r="357" spans="1:15">
      <c r="A357" s="129" t="s">
        <v>362</v>
      </c>
      <c r="B357" s="129" t="s">
        <v>363</v>
      </c>
      <c r="C357" s="130">
        <v>45329</v>
      </c>
      <c r="D357" s="129" t="s">
        <v>364</v>
      </c>
      <c r="E357" s="131">
        <v>264.22624999999999</v>
      </c>
      <c r="F357" s="129" t="s">
        <v>365</v>
      </c>
      <c r="G357" s="131"/>
      <c r="H357" s="131">
        <v>484654.12</v>
      </c>
      <c r="I357" s="132">
        <v>295520804.88</v>
      </c>
      <c r="J357" s="133" t="s">
        <v>366</v>
      </c>
      <c r="K357" s="133" t="s">
        <v>367</v>
      </c>
      <c r="L357" s="133" t="s">
        <v>368</v>
      </c>
      <c r="M357" s="133" t="s">
        <v>369</v>
      </c>
      <c r="N357" s="133"/>
      <c r="O357" s="133"/>
    </row>
    <row r="358" spans="1:15">
      <c r="A358" s="124" t="s">
        <v>362</v>
      </c>
      <c r="B358" s="124" t="s">
        <v>363</v>
      </c>
      <c r="C358" s="125">
        <v>45334</v>
      </c>
      <c r="D358" s="124" t="s">
        <v>364</v>
      </c>
      <c r="E358" s="126">
        <v>40.078000000000003</v>
      </c>
      <c r="F358" s="124" t="s">
        <v>365</v>
      </c>
      <c r="G358" s="126"/>
      <c r="H358" s="126">
        <v>75290.53</v>
      </c>
      <c r="I358" s="127">
        <v>45741512.759999998</v>
      </c>
      <c r="J358" s="128" t="s">
        <v>366</v>
      </c>
      <c r="K358" s="128" t="s">
        <v>367</v>
      </c>
      <c r="L358" s="128" t="s">
        <v>368</v>
      </c>
      <c r="M358" s="128" t="s">
        <v>369</v>
      </c>
      <c r="N358" s="128"/>
      <c r="O358" s="128"/>
    </row>
    <row r="359" spans="1:15">
      <c r="A359" s="129" t="s">
        <v>362</v>
      </c>
      <c r="B359" s="129" t="s">
        <v>363</v>
      </c>
      <c r="C359" s="130">
        <v>45339</v>
      </c>
      <c r="D359" s="129" t="s">
        <v>372</v>
      </c>
      <c r="E359" s="131">
        <v>40</v>
      </c>
      <c r="F359" s="129" t="s">
        <v>365</v>
      </c>
      <c r="G359" s="131"/>
      <c r="H359" s="131">
        <v>59558</v>
      </c>
      <c r="I359" s="132">
        <v>36249543.520000003</v>
      </c>
      <c r="J359" s="133" t="s">
        <v>366</v>
      </c>
      <c r="K359" s="133" t="s">
        <v>367</v>
      </c>
      <c r="L359" s="133" t="s">
        <v>368</v>
      </c>
      <c r="M359" s="133" t="s">
        <v>369</v>
      </c>
      <c r="N359" s="133"/>
      <c r="O359" s="133"/>
    </row>
    <row r="360" spans="1:15">
      <c r="A360" s="124" t="s">
        <v>362</v>
      </c>
      <c r="B360" s="124" t="s">
        <v>363</v>
      </c>
      <c r="C360" s="125">
        <v>45349</v>
      </c>
      <c r="D360" s="124" t="s">
        <v>372</v>
      </c>
      <c r="E360" s="126"/>
      <c r="F360" s="124" t="s">
        <v>365</v>
      </c>
      <c r="G360" s="126"/>
      <c r="H360" s="126">
        <v>-3800</v>
      </c>
      <c r="I360" s="127">
        <v>-2297460.7000000002</v>
      </c>
      <c r="J360" s="128" t="s">
        <v>366</v>
      </c>
      <c r="K360" s="128" t="s">
        <v>367</v>
      </c>
      <c r="L360" s="128" t="s">
        <v>368</v>
      </c>
      <c r="M360" s="128" t="s">
        <v>369</v>
      </c>
      <c r="N360" s="128"/>
      <c r="O360" s="128"/>
    </row>
    <row r="361" spans="1:15">
      <c r="A361" s="129" t="s">
        <v>362</v>
      </c>
      <c r="B361" s="129" t="s">
        <v>363</v>
      </c>
      <c r="C361" s="130">
        <v>45339</v>
      </c>
      <c r="D361" s="129" t="s">
        <v>371</v>
      </c>
      <c r="E361" s="131">
        <v>405.64800000000002</v>
      </c>
      <c r="F361" s="129" t="s">
        <v>365</v>
      </c>
      <c r="G361" s="131"/>
      <c r="H361" s="131">
        <v>104925.16</v>
      </c>
      <c r="I361" s="132">
        <v>63861935.479999997</v>
      </c>
      <c r="J361" s="133" t="s">
        <v>366</v>
      </c>
      <c r="K361" s="133" t="s">
        <v>367</v>
      </c>
      <c r="L361" s="133" t="s">
        <v>368</v>
      </c>
      <c r="M361" s="133" t="s">
        <v>369</v>
      </c>
      <c r="N361" s="133"/>
      <c r="O361" s="133"/>
    </row>
    <row r="362" spans="1:15">
      <c r="A362" s="124" t="s">
        <v>362</v>
      </c>
      <c r="B362" s="124" t="s">
        <v>363</v>
      </c>
      <c r="C362" s="125">
        <v>45339</v>
      </c>
      <c r="D362" s="124" t="s">
        <v>371</v>
      </c>
      <c r="E362" s="126">
        <v>200.29</v>
      </c>
      <c r="F362" s="124" t="s">
        <v>365</v>
      </c>
      <c r="G362" s="126"/>
      <c r="H362" s="126">
        <v>46755.82</v>
      </c>
      <c r="I362" s="127">
        <v>28457589.77</v>
      </c>
      <c r="J362" s="128" t="s">
        <v>366</v>
      </c>
      <c r="K362" s="128" t="s">
        <v>367</v>
      </c>
      <c r="L362" s="128" t="s">
        <v>368</v>
      </c>
      <c r="M362" s="128" t="s">
        <v>369</v>
      </c>
      <c r="N362" s="128"/>
      <c r="O362" s="128"/>
    </row>
    <row r="363" spans="1:15">
      <c r="A363" s="129" t="s">
        <v>362</v>
      </c>
      <c r="B363" s="129" t="s">
        <v>363</v>
      </c>
      <c r="C363" s="130">
        <v>45339</v>
      </c>
      <c r="D363" s="129" t="s">
        <v>370</v>
      </c>
      <c r="E363" s="131">
        <v>242.3</v>
      </c>
      <c r="F363" s="129" t="s">
        <v>365</v>
      </c>
      <c r="G363" s="131"/>
      <c r="H363" s="131">
        <v>423722.53</v>
      </c>
      <c r="I363" s="132">
        <v>257895636.03</v>
      </c>
      <c r="J363" s="133" t="s">
        <v>366</v>
      </c>
      <c r="K363" s="133" t="s">
        <v>367</v>
      </c>
      <c r="L363" s="133" t="s">
        <v>368</v>
      </c>
      <c r="M363" s="133" t="s">
        <v>369</v>
      </c>
      <c r="N363" s="133"/>
      <c r="O363" s="133"/>
    </row>
    <row r="364" spans="1:15">
      <c r="A364" s="124" t="s">
        <v>362</v>
      </c>
      <c r="B364" s="124" t="s">
        <v>363</v>
      </c>
      <c r="C364" s="125">
        <v>45339</v>
      </c>
      <c r="D364" s="124" t="s">
        <v>370</v>
      </c>
      <c r="E364" s="126">
        <v>44.043750000000003</v>
      </c>
      <c r="F364" s="124" t="s">
        <v>365</v>
      </c>
      <c r="G364" s="126"/>
      <c r="H364" s="126">
        <v>79226.350000000006</v>
      </c>
      <c r="I364" s="127">
        <v>48220541.689999998</v>
      </c>
      <c r="J364" s="128" t="s">
        <v>366</v>
      </c>
      <c r="K364" s="128" t="s">
        <v>367</v>
      </c>
      <c r="L364" s="128" t="s">
        <v>368</v>
      </c>
      <c r="M364" s="128" t="s">
        <v>369</v>
      </c>
      <c r="N364" s="128"/>
      <c r="O364" s="128"/>
    </row>
    <row r="365" spans="1:15">
      <c r="A365" s="129" t="s">
        <v>362</v>
      </c>
      <c r="B365" s="129" t="s">
        <v>363</v>
      </c>
      <c r="C365" s="130">
        <v>45339</v>
      </c>
      <c r="D365" s="129" t="s">
        <v>370</v>
      </c>
      <c r="E365" s="131">
        <v>198.155</v>
      </c>
      <c r="F365" s="129" t="s">
        <v>365</v>
      </c>
      <c r="G365" s="131"/>
      <c r="H365" s="131">
        <v>339143.99</v>
      </c>
      <c r="I365" s="132">
        <v>206417522.81999999</v>
      </c>
      <c r="J365" s="133" t="s">
        <v>366</v>
      </c>
      <c r="K365" s="133" t="s">
        <v>367</v>
      </c>
      <c r="L365" s="133" t="s">
        <v>368</v>
      </c>
      <c r="M365" s="133" t="s">
        <v>369</v>
      </c>
      <c r="N365" s="133"/>
      <c r="O365" s="133"/>
    </row>
    <row r="366" spans="1:15">
      <c r="A366" s="124" t="s">
        <v>362</v>
      </c>
      <c r="B366" s="124" t="s">
        <v>363</v>
      </c>
      <c r="C366" s="125">
        <v>45341</v>
      </c>
      <c r="D366" s="124" t="s">
        <v>372</v>
      </c>
      <c r="E366" s="126">
        <v>160</v>
      </c>
      <c r="F366" s="124" t="s">
        <v>365</v>
      </c>
      <c r="G366" s="126"/>
      <c r="H366" s="126">
        <v>205848</v>
      </c>
      <c r="I366" s="127">
        <v>125211678.83</v>
      </c>
      <c r="J366" s="128" t="s">
        <v>366</v>
      </c>
      <c r="K366" s="128" t="s">
        <v>367</v>
      </c>
      <c r="L366" s="128" t="s">
        <v>368</v>
      </c>
      <c r="M366" s="128" t="s">
        <v>369</v>
      </c>
      <c r="N366" s="128"/>
      <c r="O366" s="128"/>
    </row>
    <row r="367" spans="1:15">
      <c r="A367" s="129" t="s">
        <v>362</v>
      </c>
      <c r="B367" s="129" t="s">
        <v>363</v>
      </c>
      <c r="C367" s="130">
        <v>45341</v>
      </c>
      <c r="D367" s="129" t="s">
        <v>371</v>
      </c>
      <c r="E367" s="131">
        <v>509.27</v>
      </c>
      <c r="F367" s="129" t="s">
        <v>365</v>
      </c>
      <c r="G367" s="131"/>
      <c r="H367" s="131">
        <v>138064.26999999999</v>
      </c>
      <c r="I367" s="132">
        <v>83980699.510000005</v>
      </c>
      <c r="J367" s="133" t="s">
        <v>366</v>
      </c>
      <c r="K367" s="133" t="s">
        <v>367</v>
      </c>
      <c r="L367" s="133" t="s">
        <v>368</v>
      </c>
      <c r="M367" s="133" t="s">
        <v>369</v>
      </c>
      <c r="N367" s="133"/>
      <c r="O367" s="133"/>
    </row>
    <row r="368" spans="1:15">
      <c r="A368" s="124" t="s">
        <v>362</v>
      </c>
      <c r="B368" s="124" t="s">
        <v>363</v>
      </c>
      <c r="C368" s="125">
        <v>45341</v>
      </c>
      <c r="D368" s="124" t="s">
        <v>374</v>
      </c>
      <c r="E368" s="126">
        <v>100</v>
      </c>
      <c r="F368" s="124" t="s">
        <v>365</v>
      </c>
      <c r="G368" s="126"/>
      <c r="H368" s="126">
        <v>191253.8</v>
      </c>
      <c r="I368" s="127">
        <v>116334428.22</v>
      </c>
      <c r="J368" s="128" t="s">
        <v>366</v>
      </c>
      <c r="K368" s="128" t="s">
        <v>367</v>
      </c>
      <c r="L368" s="128" t="s">
        <v>368</v>
      </c>
      <c r="M368" s="128" t="s">
        <v>369</v>
      </c>
      <c r="N368" s="128"/>
      <c r="O368" s="128"/>
    </row>
    <row r="369" spans="1:15">
      <c r="A369" s="129" t="s">
        <v>362</v>
      </c>
      <c r="B369" s="129" t="s">
        <v>363</v>
      </c>
      <c r="C369" s="130">
        <v>45345</v>
      </c>
      <c r="D369" s="129" t="s">
        <v>372</v>
      </c>
      <c r="E369" s="131">
        <v>40</v>
      </c>
      <c r="F369" s="129" t="s">
        <v>365</v>
      </c>
      <c r="G369" s="131"/>
      <c r="H369" s="131">
        <v>52734.21</v>
      </c>
      <c r="I369" s="132">
        <v>31960127.27</v>
      </c>
      <c r="J369" s="133" t="s">
        <v>366</v>
      </c>
      <c r="K369" s="133" t="s">
        <v>367</v>
      </c>
      <c r="L369" s="133" t="s">
        <v>368</v>
      </c>
      <c r="M369" s="133" t="s">
        <v>369</v>
      </c>
      <c r="N369" s="133"/>
      <c r="O369" s="133"/>
    </row>
    <row r="370" spans="1:15">
      <c r="A370" s="124" t="s">
        <v>362</v>
      </c>
      <c r="B370" s="124" t="s">
        <v>363</v>
      </c>
      <c r="C370" s="125">
        <v>45341</v>
      </c>
      <c r="D370" s="124" t="s">
        <v>371</v>
      </c>
      <c r="E370" s="126">
        <v>311.31</v>
      </c>
      <c r="F370" s="124" t="s">
        <v>365</v>
      </c>
      <c r="G370" s="126"/>
      <c r="H370" s="126">
        <v>76850.100000000006</v>
      </c>
      <c r="I370" s="127">
        <v>46745802.920000002</v>
      </c>
      <c r="J370" s="128" t="s">
        <v>366</v>
      </c>
      <c r="K370" s="128" t="s">
        <v>367</v>
      </c>
      <c r="L370" s="128" t="s">
        <v>368</v>
      </c>
      <c r="M370" s="128" t="s">
        <v>369</v>
      </c>
      <c r="N370" s="128"/>
      <c r="O370" s="128"/>
    </row>
    <row r="371" spans="1:15">
      <c r="A371" s="129" t="s">
        <v>362</v>
      </c>
      <c r="B371" s="129" t="s">
        <v>363</v>
      </c>
      <c r="C371" s="130">
        <v>45345</v>
      </c>
      <c r="D371" s="129" t="s">
        <v>364</v>
      </c>
      <c r="E371" s="131">
        <v>242.17099999999999</v>
      </c>
      <c r="F371" s="129" t="s">
        <v>365</v>
      </c>
      <c r="G371" s="131"/>
      <c r="H371" s="131">
        <v>441115.1</v>
      </c>
      <c r="I371" s="132">
        <v>267342484.84999999</v>
      </c>
      <c r="J371" s="133" t="s">
        <v>366</v>
      </c>
      <c r="K371" s="133" t="s">
        <v>367</v>
      </c>
      <c r="L371" s="133" t="s">
        <v>368</v>
      </c>
      <c r="M371" s="133" t="s">
        <v>369</v>
      </c>
      <c r="N371" s="133"/>
      <c r="O371" s="133"/>
    </row>
    <row r="372" spans="1:15">
      <c r="A372" s="124" t="s">
        <v>362</v>
      </c>
      <c r="B372" s="124" t="s">
        <v>363</v>
      </c>
      <c r="C372" s="125">
        <v>45345</v>
      </c>
      <c r="D372" s="124" t="s">
        <v>364</v>
      </c>
      <c r="E372" s="126">
        <v>100.03</v>
      </c>
      <c r="F372" s="124" t="s">
        <v>365</v>
      </c>
      <c r="G372" s="126"/>
      <c r="H372" s="126">
        <v>184615.37</v>
      </c>
      <c r="I372" s="127">
        <v>111888103.03</v>
      </c>
      <c r="J372" s="128" t="s">
        <v>366</v>
      </c>
      <c r="K372" s="128" t="s">
        <v>367</v>
      </c>
      <c r="L372" s="128" t="s">
        <v>368</v>
      </c>
      <c r="M372" s="128" t="s">
        <v>369</v>
      </c>
      <c r="N372" s="128"/>
      <c r="O372" s="128"/>
    </row>
    <row r="373" spans="1:15">
      <c r="A373" s="129" t="s">
        <v>362</v>
      </c>
      <c r="B373" s="129" t="s">
        <v>363</v>
      </c>
      <c r="C373" s="130">
        <v>45345</v>
      </c>
      <c r="D373" s="129" t="s">
        <v>370</v>
      </c>
      <c r="E373" s="131">
        <v>352.65100000000001</v>
      </c>
      <c r="F373" s="129" t="s">
        <v>365</v>
      </c>
      <c r="G373" s="131"/>
      <c r="H373" s="131">
        <v>632947.13</v>
      </c>
      <c r="I373" s="132">
        <v>383604321.20999998</v>
      </c>
      <c r="J373" s="133" t="s">
        <v>366</v>
      </c>
      <c r="K373" s="133" t="s">
        <v>367</v>
      </c>
      <c r="L373" s="133" t="s">
        <v>368</v>
      </c>
      <c r="M373" s="133" t="s">
        <v>369</v>
      </c>
      <c r="N373" s="133"/>
      <c r="O373" s="133"/>
    </row>
    <row r="374" spans="1:15">
      <c r="A374" s="124" t="s">
        <v>362</v>
      </c>
      <c r="B374" s="124" t="s">
        <v>363</v>
      </c>
      <c r="C374" s="125">
        <v>45345</v>
      </c>
      <c r="D374" s="124" t="s">
        <v>370</v>
      </c>
      <c r="E374" s="126">
        <v>264.27800000000002</v>
      </c>
      <c r="F374" s="124" t="s">
        <v>365</v>
      </c>
      <c r="G374" s="126"/>
      <c r="H374" s="126">
        <v>452316.93</v>
      </c>
      <c r="I374" s="127">
        <v>274131472.73000002</v>
      </c>
      <c r="J374" s="128" t="s">
        <v>366</v>
      </c>
      <c r="K374" s="128" t="s">
        <v>367</v>
      </c>
      <c r="L374" s="128" t="s">
        <v>368</v>
      </c>
      <c r="M374" s="128" t="s">
        <v>369</v>
      </c>
      <c r="N374" s="128"/>
      <c r="O374" s="128"/>
    </row>
    <row r="375" spans="1:15">
      <c r="A375" s="129" t="s">
        <v>362</v>
      </c>
      <c r="B375" s="129" t="s">
        <v>363</v>
      </c>
      <c r="C375" s="130">
        <v>45345</v>
      </c>
      <c r="D375" s="129" t="s">
        <v>370</v>
      </c>
      <c r="E375" s="131">
        <v>132.13499999999999</v>
      </c>
      <c r="F375" s="129" t="s">
        <v>365</v>
      </c>
      <c r="G375" s="131"/>
      <c r="H375" s="131">
        <v>232561.12</v>
      </c>
      <c r="I375" s="132">
        <v>140946133.33000001</v>
      </c>
      <c r="J375" s="133" t="s">
        <v>366</v>
      </c>
      <c r="K375" s="133" t="s">
        <v>367</v>
      </c>
      <c r="L375" s="133" t="s">
        <v>368</v>
      </c>
      <c r="M375" s="133" t="s">
        <v>369</v>
      </c>
      <c r="N375" s="133"/>
      <c r="O375" s="133"/>
    </row>
    <row r="376" spans="1:15">
      <c r="A376" s="124" t="s">
        <v>362</v>
      </c>
      <c r="B376" s="124" t="s">
        <v>363</v>
      </c>
      <c r="C376" s="125">
        <v>45347</v>
      </c>
      <c r="D376" s="124" t="s">
        <v>364</v>
      </c>
      <c r="E376" s="126">
        <v>1000.076</v>
      </c>
      <c r="F376" s="124" t="s">
        <v>365</v>
      </c>
      <c r="G376" s="126"/>
      <c r="H376" s="126">
        <v>1610172.36</v>
      </c>
      <c r="I376" s="127">
        <v>975270963.04999995</v>
      </c>
      <c r="J376" s="128" t="s">
        <v>366</v>
      </c>
      <c r="K376" s="128" t="s">
        <v>367</v>
      </c>
      <c r="L376" s="128" t="s">
        <v>368</v>
      </c>
      <c r="M376" s="128" t="s">
        <v>369</v>
      </c>
      <c r="N376" s="128"/>
      <c r="O376" s="128"/>
    </row>
    <row r="377" spans="1:15">
      <c r="A377" s="129" t="s">
        <v>362</v>
      </c>
      <c r="B377" s="129" t="s">
        <v>363</v>
      </c>
      <c r="C377" s="130">
        <v>45347</v>
      </c>
      <c r="D377" s="129" t="s">
        <v>372</v>
      </c>
      <c r="E377" s="131">
        <v>60</v>
      </c>
      <c r="F377" s="129" t="s">
        <v>365</v>
      </c>
      <c r="G377" s="131"/>
      <c r="H377" s="131">
        <v>78819</v>
      </c>
      <c r="I377" s="132">
        <v>47740157.479999997</v>
      </c>
      <c r="J377" s="133" t="s">
        <v>366</v>
      </c>
      <c r="K377" s="133" t="s">
        <v>367</v>
      </c>
      <c r="L377" s="133" t="s">
        <v>368</v>
      </c>
      <c r="M377" s="133" t="s">
        <v>369</v>
      </c>
      <c r="N377" s="133"/>
      <c r="O377" s="133"/>
    </row>
    <row r="378" spans="1:15">
      <c r="A378" s="124" t="s">
        <v>362</v>
      </c>
      <c r="B378" s="124" t="s">
        <v>363</v>
      </c>
      <c r="C378" s="125">
        <v>45351</v>
      </c>
      <c r="D378" s="124" t="s">
        <v>371</v>
      </c>
      <c r="E378" s="126"/>
      <c r="F378" s="124" t="s">
        <v>365</v>
      </c>
      <c r="G378" s="126"/>
      <c r="H378" s="126">
        <v>12839.34</v>
      </c>
      <c r="I378" s="127">
        <v>7766965.6820272217</v>
      </c>
      <c r="J378" s="128" t="s">
        <v>366</v>
      </c>
      <c r="K378" s="128" t="s">
        <v>367</v>
      </c>
      <c r="L378" s="128" t="s">
        <v>368</v>
      </c>
      <c r="M378" s="128" t="s">
        <v>369</v>
      </c>
      <c r="N378" s="128"/>
      <c r="O378" s="128"/>
    </row>
    <row r="379" spans="1:15">
      <c r="A379" s="129" t="s">
        <v>362</v>
      </c>
      <c r="B379" s="129" t="s">
        <v>363</v>
      </c>
      <c r="C379" s="130">
        <v>45351</v>
      </c>
      <c r="D379" s="129" t="s">
        <v>372</v>
      </c>
      <c r="E379" s="131"/>
      <c r="F379" s="129" t="s">
        <v>365</v>
      </c>
      <c r="G379" s="131"/>
      <c r="H379" s="131">
        <v>1065.21</v>
      </c>
      <c r="I379" s="132">
        <v>644385.88783088606</v>
      </c>
      <c r="J379" s="133" t="s">
        <v>366</v>
      </c>
      <c r="K379" s="133" t="s">
        <v>367</v>
      </c>
      <c r="L379" s="133" t="s">
        <v>368</v>
      </c>
      <c r="M379" s="133" t="s">
        <v>369</v>
      </c>
      <c r="N379" s="133"/>
      <c r="O379" s="133"/>
    </row>
    <row r="380" spans="1:15">
      <c r="A380" s="124" t="s">
        <v>362</v>
      </c>
      <c r="B380" s="124" t="s">
        <v>363</v>
      </c>
      <c r="C380" s="125">
        <v>45351</v>
      </c>
      <c r="D380" s="124" t="s">
        <v>374</v>
      </c>
      <c r="E380" s="126"/>
      <c r="F380" s="124" t="s">
        <v>365</v>
      </c>
      <c r="G380" s="126"/>
      <c r="H380" s="126">
        <v>532.61</v>
      </c>
      <c r="I380" s="127">
        <v>322192.94391544303</v>
      </c>
      <c r="J380" s="128" t="s">
        <v>366</v>
      </c>
      <c r="K380" s="128" t="s">
        <v>367</v>
      </c>
      <c r="L380" s="128" t="s">
        <v>368</v>
      </c>
      <c r="M380" s="128" t="s">
        <v>369</v>
      </c>
      <c r="N380" s="128"/>
      <c r="O380" s="128"/>
    </row>
    <row r="381" spans="1:15">
      <c r="A381" s="129" t="s">
        <v>362</v>
      </c>
      <c r="B381" s="129" t="s">
        <v>363</v>
      </c>
      <c r="C381" s="130">
        <v>45351</v>
      </c>
      <c r="D381" s="129" t="s">
        <v>364</v>
      </c>
      <c r="E381" s="131"/>
      <c r="F381" s="129" t="s">
        <v>365</v>
      </c>
      <c r="G381" s="131"/>
      <c r="H381" s="131">
        <v>7601.45</v>
      </c>
      <c r="I381" s="132">
        <v>4598384.8162792511</v>
      </c>
      <c r="J381" s="133" t="s">
        <v>366</v>
      </c>
      <c r="K381" s="133" t="s">
        <v>367</v>
      </c>
      <c r="L381" s="133" t="s">
        <v>368</v>
      </c>
      <c r="M381" s="133" t="s">
        <v>369</v>
      </c>
      <c r="N381" s="133"/>
      <c r="O381" s="133"/>
    </row>
    <row r="382" spans="1:15">
      <c r="A382" s="124" t="s">
        <v>362</v>
      </c>
      <c r="B382" s="124" t="s">
        <v>363</v>
      </c>
      <c r="C382" s="125">
        <v>45351</v>
      </c>
      <c r="D382" s="124" t="s">
        <v>370</v>
      </c>
      <c r="E382" s="126"/>
      <c r="F382" s="124" t="s">
        <v>365</v>
      </c>
      <c r="G382" s="126"/>
      <c r="H382" s="126">
        <v>6315</v>
      </c>
      <c r="I382" s="127">
        <v>3820166.5576518276</v>
      </c>
      <c r="J382" s="128" t="s">
        <v>366</v>
      </c>
      <c r="K382" s="128" t="s">
        <v>367</v>
      </c>
      <c r="L382" s="128" t="s">
        <v>368</v>
      </c>
      <c r="M382" s="128" t="s">
        <v>369</v>
      </c>
      <c r="N382" s="128"/>
      <c r="O382" s="128"/>
    </row>
    <row r="383" spans="1:15">
      <c r="A383" s="129" t="s">
        <v>362</v>
      </c>
      <c r="B383" s="129" t="s">
        <v>363</v>
      </c>
      <c r="C383" s="130">
        <v>45351</v>
      </c>
      <c r="D383" s="129" t="s">
        <v>373</v>
      </c>
      <c r="E383" s="131"/>
      <c r="F383" s="129" t="s">
        <v>365</v>
      </c>
      <c r="G383" s="131"/>
      <c r="H383" s="131">
        <v>111182.87</v>
      </c>
      <c r="I383" s="132">
        <v>67258418.743295357</v>
      </c>
      <c r="J383" s="133" t="s">
        <v>366</v>
      </c>
      <c r="K383" s="133" t="s">
        <v>367</v>
      </c>
      <c r="L383" s="133" t="s">
        <v>368</v>
      </c>
      <c r="M383" s="133" t="s">
        <v>369</v>
      </c>
      <c r="N383" s="133"/>
      <c r="O383" s="133"/>
    </row>
    <row r="384" spans="1:15">
      <c r="A384" s="124" t="s">
        <v>362</v>
      </c>
      <c r="B384" s="124" t="s">
        <v>363</v>
      </c>
      <c r="C384" s="125">
        <v>45351</v>
      </c>
      <c r="D384" s="124" t="s">
        <v>371</v>
      </c>
      <c r="E384" s="126"/>
      <c r="F384" s="124" t="s">
        <v>365</v>
      </c>
      <c r="G384" s="126"/>
      <c r="H384" s="126">
        <v>-156776.95999999999</v>
      </c>
      <c r="I384" s="127">
        <v>-94884077.629003257</v>
      </c>
      <c r="J384" s="128" t="s">
        <v>366</v>
      </c>
      <c r="K384" s="128" t="s">
        <v>367</v>
      </c>
      <c r="L384" s="128" t="s">
        <v>368</v>
      </c>
      <c r="M384" s="128" t="s">
        <v>369</v>
      </c>
      <c r="N384" s="128"/>
      <c r="O384" s="128"/>
    </row>
    <row r="385" spans="1:15">
      <c r="A385" s="129" t="s">
        <v>362</v>
      </c>
      <c r="B385" s="129" t="s">
        <v>363</v>
      </c>
      <c r="C385" s="130">
        <v>45351</v>
      </c>
      <c r="D385" s="129" t="s">
        <v>372</v>
      </c>
      <c r="E385" s="131"/>
      <c r="F385" s="129" t="s">
        <v>365</v>
      </c>
      <c r="G385" s="131"/>
      <c r="H385" s="131">
        <v>-25220.47</v>
      </c>
      <c r="I385" s="132">
        <v>-15263856.896070104</v>
      </c>
      <c r="J385" s="133" t="s">
        <v>366</v>
      </c>
      <c r="K385" s="133" t="s">
        <v>367</v>
      </c>
      <c r="L385" s="133" t="s">
        <v>368</v>
      </c>
      <c r="M385" s="133" t="s">
        <v>369</v>
      </c>
      <c r="N385" s="133"/>
      <c r="O385" s="133"/>
    </row>
    <row r="386" spans="1:15">
      <c r="A386" s="124" t="s">
        <v>362</v>
      </c>
      <c r="B386" s="124" t="s">
        <v>363</v>
      </c>
      <c r="C386" s="125">
        <v>45351</v>
      </c>
      <c r="D386" s="124" t="s">
        <v>374</v>
      </c>
      <c r="E386" s="126"/>
      <c r="F386" s="124" t="s">
        <v>365</v>
      </c>
      <c r="G386" s="126"/>
      <c r="H386" s="126">
        <v>-7706.25</v>
      </c>
      <c r="I386" s="127">
        <v>-4663956.2737991987</v>
      </c>
      <c r="J386" s="128" t="s">
        <v>366</v>
      </c>
      <c r="K386" s="128" t="s">
        <v>367</v>
      </c>
      <c r="L386" s="128" t="s">
        <v>368</v>
      </c>
      <c r="M386" s="128" t="s">
        <v>369</v>
      </c>
      <c r="N386" s="128"/>
      <c r="O386" s="128"/>
    </row>
    <row r="387" spans="1:15">
      <c r="A387" s="129" t="s">
        <v>362</v>
      </c>
      <c r="B387" s="129" t="s">
        <v>363</v>
      </c>
      <c r="C387" s="130">
        <v>45351</v>
      </c>
      <c r="D387" s="129" t="s">
        <v>364</v>
      </c>
      <c r="E387" s="131"/>
      <c r="F387" s="129" t="s">
        <v>365</v>
      </c>
      <c r="G387" s="131"/>
      <c r="H387" s="131">
        <v>-159003.71</v>
      </c>
      <c r="I387" s="132">
        <v>-96231744.754158542</v>
      </c>
      <c r="J387" s="133" t="s">
        <v>366</v>
      </c>
      <c r="K387" s="133" t="s">
        <v>367</v>
      </c>
      <c r="L387" s="133" t="s">
        <v>368</v>
      </c>
      <c r="M387" s="133" t="s">
        <v>369</v>
      </c>
      <c r="N387" s="133"/>
      <c r="O387" s="133"/>
    </row>
    <row r="388" spans="1:15">
      <c r="A388" s="124" t="s">
        <v>362</v>
      </c>
      <c r="B388" s="124" t="s">
        <v>363</v>
      </c>
      <c r="C388" s="125">
        <v>45351</v>
      </c>
      <c r="D388" s="124" t="s">
        <v>370</v>
      </c>
      <c r="E388" s="126"/>
      <c r="F388" s="124" t="s">
        <v>365</v>
      </c>
      <c r="G388" s="126"/>
      <c r="H388" s="126">
        <v>-93748.89</v>
      </c>
      <c r="I388" s="127">
        <v>-56738421.957699075</v>
      </c>
      <c r="J388" s="128" t="s">
        <v>366</v>
      </c>
      <c r="K388" s="128" t="s">
        <v>367</v>
      </c>
      <c r="L388" s="128" t="s">
        <v>368</v>
      </c>
      <c r="M388" s="128" t="s">
        <v>369</v>
      </c>
      <c r="N388" s="128"/>
      <c r="O388" s="128"/>
    </row>
    <row r="389" spans="1:15">
      <c r="A389" s="129" t="s">
        <v>362</v>
      </c>
      <c r="B389" s="129" t="s">
        <v>363</v>
      </c>
      <c r="C389" s="130">
        <v>45351</v>
      </c>
      <c r="D389" s="129" t="s">
        <v>373</v>
      </c>
      <c r="E389" s="131"/>
      <c r="F389" s="129" t="s">
        <v>365</v>
      </c>
      <c r="G389" s="131"/>
      <c r="H389" s="131">
        <v>-877470.58</v>
      </c>
      <c r="I389" s="132">
        <v>-531060087.9282698</v>
      </c>
      <c r="J389" s="133" t="s">
        <v>366</v>
      </c>
      <c r="K389" s="133" t="s">
        <v>367</v>
      </c>
      <c r="L389" s="133" t="s">
        <v>368</v>
      </c>
      <c r="M389" s="133" t="s">
        <v>369</v>
      </c>
      <c r="N389" s="133"/>
      <c r="O389" s="133"/>
    </row>
    <row r="390" spans="1:15">
      <c r="A390" s="124" t="s">
        <v>362</v>
      </c>
      <c r="B390" s="124" t="s">
        <v>363</v>
      </c>
      <c r="C390" s="125">
        <v>45352</v>
      </c>
      <c r="D390" s="124" t="s">
        <v>374</v>
      </c>
      <c r="E390" s="126">
        <v>40</v>
      </c>
      <c r="F390" s="124" t="s">
        <v>365</v>
      </c>
      <c r="G390" s="126"/>
      <c r="H390" s="126">
        <v>77949.86</v>
      </c>
      <c r="I390" s="127">
        <v>47328391.009999998</v>
      </c>
      <c r="J390" s="128" t="s">
        <v>366</v>
      </c>
      <c r="K390" s="128" t="s">
        <v>367</v>
      </c>
      <c r="L390" s="128" t="s">
        <v>368</v>
      </c>
      <c r="M390" s="128" t="s">
        <v>369</v>
      </c>
      <c r="N390" s="128"/>
      <c r="O390" s="128"/>
    </row>
    <row r="391" spans="1:15">
      <c r="A391" s="129" t="s">
        <v>362</v>
      </c>
      <c r="B391" s="129" t="s">
        <v>363</v>
      </c>
      <c r="C391" s="130">
        <v>45352</v>
      </c>
      <c r="D391" s="129" t="s">
        <v>364</v>
      </c>
      <c r="E391" s="131">
        <v>428.95699999999999</v>
      </c>
      <c r="F391" s="129" t="s">
        <v>365</v>
      </c>
      <c r="G391" s="131"/>
      <c r="H391" s="131">
        <v>866931.67</v>
      </c>
      <c r="I391" s="132">
        <v>526370170.00999999</v>
      </c>
      <c r="J391" s="133" t="s">
        <v>366</v>
      </c>
      <c r="K391" s="133" t="s">
        <v>367</v>
      </c>
      <c r="L391" s="133" t="s">
        <v>368</v>
      </c>
      <c r="M391" s="133" t="s">
        <v>369</v>
      </c>
      <c r="N391" s="133"/>
      <c r="O391" s="133"/>
    </row>
    <row r="392" spans="1:15">
      <c r="A392" s="124" t="s">
        <v>362</v>
      </c>
      <c r="B392" s="124" t="s">
        <v>363</v>
      </c>
      <c r="C392" s="125">
        <v>45352</v>
      </c>
      <c r="D392" s="124" t="s">
        <v>370</v>
      </c>
      <c r="E392" s="126">
        <v>198.13749999999999</v>
      </c>
      <c r="F392" s="124" t="s">
        <v>365</v>
      </c>
      <c r="G392" s="126"/>
      <c r="H392" s="126">
        <v>349717.1</v>
      </c>
      <c r="I392" s="127">
        <v>212335822.71000001</v>
      </c>
      <c r="J392" s="128" t="s">
        <v>366</v>
      </c>
      <c r="K392" s="128" t="s">
        <v>367</v>
      </c>
      <c r="L392" s="128" t="s">
        <v>368</v>
      </c>
      <c r="M392" s="128" t="s">
        <v>369</v>
      </c>
      <c r="N392" s="128"/>
      <c r="O392" s="128"/>
    </row>
    <row r="393" spans="1:15">
      <c r="A393" s="129" t="s">
        <v>362</v>
      </c>
      <c r="B393" s="129" t="s">
        <v>363</v>
      </c>
      <c r="C393" s="130">
        <v>45353</v>
      </c>
      <c r="D393" s="129" t="s">
        <v>372</v>
      </c>
      <c r="E393" s="131">
        <v>60</v>
      </c>
      <c r="F393" s="129" t="s">
        <v>365</v>
      </c>
      <c r="G393" s="131"/>
      <c r="H393" s="131">
        <v>85111.65</v>
      </c>
      <c r="I393" s="132">
        <v>51489201.450000003</v>
      </c>
      <c r="J393" s="133" t="s">
        <v>366</v>
      </c>
      <c r="K393" s="133" t="s">
        <v>367</v>
      </c>
      <c r="L393" s="133" t="s">
        <v>368</v>
      </c>
      <c r="M393" s="133" t="s">
        <v>369</v>
      </c>
      <c r="N393" s="133"/>
      <c r="O393" s="133"/>
    </row>
    <row r="394" spans="1:15">
      <c r="A394" s="124" t="s">
        <v>362</v>
      </c>
      <c r="B394" s="124" t="s">
        <v>363</v>
      </c>
      <c r="C394" s="125">
        <v>45353</v>
      </c>
      <c r="D394" s="124" t="s">
        <v>374</v>
      </c>
      <c r="E394" s="126">
        <v>80</v>
      </c>
      <c r="F394" s="124" t="s">
        <v>365</v>
      </c>
      <c r="G394" s="126"/>
      <c r="H394" s="126">
        <v>152704</v>
      </c>
      <c r="I394" s="127">
        <v>92379915.310000002</v>
      </c>
      <c r="J394" s="128" t="s">
        <v>366</v>
      </c>
      <c r="K394" s="128" t="s">
        <v>367</v>
      </c>
      <c r="L394" s="128" t="s">
        <v>368</v>
      </c>
      <c r="M394" s="128" t="s">
        <v>369</v>
      </c>
      <c r="N394" s="128"/>
      <c r="O394" s="128"/>
    </row>
    <row r="395" spans="1:15">
      <c r="A395" s="129" t="s">
        <v>362</v>
      </c>
      <c r="B395" s="129" t="s">
        <v>363</v>
      </c>
      <c r="C395" s="130">
        <v>45353</v>
      </c>
      <c r="D395" s="129" t="s">
        <v>364</v>
      </c>
      <c r="E395" s="131">
        <v>132.08250000000001</v>
      </c>
      <c r="F395" s="129" t="s">
        <v>365</v>
      </c>
      <c r="G395" s="131"/>
      <c r="H395" s="131">
        <v>238873.91</v>
      </c>
      <c r="I395" s="132">
        <v>144509322.44</v>
      </c>
      <c r="J395" s="133" t="s">
        <v>366</v>
      </c>
      <c r="K395" s="133" t="s">
        <v>367</v>
      </c>
      <c r="L395" s="133" t="s">
        <v>368</v>
      </c>
      <c r="M395" s="133" t="s">
        <v>369</v>
      </c>
      <c r="N395" s="133"/>
      <c r="O395" s="133"/>
    </row>
    <row r="396" spans="1:15">
      <c r="A396" s="124" t="s">
        <v>362</v>
      </c>
      <c r="B396" s="124" t="s">
        <v>363</v>
      </c>
      <c r="C396" s="125">
        <v>45353</v>
      </c>
      <c r="D396" s="124" t="s">
        <v>364</v>
      </c>
      <c r="E396" s="126">
        <v>98.989000000000004</v>
      </c>
      <c r="F396" s="124" t="s">
        <v>365</v>
      </c>
      <c r="G396" s="126"/>
      <c r="H396" s="126">
        <v>182694.1</v>
      </c>
      <c r="I396" s="127">
        <v>110522746.52</v>
      </c>
      <c r="J396" s="128" t="s">
        <v>366</v>
      </c>
      <c r="K396" s="128" t="s">
        <v>367</v>
      </c>
      <c r="L396" s="128" t="s">
        <v>368</v>
      </c>
      <c r="M396" s="128" t="s">
        <v>369</v>
      </c>
      <c r="N396" s="128"/>
      <c r="O396" s="128"/>
    </row>
    <row r="397" spans="1:15">
      <c r="A397" s="129" t="s">
        <v>362</v>
      </c>
      <c r="B397" s="129" t="s">
        <v>363</v>
      </c>
      <c r="C397" s="130">
        <v>45353</v>
      </c>
      <c r="D397" s="129" t="s">
        <v>370</v>
      </c>
      <c r="E397" s="131">
        <v>154.13749999999999</v>
      </c>
      <c r="F397" s="129" t="s">
        <v>365</v>
      </c>
      <c r="G397" s="131"/>
      <c r="H397" s="131">
        <v>271282.88</v>
      </c>
      <c r="I397" s="132">
        <v>164115474.88999999</v>
      </c>
      <c r="J397" s="133" t="s">
        <v>366</v>
      </c>
      <c r="K397" s="133" t="s">
        <v>367</v>
      </c>
      <c r="L397" s="133" t="s">
        <v>368</v>
      </c>
      <c r="M397" s="133" t="s">
        <v>369</v>
      </c>
      <c r="N397" s="133"/>
      <c r="O397" s="133"/>
    </row>
    <row r="398" spans="1:15">
      <c r="A398" s="124" t="s">
        <v>362</v>
      </c>
      <c r="B398" s="124" t="s">
        <v>363</v>
      </c>
      <c r="C398" s="125">
        <v>45358</v>
      </c>
      <c r="D398" s="124" t="s">
        <v>373</v>
      </c>
      <c r="E398" s="126">
        <v>30001.74</v>
      </c>
      <c r="F398" s="124" t="s">
        <v>365</v>
      </c>
      <c r="G398" s="126"/>
      <c r="H398" s="126">
        <v>7583317.8099999996</v>
      </c>
      <c r="I398" s="127">
        <v>4582065141.9899998</v>
      </c>
      <c r="J398" s="128" t="s">
        <v>366</v>
      </c>
      <c r="K398" s="128" t="s">
        <v>367</v>
      </c>
      <c r="L398" s="128" t="s">
        <v>368</v>
      </c>
      <c r="M398" s="128" t="s">
        <v>369</v>
      </c>
      <c r="N398" s="128"/>
      <c r="O398" s="128"/>
    </row>
    <row r="399" spans="1:15">
      <c r="A399" s="129" t="s">
        <v>362</v>
      </c>
      <c r="B399" s="129" t="s">
        <v>363</v>
      </c>
      <c r="C399" s="130">
        <v>45360</v>
      </c>
      <c r="D399" s="129" t="s">
        <v>375</v>
      </c>
      <c r="E399" s="131">
        <v>20003.812999999998</v>
      </c>
      <c r="F399" s="129" t="s">
        <v>365</v>
      </c>
      <c r="G399" s="131"/>
      <c r="H399" s="131">
        <v>5471843.0099999998</v>
      </c>
      <c r="I399" s="132">
        <v>3306249552.8699999</v>
      </c>
      <c r="J399" s="133" t="s">
        <v>366</v>
      </c>
      <c r="K399" s="133" t="s">
        <v>367</v>
      </c>
      <c r="L399" s="133" t="s">
        <v>368</v>
      </c>
      <c r="M399" s="133" t="s">
        <v>369</v>
      </c>
      <c r="N399" s="133"/>
      <c r="O399" s="133"/>
    </row>
    <row r="400" spans="1:15">
      <c r="A400" s="124" t="s">
        <v>362</v>
      </c>
      <c r="B400" s="124" t="s">
        <v>363</v>
      </c>
      <c r="C400" s="125">
        <v>45359</v>
      </c>
      <c r="D400" s="124" t="s">
        <v>372</v>
      </c>
      <c r="E400" s="126">
        <v>40</v>
      </c>
      <c r="F400" s="124" t="s">
        <v>365</v>
      </c>
      <c r="G400" s="126"/>
      <c r="H400" s="126">
        <v>51464</v>
      </c>
      <c r="I400" s="127">
        <v>31096072.510000002</v>
      </c>
      <c r="J400" s="128" t="s">
        <v>366</v>
      </c>
      <c r="K400" s="128" t="s">
        <v>367</v>
      </c>
      <c r="L400" s="128" t="s">
        <v>368</v>
      </c>
      <c r="M400" s="128" t="s">
        <v>369</v>
      </c>
      <c r="N400" s="128"/>
      <c r="O400" s="128"/>
    </row>
    <row r="401" spans="1:15">
      <c r="A401" s="129" t="s">
        <v>362</v>
      </c>
      <c r="B401" s="129" t="s">
        <v>363</v>
      </c>
      <c r="C401" s="130">
        <v>45359</v>
      </c>
      <c r="D401" s="129" t="s">
        <v>370</v>
      </c>
      <c r="E401" s="131">
        <v>66.077500000000001</v>
      </c>
      <c r="F401" s="129" t="s">
        <v>365</v>
      </c>
      <c r="G401" s="131"/>
      <c r="H401" s="131">
        <v>118861.11</v>
      </c>
      <c r="I401" s="132">
        <v>71819401.810000002</v>
      </c>
      <c r="J401" s="133" t="s">
        <v>366</v>
      </c>
      <c r="K401" s="133" t="s">
        <v>367</v>
      </c>
      <c r="L401" s="133" t="s">
        <v>368</v>
      </c>
      <c r="M401" s="133" t="s">
        <v>369</v>
      </c>
      <c r="N401" s="133"/>
      <c r="O401" s="133"/>
    </row>
    <row r="402" spans="1:15">
      <c r="A402" s="124" t="s">
        <v>362</v>
      </c>
      <c r="B402" s="124" t="s">
        <v>363</v>
      </c>
      <c r="C402" s="125">
        <v>45359</v>
      </c>
      <c r="D402" s="124" t="s">
        <v>370</v>
      </c>
      <c r="E402" s="126">
        <v>264.3075</v>
      </c>
      <c r="F402" s="124" t="s">
        <v>365</v>
      </c>
      <c r="G402" s="126"/>
      <c r="H402" s="126">
        <v>452366.57</v>
      </c>
      <c r="I402" s="127">
        <v>273333274.92000002</v>
      </c>
      <c r="J402" s="128" t="s">
        <v>366</v>
      </c>
      <c r="K402" s="128" t="s">
        <v>367</v>
      </c>
      <c r="L402" s="128" t="s">
        <v>368</v>
      </c>
      <c r="M402" s="128" t="s">
        <v>369</v>
      </c>
      <c r="N402" s="128"/>
      <c r="O402" s="128"/>
    </row>
    <row r="403" spans="1:15">
      <c r="A403" s="129" t="s">
        <v>362</v>
      </c>
      <c r="B403" s="129" t="s">
        <v>363</v>
      </c>
      <c r="C403" s="130">
        <v>45360</v>
      </c>
      <c r="D403" s="129" t="s">
        <v>370</v>
      </c>
      <c r="E403" s="131">
        <v>132.14750000000001</v>
      </c>
      <c r="F403" s="129" t="s">
        <v>365</v>
      </c>
      <c r="G403" s="131"/>
      <c r="H403" s="131">
        <v>237167.13</v>
      </c>
      <c r="I403" s="132">
        <v>143303401.81</v>
      </c>
      <c r="J403" s="133" t="s">
        <v>366</v>
      </c>
      <c r="K403" s="133" t="s">
        <v>367</v>
      </c>
      <c r="L403" s="133" t="s">
        <v>368</v>
      </c>
      <c r="M403" s="133" t="s">
        <v>369</v>
      </c>
      <c r="N403" s="133"/>
      <c r="O403" s="133"/>
    </row>
    <row r="404" spans="1:15">
      <c r="A404" s="124" t="s">
        <v>362</v>
      </c>
      <c r="B404" s="124" t="s">
        <v>363</v>
      </c>
      <c r="C404" s="125">
        <v>45360</v>
      </c>
      <c r="D404" s="124" t="s">
        <v>364</v>
      </c>
      <c r="E404" s="126">
        <v>59.997</v>
      </c>
      <c r="F404" s="124" t="s">
        <v>365</v>
      </c>
      <c r="G404" s="126"/>
      <c r="H404" s="126">
        <v>112636.06</v>
      </c>
      <c r="I404" s="127">
        <v>68058042.299999997</v>
      </c>
      <c r="J404" s="128" t="s">
        <v>366</v>
      </c>
      <c r="K404" s="128" t="s">
        <v>367</v>
      </c>
      <c r="L404" s="128" t="s">
        <v>368</v>
      </c>
      <c r="M404" s="128" t="s">
        <v>369</v>
      </c>
      <c r="N404" s="128"/>
      <c r="O404" s="128"/>
    </row>
    <row r="405" spans="1:15">
      <c r="A405" s="129" t="s">
        <v>362</v>
      </c>
      <c r="B405" s="129" t="s">
        <v>363</v>
      </c>
      <c r="C405" s="130">
        <v>45361</v>
      </c>
      <c r="D405" s="129" t="s">
        <v>374</v>
      </c>
      <c r="E405" s="131">
        <v>100</v>
      </c>
      <c r="F405" s="129" t="s">
        <v>365</v>
      </c>
      <c r="G405" s="131"/>
      <c r="H405" s="131">
        <v>198615</v>
      </c>
      <c r="I405" s="132">
        <v>120009063.44</v>
      </c>
      <c r="J405" s="133" t="s">
        <v>366</v>
      </c>
      <c r="K405" s="133" t="s">
        <v>367</v>
      </c>
      <c r="L405" s="133" t="s">
        <v>368</v>
      </c>
      <c r="M405" s="133" t="s">
        <v>369</v>
      </c>
      <c r="N405" s="133"/>
      <c r="O405" s="133"/>
    </row>
    <row r="406" spans="1:15">
      <c r="A406" s="124" t="s">
        <v>362</v>
      </c>
      <c r="B406" s="124" t="s">
        <v>363</v>
      </c>
      <c r="C406" s="125">
        <v>45361</v>
      </c>
      <c r="D406" s="124" t="s">
        <v>370</v>
      </c>
      <c r="E406" s="126">
        <v>176.16499999999999</v>
      </c>
      <c r="F406" s="124" t="s">
        <v>365</v>
      </c>
      <c r="G406" s="126"/>
      <c r="H406" s="126">
        <v>299258.46999999997</v>
      </c>
      <c r="I406" s="127">
        <v>180820827.78999999</v>
      </c>
      <c r="J406" s="128" t="s">
        <v>366</v>
      </c>
      <c r="K406" s="128" t="s">
        <v>367</v>
      </c>
      <c r="L406" s="128" t="s">
        <v>368</v>
      </c>
      <c r="M406" s="128" t="s">
        <v>369</v>
      </c>
      <c r="N406" s="128"/>
      <c r="O406" s="128"/>
    </row>
    <row r="407" spans="1:15">
      <c r="A407" s="129" t="s">
        <v>362</v>
      </c>
      <c r="B407" s="129" t="s">
        <v>363</v>
      </c>
      <c r="C407" s="130">
        <v>45361</v>
      </c>
      <c r="D407" s="129" t="s">
        <v>371</v>
      </c>
      <c r="E407" s="131">
        <v>531.61</v>
      </c>
      <c r="F407" s="129" t="s">
        <v>365</v>
      </c>
      <c r="G407" s="131"/>
      <c r="H407" s="131">
        <v>134893.56</v>
      </c>
      <c r="I407" s="132">
        <v>81506682.780000001</v>
      </c>
      <c r="J407" s="133" t="s">
        <v>366</v>
      </c>
      <c r="K407" s="133" t="s">
        <v>367</v>
      </c>
      <c r="L407" s="133" t="s">
        <v>368</v>
      </c>
      <c r="M407" s="133" t="s">
        <v>369</v>
      </c>
      <c r="N407" s="133"/>
      <c r="O407" s="133"/>
    </row>
    <row r="408" spans="1:15">
      <c r="A408" s="124" t="s">
        <v>362</v>
      </c>
      <c r="B408" s="124" t="s">
        <v>363</v>
      </c>
      <c r="C408" s="125">
        <v>45361</v>
      </c>
      <c r="D408" s="124" t="s">
        <v>372</v>
      </c>
      <c r="E408" s="126">
        <v>60</v>
      </c>
      <c r="F408" s="124" t="s">
        <v>365</v>
      </c>
      <c r="G408" s="126"/>
      <c r="H408" s="126">
        <v>83076</v>
      </c>
      <c r="I408" s="127">
        <v>50196978.850000001</v>
      </c>
      <c r="J408" s="128" t="s">
        <v>366</v>
      </c>
      <c r="K408" s="128" t="s">
        <v>367</v>
      </c>
      <c r="L408" s="128" t="s">
        <v>368</v>
      </c>
      <c r="M408" s="128" t="s">
        <v>369</v>
      </c>
      <c r="N408" s="128"/>
      <c r="O408" s="128"/>
    </row>
    <row r="409" spans="1:15">
      <c r="A409" s="129" t="s">
        <v>362</v>
      </c>
      <c r="B409" s="129" t="s">
        <v>363</v>
      </c>
      <c r="C409" s="130">
        <v>45361</v>
      </c>
      <c r="D409" s="129" t="s">
        <v>372</v>
      </c>
      <c r="E409" s="131">
        <v>60</v>
      </c>
      <c r="F409" s="129" t="s">
        <v>365</v>
      </c>
      <c r="G409" s="131"/>
      <c r="H409" s="131">
        <v>76674</v>
      </c>
      <c r="I409" s="132">
        <v>46328700.909999996</v>
      </c>
      <c r="J409" s="133" t="s">
        <v>366</v>
      </c>
      <c r="K409" s="133" t="s">
        <v>367</v>
      </c>
      <c r="L409" s="133" t="s">
        <v>368</v>
      </c>
      <c r="M409" s="133" t="s">
        <v>369</v>
      </c>
      <c r="N409" s="133"/>
      <c r="O409" s="133"/>
    </row>
    <row r="410" spans="1:15">
      <c r="A410" s="124" t="s">
        <v>362</v>
      </c>
      <c r="B410" s="124" t="s">
        <v>363</v>
      </c>
      <c r="C410" s="125">
        <v>45361</v>
      </c>
      <c r="D410" s="124" t="s">
        <v>370</v>
      </c>
      <c r="E410" s="126">
        <v>264.73500000000001</v>
      </c>
      <c r="F410" s="124" t="s">
        <v>365</v>
      </c>
      <c r="G410" s="126"/>
      <c r="H410" s="126">
        <v>453626.85</v>
      </c>
      <c r="I410" s="127">
        <v>274094773.41000003</v>
      </c>
      <c r="J410" s="128" t="s">
        <v>366</v>
      </c>
      <c r="K410" s="128" t="s">
        <v>367</v>
      </c>
      <c r="L410" s="128" t="s">
        <v>368</v>
      </c>
      <c r="M410" s="128" t="s">
        <v>369</v>
      </c>
      <c r="N410" s="128"/>
      <c r="O410" s="128"/>
    </row>
    <row r="411" spans="1:15">
      <c r="A411" s="129" t="s">
        <v>362</v>
      </c>
      <c r="B411" s="129" t="s">
        <v>363</v>
      </c>
      <c r="C411" s="130">
        <v>45365</v>
      </c>
      <c r="D411" s="129" t="s">
        <v>372</v>
      </c>
      <c r="E411" s="131">
        <v>40</v>
      </c>
      <c r="F411" s="129" t="s">
        <v>365</v>
      </c>
      <c r="G411" s="131"/>
      <c r="H411" s="131">
        <v>52482</v>
      </c>
      <c r="I411" s="132">
        <v>31426347.309999999</v>
      </c>
      <c r="J411" s="133" t="s">
        <v>366</v>
      </c>
      <c r="K411" s="133" t="s">
        <v>367</v>
      </c>
      <c r="L411" s="133" t="s">
        <v>368</v>
      </c>
      <c r="M411" s="133" t="s">
        <v>369</v>
      </c>
      <c r="N411" s="133"/>
      <c r="O411" s="133"/>
    </row>
    <row r="412" spans="1:15">
      <c r="A412" s="124" t="s">
        <v>362</v>
      </c>
      <c r="B412" s="124" t="s">
        <v>363</v>
      </c>
      <c r="C412" s="125">
        <v>45365</v>
      </c>
      <c r="D412" s="124" t="s">
        <v>372</v>
      </c>
      <c r="E412" s="126">
        <v>60</v>
      </c>
      <c r="F412" s="124" t="s">
        <v>365</v>
      </c>
      <c r="G412" s="126"/>
      <c r="H412" s="126">
        <v>78819</v>
      </c>
      <c r="I412" s="127">
        <v>47197005.990000002</v>
      </c>
      <c r="J412" s="128" t="s">
        <v>366</v>
      </c>
      <c r="K412" s="128" t="s">
        <v>367</v>
      </c>
      <c r="L412" s="128" t="s">
        <v>368</v>
      </c>
      <c r="M412" s="128" t="s">
        <v>369</v>
      </c>
      <c r="N412" s="128"/>
      <c r="O412" s="128"/>
    </row>
    <row r="413" spans="1:15">
      <c r="A413" s="129" t="s">
        <v>362</v>
      </c>
      <c r="B413" s="129" t="s">
        <v>363</v>
      </c>
      <c r="C413" s="130">
        <v>45365</v>
      </c>
      <c r="D413" s="129" t="s">
        <v>371</v>
      </c>
      <c r="E413" s="131">
        <v>451.83</v>
      </c>
      <c r="F413" s="129" t="s">
        <v>365</v>
      </c>
      <c r="G413" s="131"/>
      <c r="H413" s="131">
        <v>122486.24</v>
      </c>
      <c r="I413" s="132">
        <v>73345053.890000001</v>
      </c>
      <c r="J413" s="133" t="s">
        <v>366</v>
      </c>
      <c r="K413" s="133" t="s">
        <v>367</v>
      </c>
      <c r="L413" s="133" t="s">
        <v>368</v>
      </c>
      <c r="M413" s="133" t="s">
        <v>369</v>
      </c>
      <c r="N413" s="133"/>
      <c r="O413" s="133"/>
    </row>
    <row r="414" spans="1:15">
      <c r="A414" s="124" t="s">
        <v>362</v>
      </c>
      <c r="B414" s="124" t="s">
        <v>363</v>
      </c>
      <c r="C414" s="125">
        <v>45367</v>
      </c>
      <c r="D414" s="124" t="s">
        <v>372</v>
      </c>
      <c r="E414" s="126">
        <v>80</v>
      </c>
      <c r="F414" s="124" t="s">
        <v>365</v>
      </c>
      <c r="G414" s="126"/>
      <c r="H414" s="126">
        <v>105459.72</v>
      </c>
      <c r="I414" s="127">
        <v>63491703.789999999</v>
      </c>
      <c r="J414" s="128" t="s">
        <v>366</v>
      </c>
      <c r="K414" s="128" t="s">
        <v>367</v>
      </c>
      <c r="L414" s="128" t="s">
        <v>368</v>
      </c>
      <c r="M414" s="128" t="s">
        <v>369</v>
      </c>
      <c r="N414" s="128"/>
      <c r="O414" s="128"/>
    </row>
    <row r="415" spans="1:15">
      <c r="A415" s="129" t="s">
        <v>362</v>
      </c>
      <c r="B415" s="129" t="s">
        <v>363</v>
      </c>
      <c r="C415" s="130">
        <v>45371</v>
      </c>
      <c r="D415" s="129" t="s">
        <v>372</v>
      </c>
      <c r="E415" s="131">
        <v>60</v>
      </c>
      <c r="F415" s="129" t="s">
        <v>365</v>
      </c>
      <c r="G415" s="131"/>
      <c r="H415" s="131">
        <v>78819</v>
      </c>
      <c r="I415" s="132">
        <v>47596014.490000002</v>
      </c>
      <c r="J415" s="133" t="s">
        <v>366</v>
      </c>
      <c r="K415" s="133" t="s">
        <v>367</v>
      </c>
      <c r="L415" s="133" t="s">
        <v>368</v>
      </c>
      <c r="M415" s="133" t="s">
        <v>369</v>
      </c>
      <c r="N415" s="133"/>
      <c r="O415" s="133"/>
    </row>
    <row r="416" spans="1:15">
      <c r="A416" s="124" t="s">
        <v>362</v>
      </c>
      <c r="B416" s="124" t="s">
        <v>363</v>
      </c>
      <c r="C416" s="125">
        <v>45371</v>
      </c>
      <c r="D416" s="124" t="s">
        <v>370</v>
      </c>
      <c r="E416" s="126">
        <v>19.998999999999999</v>
      </c>
      <c r="F416" s="124" t="s">
        <v>365</v>
      </c>
      <c r="G416" s="126"/>
      <c r="H416" s="126">
        <v>35346.21</v>
      </c>
      <c r="I416" s="127">
        <v>21344329.710000001</v>
      </c>
      <c r="J416" s="128" t="s">
        <v>366</v>
      </c>
      <c r="K416" s="128" t="s">
        <v>367</v>
      </c>
      <c r="L416" s="128" t="s">
        <v>368</v>
      </c>
      <c r="M416" s="128" t="s">
        <v>369</v>
      </c>
      <c r="N416" s="128"/>
      <c r="O416" s="128"/>
    </row>
    <row r="417" spans="1:15">
      <c r="A417" s="129" t="s">
        <v>362</v>
      </c>
      <c r="B417" s="129" t="s">
        <v>363</v>
      </c>
      <c r="C417" s="130">
        <v>45373</v>
      </c>
      <c r="D417" s="129" t="s">
        <v>370</v>
      </c>
      <c r="E417" s="131">
        <v>39.985999999999997</v>
      </c>
      <c r="F417" s="129" t="s">
        <v>365</v>
      </c>
      <c r="G417" s="131"/>
      <c r="H417" s="131">
        <v>68384.06</v>
      </c>
      <c r="I417" s="132">
        <v>41294722.219999999</v>
      </c>
      <c r="J417" s="133" t="s">
        <v>366</v>
      </c>
      <c r="K417" s="133" t="s">
        <v>367</v>
      </c>
      <c r="L417" s="133" t="s">
        <v>368</v>
      </c>
      <c r="M417" s="133" t="s">
        <v>369</v>
      </c>
      <c r="N417" s="133"/>
      <c r="O417" s="133"/>
    </row>
    <row r="418" spans="1:15">
      <c r="A418" s="124" t="s">
        <v>362</v>
      </c>
      <c r="B418" s="124" t="s">
        <v>363</v>
      </c>
      <c r="C418" s="125">
        <v>45376</v>
      </c>
      <c r="D418" s="124" t="s">
        <v>370</v>
      </c>
      <c r="E418" s="126">
        <v>99.957999999999998</v>
      </c>
      <c r="F418" s="124" t="s">
        <v>365</v>
      </c>
      <c r="G418" s="126"/>
      <c r="H418" s="126">
        <v>172982.32</v>
      </c>
      <c r="I418" s="127">
        <v>104965000</v>
      </c>
      <c r="J418" s="128" t="s">
        <v>366</v>
      </c>
      <c r="K418" s="128" t="s">
        <v>367</v>
      </c>
      <c r="L418" s="128" t="s">
        <v>368</v>
      </c>
      <c r="M418" s="128" t="s">
        <v>369</v>
      </c>
      <c r="N418" s="128"/>
      <c r="O418" s="128"/>
    </row>
    <row r="419" spans="1:15">
      <c r="A419" s="129" t="s">
        <v>362</v>
      </c>
      <c r="B419" s="129" t="s">
        <v>363</v>
      </c>
      <c r="C419" s="130">
        <v>45376</v>
      </c>
      <c r="D419" s="129" t="s">
        <v>371</v>
      </c>
      <c r="E419" s="131">
        <v>903.23099999999999</v>
      </c>
      <c r="F419" s="129" t="s">
        <v>365</v>
      </c>
      <c r="G419" s="131"/>
      <c r="H419" s="131">
        <v>206410.63</v>
      </c>
      <c r="I419" s="132">
        <v>125249168.69</v>
      </c>
      <c r="J419" s="133" t="s">
        <v>366</v>
      </c>
      <c r="K419" s="133" t="s">
        <v>367</v>
      </c>
      <c r="L419" s="133" t="s">
        <v>368</v>
      </c>
      <c r="M419" s="133" t="s">
        <v>369</v>
      </c>
      <c r="N419" s="133"/>
      <c r="O419" s="133"/>
    </row>
    <row r="420" spans="1:15">
      <c r="A420" s="124" t="s">
        <v>362</v>
      </c>
      <c r="B420" s="124" t="s">
        <v>363</v>
      </c>
      <c r="C420" s="125">
        <v>45376</v>
      </c>
      <c r="D420" s="124" t="s">
        <v>370</v>
      </c>
      <c r="E420" s="126">
        <v>440.5</v>
      </c>
      <c r="F420" s="124" t="s">
        <v>365</v>
      </c>
      <c r="G420" s="126"/>
      <c r="H420" s="126">
        <v>754801.89</v>
      </c>
      <c r="I420" s="127">
        <v>458010855.57999998</v>
      </c>
      <c r="J420" s="128" t="s">
        <v>366</v>
      </c>
      <c r="K420" s="128" t="s">
        <v>367</v>
      </c>
      <c r="L420" s="128" t="s">
        <v>368</v>
      </c>
      <c r="M420" s="128" t="s">
        <v>369</v>
      </c>
      <c r="N420" s="128"/>
      <c r="O420" s="128"/>
    </row>
    <row r="421" spans="1:15">
      <c r="A421" s="129" t="s">
        <v>362</v>
      </c>
      <c r="B421" s="129" t="s">
        <v>363</v>
      </c>
      <c r="C421" s="130">
        <v>45376</v>
      </c>
      <c r="D421" s="129" t="s">
        <v>370</v>
      </c>
      <c r="E421" s="131">
        <v>132.1275</v>
      </c>
      <c r="F421" s="129" t="s">
        <v>365</v>
      </c>
      <c r="G421" s="131"/>
      <c r="H421" s="131">
        <v>232809.54</v>
      </c>
      <c r="I421" s="132">
        <v>141267924.75999999</v>
      </c>
      <c r="J421" s="133" t="s">
        <v>366</v>
      </c>
      <c r="K421" s="133" t="s">
        <v>367</v>
      </c>
      <c r="L421" s="133" t="s">
        <v>368</v>
      </c>
      <c r="M421" s="133" t="s">
        <v>369</v>
      </c>
      <c r="N421" s="133"/>
      <c r="O421" s="133"/>
    </row>
    <row r="422" spans="1:15">
      <c r="A422" s="124" t="s">
        <v>362</v>
      </c>
      <c r="B422" s="124" t="s">
        <v>363</v>
      </c>
      <c r="C422" s="125">
        <v>45376</v>
      </c>
      <c r="D422" s="124" t="s">
        <v>364</v>
      </c>
      <c r="E422" s="126">
        <v>198.22</v>
      </c>
      <c r="F422" s="124" t="s">
        <v>365</v>
      </c>
      <c r="G422" s="126"/>
      <c r="H422" s="126">
        <v>357121.08</v>
      </c>
      <c r="I422" s="127">
        <v>216699684.47</v>
      </c>
      <c r="J422" s="128" t="s">
        <v>366</v>
      </c>
      <c r="K422" s="128" t="s">
        <v>367</v>
      </c>
      <c r="L422" s="128" t="s">
        <v>368</v>
      </c>
      <c r="M422" s="128" t="s">
        <v>369</v>
      </c>
      <c r="N422" s="128"/>
      <c r="O422" s="128"/>
    </row>
    <row r="423" spans="1:15">
      <c r="A423" s="129" t="s">
        <v>362</v>
      </c>
      <c r="B423" s="129" t="s">
        <v>363</v>
      </c>
      <c r="C423" s="130">
        <v>45376</v>
      </c>
      <c r="D423" s="129" t="s">
        <v>364</v>
      </c>
      <c r="E423" s="131">
        <v>110.14</v>
      </c>
      <c r="F423" s="129" t="s">
        <v>365</v>
      </c>
      <c r="G423" s="131"/>
      <c r="H423" s="131">
        <v>197207.46</v>
      </c>
      <c r="I423" s="132">
        <v>119664720.87</v>
      </c>
      <c r="J423" s="133" t="s">
        <v>366</v>
      </c>
      <c r="K423" s="133" t="s">
        <v>367</v>
      </c>
      <c r="L423" s="133" t="s">
        <v>368</v>
      </c>
      <c r="M423" s="133" t="s">
        <v>369</v>
      </c>
      <c r="N423" s="133"/>
      <c r="O423" s="133"/>
    </row>
    <row r="424" spans="1:15">
      <c r="A424" s="124" t="s">
        <v>362</v>
      </c>
      <c r="B424" s="124" t="s">
        <v>363</v>
      </c>
      <c r="C424" s="125">
        <v>45379</v>
      </c>
      <c r="D424" s="124" t="s">
        <v>364</v>
      </c>
      <c r="E424" s="126">
        <v>80.03</v>
      </c>
      <c r="F424" s="124" t="s">
        <v>365</v>
      </c>
      <c r="G424" s="126"/>
      <c r="H424" s="126">
        <v>154253.82</v>
      </c>
      <c r="I424" s="127">
        <v>93600618.930000007</v>
      </c>
      <c r="J424" s="128" t="s">
        <v>366</v>
      </c>
      <c r="K424" s="128" t="s">
        <v>367</v>
      </c>
      <c r="L424" s="128" t="s">
        <v>368</v>
      </c>
      <c r="M424" s="128" t="s">
        <v>369</v>
      </c>
      <c r="N424" s="128"/>
      <c r="O424" s="128"/>
    </row>
    <row r="425" spans="1:15">
      <c r="A425" s="129" t="s">
        <v>362</v>
      </c>
      <c r="B425" s="129" t="s">
        <v>363</v>
      </c>
      <c r="C425" s="130">
        <v>45379</v>
      </c>
      <c r="D425" s="129" t="s">
        <v>364</v>
      </c>
      <c r="E425" s="131">
        <v>176.16050000000001</v>
      </c>
      <c r="F425" s="129" t="s">
        <v>365</v>
      </c>
      <c r="G425" s="131"/>
      <c r="H425" s="131">
        <v>322004.69</v>
      </c>
      <c r="I425" s="132">
        <v>195391195.38999999</v>
      </c>
      <c r="J425" s="133" t="s">
        <v>366</v>
      </c>
      <c r="K425" s="133" t="s">
        <v>367</v>
      </c>
      <c r="L425" s="133" t="s">
        <v>368</v>
      </c>
      <c r="M425" s="133" t="s">
        <v>369</v>
      </c>
      <c r="N425" s="133"/>
      <c r="O425" s="133"/>
    </row>
    <row r="426" spans="1:15">
      <c r="A426" s="124" t="s">
        <v>362</v>
      </c>
      <c r="B426" s="124" t="s">
        <v>363</v>
      </c>
      <c r="C426" s="125">
        <v>45379</v>
      </c>
      <c r="D426" s="124" t="s">
        <v>364</v>
      </c>
      <c r="E426" s="126">
        <v>78.995999999999995</v>
      </c>
      <c r="F426" s="124" t="s">
        <v>365</v>
      </c>
      <c r="G426" s="126"/>
      <c r="H426" s="126">
        <v>142761.57</v>
      </c>
      <c r="I426" s="127">
        <v>86627166.260000005</v>
      </c>
      <c r="J426" s="128" t="s">
        <v>366</v>
      </c>
      <c r="K426" s="128" t="s">
        <v>367</v>
      </c>
      <c r="L426" s="128" t="s">
        <v>368</v>
      </c>
      <c r="M426" s="128" t="s">
        <v>369</v>
      </c>
      <c r="N426" s="128"/>
      <c r="O426" s="128"/>
    </row>
    <row r="427" spans="1:15">
      <c r="A427" s="129" t="s">
        <v>362</v>
      </c>
      <c r="B427" s="129" t="s">
        <v>363</v>
      </c>
      <c r="C427" s="130">
        <v>45379</v>
      </c>
      <c r="D427" s="129" t="s">
        <v>364</v>
      </c>
      <c r="E427" s="131">
        <v>356.99799999999999</v>
      </c>
      <c r="F427" s="129" t="s">
        <v>365</v>
      </c>
      <c r="G427" s="131"/>
      <c r="H427" s="131">
        <v>661517.29</v>
      </c>
      <c r="I427" s="132">
        <v>401406122.56999999</v>
      </c>
      <c r="J427" s="133" t="s">
        <v>366</v>
      </c>
      <c r="K427" s="133" t="s">
        <v>367</v>
      </c>
      <c r="L427" s="133" t="s">
        <v>368</v>
      </c>
      <c r="M427" s="133" t="s">
        <v>369</v>
      </c>
      <c r="N427" s="133"/>
      <c r="O427" s="133"/>
    </row>
    <row r="428" spans="1:15">
      <c r="A428" s="124" t="s">
        <v>362</v>
      </c>
      <c r="B428" s="124" t="s">
        <v>363</v>
      </c>
      <c r="C428" s="125">
        <v>45380</v>
      </c>
      <c r="D428" s="124" t="s">
        <v>364</v>
      </c>
      <c r="E428" s="126">
        <v>397.041</v>
      </c>
      <c r="F428" s="124" t="s">
        <v>365</v>
      </c>
      <c r="G428" s="126"/>
      <c r="H428" s="126">
        <v>716321.52</v>
      </c>
      <c r="I428" s="127">
        <v>435453811.55000001</v>
      </c>
      <c r="J428" s="128" t="s">
        <v>366</v>
      </c>
      <c r="K428" s="128" t="s">
        <v>367</v>
      </c>
      <c r="L428" s="128" t="s">
        <v>368</v>
      </c>
      <c r="M428" s="128" t="s">
        <v>369</v>
      </c>
      <c r="N428" s="128"/>
      <c r="O428" s="128"/>
    </row>
    <row r="429" spans="1:15">
      <c r="A429" s="129" t="s">
        <v>362</v>
      </c>
      <c r="B429" s="129" t="s">
        <v>363</v>
      </c>
      <c r="C429" s="130">
        <v>45380</v>
      </c>
      <c r="D429" s="129" t="s">
        <v>364</v>
      </c>
      <c r="E429" s="131">
        <v>88.05</v>
      </c>
      <c r="F429" s="129" t="s">
        <v>365</v>
      </c>
      <c r="G429" s="131"/>
      <c r="H429" s="131">
        <v>158406.35</v>
      </c>
      <c r="I429" s="132">
        <v>96120358.010000005</v>
      </c>
      <c r="J429" s="133" t="s">
        <v>366</v>
      </c>
      <c r="K429" s="133" t="s">
        <v>367</v>
      </c>
      <c r="L429" s="133" t="s">
        <v>368</v>
      </c>
      <c r="M429" s="133" t="s">
        <v>369</v>
      </c>
      <c r="N429" s="133"/>
      <c r="O429" s="133"/>
    </row>
    <row r="430" spans="1:15">
      <c r="A430" s="124" t="s">
        <v>362</v>
      </c>
      <c r="B430" s="124" t="s">
        <v>363</v>
      </c>
      <c r="C430" s="125">
        <v>45380</v>
      </c>
      <c r="D430" s="124" t="s">
        <v>374</v>
      </c>
      <c r="E430" s="126">
        <v>120</v>
      </c>
      <c r="F430" s="124" t="s">
        <v>365</v>
      </c>
      <c r="G430" s="126"/>
      <c r="H430" s="126">
        <v>224958</v>
      </c>
      <c r="I430" s="127">
        <v>136503640.78</v>
      </c>
      <c r="J430" s="128" t="s">
        <v>366</v>
      </c>
      <c r="K430" s="128" t="s">
        <v>367</v>
      </c>
      <c r="L430" s="128" t="s">
        <v>368</v>
      </c>
      <c r="M430" s="128" t="s">
        <v>369</v>
      </c>
      <c r="N430" s="128"/>
      <c r="O430" s="128"/>
    </row>
    <row r="431" spans="1:15">
      <c r="A431" s="129" t="s">
        <v>362</v>
      </c>
      <c r="B431" s="129" t="s">
        <v>363</v>
      </c>
      <c r="C431" s="130">
        <v>45380</v>
      </c>
      <c r="D431" s="129" t="s">
        <v>371</v>
      </c>
      <c r="E431" s="131">
        <v>854.16</v>
      </c>
      <c r="F431" s="129" t="s">
        <v>365</v>
      </c>
      <c r="G431" s="131"/>
      <c r="H431" s="131">
        <v>210862.31</v>
      </c>
      <c r="I431" s="132">
        <v>128183775.08</v>
      </c>
      <c r="J431" s="133" t="s">
        <v>366</v>
      </c>
      <c r="K431" s="133" t="s">
        <v>367</v>
      </c>
      <c r="L431" s="133" t="s">
        <v>368</v>
      </c>
      <c r="M431" s="133" t="s">
        <v>369</v>
      </c>
      <c r="N431" s="133"/>
      <c r="O431" s="133"/>
    </row>
    <row r="432" spans="1:15">
      <c r="A432" s="124" t="s">
        <v>362</v>
      </c>
      <c r="B432" s="124" t="s">
        <v>363</v>
      </c>
      <c r="C432" s="125">
        <v>45382</v>
      </c>
      <c r="D432" s="124" t="s">
        <v>364</v>
      </c>
      <c r="E432" s="126">
        <v>159.96700000000001</v>
      </c>
      <c r="F432" s="124" t="s">
        <v>365</v>
      </c>
      <c r="G432" s="126"/>
      <c r="H432" s="126">
        <v>292243.71000000002</v>
      </c>
      <c r="I432" s="127">
        <v>177547818.96000001</v>
      </c>
      <c r="J432" s="128" t="s">
        <v>366</v>
      </c>
      <c r="K432" s="128" t="s">
        <v>367</v>
      </c>
      <c r="L432" s="128" t="s">
        <v>368</v>
      </c>
      <c r="M432" s="128" t="s">
        <v>369</v>
      </c>
      <c r="N432" s="128"/>
      <c r="O432" s="128"/>
    </row>
    <row r="433" spans="1:15">
      <c r="A433" s="129" t="s">
        <v>362</v>
      </c>
      <c r="B433" s="129" t="s">
        <v>363</v>
      </c>
      <c r="C433" s="130">
        <v>45380</v>
      </c>
      <c r="D433" s="129" t="s">
        <v>364</v>
      </c>
      <c r="E433" s="131">
        <v>97.554000000000002</v>
      </c>
      <c r="F433" s="129" t="s">
        <v>365</v>
      </c>
      <c r="G433" s="131"/>
      <c r="H433" s="131">
        <v>183684.43</v>
      </c>
      <c r="I433" s="132">
        <v>111662267.48</v>
      </c>
      <c r="J433" s="133" t="s">
        <v>366</v>
      </c>
      <c r="K433" s="133" t="s">
        <v>367</v>
      </c>
      <c r="L433" s="133" t="s">
        <v>368</v>
      </c>
      <c r="M433" s="133" t="s">
        <v>369</v>
      </c>
      <c r="N433" s="133"/>
      <c r="O433" s="133"/>
    </row>
    <row r="434" spans="1:15">
      <c r="A434" s="124" t="s">
        <v>362</v>
      </c>
      <c r="B434" s="124" t="s">
        <v>363</v>
      </c>
      <c r="C434" s="125">
        <v>45380</v>
      </c>
      <c r="D434" s="124" t="s">
        <v>364</v>
      </c>
      <c r="E434" s="126">
        <v>97.52</v>
      </c>
      <c r="F434" s="124" t="s">
        <v>365</v>
      </c>
      <c r="G434" s="126"/>
      <c r="H434" s="126">
        <v>185170.98</v>
      </c>
      <c r="I434" s="127">
        <v>112565945.29000001</v>
      </c>
      <c r="J434" s="128" t="s">
        <v>366</v>
      </c>
      <c r="K434" s="128" t="s">
        <v>367</v>
      </c>
      <c r="L434" s="128" t="s">
        <v>368</v>
      </c>
      <c r="M434" s="128" t="s">
        <v>369</v>
      </c>
      <c r="N434" s="128"/>
      <c r="O434" s="128"/>
    </row>
    <row r="435" spans="1:15">
      <c r="A435" s="129" t="s">
        <v>362</v>
      </c>
      <c r="B435" s="129" t="s">
        <v>363</v>
      </c>
      <c r="C435" s="130">
        <v>45380</v>
      </c>
      <c r="D435" s="129" t="s">
        <v>364</v>
      </c>
      <c r="E435" s="131">
        <v>44.06</v>
      </c>
      <c r="F435" s="129" t="s">
        <v>365</v>
      </c>
      <c r="G435" s="131"/>
      <c r="H435" s="131">
        <v>80231.06</v>
      </c>
      <c r="I435" s="132">
        <v>48772680.850000001</v>
      </c>
      <c r="J435" s="133" t="s">
        <v>366</v>
      </c>
      <c r="K435" s="133" t="s">
        <v>367</v>
      </c>
      <c r="L435" s="133" t="s">
        <v>368</v>
      </c>
      <c r="M435" s="133" t="s">
        <v>369</v>
      </c>
      <c r="N435" s="133"/>
      <c r="O435" s="133"/>
    </row>
    <row r="436" spans="1:15">
      <c r="A436" s="124" t="s">
        <v>362</v>
      </c>
      <c r="B436" s="124" t="s">
        <v>363</v>
      </c>
      <c r="C436" s="125">
        <v>45380</v>
      </c>
      <c r="D436" s="124" t="s">
        <v>364</v>
      </c>
      <c r="E436" s="126">
        <v>331.67200000000003</v>
      </c>
      <c r="F436" s="124" t="s">
        <v>365</v>
      </c>
      <c r="G436" s="126"/>
      <c r="H436" s="126">
        <v>695929.62</v>
      </c>
      <c r="I436" s="127">
        <v>423057519.75999999</v>
      </c>
      <c r="J436" s="128" t="s">
        <v>366</v>
      </c>
      <c r="K436" s="128" t="s">
        <v>367</v>
      </c>
      <c r="L436" s="128" t="s">
        <v>368</v>
      </c>
      <c r="M436" s="128" t="s">
        <v>369</v>
      </c>
      <c r="N436" s="128"/>
      <c r="O436" s="128"/>
    </row>
    <row r="437" spans="1:15">
      <c r="A437" s="129" t="s">
        <v>362</v>
      </c>
      <c r="B437" s="129" t="s">
        <v>363</v>
      </c>
      <c r="C437" s="130">
        <v>45380</v>
      </c>
      <c r="D437" s="129" t="s">
        <v>370</v>
      </c>
      <c r="E437" s="131">
        <v>40.014000000000003</v>
      </c>
      <c r="F437" s="129" t="s">
        <v>365</v>
      </c>
      <c r="G437" s="131"/>
      <c r="H437" s="131">
        <v>70888.800000000003</v>
      </c>
      <c r="I437" s="132">
        <v>43093495.439999998</v>
      </c>
      <c r="J437" s="133" t="s">
        <v>366</v>
      </c>
      <c r="K437" s="133" t="s">
        <v>367</v>
      </c>
      <c r="L437" s="133" t="s">
        <v>368</v>
      </c>
      <c r="M437" s="133" t="s">
        <v>369</v>
      </c>
      <c r="N437" s="133"/>
      <c r="O437" s="133"/>
    </row>
    <row r="438" spans="1:15">
      <c r="A438" s="124" t="s">
        <v>362</v>
      </c>
      <c r="B438" s="124" t="s">
        <v>363</v>
      </c>
      <c r="C438" s="125">
        <v>45382</v>
      </c>
      <c r="D438" s="124" t="s">
        <v>370</v>
      </c>
      <c r="E438" s="126">
        <v>300.10700000000003</v>
      </c>
      <c r="F438" s="124" t="s">
        <v>365</v>
      </c>
      <c r="G438" s="126"/>
      <c r="H438" s="126">
        <v>484222.64</v>
      </c>
      <c r="I438" s="127">
        <v>294181433.77999997</v>
      </c>
      <c r="J438" s="128" t="s">
        <v>366</v>
      </c>
      <c r="K438" s="128" t="s">
        <v>367</v>
      </c>
      <c r="L438" s="128" t="s">
        <v>368</v>
      </c>
      <c r="M438" s="128" t="s">
        <v>369</v>
      </c>
      <c r="N438" s="128"/>
      <c r="O438" s="128"/>
    </row>
    <row r="439" spans="1:15">
      <c r="A439" s="129" t="s">
        <v>362</v>
      </c>
      <c r="B439" s="129" t="s">
        <v>363</v>
      </c>
      <c r="C439" s="130">
        <v>45382</v>
      </c>
      <c r="D439" s="129" t="s">
        <v>370</v>
      </c>
      <c r="E439" s="131">
        <v>59.994999999999997</v>
      </c>
      <c r="F439" s="129" t="s">
        <v>365</v>
      </c>
      <c r="G439" s="131"/>
      <c r="H439" s="131">
        <v>104522.08</v>
      </c>
      <c r="I439" s="132">
        <v>63500656.140000001</v>
      </c>
      <c r="J439" s="133" t="s">
        <v>366</v>
      </c>
      <c r="K439" s="133" t="s">
        <v>367</v>
      </c>
      <c r="L439" s="133" t="s">
        <v>368</v>
      </c>
      <c r="M439" s="133" t="s">
        <v>369</v>
      </c>
      <c r="N439" s="133"/>
      <c r="O439" s="133"/>
    </row>
    <row r="440" spans="1:15">
      <c r="A440" s="124" t="s">
        <v>362</v>
      </c>
      <c r="B440" s="124" t="s">
        <v>363</v>
      </c>
      <c r="C440" s="125">
        <v>45382</v>
      </c>
      <c r="D440" s="124" t="s">
        <v>364</v>
      </c>
      <c r="E440" s="126">
        <v>279.56700000000001</v>
      </c>
      <c r="F440" s="124" t="s">
        <v>365</v>
      </c>
      <c r="G440" s="126"/>
      <c r="H440" s="126">
        <v>503653.93</v>
      </c>
      <c r="I440" s="127">
        <v>305986591.74000001</v>
      </c>
      <c r="J440" s="128" t="s">
        <v>366</v>
      </c>
      <c r="K440" s="128" t="s">
        <v>367</v>
      </c>
      <c r="L440" s="128" t="s">
        <v>368</v>
      </c>
      <c r="M440" s="128" t="s">
        <v>369</v>
      </c>
      <c r="N440" s="128"/>
      <c r="O440" s="128"/>
    </row>
    <row r="441" spans="1:15">
      <c r="A441" s="129" t="s">
        <v>362</v>
      </c>
      <c r="B441" s="129" t="s">
        <v>363</v>
      </c>
      <c r="C441" s="130">
        <v>45382</v>
      </c>
      <c r="D441" s="129" t="s">
        <v>364</v>
      </c>
      <c r="E441" s="131">
        <v>176.24299999999999</v>
      </c>
      <c r="F441" s="129" t="s">
        <v>365</v>
      </c>
      <c r="G441" s="131"/>
      <c r="H441" s="131">
        <v>322508.90000000002</v>
      </c>
      <c r="I441" s="132">
        <v>195934933.16999999</v>
      </c>
      <c r="J441" s="133" t="s">
        <v>366</v>
      </c>
      <c r="K441" s="133" t="s">
        <v>367</v>
      </c>
      <c r="L441" s="133" t="s">
        <v>368</v>
      </c>
      <c r="M441" s="133" t="s">
        <v>369</v>
      </c>
      <c r="N441" s="133"/>
      <c r="O441" s="133"/>
    </row>
    <row r="442" spans="1:15">
      <c r="A442" s="124" t="s">
        <v>362</v>
      </c>
      <c r="B442" s="124" t="s">
        <v>363</v>
      </c>
      <c r="C442" s="125">
        <v>45382</v>
      </c>
      <c r="D442" s="124" t="s">
        <v>364</v>
      </c>
      <c r="E442" s="126">
        <v>88.13</v>
      </c>
      <c r="F442" s="124" t="s">
        <v>365</v>
      </c>
      <c r="G442" s="126"/>
      <c r="H442" s="126">
        <v>159559.37</v>
      </c>
      <c r="I442" s="127">
        <v>96937648.849999994</v>
      </c>
      <c r="J442" s="128" t="s">
        <v>366</v>
      </c>
      <c r="K442" s="128" t="s">
        <v>367</v>
      </c>
      <c r="L442" s="128" t="s">
        <v>368</v>
      </c>
      <c r="M442" s="128" t="s">
        <v>369</v>
      </c>
      <c r="N442" s="128"/>
      <c r="O442" s="128"/>
    </row>
    <row r="443" spans="1:15">
      <c r="A443" s="129" t="s">
        <v>362</v>
      </c>
      <c r="B443" s="129" t="s">
        <v>363</v>
      </c>
      <c r="C443" s="130">
        <v>45382</v>
      </c>
      <c r="D443" s="129" t="s">
        <v>372</v>
      </c>
      <c r="E443" s="131">
        <v>60</v>
      </c>
      <c r="F443" s="129" t="s">
        <v>365</v>
      </c>
      <c r="G443" s="131"/>
      <c r="H443" s="131">
        <v>77448</v>
      </c>
      <c r="I443" s="132">
        <v>47052247.869999997</v>
      </c>
      <c r="J443" s="133" t="s">
        <v>366</v>
      </c>
      <c r="K443" s="133" t="s">
        <v>367</v>
      </c>
      <c r="L443" s="133" t="s">
        <v>368</v>
      </c>
      <c r="M443" s="133" t="s">
        <v>369</v>
      </c>
      <c r="N443" s="133"/>
      <c r="O443" s="133"/>
    </row>
    <row r="444" spans="1:15">
      <c r="A444" s="124" t="s">
        <v>362</v>
      </c>
      <c r="B444" s="124" t="s">
        <v>363</v>
      </c>
      <c r="C444" s="125">
        <v>45382</v>
      </c>
      <c r="D444" s="124" t="s">
        <v>364</v>
      </c>
      <c r="E444" s="126">
        <v>88.114999999999995</v>
      </c>
      <c r="F444" s="124" t="s">
        <v>365</v>
      </c>
      <c r="G444" s="126"/>
      <c r="H444" s="126">
        <v>159016.73000000001</v>
      </c>
      <c r="I444" s="127">
        <v>96607976.909999996</v>
      </c>
      <c r="J444" s="128" t="s">
        <v>366</v>
      </c>
      <c r="K444" s="128" t="s">
        <v>367</v>
      </c>
      <c r="L444" s="128" t="s">
        <v>368</v>
      </c>
      <c r="M444" s="128" t="s">
        <v>369</v>
      </c>
      <c r="N444" s="128"/>
      <c r="O444" s="128"/>
    </row>
    <row r="445" spans="1:15">
      <c r="A445" s="129" t="s">
        <v>362</v>
      </c>
      <c r="B445" s="129" t="s">
        <v>363</v>
      </c>
      <c r="C445" s="130">
        <v>45382</v>
      </c>
      <c r="D445" s="129" t="s">
        <v>371</v>
      </c>
      <c r="E445" s="131"/>
      <c r="F445" s="129" t="s">
        <v>365</v>
      </c>
      <c r="G445" s="131"/>
      <c r="H445" s="131">
        <v>156776.95999999999</v>
      </c>
      <c r="I445" s="132">
        <v>94884077.629003257</v>
      </c>
      <c r="J445" s="133" t="s">
        <v>366</v>
      </c>
      <c r="K445" s="133" t="s">
        <v>367</v>
      </c>
      <c r="L445" s="133" t="s">
        <v>368</v>
      </c>
      <c r="M445" s="133" t="s">
        <v>369</v>
      </c>
      <c r="N445" s="133"/>
      <c r="O445" s="133"/>
    </row>
    <row r="446" spans="1:15">
      <c r="A446" s="124" t="s">
        <v>362</v>
      </c>
      <c r="B446" s="124" t="s">
        <v>363</v>
      </c>
      <c r="C446" s="125">
        <v>45382</v>
      </c>
      <c r="D446" s="124" t="s">
        <v>372</v>
      </c>
      <c r="E446" s="126"/>
      <c r="F446" s="124" t="s">
        <v>365</v>
      </c>
      <c r="G446" s="126"/>
      <c r="H446" s="126">
        <v>25220.47</v>
      </c>
      <c r="I446" s="127">
        <v>15263856.896070104</v>
      </c>
      <c r="J446" s="128" t="s">
        <v>366</v>
      </c>
      <c r="K446" s="128" t="s">
        <v>367</v>
      </c>
      <c r="L446" s="128" t="s">
        <v>368</v>
      </c>
      <c r="M446" s="128" t="s">
        <v>369</v>
      </c>
      <c r="N446" s="128"/>
      <c r="O446" s="128"/>
    </row>
    <row r="447" spans="1:15">
      <c r="A447" s="129" t="s">
        <v>362</v>
      </c>
      <c r="B447" s="129" t="s">
        <v>363</v>
      </c>
      <c r="C447" s="130">
        <v>45382</v>
      </c>
      <c r="D447" s="129" t="s">
        <v>374</v>
      </c>
      <c r="E447" s="131"/>
      <c r="F447" s="129" t="s">
        <v>365</v>
      </c>
      <c r="G447" s="131"/>
      <c r="H447" s="131">
        <v>7706.25</v>
      </c>
      <c r="I447" s="132">
        <v>4663956.2737991987</v>
      </c>
      <c r="J447" s="133" t="s">
        <v>366</v>
      </c>
      <c r="K447" s="133" t="s">
        <v>367</v>
      </c>
      <c r="L447" s="133" t="s">
        <v>368</v>
      </c>
      <c r="M447" s="133" t="s">
        <v>369</v>
      </c>
      <c r="N447" s="133"/>
      <c r="O447" s="133"/>
    </row>
    <row r="448" spans="1:15">
      <c r="A448" s="124" t="s">
        <v>362</v>
      </c>
      <c r="B448" s="124" t="s">
        <v>363</v>
      </c>
      <c r="C448" s="125">
        <v>45382</v>
      </c>
      <c r="D448" s="124" t="s">
        <v>364</v>
      </c>
      <c r="E448" s="126"/>
      <c r="F448" s="124" t="s">
        <v>365</v>
      </c>
      <c r="G448" s="126"/>
      <c r="H448" s="126">
        <v>159003.71</v>
      </c>
      <c r="I448" s="127">
        <v>96231744.754158542</v>
      </c>
      <c r="J448" s="128" t="s">
        <v>366</v>
      </c>
      <c r="K448" s="128" t="s">
        <v>367</v>
      </c>
      <c r="L448" s="128" t="s">
        <v>368</v>
      </c>
      <c r="M448" s="128" t="s">
        <v>369</v>
      </c>
      <c r="N448" s="128"/>
      <c r="O448" s="128"/>
    </row>
    <row r="449" spans="1:15">
      <c r="A449" s="129" t="s">
        <v>362</v>
      </c>
      <c r="B449" s="129" t="s">
        <v>363</v>
      </c>
      <c r="C449" s="130">
        <v>45382</v>
      </c>
      <c r="D449" s="129" t="s">
        <v>370</v>
      </c>
      <c r="E449" s="131"/>
      <c r="F449" s="129" t="s">
        <v>365</v>
      </c>
      <c r="G449" s="131"/>
      <c r="H449" s="131">
        <v>93748.89</v>
      </c>
      <c r="I449" s="132">
        <v>56738421.957699075</v>
      </c>
      <c r="J449" s="133" t="s">
        <v>366</v>
      </c>
      <c r="K449" s="133" t="s">
        <v>367</v>
      </c>
      <c r="L449" s="133" t="s">
        <v>368</v>
      </c>
      <c r="M449" s="133" t="s">
        <v>369</v>
      </c>
      <c r="N449" s="133"/>
      <c r="O449" s="133"/>
    </row>
    <row r="450" spans="1:15">
      <c r="A450" s="124" t="s">
        <v>362</v>
      </c>
      <c r="B450" s="124" t="s">
        <v>363</v>
      </c>
      <c r="C450" s="125">
        <v>45382</v>
      </c>
      <c r="D450" s="124" t="s">
        <v>373</v>
      </c>
      <c r="E450" s="126"/>
      <c r="F450" s="124" t="s">
        <v>365</v>
      </c>
      <c r="G450" s="126"/>
      <c r="H450" s="126">
        <v>877470.58</v>
      </c>
      <c r="I450" s="127">
        <v>531060087.9282698</v>
      </c>
      <c r="J450" s="128" t="s">
        <v>366</v>
      </c>
      <c r="K450" s="128" t="s">
        <v>367</v>
      </c>
      <c r="L450" s="128" t="s">
        <v>368</v>
      </c>
      <c r="M450" s="128" t="s">
        <v>369</v>
      </c>
      <c r="N450" s="128"/>
      <c r="O450" s="128"/>
    </row>
    <row r="451" spans="1:15">
      <c r="A451" s="129" t="s">
        <v>362</v>
      </c>
      <c r="B451" s="129" t="s">
        <v>363</v>
      </c>
      <c r="C451" s="130">
        <v>45382</v>
      </c>
      <c r="D451" s="129" t="s">
        <v>371</v>
      </c>
      <c r="E451" s="131"/>
      <c r="F451" s="129" t="s">
        <v>365</v>
      </c>
      <c r="G451" s="131"/>
      <c r="H451" s="131">
        <v>-94024.023330949844</v>
      </c>
      <c r="I451" s="132">
        <v>-57123080.939999998</v>
      </c>
      <c r="J451" s="133" t="s">
        <v>366</v>
      </c>
      <c r="K451" s="133" t="s">
        <v>367</v>
      </c>
      <c r="L451" s="133" t="s">
        <v>368</v>
      </c>
      <c r="M451" s="133" t="s">
        <v>369</v>
      </c>
      <c r="N451" s="133"/>
      <c r="O451" s="133"/>
    </row>
    <row r="452" spans="1:15">
      <c r="A452" s="124" t="s">
        <v>362</v>
      </c>
      <c r="B452" s="124" t="s">
        <v>363</v>
      </c>
      <c r="C452" s="125">
        <v>45382</v>
      </c>
      <c r="D452" s="124" t="s">
        <v>372</v>
      </c>
      <c r="E452" s="126"/>
      <c r="F452" s="124" t="s">
        <v>365</v>
      </c>
      <c r="G452" s="126"/>
      <c r="H452" s="126">
        <v>-16155.919235275562</v>
      </c>
      <c r="I452" s="127">
        <v>-9815320.8699999992</v>
      </c>
      <c r="J452" s="128" t="s">
        <v>366</v>
      </c>
      <c r="K452" s="128" t="s">
        <v>367</v>
      </c>
      <c r="L452" s="128" t="s">
        <v>368</v>
      </c>
      <c r="M452" s="128" t="s">
        <v>369</v>
      </c>
      <c r="N452" s="128"/>
      <c r="O452" s="128"/>
    </row>
    <row r="453" spans="1:15">
      <c r="A453" s="129" t="s">
        <v>362</v>
      </c>
      <c r="B453" s="129" t="s">
        <v>363</v>
      </c>
      <c r="C453" s="130">
        <v>45382</v>
      </c>
      <c r="D453" s="129" t="s">
        <v>374</v>
      </c>
      <c r="E453" s="131"/>
      <c r="F453" s="129" t="s">
        <v>365</v>
      </c>
      <c r="G453" s="131"/>
      <c r="H453" s="131">
        <v>-7296.2215901244472</v>
      </c>
      <c r="I453" s="132">
        <v>-4432724.38</v>
      </c>
      <c r="J453" s="133" t="s">
        <v>366</v>
      </c>
      <c r="K453" s="133" t="s">
        <v>367</v>
      </c>
      <c r="L453" s="133" t="s">
        <v>368</v>
      </c>
      <c r="M453" s="133" t="s">
        <v>369</v>
      </c>
      <c r="N453" s="133"/>
      <c r="O453" s="133"/>
    </row>
    <row r="454" spans="1:15">
      <c r="A454" s="124" t="s">
        <v>362</v>
      </c>
      <c r="B454" s="124" t="s">
        <v>363</v>
      </c>
      <c r="C454" s="125">
        <v>45382</v>
      </c>
      <c r="D454" s="124" t="s">
        <v>364</v>
      </c>
      <c r="E454" s="126"/>
      <c r="F454" s="124" t="s">
        <v>365</v>
      </c>
      <c r="G454" s="126"/>
      <c r="H454" s="126">
        <v>-105635.80103823397</v>
      </c>
      <c r="I454" s="127">
        <v>-64177668.149999999</v>
      </c>
      <c r="J454" s="128" t="s">
        <v>366</v>
      </c>
      <c r="K454" s="128" t="s">
        <v>367</v>
      </c>
      <c r="L454" s="128" t="s">
        <v>368</v>
      </c>
      <c r="M454" s="128" t="s">
        <v>369</v>
      </c>
      <c r="N454" s="128"/>
      <c r="O454" s="128"/>
    </row>
    <row r="455" spans="1:15">
      <c r="A455" s="129" t="s">
        <v>362</v>
      </c>
      <c r="B455" s="129" t="s">
        <v>363</v>
      </c>
      <c r="C455" s="130">
        <v>45382</v>
      </c>
      <c r="D455" s="129" t="s">
        <v>370</v>
      </c>
      <c r="E455" s="131"/>
      <c r="F455" s="129" t="s">
        <v>365</v>
      </c>
      <c r="G455" s="131"/>
      <c r="H455" s="131">
        <v>-65988.588279898744</v>
      </c>
      <c r="I455" s="132">
        <v>-40090516.950000003</v>
      </c>
      <c r="J455" s="133" t="s">
        <v>366</v>
      </c>
      <c r="K455" s="133" t="s">
        <v>367</v>
      </c>
      <c r="L455" s="133" t="s">
        <v>368</v>
      </c>
      <c r="M455" s="133" t="s">
        <v>369</v>
      </c>
      <c r="N455" s="133"/>
      <c r="O455" s="133"/>
    </row>
    <row r="456" spans="1:15">
      <c r="A456" s="124" t="s">
        <v>362</v>
      </c>
      <c r="B456" s="124" t="s">
        <v>363</v>
      </c>
      <c r="C456" s="125">
        <v>45382</v>
      </c>
      <c r="D456" s="124" t="s">
        <v>373</v>
      </c>
      <c r="E456" s="126"/>
      <c r="F456" s="124" t="s">
        <v>365</v>
      </c>
      <c r="G456" s="126"/>
      <c r="H456" s="126">
        <v>-717270.42456942459</v>
      </c>
      <c r="I456" s="127">
        <v>-435768394.69999999</v>
      </c>
      <c r="J456" s="128" t="s">
        <v>366</v>
      </c>
      <c r="K456" s="128" t="s">
        <v>367</v>
      </c>
      <c r="L456" s="128" t="s">
        <v>368</v>
      </c>
      <c r="M456" s="128" t="s">
        <v>369</v>
      </c>
      <c r="N456" s="128"/>
      <c r="O456" s="128"/>
    </row>
    <row r="457" spans="1:15">
      <c r="A457" s="129" t="s">
        <v>362</v>
      </c>
      <c r="B457" s="129" t="s">
        <v>363</v>
      </c>
      <c r="C457" s="130">
        <v>45382</v>
      </c>
      <c r="D457" s="129" t="s">
        <v>375</v>
      </c>
      <c r="E457" s="131"/>
      <c r="F457" s="129" t="s">
        <v>365</v>
      </c>
      <c r="G457" s="131"/>
      <c r="H457" s="131">
        <v>-260629.02195609297</v>
      </c>
      <c r="I457" s="132">
        <v>-158341800.38</v>
      </c>
      <c r="J457" s="133" t="s">
        <v>366</v>
      </c>
      <c r="K457" s="133" t="s">
        <v>367</v>
      </c>
      <c r="L457" s="133" t="s">
        <v>368</v>
      </c>
      <c r="M457" s="133" t="s">
        <v>369</v>
      </c>
      <c r="N457" s="133"/>
      <c r="O457" s="133"/>
    </row>
    <row r="458" spans="1:15">
      <c r="A458" s="124" t="s">
        <v>362</v>
      </c>
      <c r="B458" s="124" t="s">
        <v>363</v>
      </c>
      <c r="C458" s="125">
        <v>45386</v>
      </c>
      <c r="D458" s="124" t="s">
        <v>364</v>
      </c>
      <c r="E458" s="126"/>
      <c r="F458" s="124" t="s">
        <v>365</v>
      </c>
      <c r="G458" s="126"/>
      <c r="H458" s="126">
        <v>896.13</v>
      </c>
      <c r="I458" s="127">
        <v>542451.56999999995</v>
      </c>
      <c r="J458" s="128" t="s">
        <v>366</v>
      </c>
      <c r="K458" s="128" t="s">
        <v>367</v>
      </c>
      <c r="L458" s="128" t="s">
        <v>368</v>
      </c>
      <c r="M458" s="128" t="s">
        <v>369</v>
      </c>
      <c r="N458" s="128"/>
      <c r="O458" s="128"/>
    </row>
    <row r="459" spans="1:15">
      <c r="A459" s="129" t="s">
        <v>362</v>
      </c>
      <c r="B459" s="129" t="s">
        <v>363</v>
      </c>
      <c r="C459" s="130">
        <v>45388</v>
      </c>
      <c r="D459" s="129" t="s">
        <v>370</v>
      </c>
      <c r="E459" s="131">
        <v>20.02</v>
      </c>
      <c r="F459" s="129" t="s">
        <v>365</v>
      </c>
      <c r="G459" s="131"/>
      <c r="H459" s="131">
        <v>35383.33</v>
      </c>
      <c r="I459" s="132">
        <v>21405523.289999999</v>
      </c>
      <c r="J459" s="133" t="s">
        <v>366</v>
      </c>
      <c r="K459" s="133" t="s">
        <v>367</v>
      </c>
      <c r="L459" s="133" t="s">
        <v>368</v>
      </c>
      <c r="M459" s="133" t="s">
        <v>369</v>
      </c>
      <c r="N459" s="133"/>
      <c r="O459" s="133"/>
    </row>
    <row r="460" spans="1:15">
      <c r="A460" s="124" t="s">
        <v>362</v>
      </c>
      <c r="B460" s="124" t="s">
        <v>363</v>
      </c>
      <c r="C460" s="125">
        <v>45394</v>
      </c>
      <c r="D460" s="124" t="s">
        <v>374</v>
      </c>
      <c r="E460" s="126">
        <v>60</v>
      </c>
      <c r="F460" s="124" t="s">
        <v>365</v>
      </c>
      <c r="G460" s="126"/>
      <c r="H460" s="126">
        <v>116892</v>
      </c>
      <c r="I460" s="127">
        <v>71493577.980000004</v>
      </c>
      <c r="J460" s="128" t="s">
        <v>366</v>
      </c>
      <c r="K460" s="128" t="s">
        <v>367</v>
      </c>
      <c r="L460" s="128" t="s">
        <v>368</v>
      </c>
      <c r="M460" s="128" t="s">
        <v>369</v>
      </c>
      <c r="N460" s="128"/>
      <c r="O460" s="128"/>
    </row>
    <row r="461" spans="1:15">
      <c r="A461" s="129" t="s">
        <v>362</v>
      </c>
      <c r="B461" s="129" t="s">
        <v>363</v>
      </c>
      <c r="C461" s="130">
        <v>45394</v>
      </c>
      <c r="D461" s="129" t="s">
        <v>364</v>
      </c>
      <c r="E461" s="131">
        <v>99.456000000000003</v>
      </c>
      <c r="F461" s="129" t="s">
        <v>365</v>
      </c>
      <c r="G461" s="131"/>
      <c r="H461" s="131">
        <v>184291.97</v>
      </c>
      <c r="I461" s="132">
        <v>112716801.22</v>
      </c>
      <c r="J461" s="133" t="s">
        <v>366</v>
      </c>
      <c r="K461" s="133" t="s">
        <v>367</v>
      </c>
      <c r="L461" s="133" t="s">
        <v>368</v>
      </c>
      <c r="M461" s="133" t="s">
        <v>369</v>
      </c>
      <c r="N461" s="133"/>
      <c r="O461" s="133"/>
    </row>
    <row r="462" spans="1:15">
      <c r="A462" s="124" t="s">
        <v>362</v>
      </c>
      <c r="B462" s="124" t="s">
        <v>363</v>
      </c>
      <c r="C462" s="125">
        <v>45394</v>
      </c>
      <c r="D462" s="124" t="s">
        <v>364</v>
      </c>
      <c r="E462" s="126">
        <v>110.09</v>
      </c>
      <c r="F462" s="124" t="s">
        <v>365</v>
      </c>
      <c r="G462" s="126"/>
      <c r="H462" s="126">
        <v>206259.12</v>
      </c>
      <c r="I462" s="127">
        <v>126152366.97</v>
      </c>
      <c r="J462" s="128" t="s">
        <v>366</v>
      </c>
      <c r="K462" s="128" t="s">
        <v>367</v>
      </c>
      <c r="L462" s="128" t="s">
        <v>368</v>
      </c>
      <c r="M462" s="128" t="s">
        <v>369</v>
      </c>
      <c r="N462" s="128"/>
      <c r="O462" s="128"/>
    </row>
    <row r="463" spans="1:15">
      <c r="A463" s="129" t="s">
        <v>362</v>
      </c>
      <c r="B463" s="129" t="s">
        <v>363</v>
      </c>
      <c r="C463" s="130">
        <v>45395</v>
      </c>
      <c r="D463" s="129" t="s">
        <v>370</v>
      </c>
      <c r="E463" s="131">
        <v>110.10250000000001</v>
      </c>
      <c r="F463" s="129" t="s">
        <v>365</v>
      </c>
      <c r="G463" s="131"/>
      <c r="H463" s="131">
        <v>198812.99</v>
      </c>
      <c r="I463" s="132">
        <v>121598159.02</v>
      </c>
      <c r="J463" s="133" t="s">
        <v>366</v>
      </c>
      <c r="K463" s="133" t="s">
        <v>367</v>
      </c>
      <c r="L463" s="133" t="s">
        <v>368</v>
      </c>
      <c r="M463" s="133" t="s">
        <v>369</v>
      </c>
      <c r="N463" s="133"/>
      <c r="O463" s="133"/>
    </row>
    <row r="464" spans="1:15">
      <c r="A464" s="124" t="s">
        <v>362</v>
      </c>
      <c r="B464" s="124" t="s">
        <v>363</v>
      </c>
      <c r="C464" s="125">
        <v>45395</v>
      </c>
      <c r="D464" s="124" t="s">
        <v>370</v>
      </c>
      <c r="E464" s="126">
        <v>220.51949999999999</v>
      </c>
      <c r="F464" s="124" t="s">
        <v>365</v>
      </c>
      <c r="G464" s="126"/>
      <c r="H464" s="126">
        <v>389581.66</v>
      </c>
      <c r="I464" s="127">
        <v>238276244.65000001</v>
      </c>
      <c r="J464" s="128" t="s">
        <v>366</v>
      </c>
      <c r="K464" s="128" t="s">
        <v>367</v>
      </c>
      <c r="L464" s="128" t="s">
        <v>368</v>
      </c>
      <c r="M464" s="128" t="s">
        <v>369</v>
      </c>
      <c r="N464" s="128"/>
      <c r="O464" s="128"/>
    </row>
    <row r="465" spans="1:15">
      <c r="A465" s="129" t="s">
        <v>362</v>
      </c>
      <c r="B465" s="129" t="s">
        <v>363</v>
      </c>
      <c r="C465" s="130">
        <v>45397</v>
      </c>
      <c r="D465" s="129" t="s">
        <v>372</v>
      </c>
      <c r="E465" s="131">
        <v>60</v>
      </c>
      <c r="F465" s="129" t="s">
        <v>365</v>
      </c>
      <c r="G465" s="131"/>
      <c r="H465" s="131">
        <v>78807</v>
      </c>
      <c r="I465" s="132">
        <v>48556377.079999998</v>
      </c>
      <c r="J465" s="133" t="s">
        <v>366</v>
      </c>
      <c r="K465" s="133" t="s">
        <v>367</v>
      </c>
      <c r="L465" s="133" t="s">
        <v>368</v>
      </c>
      <c r="M465" s="133" t="s">
        <v>369</v>
      </c>
      <c r="N465" s="133"/>
      <c r="O465" s="133"/>
    </row>
    <row r="466" spans="1:15">
      <c r="A466" s="124" t="s">
        <v>362</v>
      </c>
      <c r="B466" s="124" t="s">
        <v>363</v>
      </c>
      <c r="C466" s="125">
        <v>45397</v>
      </c>
      <c r="D466" s="124" t="s">
        <v>372</v>
      </c>
      <c r="E466" s="126">
        <v>100</v>
      </c>
      <c r="F466" s="124" t="s">
        <v>365</v>
      </c>
      <c r="G466" s="126"/>
      <c r="H466" s="126">
        <v>131345</v>
      </c>
      <c r="I466" s="127">
        <v>80927295.129999995</v>
      </c>
      <c r="J466" s="128" t="s">
        <v>366</v>
      </c>
      <c r="K466" s="128" t="s">
        <v>367</v>
      </c>
      <c r="L466" s="128" t="s">
        <v>368</v>
      </c>
      <c r="M466" s="128" t="s">
        <v>369</v>
      </c>
      <c r="N466" s="128"/>
      <c r="O466" s="128"/>
    </row>
    <row r="467" spans="1:15">
      <c r="A467" s="129" t="s">
        <v>362</v>
      </c>
      <c r="B467" s="129" t="s">
        <v>363</v>
      </c>
      <c r="C467" s="130">
        <v>45401</v>
      </c>
      <c r="D467" s="129" t="s">
        <v>373</v>
      </c>
      <c r="E467" s="131">
        <v>35600.582000000002</v>
      </c>
      <c r="F467" s="129" t="s">
        <v>365</v>
      </c>
      <c r="G467" s="131"/>
      <c r="H467" s="131">
        <v>9413577.0899999999</v>
      </c>
      <c r="I467" s="132">
        <v>5800109112.75</v>
      </c>
      <c r="J467" s="133" t="s">
        <v>366</v>
      </c>
      <c r="K467" s="133" t="s">
        <v>367</v>
      </c>
      <c r="L467" s="133" t="s">
        <v>368</v>
      </c>
      <c r="M467" s="133" t="s">
        <v>369</v>
      </c>
      <c r="N467" s="133"/>
      <c r="O467" s="133"/>
    </row>
    <row r="468" spans="1:15">
      <c r="A468" s="124" t="s">
        <v>362</v>
      </c>
      <c r="B468" s="124" t="s">
        <v>363</v>
      </c>
      <c r="C468" s="125">
        <v>45384</v>
      </c>
      <c r="D468" s="124" t="s">
        <v>372</v>
      </c>
      <c r="E468" s="126">
        <v>140</v>
      </c>
      <c r="F468" s="124" t="s">
        <v>365</v>
      </c>
      <c r="G468" s="126"/>
      <c r="H468" s="126">
        <v>183883</v>
      </c>
      <c r="I468" s="127">
        <v>112329260.84</v>
      </c>
      <c r="J468" s="128" t="s">
        <v>366</v>
      </c>
      <c r="K468" s="128" t="s">
        <v>367</v>
      </c>
      <c r="L468" s="128" t="s">
        <v>368</v>
      </c>
      <c r="M468" s="128" t="s">
        <v>369</v>
      </c>
      <c r="N468" s="128"/>
      <c r="O468" s="128"/>
    </row>
    <row r="469" spans="1:15">
      <c r="A469" s="129" t="s">
        <v>362</v>
      </c>
      <c r="B469" s="129" t="s">
        <v>363</v>
      </c>
      <c r="C469" s="130">
        <v>45401</v>
      </c>
      <c r="D469" s="129" t="s">
        <v>372</v>
      </c>
      <c r="E469" s="131">
        <v>60</v>
      </c>
      <c r="F469" s="129" t="s">
        <v>365</v>
      </c>
      <c r="G469" s="131"/>
      <c r="H469" s="131">
        <v>79509</v>
      </c>
      <c r="I469" s="132">
        <v>48988909.43</v>
      </c>
      <c r="J469" s="133" t="s">
        <v>366</v>
      </c>
      <c r="K469" s="133" t="s">
        <v>367</v>
      </c>
      <c r="L469" s="133" t="s">
        <v>368</v>
      </c>
      <c r="M469" s="133" t="s">
        <v>369</v>
      </c>
      <c r="N469" s="133"/>
      <c r="O469" s="133"/>
    </row>
    <row r="470" spans="1:15">
      <c r="A470" s="124" t="s">
        <v>362</v>
      </c>
      <c r="B470" s="124" t="s">
        <v>363</v>
      </c>
      <c r="C470" s="125">
        <v>45401</v>
      </c>
      <c r="D470" s="124" t="s">
        <v>364</v>
      </c>
      <c r="E470" s="126">
        <v>97.989000000000004</v>
      </c>
      <c r="F470" s="124" t="s">
        <v>365</v>
      </c>
      <c r="G470" s="126"/>
      <c r="H470" s="126">
        <v>183102.25</v>
      </c>
      <c r="I470" s="127">
        <v>112817159.58</v>
      </c>
      <c r="J470" s="128" t="s">
        <v>366</v>
      </c>
      <c r="K470" s="128" t="s">
        <v>367</v>
      </c>
      <c r="L470" s="128" t="s">
        <v>368</v>
      </c>
      <c r="M470" s="128" t="s">
        <v>369</v>
      </c>
      <c r="N470" s="128"/>
      <c r="O470" s="128"/>
    </row>
    <row r="471" spans="1:15">
      <c r="A471" s="129" t="s">
        <v>362</v>
      </c>
      <c r="B471" s="129" t="s">
        <v>363</v>
      </c>
      <c r="C471" s="130">
        <v>45401</v>
      </c>
      <c r="D471" s="129" t="s">
        <v>364</v>
      </c>
      <c r="E471" s="131">
        <v>97.509</v>
      </c>
      <c r="F471" s="129" t="s">
        <v>365</v>
      </c>
      <c r="G471" s="131"/>
      <c r="H471" s="131">
        <v>185150.09</v>
      </c>
      <c r="I471" s="132">
        <v>114078921.75</v>
      </c>
      <c r="J471" s="133" t="s">
        <v>366</v>
      </c>
      <c r="K471" s="133" t="s">
        <v>367</v>
      </c>
      <c r="L471" s="133" t="s">
        <v>368</v>
      </c>
      <c r="M471" s="133" t="s">
        <v>369</v>
      </c>
      <c r="N471" s="133"/>
      <c r="O471" s="133"/>
    </row>
    <row r="472" spans="1:15">
      <c r="A472" s="124" t="s">
        <v>362</v>
      </c>
      <c r="B472" s="124" t="s">
        <v>363</v>
      </c>
      <c r="C472" s="125">
        <v>45401</v>
      </c>
      <c r="D472" s="124" t="s">
        <v>364</v>
      </c>
      <c r="E472" s="126">
        <v>390.04</v>
      </c>
      <c r="F472" s="124" t="s">
        <v>365</v>
      </c>
      <c r="G472" s="126"/>
      <c r="H472" s="126">
        <v>856133.05</v>
      </c>
      <c r="I472" s="127">
        <v>527500338.88</v>
      </c>
      <c r="J472" s="128" t="s">
        <v>366</v>
      </c>
      <c r="K472" s="128" t="s">
        <v>367</v>
      </c>
      <c r="L472" s="128" t="s">
        <v>368</v>
      </c>
      <c r="M472" s="128" t="s">
        <v>369</v>
      </c>
      <c r="N472" s="128"/>
      <c r="O472" s="128"/>
    </row>
    <row r="473" spans="1:15">
      <c r="A473" s="129" t="s">
        <v>362</v>
      </c>
      <c r="B473" s="129" t="s">
        <v>363</v>
      </c>
      <c r="C473" s="130">
        <v>45402</v>
      </c>
      <c r="D473" s="129" t="s">
        <v>372</v>
      </c>
      <c r="E473" s="131">
        <v>60</v>
      </c>
      <c r="F473" s="129" t="s">
        <v>365</v>
      </c>
      <c r="G473" s="131"/>
      <c r="H473" s="131">
        <v>80817.48</v>
      </c>
      <c r="I473" s="132">
        <v>49733833.850000001</v>
      </c>
      <c r="J473" s="133" t="s">
        <v>366</v>
      </c>
      <c r="K473" s="133" t="s">
        <v>367</v>
      </c>
      <c r="L473" s="133" t="s">
        <v>368</v>
      </c>
      <c r="M473" s="133" t="s">
        <v>369</v>
      </c>
      <c r="N473" s="133"/>
      <c r="O473" s="133"/>
    </row>
    <row r="474" spans="1:15">
      <c r="A474" s="124" t="s">
        <v>362</v>
      </c>
      <c r="B474" s="124" t="s">
        <v>363</v>
      </c>
      <c r="C474" s="125">
        <v>45402</v>
      </c>
      <c r="D474" s="124" t="s">
        <v>364</v>
      </c>
      <c r="E474" s="126">
        <v>110.08</v>
      </c>
      <c r="F474" s="124" t="s">
        <v>365</v>
      </c>
      <c r="G474" s="126"/>
      <c r="H474" s="126">
        <v>197098.23999999999</v>
      </c>
      <c r="I474" s="127">
        <v>121291224.62</v>
      </c>
      <c r="J474" s="128" t="s">
        <v>366</v>
      </c>
      <c r="K474" s="128" t="s">
        <v>367</v>
      </c>
      <c r="L474" s="128" t="s">
        <v>368</v>
      </c>
      <c r="M474" s="128" t="s">
        <v>369</v>
      </c>
      <c r="N474" s="128"/>
      <c r="O474" s="128"/>
    </row>
    <row r="475" spans="1:15">
      <c r="A475" s="129" t="s">
        <v>362</v>
      </c>
      <c r="B475" s="129" t="s">
        <v>363</v>
      </c>
      <c r="C475" s="130">
        <v>45402</v>
      </c>
      <c r="D475" s="129" t="s">
        <v>370</v>
      </c>
      <c r="E475" s="131">
        <v>88.286500000000004</v>
      </c>
      <c r="F475" s="129" t="s">
        <v>365</v>
      </c>
      <c r="G475" s="131"/>
      <c r="H475" s="131">
        <v>155561.69</v>
      </c>
      <c r="I475" s="132">
        <v>95730270.769999996</v>
      </c>
      <c r="J475" s="133" t="s">
        <v>366</v>
      </c>
      <c r="K475" s="133" t="s">
        <v>367</v>
      </c>
      <c r="L475" s="133" t="s">
        <v>368</v>
      </c>
      <c r="M475" s="133" t="s">
        <v>369</v>
      </c>
      <c r="N475" s="133"/>
      <c r="O475" s="133"/>
    </row>
    <row r="476" spans="1:15">
      <c r="A476" s="124" t="s">
        <v>362</v>
      </c>
      <c r="B476" s="124" t="s">
        <v>363</v>
      </c>
      <c r="C476" s="125">
        <v>45402</v>
      </c>
      <c r="D476" s="124" t="s">
        <v>370</v>
      </c>
      <c r="E476" s="126">
        <v>242.495</v>
      </c>
      <c r="F476" s="124" t="s">
        <v>365</v>
      </c>
      <c r="G476" s="126"/>
      <c r="H476" s="126">
        <v>410665.28</v>
      </c>
      <c r="I476" s="127">
        <v>252717095.38</v>
      </c>
      <c r="J476" s="128" t="s">
        <v>366</v>
      </c>
      <c r="K476" s="128" t="s">
        <v>367</v>
      </c>
      <c r="L476" s="128" t="s">
        <v>368</v>
      </c>
      <c r="M476" s="128" t="s">
        <v>369</v>
      </c>
      <c r="N476" s="128"/>
      <c r="O476" s="128"/>
    </row>
    <row r="477" spans="1:15">
      <c r="A477" s="129" t="s">
        <v>362</v>
      </c>
      <c r="B477" s="129" t="s">
        <v>363</v>
      </c>
      <c r="C477" s="130">
        <v>45403</v>
      </c>
      <c r="D477" s="129" t="s">
        <v>364</v>
      </c>
      <c r="E477" s="131">
        <v>198.21924999999999</v>
      </c>
      <c r="F477" s="129" t="s">
        <v>365</v>
      </c>
      <c r="G477" s="131"/>
      <c r="H477" s="131">
        <v>356895.11</v>
      </c>
      <c r="I477" s="132">
        <v>219492687.58000001</v>
      </c>
      <c r="J477" s="133" t="s">
        <v>366</v>
      </c>
      <c r="K477" s="133" t="s">
        <v>367</v>
      </c>
      <c r="L477" s="133" t="s">
        <v>368</v>
      </c>
      <c r="M477" s="133" t="s">
        <v>369</v>
      </c>
      <c r="N477" s="133"/>
      <c r="O477" s="133"/>
    </row>
    <row r="478" spans="1:15">
      <c r="A478" s="124" t="s">
        <v>362</v>
      </c>
      <c r="B478" s="124" t="s">
        <v>363</v>
      </c>
      <c r="C478" s="125">
        <v>45404</v>
      </c>
      <c r="D478" s="124" t="s">
        <v>364</v>
      </c>
      <c r="E478" s="126">
        <v>110.1275</v>
      </c>
      <c r="F478" s="124" t="s">
        <v>365</v>
      </c>
      <c r="G478" s="126"/>
      <c r="H478" s="126">
        <v>205267.58</v>
      </c>
      <c r="I478" s="127">
        <v>126318510.77</v>
      </c>
      <c r="J478" s="128" t="s">
        <v>366</v>
      </c>
      <c r="K478" s="128" t="s">
        <v>367</v>
      </c>
      <c r="L478" s="128" t="s">
        <v>368</v>
      </c>
      <c r="M478" s="128" t="s">
        <v>369</v>
      </c>
      <c r="N478" s="128"/>
      <c r="O478" s="128"/>
    </row>
    <row r="479" spans="1:15">
      <c r="A479" s="129" t="s">
        <v>362</v>
      </c>
      <c r="B479" s="129" t="s">
        <v>363</v>
      </c>
      <c r="C479" s="130">
        <v>45403</v>
      </c>
      <c r="D479" s="129" t="s">
        <v>372</v>
      </c>
      <c r="E479" s="131">
        <v>60</v>
      </c>
      <c r="F479" s="129" t="s">
        <v>365</v>
      </c>
      <c r="G479" s="131"/>
      <c r="H479" s="131">
        <v>76977</v>
      </c>
      <c r="I479" s="132">
        <v>47341328.409999996</v>
      </c>
      <c r="J479" s="133" t="s">
        <v>366</v>
      </c>
      <c r="K479" s="133" t="s">
        <v>367</v>
      </c>
      <c r="L479" s="133" t="s">
        <v>368</v>
      </c>
      <c r="M479" s="133" t="s">
        <v>369</v>
      </c>
      <c r="N479" s="133"/>
      <c r="O479" s="133"/>
    </row>
    <row r="480" spans="1:15">
      <c r="A480" s="124" t="s">
        <v>362</v>
      </c>
      <c r="B480" s="124" t="s">
        <v>363</v>
      </c>
      <c r="C480" s="125">
        <v>45403</v>
      </c>
      <c r="D480" s="124" t="s">
        <v>374</v>
      </c>
      <c r="E480" s="126">
        <v>60</v>
      </c>
      <c r="F480" s="124" t="s">
        <v>365</v>
      </c>
      <c r="G480" s="126"/>
      <c r="H480" s="126">
        <v>112479</v>
      </c>
      <c r="I480" s="127">
        <v>69175276.75</v>
      </c>
      <c r="J480" s="128" t="s">
        <v>366</v>
      </c>
      <c r="K480" s="128" t="s">
        <v>367</v>
      </c>
      <c r="L480" s="128" t="s">
        <v>368</v>
      </c>
      <c r="M480" s="128" t="s">
        <v>369</v>
      </c>
      <c r="N480" s="128"/>
      <c r="O480" s="128"/>
    </row>
    <row r="481" spans="1:15">
      <c r="A481" s="129" t="s">
        <v>362</v>
      </c>
      <c r="B481" s="129" t="s">
        <v>363</v>
      </c>
      <c r="C481" s="130">
        <v>45407</v>
      </c>
      <c r="D481" s="129" t="s">
        <v>371</v>
      </c>
      <c r="E481" s="131">
        <v>537.48</v>
      </c>
      <c r="F481" s="129" t="s">
        <v>365</v>
      </c>
      <c r="G481" s="131"/>
      <c r="H481" s="131">
        <v>162854.01</v>
      </c>
      <c r="I481" s="132">
        <v>99849178.420000002</v>
      </c>
      <c r="J481" s="133" t="s">
        <v>366</v>
      </c>
      <c r="K481" s="133" t="s">
        <v>367</v>
      </c>
      <c r="L481" s="133" t="s">
        <v>368</v>
      </c>
      <c r="M481" s="133" t="s">
        <v>369</v>
      </c>
      <c r="N481" s="133"/>
      <c r="O481" s="133"/>
    </row>
    <row r="482" spans="1:15">
      <c r="A482" s="124" t="s">
        <v>362</v>
      </c>
      <c r="B482" s="124" t="s">
        <v>363</v>
      </c>
      <c r="C482" s="125">
        <v>45407</v>
      </c>
      <c r="D482" s="124" t="s">
        <v>364</v>
      </c>
      <c r="E482" s="126">
        <v>88.14</v>
      </c>
      <c r="F482" s="124" t="s">
        <v>365</v>
      </c>
      <c r="G482" s="126"/>
      <c r="H482" s="126">
        <v>158570.07</v>
      </c>
      <c r="I482" s="127">
        <v>97222605.760000005</v>
      </c>
      <c r="J482" s="128" t="s">
        <v>366</v>
      </c>
      <c r="K482" s="128" t="s">
        <v>367</v>
      </c>
      <c r="L482" s="128" t="s">
        <v>368</v>
      </c>
      <c r="M482" s="128" t="s">
        <v>369</v>
      </c>
      <c r="N482" s="128"/>
      <c r="O482" s="128"/>
    </row>
    <row r="483" spans="1:15">
      <c r="A483" s="129" t="s">
        <v>362</v>
      </c>
      <c r="B483" s="129" t="s">
        <v>363</v>
      </c>
      <c r="C483" s="130">
        <v>45407</v>
      </c>
      <c r="D483" s="129" t="s">
        <v>364</v>
      </c>
      <c r="E483" s="131">
        <v>79.518000000000001</v>
      </c>
      <c r="F483" s="129" t="s">
        <v>365</v>
      </c>
      <c r="G483" s="131"/>
      <c r="H483" s="131">
        <v>147346.85</v>
      </c>
      <c r="I483" s="132">
        <v>90341416.310000002</v>
      </c>
      <c r="J483" s="133" t="s">
        <v>366</v>
      </c>
      <c r="K483" s="133" t="s">
        <v>367</v>
      </c>
      <c r="L483" s="133" t="s">
        <v>368</v>
      </c>
      <c r="M483" s="133" t="s">
        <v>369</v>
      </c>
      <c r="N483" s="133"/>
      <c r="O483" s="133"/>
    </row>
    <row r="484" spans="1:15">
      <c r="A484" s="124" t="s">
        <v>362</v>
      </c>
      <c r="B484" s="124" t="s">
        <v>363</v>
      </c>
      <c r="C484" s="125">
        <v>45407</v>
      </c>
      <c r="D484" s="124" t="s">
        <v>364</v>
      </c>
      <c r="E484" s="126">
        <v>180</v>
      </c>
      <c r="F484" s="124" t="s">
        <v>365</v>
      </c>
      <c r="G484" s="126"/>
      <c r="H484" s="126">
        <v>337905</v>
      </c>
      <c r="I484" s="127">
        <v>207176578.78999999</v>
      </c>
      <c r="J484" s="128" t="s">
        <v>366</v>
      </c>
      <c r="K484" s="128" t="s">
        <v>367</v>
      </c>
      <c r="L484" s="128" t="s">
        <v>368</v>
      </c>
      <c r="M484" s="128" t="s">
        <v>369</v>
      </c>
      <c r="N484" s="128"/>
      <c r="O484" s="128"/>
    </row>
    <row r="485" spans="1:15">
      <c r="A485" s="129" t="s">
        <v>362</v>
      </c>
      <c r="B485" s="129" t="s">
        <v>363</v>
      </c>
      <c r="C485" s="130">
        <v>45407</v>
      </c>
      <c r="D485" s="129" t="s">
        <v>370</v>
      </c>
      <c r="E485" s="131">
        <v>286.21749999999997</v>
      </c>
      <c r="F485" s="129" t="s">
        <v>365</v>
      </c>
      <c r="G485" s="131"/>
      <c r="H485" s="131">
        <v>504319.64</v>
      </c>
      <c r="I485" s="132">
        <v>309208853.45999998</v>
      </c>
      <c r="J485" s="133" t="s">
        <v>366</v>
      </c>
      <c r="K485" s="133" t="s">
        <v>367</v>
      </c>
      <c r="L485" s="133" t="s">
        <v>368</v>
      </c>
      <c r="M485" s="133" t="s">
        <v>369</v>
      </c>
      <c r="N485" s="133"/>
      <c r="O485" s="133"/>
    </row>
    <row r="486" spans="1:15">
      <c r="A486" s="124" t="s">
        <v>362</v>
      </c>
      <c r="B486" s="124" t="s">
        <v>363</v>
      </c>
      <c r="C486" s="125">
        <v>45408</v>
      </c>
      <c r="D486" s="124" t="s">
        <v>371</v>
      </c>
      <c r="E486" s="126">
        <v>498.93</v>
      </c>
      <c r="F486" s="124" t="s">
        <v>365</v>
      </c>
      <c r="G486" s="126"/>
      <c r="H486" s="126">
        <v>126601.16</v>
      </c>
      <c r="I486" s="127">
        <v>77431902.140000001</v>
      </c>
      <c r="J486" s="128" t="s">
        <v>366</v>
      </c>
      <c r="K486" s="128" t="s">
        <v>367</v>
      </c>
      <c r="L486" s="128" t="s">
        <v>368</v>
      </c>
      <c r="M486" s="128" t="s">
        <v>369</v>
      </c>
      <c r="N486" s="128"/>
      <c r="O486" s="128"/>
    </row>
    <row r="487" spans="1:15">
      <c r="A487" s="129" t="s">
        <v>362</v>
      </c>
      <c r="B487" s="129" t="s">
        <v>363</v>
      </c>
      <c r="C487" s="130">
        <v>45408</v>
      </c>
      <c r="D487" s="129" t="s">
        <v>364</v>
      </c>
      <c r="E487" s="131">
        <v>88.075000000000003</v>
      </c>
      <c r="F487" s="129" t="s">
        <v>365</v>
      </c>
      <c r="G487" s="131"/>
      <c r="H487" s="131">
        <v>158946.35</v>
      </c>
      <c r="I487" s="132">
        <v>97214892.969999999</v>
      </c>
      <c r="J487" s="133" t="s">
        <v>366</v>
      </c>
      <c r="K487" s="133" t="s">
        <v>367</v>
      </c>
      <c r="L487" s="133" t="s">
        <v>368</v>
      </c>
      <c r="M487" s="133" t="s">
        <v>369</v>
      </c>
      <c r="N487" s="133"/>
      <c r="O487" s="133"/>
    </row>
    <row r="488" spans="1:15">
      <c r="A488" s="124" t="s">
        <v>362</v>
      </c>
      <c r="B488" s="124" t="s">
        <v>363</v>
      </c>
      <c r="C488" s="125">
        <v>45408</v>
      </c>
      <c r="D488" s="124" t="s">
        <v>364</v>
      </c>
      <c r="E488" s="126">
        <v>97.49</v>
      </c>
      <c r="F488" s="124" t="s">
        <v>365</v>
      </c>
      <c r="G488" s="126"/>
      <c r="H488" s="126">
        <v>187063.81</v>
      </c>
      <c r="I488" s="127">
        <v>114412116.20999999</v>
      </c>
      <c r="J488" s="128" t="s">
        <v>366</v>
      </c>
      <c r="K488" s="128" t="s">
        <v>367</v>
      </c>
      <c r="L488" s="128" t="s">
        <v>368</v>
      </c>
      <c r="M488" s="128" t="s">
        <v>369</v>
      </c>
      <c r="N488" s="128"/>
      <c r="O488" s="128"/>
    </row>
    <row r="489" spans="1:15">
      <c r="A489" s="129" t="s">
        <v>362</v>
      </c>
      <c r="B489" s="129" t="s">
        <v>363</v>
      </c>
      <c r="C489" s="130">
        <v>45408</v>
      </c>
      <c r="D489" s="129" t="s">
        <v>364</v>
      </c>
      <c r="E489" s="131">
        <v>58.494</v>
      </c>
      <c r="F489" s="129" t="s">
        <v>365</v>
      </c>
      <c r="G489" s="131"/>
      <c r="H489" s="131">
        <v>113958.01</v>
      </c>
      <c r="I489" s="132">
        <v>69699088.689999998</v>
      </c>
      <c r="J489" s="133" t="s">
        <v>366</v>
      </c>
      <c r="K489" s="133" t="s">
        <v>367</v>
      </c>
      <c r="L489" s="133" t="s">
        <v>368</v>
      </c>
      <c r="M489" s="133" t="s">
        <v>369</v>
      </c>
      <c r="N489" s="133"/>
      <c r="O489" s="133"/>
    </row>
    <row r="490" spans="1:15">
      <c r="A490" s="124" t="s">
        <v>362</v>
      </c>
      <c r="B490" s="124" t="s">
        <v>363</v>
      </c>
      <c r="C490" s="125">
        <v>45408</v>
      </c>
      <c r="D490" s="124" t="s">
        <v>364</v>
      </c>
      <c r="E490" s="126">
        <v>264.34249999999997</v>
      </c>
      <c r="F490" s="124" t="s">
        <v>365</v>
      </c>
      <c r="G490" s="126"/>
      <c r="H490" s="126">
        <v>491219.1</v>
      </c>
      <c r="I490" s="127">
        <v>300439816.50999999</v>
      </c>
      <c r="J490" s="128" t="s">
        <v>366</v>
      </c>
      <c r="K490" s="128" t="s">
        <v>367</v>
      </c>
      <c r="L490" s="128" t="s">
        <v>368</v>
      </c>
      <c r="M490" s="128" t="s">
        <v>369</v>
      </c>
      <c r="N490" s="128"/>
      <c r="O490" s="128"/>
    </row>
    <row r="491" spans="1:15">
      <c r="A491" s="129" t="s">
        <v>362</v>
      </c>
      <c r="B491" s="129" t="s">
        <v>363</v>
      </c>
      <c r="C491" s="130">
        <v>45408</v>
      </c>
      <c r="D491" s="129" t="s">
        <v>364</v>
      </c>
      <c r="E491" s="131">
        <v>19.997</v>
      </c>
      <c r="F491" s="129" t="s">
        <v>365</v>
      </c>
      <c r="G491" s="131"/>
      <c r="H491" s="131">
        <v>36025.599999999999</v>
      </c>
      <c r="I491" s="132">
        <v>22034006.120000001</v>
      </c>
      <c r="J491" s="133" t="s">
        <v>366</v>
      </c>
      <c r="K491" s="133" t="s">
        <v>367</v>
      </c>
      <c r="L491" s="133" t="s">
        <v>368</v>
      </c>
      <c r="M491" s="133" t="s">
        <v>369</v>
      </c>
      <c r="N491" s="133"/>
      <c r="O491" s="133"/>
    </row>
    <row r="492" spans="1:15">
      <c r="A492" s="124" t="s">
        <v>362</v>
      </c>
      <c r="B492" s="124" t="s">
        <v>363</v>
      </c>
      <c r="C492" s="125">
        <v>45408</v>
      </c>
      <c r="D492" s="124" t="s">
        <v>364</v>
      </c>
      <c r="E492" s="126">
        <v>97.518000000000001</v>
      </c>
      <c r="F492" s="124" t="s">
        <v>365</v>
      </c>
      <c r="G492" s="126"/>
      <c r="H492" s="126">
        <v>188037.9</v>
      </c>
      <c r="I492" s="127">
        <v>115007889.91</v>
      </c>
      <c r="J492" s="128" t="s">
        <v>366</v>
      </c>
      <c r="K492" s="128" t="s">
        <v>367</v>
      </c>
      <c r="L492" s="128" t="s">
        <v>368</v>
      </c>
      <c r="M492" s="128" t="s">
        <v>369</v>
      </c>
      <c r="N492" s="128"/>
      <c r="O492" s="128"/>
    </row>
    <row r="493" spans="1:15">
      <c r="A493" s="129" t="s">
        <v>362</v>
      </c>
      <c r="B493" s="129" t="s">
        <v>363</v>
      </c>
      <c r="C493" s="130">
        <v>45408</v>
      </c>
      <c r="D493" s="129" t="s">
        <v>364</v>
      </c>
      <c r="E493" s="131">
        <v>79.995999999999995</v>
      </c>
      <c r="F493" s="129" t="s">
        <v>365</v>
      </c>
      <c r="G493" s="131"/>
      <c r="H493" s="131">
        <v>147312.63</v>
      </c>
      <c r="I493" s="132">
        <v>90099467.890000001</v>
      </c>
      <c r="J493" s="133" t="s">
        <v>366</v>
      </c>
      <c r="K493" s="133" t="s">
        <v>367</v>
      </c>
      <c r="L493" s="133" t="s">
        <v>368</v>
      </c>
      <c r="M493" s="133" t="s">
        <v>369</v>
      </c>
      <c r="N493" s="133"/>
      <c r="O493" s="133"/>
    </row>
    <row r="494" spans="1:15">
      <c r="A494" s="124" t="s">
        <v>362</v>
      </c>
      <c r="B494" s="124" t="s">
        <v>363</v>
      </c>
      <c r="C494" s="125">
        <v>45408</v>
      </c>
      <c r="D494" s="124" t="s">
        <v>370</v>
      </c>
      <c r="E494" s="126">
        <v>400.05599999999998</v>
      </c>
      <c r="F494" s="124" t="s">
        <v>365</v>
      </c>
      <c r="G494" s="126"/>
      <c r="H494" s="126">
        <v>703698.5</v>
      </c>
      <c r="I494" s="127">
        <v>430396636.08999997</v>
      </c>
      <c r="J494" s="128" t="s">
        <v>366</v>
      </c>
      <c r="K494" s="128" t="s">
        <v>367</v>
      </c>
      <c r="L494" s="128" t="s">
        <v>368</v>
      </c>
      <c r="M494" s="128" t="s">
        <v>369</v>
      </c>
      <c r="N494" s="128"/>
      <c r="O494" s="128"/>
    </row>
    <row r="495" spans="1:15">
      <c r="A495" s="129" t="s">
        <v>362</v>
      </c>
      <c r="B495" s="129" t="s">
        <v>363</v>
      </c>
      <c r="C495" s="130">
        <v>45408</v>
      </c>
      <c r="D495" s="129" t="s">
        <v>370</v>
      </c>
      <c r="E495" s="131">
        <v>198.185</v>
      </c>
      <c r="F495" s="129" t="s">
        <v>365</v>
      </c>
      <c r="G495" s="131"/>
      <c r="H495" s="131">
        <v>355547.48</v>
      </c>
      <c r="I495" s="132">
        <v>217460232.41999999</v>
      </c>
      <c r="J495" s="133" t="s">
        <v>366</v>
      </c>
      <c r="K495" s="133" t="s">
        <v>367</v>
      </c>
      <c r="L495" s="133" t="s">
        <v>368</v>
      </c>
      <c r="M495" s="133" t="s">
        <v>369</v>
      </c>
      <c r="N495" s="133"/>
      <c r="O495" s="133"/>
    </row>
    <row r="496" spans="1:15">
      <c r="A496" s="124" t="s">
        <v>362</v>
      </c>
      <c r="B496" s="124" t="s">
        <v>363</v>
      </c>
      <c r="C496" s="125">
        <v>45412</v>
      </c>
      <c r="D496" s="124" t="s">
        <v>364</v>
      </c>
      <c r="E496" s="126"/>
      <c r="F496" s="124" t="s">
        <v>365</v>
      </c>
      <c r="G496" s="126"/>
      <c r="H496" s="126">
        <v>3577.19</v>
      </c>
      <c r="I496" s="127">
        <v>2190563.38</v>
      </c>
      <c r="J496" s="128" t="s">
        <v>366</v>
      </c>
      <c r="K496" s="128" t="s">
        <v>367</v>
      </c>
      <c r="L496" s="128" t="s">
        <v>368</v>
      </c>
      <c r="M496" s="128" t="s">
        <v>369</v>
      </c>
      <c r="N496" s="128"/>
      <c r="O496" s="128"/>
    </row>
    <row r="497" spans="1:15">
      <c r="A497" s="129" t="s">
        <v>362</v>
      </c>
      <c r="B497" s="129" t="s">
        <v>363</v>
      </c>
      <c r="C497" s="130">
        <v>45407</v>
      </c>
      <c r="D497" s="129" t="s">
        <v>373</v>
      </c>
      <c r="E497" s="131"/>
      <c r="F497" s="129" t="s">
        <v>365</v>
      </c>
      <c r="G497" s="131"/>
      <c r="H497" s="131">
        <v>217517.1</v>
      </c>
      <c r="I497" s="132">
        <v>133364255.06</v>
      </c>
      <c r="J497" s="133" t="s">
        <v>366</v>
      </c>
      <c r="K497" s="133" t="s">
        <v>367</v>
      </c>
      <c r="L497" s="133" t="s">
        <v>368</v>
      </c>
      <c r="M497" s="133" t="s">
        <v>369</v>
      </c>
      <c r="N497" s="133"/>
      <c r="O497" s="133"/>
    </row>
    <row r="498" spans="1:15">
      <c r="A498" s="124" t="s">
        <v>362</v>
      </c>
      <c r="B498" s="124" t="s">
        <v>363</v>
      </c>
      <c r="C498" s="125">
        <v>45407</v>
      </c>
      <c r="D498" s="124" t="s">
        <v>373</v>
      </c>
      <c r="E498" s="126"/>
      <c r="F498" s="124" t="s">
        <v>365</v>
      </c>
      <c r="G498" s="126"/>
      <c r="H498" s="126">
        <v>33470.959999999999</v>
      </c>
      <c r="I498" s="127">
        <v>20521741.260000002</v>
      </c>
      <c r="J498" s="128" t="s">
        <v>366</v>
      </c>
      <c r="K498" s="128" t="s">
        <v>367</v>
      </c>
      <c r="L498" s="128" t="s">
        <v>368</v>
      </c>
      <c r="M498" s="128" t="s">
        <v>369</v>
      </c>
      <c r="N498" s="128"/>
      <c r="O498" s="128"/>
    </row>
    <row r="499" spans="1:15">
      <c r="A499" s="129" t="s">
        <v>362</v>
      </c>
      <c r="B499" s="129" t="s">
        <v>363</v>
      </c>
      <c r="C499" s="130">
        <v>45407</v>
      </c>
      <c r="D499" s="129" t="s">
        <v>373</v>
      </c>
      <c r="E499" s="131"/>
      <c r="F499" s="129" t="s">
        <v>365</v>
      </c>
      <c r="G499" s="131"/>
      <c r="H499" s="131">
        <v>-28562.28</v>
      </c>
      <c r="I499" s="132">
        <v>-17512127.530000001</v>
      </c>
      <c r="J499" s="133" t="s">
        <v>366</v>
      </c>
      <c r="K499" s="133" t="s">
        <v>367</v>
      </c>
      <c r="L499" s="133" t="s">
        <v>368</v>
      </c>
      <c r="M499" s="133" t="s">
        <v>369</v>
      </c>
      <c r="N499" s="133"/>
      <c r="O499" s="133"/>
    </row>
    <row r="500" spans="1:15">
      <c r="A500" s="124" t="s">
        <v>362</v>
      </c>
      <c r="B500" s="124" t="s">
        <v>363</v>
      </c>
      <c r="C500" s="125">
        <v>45407</v>
      </c>
      <c r="D500" s="124" t="s">
        <v>373</v>
      </c>
      <c r="E500" s="126"/>
      <c r="F500" s="124" t="s">
        <v>365</v>
      </c>
      <c r="G500" s="126"/>
      <c r="H500" s="126">
        <v>-55143.34</v>
      </c>
      <c r="I500" s="127">
        <v>-33809527.899999999</v>
      </c>
      <c r="J500" s="128" t="s">
        <v>366</v>
      </c>
      <c r="K500" s="128" t="s">
        <v>367</v>
      </c>
      <c r="L500" s="128" t="s">
        <v>368</v>
      </c>
      <c r="M500" s="128" t="s">
        <v>369</v>
      </c>
      <c r="N500" s="128"/>
      <c r="O500" s="128"/>
    </row>
    <row r="501" spans="1:15">
      <c r="A501" s="129" t="s">
        <v>362</v>
      </c>
      <c r="B501" s="129" t="s">
        <v>363</v>
      </c>
      <c r="C501" s="130">
        <v>45407</v>
      </c>
      <c r="D501" s="129" t="s">
        <v>373</v>
      </c>
      <c r="E501" s="131"/>
      <c r="F501" s="129" t="s">
        <v>365</v>
      </c>
      <c r="G501" s="131"/>
      <c r="H501" s="131">
        <v>-118208.68</v>
      </c>
      <c r="I501" s="132">
        <v>-72476198.650000006</v>
      </c>
      <c r="J501" s="133" t="s">
        <v>366</v>
      </c>
      <c r="K501" s="133" t="s">
        <v>367</v>
      </c>
      <c r="L501" s="133" t="s">
        <v>368</v>
      </c>
      <c r="M501" s="133" t="s">
        <v>369</v>
      </c>
      <c r="N501" s="133"/>
      <c r="O501" s="133"/>
    </row>
    <row r="502" spans="1:15">
      <c r="A502" s="124" t="s">
        <v>362</v>
      </c>
      <c r="B502" s="124" t="s">
        <v>363</v>
      </c>
      <c r="C502" s="125">
        <v>45407</v>
      </c>
      <c r="D502" s="124" t="s">
        <v>373</v>
      </c>
      <c r="E502" s="126"/>
      <c r="F502" s="124" t="s">
        <v>365</v>
      </c>
      <c r="G502" s="126"/>
      <c r="H502" s="126">
        <v>-22148.37</v>
      </c>
      <c r="I502" s="127">
        <v>-13579626</v>
      </c>
      <c r="J502" s="128" t="s">
        <v>366</v>
      </c>
      <c r="K502" s="128" t="s">
        <v>367</v>
      </c>
      <c r="L502" s="128" t="s">
        <v>368</v>
      </c>
      <c r="M502" s="128" t="s">
        <v>369</v>
      </c>
      <c r="N502" s="128"/>
      <c r="O502" s="128"/>
    </row>
    <row r="503" spans="1:15">
      <c r="A503" s="129" t="s">
        <v>362</v>
      </c>
      <c r="B503" s="129" t="s">
        <v>363</v>
      </c>
      <c r="C503" s="130">
        <v>45407</v>
      </c>
      <c r="D503" s="129" t="s">
        <v>373</v>
      </c>
      <c r="E503" s="131"/>
      <c r="F503" s="129" t="s">
        <v>365</v>
      </c>
      <c r="G503" s="131"/>
      <c r="H503" s="131">
        <v>2972.71</v>
      </c>
      <c r="I503" s="132">
        <v>1822630.29</v>
      </c>
      <c r="J503" s="133" t="s">
        <v>366</v>
      </c>
      <c r="K503" s="133" t="s">
        <v>367</v>
      </c>
      <c r="L503" s="133" t="s">
        <v>368</v>
      </c>
      <c r="M503" s="133" t="s">
        <v>369</v>
      </c>
      <c r="N503" s="133"/>
      <c r="O503" s="133"/>
    </row>
    <row r="504" spans="1:15">
      <c r="A504" s="124" t="s">
        <v>362</v>
      </c>
      <c r="B504" s="124" t="s">
        <v>363</v>
      </c>
      <c r="C504" s="125">
        <v>45407</v>
      </c>
      <c r="D504" s="124" t="s">
        <v>373</v>
      </c>
      <c r="E504" s="126"/>
      <c r="F504" s="124" t="s">
        <v>365</v>
      </c>
      <c r="G504" s="126"/>
      <c r="H504" s="126">
        <v>-27683.82</v>
      </c>
      <c r="I504" s="127">
        <v>-16973525.440000001</v>
      </c>
      <c r="J504" s="128" t="s">
        <v>366</v>
      </c>
      <c r="K504" s="128" t="s">
        <v>367</v>
      </c>
      <c r="L504" s="128" t="s">
        <v>368</v>
      </c>
      <c r="M504" s="128" t="s">
        <v>369</v>
      </c>
      <c r="N504" s="128"/>
      <c r="O504" s="128"/>
    </row>
    <row r="505" spans="1:15">
      <c r="A505" s="129" t="s">
        <v>362</v>
      </c>
      <c r="B505" s="129" t="s">
        <v>363</v>
      </c>
      <c r="C505" s="130">
        <v>45407</v>
      </c>
      <c r="D505" s="129" t="s">
        <v>373</v>
      </c>
      <c r="E505" s="131"/>
      <c r="F505" s="129" t="s">
        <v>365</v>
      </c>
      <c r="G505" s="131"/>
      <c r="H505" s="131">
        <v>-64.86</v>
      </c>
      <c r="I505" s="132">
        <v>-39767.01</v>
      </c>
      <c r="J505" s="133" t="s">
        <v>366</v>
      </c>
      <c r="K505" s="133" t="s">
        <v>367</v>
      </c>
      <c r="L505" s="133" t="s">
        <v>368</v>
      </c>
      <c r="M505" s="133" t="s">
        <v>369</v>
      </c>
      <c r="N505" s="133"/>
      <c r="O505" s="133"/>
    </row>
    <row r="506" spans="1:15">
      <c r="A506" s="124" t="s">
        <v>362</v>
      </c>
      <c r="B506" s="124" t="s">
        <v>363</v>
      </c>
      <c r="C506" s="125">
        <v>45407</v>
      </c>
      <c r="D506" s="124" t="s">
        <v>375</v>
      </c>
      <c r="E506" s="126"/>
      <c r="F506" s="124" t="s">
        <v>365</v>
      </c>
      <c r="G506" s="126"/>
      <c r="H506" s="126">
        <v>1715.23</v>
      </c>
      <c r="I506" s="127">
        <v>1051643.1599999999</v>
      </c>
      <c r="J506" s="128" t="s">
        <v>366</v>
      </c>
      <c r="K506" s="128" t="s">
        <v>367</v>
      </c>
      <c r="L506" s="128" t="s">
        <v>368</v>
      </c>
      <c r="M506" s="128" t="s">
        <v>369</v>
      </c>
      <c r="N506" s="128"/>
      <c r="O506" s="128"/>
    </row>
    <row r="507" spans="1:15">
      <c r="A507" s="129" t="s">
        <v>362</v>
      </c>
      <c r="B507" s="129" t="s">
        <v>363</v>
      </c>
      <c r="C507" s="130">
        <v>45407</v>
      </c>
      <c r="D507" s="129" t="s">
        <v>375</v>
      </c>
      <c r="E507" s="131"/>
      <c r="F507" s="129" t="s">
        <v>365</v>
      </c>
      <c r="G507" s="131"/>
      <c r="H507" s="131">
        <v>-156456.29</v>
      </c>
      <c r="I507" s="132">
        <v>-95926603.310000002</v>
      </c>
      <c r="J507" s="133" t="s">
        <v>366</v>
      </c>
      <c r="K507" s="133" t="s">
        <v>367</v>
      </c>
      <c r="L507" s="133" t="s">
        <v>368</v>
      </c>
      <c r="M507" s="133" t="s">
        <v>369</v>
      </c>
      <c r="N507" s="133"/>
      <c r="O507" s="133"/>
    </row>
    <row r="508" spans="1:15">
      <c r="A508" s="124" t="s">
        <v>362</v>
      </c>
      <c r="B508" s="124" t="s">
        <v>363</v>
      </c>
      <c r="C508" s="125">
        <v>45407</v>
      </c>
      <c r="D508" s="124" t="s">
        <v>375</v>
      </c>
      <c r="E508" s="126"/>
      <c r="F508" s="124" t="s">
        <v>365</v>
      </c>
      <c r="G508" s="126"/>
      <c r="H508" s="126">
        <v>-51545.760000000002</v>
      </c>
      <c r="I508" s="127">
        <v>-31603776.82</v>
      </c>
      <c r="J508" s="128" t="s">
        <v>366</v>
      </c>
      <c r="K508" s="128" t="s">
        <v>367</v>
      </c>
      <c r="L508" s="128" t="s">
        <v>368</v>
      </c>
      <c r="M508" s="128" t="s">
        <v>369</v>
      </c>
      <c r="N508" s="128"/>
      <c r="O508" s="128"/>
    </row>
    <row r="509" spans="1:15">
      <c r="A509" s="129" t="s">
        <v>362</v>
      </c>
      <c r="B509" s="129" t="s">
        <v>363</v>
      </c>
      <c r="C509" s="130">
        <v>45407</v>
      </c>
      <c r="D509" s="129" t="s">
        <v>364</v>
      </c>
      <c r="E509" s="131"/>
      <c r="F509" s="129" t="s">
        <v>365</v>
      </c>
      <c r="G509" s="131"/>
      <c r="H509" s="131">
        <v>-1151.67</v>
      </c>
      <c r="I509" s="132">
        <v>-706112.81</v>
      </c>
      <c r="J509" s="133" t="s">
        <v>366</v>
      </c>
      <c r="K509" s="133" t="s">
        <v>367</v>
      </c>
      <c r="L509" s="133" t="s">
        <v>368</v>
      </c>
      <c r="M509" s="133" t="s">
        <v>369</v>
      </c>
      <c r="N509" s="133"/>
      <c r="O509" s="133"/>
    </row>
    <row r="510" spans="1:15">
      <c r="A510" s="124" t="s">
        <v>362</v>
      </c>
      <c r="B510" s="124" t="s">
        <v>363</v>
      </c>
      <c r="C510" s="125">
        <v>45407</v>
      </c>
      <c r="D510" s="124" t="s">
        <v>364</v>
      </c>
      <c r="E510" s="126"/>
      <c r="F510" s="124" t="s">
        <v>365</v>
      </c>
      <c r="G510" s="126"/>
      <c r="H510" s="126">
        <v>-39.9</v>
      </c>
      <c r="I510" s="127">
        <v>-24463.52</v>
      </c>
      <c r="J510" s="128" t="s">
        <v>366</v>
      </c>
      <c r="K510" s="128" t="s">
        <v>367</v>
      </c>
      <c r="L510" s="128" t="s">
        <v>368</v>
      </c>
      <c r="M510" s="128" t="s">
        <v>369</v>
      </c>
      <c r="N510" s="128"/>
      <c r="O510" s="128"/>
    </row>
    <row r="511" spans="1:15">
      <c r="A511" s="129" t="s">
        <v>362</v>
      </c>
      <c r="B511" s="129" t="s">
        <v>363</v>
      </c>
      <c r="C511" s="130">
        <v>45407</v>
      </c>
      <c r="D511" s="129" t="s">
        <v>364</v>
      </c>
      <c r="E511" s="131"/>
      <c r="F511" s="129" t="s">
        <v>365</v>
      </c>
      <c r="G511" s="131"/>
      <c r="H511" s="131">
        <v>-9283.48</v>
      </c>
      <c r="I511" s="132">
        <v>-5691894.54</v>
      </c>
      <c r="J511" s="133" t="s">
        <v>366</v>
      </c>
      <c r="K511" s="133" t="s">
        <v>367</v>
      </c>
      <c r="L511" s="133" t="s">
        <v>368</v>
      </c>
      <c r="M511" s="133" t="s">
        <v>369</v>
      </c>
      <c r="N511" s="133"/>
      <c r="O511" s="133"/>
    </row>
    <row r="512" spans="1:15">
      <c r="A512" s="124" t="s">
        <v>362</v>
      </c>
      <c r="B512" s="124" t="s">
        <v>363</v>
      </c>
      <c r="C512" s="125">
        <v>45407</v>
      </c>
      <c r="D512" s="124" t="s">
        <v>364</v>
      </c>
      <c r="E512" s="126"/>
      <c r="F512" s="124" t="s">
        <v>365</v>
      </c>
      <c r="G512" s="126"/>
      <c r="H512" s="126">
        <v>-95.47</v>
      </c>
      <c r="I512" s="127">
        <v>-58534.64</v>
      </c>
      <c r="J512" s="128" t="s">
        <v>366</v>
      </c>
      <c r="K512" s="128" t="s">
        <v>367</v>
      </c>
      <c r="L512" s="128" t="s">
        <v>368</v>
      </c>
      <c r="M512" s="128" t="s">
        <v>369</v>
      </c>
      <c r="N512" s="128"/>
      <c r="O512" s="128"/>
    </row>
    <row r="513" spans="1:15">
      <c r="A513" s="129" t="s">
        <v>362</v>
      </c>
      <c r="B513" s="129" t="s">
        <v>363</v>
      </c>
      <c r="C513" s="130">
        <v>45407</v>
      </c>
      <c r="D513" s="129" t="s">
        <v>364</v>
      </c>
      <c r="E513" s="131"/>
      <c r="F513" s="129" t="s">
        <v>365</v>
      </c>
      <c r="G513" s="131"/>
      <c r="H513" s="131">
        <v>7434.22</v>
      </c>
      <c r="I513" s="132">
        <v>4558074.8</v>
      </c>
      <c r="J513" s="133" t="s">
        <v>366</v>
      </c>
      <c r="K513" s="133" t="s">
        <v>367</v>
      </c>
      <c r="L513" s="133" t="s">
        <v>368</v>
      </c>
      <c r="M513" s="133" t="s">
        <v>369</v>
      </c>
      <c r="N513" s="133"/>
      <c r="O513" s="133"/>
    </row>
    <row r="514" spans="1:15">
      <c r="A514" s="124" t="s">
        <v>362</v>
      </c>
      <c r="B514" s="124" t="s">
        <v>363</v>
      </c>
      <c r="C514" s="125">
        <v>45407</v>
      </c>
      <c r="D514" s="124" t="s">
        <v>364</v>
      </c>
      <c r="E514" s="126"/>
      <c r="F514" s="124" t="s">
        <v>365</v>
      </c>
      <c r="G514" s="126"/>
      <c r="H514" s="126">
        <v>563.65</v>
      </c>
      <c r="I514" s="127">
        <v>345585.53</v>
      </c>
      <c r="J514" s="128" t="s">
        <v>366</v>
      </c>
      <c r="K514" s="128" t="s">
        <v>367</v>
      </c>
      <c r="L514" s="128" t="s">
        <v>368</v>
      </c>
      <c r="M514" s="128" t="s">
        <v>369</v>
      </c>
      <c r="N514" s="128"/>
      <c r="O514" s="128"/>
    </row>
    <row r="515" spans="1:15">
      <c r="A515" s="129" t="s">
        <v>362</v>
      </c>
      <c r="B515" s="129" t="s">
        <v>363</v>
      </c>
      <c r="C515" s="130">
        <v>45407</v>
      </c>
      <c r="D515" s="129" t="s">
        <v>364</v>
      </c>
      <c r="E515" s="131"/>
      <c r="F515" s="129" t="s">
        <v>365</v>
      </c>
      <c r="G515" s="131"/>
      <c r="H515" s="131">
        <v>978.68</v>
      </c>
      <c r="I515" s="132">
        <v>600049.05000000005</v>
      </c>
      <c r="J515" s="133" t="s">
        <v>366</v>
      </c>
      <c r="K515" s="133" t="s">
        <v>367</v>
      </c>
      <c r="L515" s="133" t="s">
        <v>368</v>
      </c>
      <c r="M515" s="133" t="s">
        <v>369</v>
      </c>
      <c r="N515" s="133"/>
      <c r="O515" s="133"/>
    </row>
    <row r="516" spans="1:15">
      <c r="A516" s="124" t="s">
        <v>362</v>
      </c>
      <c r="B516" s="124" t="s">
        <v>363</v>
      </c>
      <c r="C516" s="125">
        <v>45407</v>
      </c>
      <c r="D516" s="124" t="s">
        <v>364</v>
      </c>
      <c r="E516" s="126"/>
      <c r="F516" s="124" t="s">
        <v>365</v>
      </c>
      <c r="G516" s="126"/>
      <c r="H516" s="126">
        <v>428.64</v>
      </c>
      <c r="I516" s="127">
        <v>262808.09000000003</v>
      </c>
      <c r="J516" s="128" t="s">
        <v>366</v>
      </c>
      <c r="K516" s="128" t="s">
        <v>367</v>
      </c>
      <c r="L516" s="128" t="s">
        <v>368</v>
      </c>
      <c r="M516" s="128" t="s">
        <v>369</v>
      </c>
      <c r="N516" s="128"/>
      <c r="O516" s="128"/>
    </row>
    <row r="517" spans="1:15">
      <c r="A517" s="129" t="s">
        <v>362</v>
      </c>
      <c r="B517" s="129" t="s">
        <v>363</v>
      </c>
      <c r="C517" s="130">
        <v>45407</v>
      </c>
      <c r="D517" s="129" t="s">
        <v>364</v>
      </c>
      <c r="E517" s="131"/>
      <c r="F517" s="129" t="s">
        <v>365</v>
      </c>
      <c r="G517" s="131"/>
      <c r="H517" s="131">
        <v>4110.0600000000004</v>
      </c>
      <c r="I517" s="132">
        <v>2519963.21</v>
      </c>
      <c r="J517" s="133" t="s">
        <v>366</v>
      </c>
      <c r="K517" s="133" t="s">
        <v>367</v>
      </c>
      <c r="L517" s="133" t="s">
        <v>368</v>
      </c>
      <c r="M517" s="133" t="s">
        <v>369</v>
      </c>
      <c r="N517" s="133"/>
      <c r="O517" s="133"/>
    </row>
    <row r="518" spans="1:15">
      <c r="A518" s="124" t="s">
        <v>362</v>
      </c>
      <c r="B518" s="124" t="s">
        <v>363</v>
      </c>
      <c r="C518" s="125">
        <v>45407</v>
      </c>
      <c r="D518" s="124" t="s">
        <v>364</v>
      </c>
      <c r="E518" s="126"/>
      <c r="F518" s="124" t="s">
        <v>365</v>
      </c>
      <c r="G518" s="126"/>
      <c r="H518" s="126">
        <v>10354.540000000001</v>
      </c>
      <c r="I518" s="127">
        <v>6348583.6900000004</v>
      </c>
      <c r="J518" s="128" t="s">
        <v>366</v>
      </c>
      <c r="K518" s="128" t="s">
        <v>367</v>
      </c>
      <c r="L518" s="128" t="s">
        <v>368</v>
      </c>
      <c r="M518" s="128" t="s">
        <v>369</v>
      </c>
      <c r="N518" s="128"/>
      <c r="O518" s="128"/>
    </row>
    <row r="519" spans="1:15">
      <c r="A519" s="129" t="s">
        <v>362</v>
      </c>
      <c r="B519" s="129" t="s">
        <v>363</v>
      </c>
      <c r="C519" s="130">
        <v>45407</v>
      </c>
      <c r="D519" s="129" t="s">
        <v>364</v>
      </c>
      <c r="E519" s="131"/>
      <c r="F519" s="129" t="s">
        <v>365</v>
      </c>
      <c r="G519" s="131"/>
      <c r="H519" s="131">
        <v>-51.89</v>
      </c>
      <c r="I519" s="132">
        <v>-31814.84</v>
      </c>
      <c r="J519" s="133" t="s">
        <v>366</v>
      </c>
      <c r="K519" s="133" t="s">
        <v>367</v>
      </c>
      <c r="L519" s="133" t="s">
        <v>368</v>
      </c>
      <c r="M519" s="133" t="s">
        <v>369</v>
      </c>
      <c r="N519" s="133"/>
      <c r="O519" s="133"/>
    </row>
    <row r="520" spans="1:15">
      <c r="A520" s="124" t="s">
        <v>362</v>
      </c>
      <c r="B520" s="124" t="s">
        <v>363</v>
      </c>
      <c r="C520" s="125">
        <v>45407</v>
      </c>
      <c r="D520" s="124" t="s">
        <v>364</v>
      </c>
      <c r="E520" s="126"/>
      <c r="F520" s="124" t="s">
        <v>365</v>
      </c>
      <c r="G520" s="126"/>
      <c r="H520" s="126">
        <v>239.89</v>
      </c>
      <c r="I520" s="127">
        <v>147081.54999999999</v>
      </c>
      <c r="J520" s="128" t="s">
        <v>366</v>
      </c>
      <c r="K520" s="128" t="s">
        <v>367</v>
      </c>
      <c r="L520" s="128" t="s">
        <v>368</v>
      </c>
      <c r="M520" s="128" t="s">
        <v>369</v>
      </c>
      <c r="N520" s="128"/>
      <c r="O520" s="128"/>
    </row>
    <row r="521" spans="1:15">
      <c r="A521" s="129" t="s">
        <v>362</v>
      </c>
      <c r="B521" s="129" t="s">
        <v>363</v>
      </c>
      <c r="C521" s="130">
        <v>45407</v>
      </c>
      <c r="D521" s="129" t="s">
        <v>364</v>
      </c>
      <c r="E521" s="131"/>
      <c r="F521" s="129" t="s">
        <v>365</v>
      </c>
      <c r="G521" s="131"/>
      <c r="H521" s="131">
        <v>-5901</v>
      </c>
      <c r="I521" s="132">
        <v>-3618025.75</v>
      </c>
      <c r="J521" s="133" t="s">
        <v>366</v>
      </c>
      <c r="K521" s="133" t="s">
        <v>367</v>
      </c>
      <c r="L521" s="133" t="s">
        <v>368</v>
      </c>
      <c r="M521" s="133" t="s">
        <v>369</v>
      </c>
      <c r="N521" s="133"/>
      <c r="O521" s="133"/>
    </row>
    <row r="522" spans="1:15">
      <c r="A522" s="124" t="s">
        <v>362</v>
      </c>
      <c r="B522" s="124" t="s">
        <v>363</v>
      </c>
      <c r="C522" s="125">
        <v>45407</v>
      </c>
      <c r="D522" s="124" t="s">
        <v>364</v>
      </c>
      <c r="E522" s="126"/>
      <c r="F522" s="124" t="s">
        <v>365</v>
      </c>
      <c r="G522" s="126"/>
      <c r="H522" s="126">
        <v>915.59</v>
      </c>
      <c r="I522" s="127">
        <v>561367.26</v>
      </c>
      <c r="J522" s="128" t="s">
        <v>366</v>
      </c>
      <c r="K522" s="128" t="s">
        <v>367</v>
      </c>
      <c r="L522" s="128" t="s">
        <v>368</v>
      </c>
      <c r="M522" s="128" t="s">
        <v>369</v>
      </c>
      <c r="N522" s="128"/>
      <c r="O522" s="128"/>
    </row>
    <row r="523" spans="1:15">
      <c r="A523" s="129" t="s">
        <v>362</v>
      </c>
      <c r="B523" s="129" t="s">
        <v>363</v>
      </c>
      <c r="C523" s="130">
        <v>45407</v>
      </c>
      <c r="D523" s="129" t="s">
        <v>364</v>
      </c>
      <c r="E523" s="131"/>
      <c r="F523" s="129" t="s">
        <v>365</v>
      </c>
      <c r="G523" s="131"/>
      <c r="H523" s="131">
        <v>-10877.52</v>
      </c>
      <c r="I523" s="132">
        <v>-6669233.5999999996</v>
      </c>
      <c r="J523" s="133" t="s">
        <v>366</v>
      </c>
      <c r="K523" s="133" t="s">
        <v>367</v>
      </c>
      <c r="L523" s="133" t="s">
        <v>368</v>
      </c>
      <c r="M523" s="133" t="s">
        <v>369</v>
      </c>
      <c r="N523" s="133"/>
      <c r="O523" s="133"/>
    </row>
    <row r="524" spans="1:15">
      <c r="A524" s="124" t="s">
        <v>362</v>
      </c>
      <c r="B524" s="124" t="s">
        <v>363</v>
      </c>
      <c r="C524" s="125">
        <v>45407</v>
      </c>
      <c r="D524" s="124" t="s">
        <v>364</v>
      </c>
      <c r="E524" s="126"/>
      <c r="F524" s="124" t="s">
        <v>365</v>
      </c>
      <c r="G524" s="126"/>
      <c r="H524" s="126">
        <v>-1360.76</v>
      </c>
      <c r="I524" s="127">
        <v>-834310.24</v>
      </c>
      <c r="J524" s="128" t="s">
        <v>366</v>
      </c>
      <c r="K524" s="128" t="s">
        <v>367</v>
      </c>
      <c r="L524" s="128" t="s">
        <v>368</v>
      </c>
      <c r="M524" s="128" t="s">
        <v>369</v>
      </c>
      <c r="N524" s="128"/>
      <c r="O524" s="128"/>
    </row>
    <row r="525" spans="1:15">
      <c r="A525" s="129" t="s">
        <v>362</v>
      </c>
      <c r="B525" s="129" t="s">
        <v>363</v>
      </c>
      <c r="C525" s="130">
        <v>45407</v>
      </c>
      <c r="D525" s="129" t="s">
        <v>364</v>
      </c>
      <c r="E525" s="131"/>
      <c r="F525" s="129" t="s">
        <v>365</v>
      </c>
      <c r="G525" s="131"/>
      <c r="H525" s="131">
        <v>291.86</v>
      </c>
      <c r="I525" s="132">
        <v>178945.43</v>
      </c>
      <c r="J525" s="133" t="s">
        <v>366</v>
      </c>
      <c r="K525" s="133" t="s">
        <v>367</v>
      </c>
      <c r="L525" s="133" t="s">
        <v>368</v>
      </c>
      <c r="M525" s="133" t="s">
        <v>369</v>
      </c>
      <c r="N525" s="133"/>
      <c r="O525" s="133"/>
    </row>
    <row r="526" spans="1:15">
      <c r="A526" s="124" t="s">
        <v>362</v>
      </c>
      <c r="B526" s="124" t="s">
        <v>363</v>
      </c>
      <c r="C526" s="125">
        <v>45407</v>
      </c>
      <c r="D526" s="124" t="s">
        <v>364</v>
      </c>
      <c r="E526" s="126"/>
      <c r="F526" s="124" t="s">
        <v>365</v>
      </c>
      <c r="G526" s="126"/>
      <c r="H526" s="126">
        <v>818.23</v>
      </c>
      <c r="I526" s="127">
        <v>501673.82</v>
      </c>
      <c r="J526" s="128" t="s">
        <v>366</v>
      </c>
      <c r="K526" s="128" t="s">
        <v>367</v>
      </c>
      <c r="L526" s="128" t="s">
        <v>368</v>
      </c>
      <c r="M526" s="128" t="s">
        <v>369</v>
      </c>
      <c r="N526" s="128"/>
      <c r="O526" s="128"/>
    </row>
    <row r="527" spans="1:15">
      <c r="A527" s="129" t="s">
        <v>362</v>
      </c>
      <c r="B527" s="129" t="s">
        <v>363</v>
      </c>
      <c r="C527" s="130">
        <v>45407</v>
      </c>
      <c r="D527" s="129" t="s">
        <v>364</v>
      </c>
      <c r="E527" s="131"/>
      <c r="F527" s="129" t="s">
        <v>365</v>
      </c>
      <c r="G527" s="131"/>
      <c r="H527" s="131">
        <v>361.52</v>
      </c>
      <c r="I527" s="132">
        <v>221655.43</v>
      </c>
      <c r="J527" s="133" t="s">
        <v>366</v>
      </c>
      <c r="K527" s="133" t="s">
        <v>367</v>
      </c>
      <c r="L527" s="133" t="s">
        <v>368</v>
      </c>
      <c r="M527" s="133" t="s">
        <v>369</v>
      </c>
      <c r="N527" s="133"/>
      <c r="O527" s="133"/>
    </row>
    <row r="528" spans="1:15">
      <c r="A528" s="124" t="s">
        <v>362</v>
      </c>
      <c r="B528" s="124" t="s">
        <v>363</v>
      </c>
      <c r="C528" s="125">
        <v>45407</v>
      </c>
      <c r="D528" s="124" t="s">
        <v>364</v>
      </c>
      <c r="E528" s="126"/>
      <c r="F528" s="124" t="s">
        <v>365</v>
      </c>
      <c r="G528" s="126"/>
      <c r="H528" s="126">
        <v>-8664</v>
      </c>
      <c r="I528" s="127">
        <v>-5312078.4800000004</v>
      </c>
      <c r="J528" s="128" t="s">
        <v>366</v>
      </c>
      <c r="K528" s="128" t="s">
        <v>367</v>
      </c>
      <c r="L528" s="128" t="s">
        <v>368</v>
      </c>
      <c r="M528" s="128" t="s">
        <v>369</v>
      </c>
      <c r="N528" s="128"/>
      <c r="O528" s="128"/>
    </row>
    <row r="529" spans="1:15">
      <c r="A529" s="129" t="s">
        <v>362</v>
      </c>
      <c r="B529" s="129" t="s">
        <v>363</v>
      </c>
      <c r="C529" s="130">
        <v>45407</v>
      </c>
      <c r="D529" s="129" t="s">
        <v>364</v>
      </c>
      <c r="E529" s="131"/>
      <c r="F529" s="129" t="s">
        <v>365</v>
      </c>
      <c r="G529" s="131"/>
      <c r="H529" s="131">
        <v>242.69</v>
      </c>
      <c r="I529" s="132">
        <v>148798.28</v>
      </c>
      <c r="J529" s="133" t="s">
        <v>366</v>
      </c>
      <c r="K529" s="133" t="s">
        <v>367</v>
      </c>
      <c r="L529" s="133" t="s">
        <v>368</v>
      </c>
      <c r="M529" s="133" t="s">
        <v>369</v>
      </c>
      <c r="N529" s="133"/>
      <c r="O529" s="133"/>
    </row>
    <row r="530" spans="1:15">
      <c r="A530" s="124" t="s">
        <v>362</v>
      </c>
      <c r="B530" s="124" t="s">
        <v>363</v>
      </c>
      <c r="C530" s="125">
        <v>45407</v>
      </c>
      <c r="D530" s="124" t="s">
        <v>364</v>
      </c>
      <c r="E530" s="126"/>
      <c r="F530" s="124" t="s">
        <v>365</v>
      </c>
      <c r="G530" s="126"/>
      <c r="H530" s="126">
        <v>731.93</v>
      </c>
      <c r="I530" s="127">
        <v>448761.5</v>
      </c>
      <c r="J530" s="128" t="s">
        <v>366</v>
      </c>
      <c r="K530" s="128" t="s">
        <v>367</v>
      </c>
      <c r="L530" s="128" t="s">
        <v>368</v>
      </c>
      <c r="M530" s="128" t="s">
        <v>369</v>
      </c>
      <c r="N530" s="128"/>
      <c r="O530" s="128"/>
    </row>
    <row r="531" spans="1:15">
      <c r="A531" s="129" t="s">
        <v>362</v>
      </c>
      <c r="B531" s="129" t="s">
        <v>363</v>
      </c>
      <c r="C531" s="130">
        <v>45407</v>
      </c>
      <c r="D531" s="129" t="s">
        <v>364</v>
      </c>
      <c r="E531" s="131"/>
      <c r="F531" s="129" t="s">
        <v>365</v>
      </c>
      <c r="G531" s="131"/>
      <c r="H531" s="131">
        <v>398</v>
      </c>
      <c r="I531" s="132">
        <v>244022.07</v>
      </c>
      <c r="J531" s="133" t="s">
        <v>366</v>
      </c>
      <c r="K531" s="133" t="s">
        <v>367</v>
      </c>
      <c r="L531" s="133" t="s">
        <v>368</v>
      </c>
      <c r="M531" s="133" t="s">
        <v>369</v>
      </c>
      <c r="N531" s="133"/>
      <c r="O531" s="133"/>
    </row>
    <row r="532" spans="1:15">
      <c r="A532" s="124" t="s">
        <v>362</v>
      </c>
      <c r="B532" s="124" t="s">
        <v>363</v>
      </c>
      <c r="C532" s="125">
        <v>45407</v>
      </c>
      <c r="D532" s="124" t="s">
        <v>364</v>
      </c>
      <c r="E532" s="126"/>
      <c r="F532" s="124" t="s">
        <v>365</v>
      </c>
      <c r="G532" s="126"/>
      <c r="H532" s="126">
        <v>381.06</v>
      </c>
      <c r="I532" s="127">
        <v>233635.81</v>
      </c>
      <c r="J532" s="128" t="s">
        <v>366</v>
      </c>
      <c r="K532" s="128" t="s">
        <v>367</v>
      </c>
      <c r="L532" s="128" t="s">
        <v>368</v>
      </c>
      <c r="M532" s="128" t="s">
        <v>369</v>
      </c>
      <c r="N532" s="128"/>
      <c r="O532" s="128"/>
    </row>
    <row r="533" spans="1:15">
      <c r="A533" s="129" t="s">
        <v>362</v>
      </c>
      <c r="B533" s="129" t="s">
        <v>363</v>
      </c>
      <c r="C533" s="130">
        <v>45407</v>
      </c>
      <c r="D533" s="129" t="s">
        <v>364</v>
      </c>
      <c r="E533" s="131"/>
      <c r="F533" s="129" t="s">
        <v>365</v>
      </c>
      <c r="G533" s="131"/>
      <c r="H533" s="131">
        <v>1366.51</v>
      </c>
      <c r="I533" s="132">
        <v>837835.68</v>
      </c>
      <c r="J533" s="133" t="s">
        <v>366</v>
      </c>
      <c r="K533" s="133" t="s">
        <v>367</v>
      </c>
      <c r="L533" s="133" t="s">
        <v>368</v>
      </c>
      <c r="M533" s="133" t="s">
        <v>369</v>
      </c>
      <c r="N533" s="133"/>
      <c r="O533" s="133"/>
    </row>
    <row r="534" spans="1:15">
      <c r="A534" s="124" t="s">
        <v>362</v>
      </c>
      <c r="B534" s="124" t="s">
        <v>363</v>
      </c>
      <c r="C534" s="125">
        <v>45407</v>
      </c>
      <c r="D534" s="124" t="s">
        <v>364</v>
      </c>
      <c r="E534" s="126"/>
      <c r="F534" s="124" t="s">
        <v>365</v>
      </c>
      <c r="G534" s="126"/>
      <c r="H534" s="126">
        <v>162.29</v>
      </c>
      <c r="I534" s="127">
        <v>99503.37</v>
      </c>
      <c r="J534" s="128" t="s">
        <v>366</v>
      </c>
      <c r="K534" s="128" t="s">
        <v>367</v>
      </c>
      <c r="L534" s="128" t="s">
        <v>368</v>
      </c>
      <c r="M534" s="128" t="s">
        <v>369</v>
      </c>
      <c r="N534" s="128"/>
      <c r="O534" s="128"/>
    </row>
    <row r="535" spans="1:15">
      <c r="A535" s="129" t="s">
        <v>362</v>
      </c>
      <c r="B535" s="129" t="s">
        <v>363</v>
      </c>
      <c r="C535" s="130">
        <v>45407</v>
      </c>
      <c r="D535" s="129" t="s">
        <v>364</v>
      </c>
      <c r="E535" s="131"/>
      <c r="F535" s="129" t="s">
        <v>365</v>
      </c>
      <c r="G535" s="131"/>
      <c r="H535" s="131">
        <v>458.21</v>
      </c>
      <c r="I535" s="132">
        <v>280938.07</v>
      </c>
      <c r="J535" s="133" t="s">
        <v>366</v>
      </c>
      <c r="K535" s="133" t="s">
        <v>367</v>
      </c>
      <c r="L535" s="133" t="s">
        <v>368</v>
      </c>
      <c r="M535" s="133" t="s">
        <v>369</v>
      </c>
      <c r="N535" s="133"/>
      <c r="O535" s="133"/>
    </row>
    <row r="536" spans="1:15">
      <c r="A536" s="124" t="s">
        <v>362</v>
      </c>
      <c r="B536" s="124" t="s">
        <v>363</v>
      </c>
      <c r="C536" s="125">
        <v>45407</v>
      </c>
      <c r="D536" s="124" t="s">
        <v>364</v>
      </c>
      <c r="E536" s="126"/>
      <c r="F536" s="124" t="s">
        <v>365</v>
      </c>
      <c r="G536" s="126"/>
      <c r="H536" s="126">
        <v>241.89</v>
      </c>
      <c r="I536" s="127">
        <v>148307.79</v>
      </c>
      <c r="J536" s="128" t="s">
        <v>366</v>
      </c>
      <c r="K536" s="128" t="s">
        <v>367</v>
      </c>
      <c r="L536" s="128" t="s">
        <v>368</v>
      </c>
      <c r="M536" s="128" t="s">
        <v>369</v>
      </c>
      <c r="N536" s="128"/>
      <c r="O536" s="128"/>
    </row>
    <row r="537" spans="1:15">
      <c r="A537" s="129" t="s">
        <v>362</v>
      </c>
      <c r="B537" s="129" t="s">
        <v>363</v>
      </c>
      <c r="C537" s="130">
        <v>45407</v>
      </c>
      <c r="D537" s="129" t="s">
        <v>364</v>
      </c>
      <c r="E537" s="131"/>
      <c r="F537" s="129" t="s">
        <v>365</v>
      </c>
      <c r="G537" s="131"/>
      <c r="H537" s="131">
        <v>651.32000000000005</v>
      </c>
      <c r="I537" s="132">
        <v>399337.83</v>
      </c>
      <c r="J537" s="133" t="s">
        <v>366</v>
      </c>
      <c r="K537" s="133" t="s">
        <v>367</v>
      </c>
      <c r="L537" s="133" t="s">
        <v>368</v>
      </c>
      <c r="M537" s="133" t="s">
        <v>369</v>
      </c>
      <c r="N537" s="133"/>
      <c r="O537" s="133"/>
    </row>
    <row r="538" spans="1:15">
      <c r="A538" s="124" t="s">
        <v>362</v>
      </c>
      <c r="B538" s="124" t="s">
        <v>363</v>
      </c>
      <c r="C538" s="125">
        <v>45407</v>
      </c>
      <c r="D538" s="124" t="s">
        <v>364</v>
      </c>
      <c r="E538" s="126"/>
      <c r="F538" s="124" t="s">
        <v>365</v>
      </c>
      <c r="G538" s="126"/>
      <c r="H538" s="126">
        <v>-2981.85</v>
      </c>
      <c r="I538" s="127">
        <v>-1828234.21</v>
      </c>
      <c r="J538" s="128" t="s">
        <v>366</v>
      </c>
      <c r="K538" s="128" t="s">
        <v>367</v>
      </c>
      <c r="L538" s="128" t="s">
        <v>368</v>
      </c>
      <c r="M538" s="128" t="s">
        <v>369</v>
      </c>
      <c r="N538" s="128"/>
      <c r="O538" s="128"/>
    </row>
    <row r="539" spans="1:15">
      <c r="A539" s="129" t="s">
        <v>362</v>
      </c>
      <c r="B539" s="129" t="s">
        <v>363</v>
      </c>
      <c r="C539" s="130">
        <v>45407</v>
      </c>
      <c r="D539" s="129" t="s">
        <v>364</v>
      </c>
      <c r="E539" s="131"/>
      <c r="F539" s="129" t="s">
        <v>365</v>
      </c>
      <c r="G539" s="131"/>
      <c r="H539" s="131">
        <v>447.1</v>
      </c>
      <c r="I539" s="132">
        <v>274126.3</v>
      </c>
      <c r="J539" s="133" t="s">
        <v>366</v>
      </c>
      <c r="K539" s="133" t="s">
        <v>367</v>
      </c>
      <c r="L539" s="133" t="s">
        <v>368</v>
      </c>
      <c r="M539" s="133" t="s">
        <v>369</v>
      </c>
      <c r="N539" s="133"/>
      <c r="O539" s="133"/>
    </row>
    <row r="540" spans="1:15">
      <c r="A540" s="124" t="s">
        <v>362</v>
      </c>
      <c r="B540" s="124" t="s">
        <v>363</v>
      </c>
      <c r="C540" s="125">
        <v>45407</v>
      </c>
      <c r="D540" s="124" t="s">
        <v>364</v>
      </c>
      <c r="E540" s="126"/>
      <c r="F540" s="124" t="s">
        <v>365</v>
      </c>
      <c r="G540" s="126"/>
      <c r="H540" s="126">
        <v>887</v>
      </c>
      <c r="I540" s="127">
        <v>543838.14</v>
      </c>
      <c r="J540" s="128" t="s">
        <v>366</v>
      </c>
      <c r="K540" s="128" t="s">
        <v>367</v>
      </c>
      <c r="L540" s="128" t="s">
        <v>368</v>
      </c>
      <c r="M540" s="128" t="s">
        <v>369</v>
      </c>
      <c r="N540" s="128"/>
      <c r="O540" s="128"/>
    </row>
    <row r="541" spans="1:15">
      <c r="A541" s="129" t="s">
        <v>362</v>
      </c>
      <c r="B541" s="129" t="s">
        <v>363</v>
      </c>
      <c r="C541" s="130">
        <v>45407</v>
      </c>
      <c r="D541" s="129" t="s">
        <v>364</v>
      </c>
      <c r="E541" s="131"/>
      <c r="F541" s="129" t="s">
        <v>365</v>
      </c>
      <c r="G541" s="131"/>
      <c r="H541" s="131">
        <v>1712.59</v>
      </c>
      <c r="I541" s="132">
        <v>1050024.52</v>
      </c>
      <c r="J541" s="133" t="s">
        <v>366</v>
      </c>
      <c r="K541" s="133" t="s">
        <v>367</v>
      </c>
      <c r="L541" s="133" t="s">
        <v>368</v>
      </c>
      <c r="M541" s="133" t="s">
        <v>369</v>
      </c>
      <c r="N541" s="133"/>
      <c r="O541" s="133"/>
    </row>
    <row r="542" spans="1:15">
      <c r="A542" s="124" t="s">
        <v>362</v>
      </c>
      <c r="B542" s="124" t="s">
        <v>363</v>
      </c>
      <c r="C542" s="125">
        <v>45407</v>
      </c>
      <c r="D542" s="124" t="s">
        <v>364</v>
      </c>
      <c r="E542" s="126"/>
      <c r="F542" s="124" t="s">
        <v>365</v>
      </c>
      <c r="G542" s="126"/>
      <c r="H542" s="126">
        <v>653.67999999999995</v>
      </c>
      <c r="I542" s="127">
        <v>400784.79</v>
      </c>
      <c r="J542" s="128" t="s">
        <v>366</v>
      </c>
      <c r="K542" s="128" t="s">
        <v>367</v>
      </c>
      <c r="L542" s="128" t="s">
        <v>368</v>
      </c>
      <c r="M542" s="128" t="s">
        <v>369</v>
      </c>
      <c r="N542" s="128"/>
      <c r="O542" s="128"/>
    </row>
    <row r="543" spans="1:15">
      <c r="A543" s="129" t="s">
        <v>362</v>
      </c>
      <c r="B543" s="129" t="s">
        <v>363</v>
      </c>
      <c r="C543" s="130">
        <v>45407</v>
      </c>
      <c r="D543" s="129" t="s">
        <v>364</v>
      </c>
      <c r="E543" s="131"/>
      <c r="F543" s="129" t="s">
        <v>365</v>
      </c>
      <c r="G543" s="131"/>
      <c r="H543" s="131">
        <v>6805.82</v>
      </c>
      <c r="I543" s="132">
        <v>4172789.7</v>
      </c>
      <c r="J543" s="133" t="s">
        <v>366</v>
      </c>
      <c r="K543" s="133" t="s">
        <v>367</v>
      </c>
      <c r="L543" s="133" t="s">
        <v>368</v>
      </c>
      <c r="M543" s="133" t="s">
        <v>369</v>
      </c>
      <c r="N543" s="133"/>
      <c r="O543" s="133"/>
    </row>
    <row r="544" spans="1:15">
      <c r="A544" s="124" t="s">
        <v>362</v>
      </c>
      <c r="B544" s="124" t="s">
        <v>363</v>
      </c>
      <c r="C544" s="125">
        <v>45407</v>
      </c>
      <c r="D544" s="124" t="s">
        <v>364</v>
      </c>
      <c r="E544" s="126"/>
      <c r="F544" s="124" t="s">
        <v>365</v>
      </c>
      <c r="G544" s="126"/>
      <c r="H544" s="126">
        <v>79.84</v>
      </c>
      <c r="I544" s="127">
        <v>48951.56</v>
      </c>
      <c r="J544" s="128" t="s">
        <v>366</v>
      </c>
      <c r="K544" s="128" t="s">
        <v>367</v>
      </c>
      <c r="L544" s="128" t="s">
        <v>368</v>
      </c>
      <c r="M544" s="128" t="s">
        <v>369</v>
      </c>
      <c r="N544" s="128"/>
      <c r="O544" s="128"/>
    </row>
    <row r="545" spans="1:15">
      <c r="A545" s="129" t="s">
        <v>362</v>
      </c>
      <c r="B545" s="129" t="s">
        <v>363</v>
      </c>
      <c r="C545" s="130">
        <v>45407</v>
      </c>
      <c r="D545" s="129" t="s">
        <v>364</v>
      </c>
      <c r="E545" s="131"/>
      <c r="F545" s="129" t="s">
        <v>365</v>
      </c>
      <c r="G545" s="131"/>
      <c r="H545" s="131">
        <v>8784.52</v>
      </c>
      <c r="I545" s="132">
        <v>5385971.7999999998</v>
      </c>
      <c r="J545" s="133" t="s">
        <v>366</v>
      </c>
      <c r="K545" s="133" t="s">
        <v>367</v>
      </c>
      <c r="L545" s="133" t="s">
        <v>368</v>
      </c>
      <c r="M545" s="133" t="s">
        <v>369</v>
      </c>
      <c r="N545" s="133"/>
      <c r="O545" s="133"/>
    </row>
    <row r="546" spans="1:15">
      <c r="A546" s="124" t="s">
        <v>362</v>
      </c>
      <c r="B546" s="124" t="s">
        <v>363</v>
      </c>
      <c r="C546" s="125">
        <v>45407</v>
      </c>
      <c r="D546" s="124" t="s">
        <v>364</v>
      </c>
      <c r="E546" s="126"/>
      <c r="F546" s="124" t="s">
        <v>365</v>
      </c>
      <c r="G546" s="126"/>
      <c r="H546" s="126">
        <v>-217.54</v>
      </c>
      <c r="I546" s="127">
        <v>-133378.29999999999</v>
      </c>
      <c r="J546" s="128" t="s">
        <v>366</v>
      </c>
      <c r="K546" s="128" t="s">
        <v>367</v>
      </c>
      <c r="L546" s="128" t="s">
        <v>368</v>
      </c>
      <c r="M546" s="128" t="s">
        <v>369</v>
      </c>
      <c r="N546" s="128"/>
      <c r="O546" s="128"/>
    </row>
    <row r="547" spans="1:15">
      <c r="A547" s="129" t="s">
        <v>362</v>
      </c>
      <c r="B547" s="129" t="s">
        <v>363</v>
      </c>
      <c r="C547" s="130">
        <v>45407</v>
      </c>
      <c r="D547" s="129" t="s">
        <v>364</v>
      </c>
      <c r="E547" s="131"/>
      <c r="F547" s="129" t="s">
        <v>365</v>
      </c>
      <c r="G547" s="131"/>
      <c r="H547" s="131">
        <v>658.8</v>
      </c>
      <c r="I547" s="132">
        <v>403923.97</v>
      </c>
      <c r="J547" s="133" t="s">
        <v>366</v>
      </c>
      <c r="K547" s="133" t="s">
        <v>367</v>
      </c>
      <c r="L547" s="133" t="s">
        <v>368</v>
      </c>
      <c r="M547" s="133" t="s">
        <v>369</v>
      </c>
      <c r="N547" s="133"/>
      <c r="O547" s="133"/>
    </row>
    <row r="548" spans="1:15">
      <c r="A548" s="124" t="s">
        <v>362</v>
      </c>
      <c r="B548" s="124" t="s">
        <v>363</v>
      </c>
      <c r="C548" s="125">
        <v>45407</v>
      </c>
      <c r="D548" s="124" t="s">
        <v>364</v>
      </c>
      <c r="E548" s="126"/>
      <c r="F548" s="124" t="s">
        <v>365</v>
      </c>
      <c r="G548" s="126"/>
      <c r="H548" s="126">
        <v>-569.74</v>
      </c>
      <c r="I548" s="127">
        <v>-349319.44</v>
      </c>
      <c r="J548" s="128" t="s">
        <v>366</v>
      </c>
      <c r="K548" s="128" t="s">
        <v>367</v>
      </c>
      <c r="L548" s="128" t="s">
        <v>368</v>
      </c>
      <c r="M548" s="128" t="s">
        <v>369</v>
      </c>
      <c r="N548" s="128"/>
      <c r="O548" s="128"/>
    </row>
    <row r="549" spans="1:15">
      <c r="A549" s="129" t="s">
        <v>362</v>
      </c>
      <c r="B549" s="129" t="s">
        <v>363</v>
      </c>
      <c r="C549" s="130">
        <v>45407</v>
      </c>
      <c r="D549" s="129" t="s">
        <v>364</v>
      </c>
      <c r="E549" s="131"/>
      <c r="F549" s="129" t="s">
        <v>365</v>
      </c>
      <c r="G549" s="131"/>
      <c r="H549" s="131">
        <v>586.66999999999996</v>
      </c>
      <c r="I549" s="132">
        <v>359699.57</v>
      </c>
      <c r="J549" s="133" t="s">
        <v>366</v>
      </c>
      <c r="K549" s="133" t="s">
        <v>367</v>
      </c>
      <c r="L549" s="133" t="s">
        <v>368</v>
      </c>
      <c r="M549" s="133" t="s">
        <v>369</v>
      </c>
      <c r="N549" s="133"/>
      <c r="O549" s="133"/>
    </row>
    <row r="550" spans="1:15">
      <c r="A550" s="124" t="s">
        <v>362</v>
      </c>
      <c r="B550" s="124" t="s">
        <v>363</v>
      </c>
      <c r="C550" s="125">
        <v>45407</v>
      </c>
      <c r="D550" s="124" t="s">
        <v>364</v>
      </c>
      <c r="E550" s="126"/>
      <c r="F550" s="124" t="s">
        <v>365</v>
      </c>
      <c r="G550" s="126"/>
      <c r="H550" s="126">
        <v>513.61</v>
      </c>
      <c r="I550" s="127">
        <v>314904.96999999997</v>
      </c>
      <c r="J550" s="128" t="s">
        <v>366</v>
      </c>
      <c r="K550" s="128" t="s">
        <v>367</v>
      </c>
      <c r="L550" s="128" t="s">
        <v>368</v>
      </c>
      <c r="M550" s="128" t="s">
        <v>369</v>
      </c>
      <c r="N550" s="128"/>
      <c r="O550" s="128"/>
    </row>
    <row r="551" spans="1:15">
      <c r="A551" s="129" t="s">
        <v>362</v>
      </c>
      <c r="B551" s="129" t="s">
        <v>363</v>
      </c>
      <c r="C551" s="130">
        <v>45407</v>
      </c>
      <c r="D551" s="129" t="s">
        <v>364</v>
      </c>
      <c r="E551" s="131"/>
      <c r="F551" s="129" t="s">
        <v>365</v>
      </c>
      <c r="G551" s="131"/>
      <c r="H551" s="131">
        <v>1003.84</v>
      </c>
      <c r="I551" s="132">
        <v>615475.17000000004</v>
      </c>
      <c r="J551" s="133" t="s">
        <v>366</v>
      </c>
      <c r="K551" s="133" t="s">
        <v>367</v>
      </c>
      <c r="L551" s="133" t="s">
        <v>368</v>
      </c>
      <c r="M551" s="133" t="s">
        <v>369</v>
      </c>
      <c r="N551" s="133"/>
      <c r="O551" s="133"/>
    </row>
    <row r="552" spans="1:15">
      <c r="A552" s="124" t="s">
        <v>362</v>
      </c>
      <c r="B552" s="124" t="s">
        <v>363</v>
      </c>
      <c r="C552" s="125">
        <v>45407</v>
      </c>
      <c r="D552" s="124" t="s">
        <v>364</v>
      </c>
      <c r="E552" s="126"/>
      <c r="F552" s="124" t="s">
        <v>365</v>
      </c>
      <c r="G552" s="126"/>
      <c r="H552" s="126">
        <v>846.27</v>
      </c>
      <c r="I552" s="127">
        <v>518865.73</v>
      </c>
      <c r="J552" s="128" t="s">
        <v>366</v>
      </c>
      <c r="K552" s="128" t="s">
        <v>367</v>
      </c>
      <c r="L552" s="128" t="s">
        <v>368</v>
      </c>
      <c r="M552" s="128" t="s">
        <v>369</v>
      </c>
      <c r="N552" s="128"/>
      <c r="O552" s="128"/>
    </row>
    <row r="553" spans="1:15">
      <c r="A553" s="129" t="s">
        <v>362</v>
      </c>
      <c r="B553" s="129" t="s">
        <v>363</v>
      </c>
      <c r="C553" s="130">
        <v>45407</v>
      </c>
      <c r="D553" s="129" t="s">
        <v>364</v>
      </c>
      <c r="E553" s="131"/>
      <c r="F553" s="129" t="s">
        <v>365</v>
      </c>
      <c r="G553" s="131"/>
      <c r="H553" s="131">
        <v>659.72</v>
      </c>
      <c r="I553" s="132">
        <v>404488.04</v>
      </c>
      <c r="J553" s="133" t="s">
        <v>366</v>
      </c>
      <c r="K553" s="133" t="s">
        <v>367</v>
      </c>
      <c r="L553" s="133" t="s">
        <v>368</v>
      </c>
      <c r="M553" s="133" t="s">
        <v>369</v>
      </c>
      <c r="N553" s="133"/>
      <c r="O553" s="133"/>
    </row>
    <row r="554" spans="1:15">
      <c r="A554" s="124" t="s">
        <v>362</v>
      </c>
      <c r="B554" s="124" t="s">
        <v>363</v>
      </c>
      <c r="C554" s="125">
        <v>45407</v>
      </c>
      <c r="D554" s="124" t="s">
        <v>364</v>
      </c>
      <c r="E554" s="126"/>
      <c r="F554" s="124" t="s">
        <v>365</v>
      </c>
      <c r="G554" s="126"/>
      <c r="H554" s="126">
        <v>511.43</v>
      </c>
      <c r="I554" s="127">
        <v>313568.36</v>
      </c>
      <c r="J554" s="128" t="s">
        <v>366</v>
      </c>
      <c r="K554" s="128" t="s">
        <v>367</v>
      </c>
      <c r="L554" s="128" t="s">
        <v>368</v>
      </c>
      <c r="M554" s="128" t="s">
        <v>369</v>
      </c>
      <c r="N554" s="128"/>
      <c r="O554" s="128"/>
    </row>
    <row r="555" spans="1:15">
      <c r="A555" s="129" t="s">
        <v>362</v>
      </c>
      <c r="B555" s="129" t="s">
        <v>363</v>
      </c>
      <c r="C555" s="130">
        <v>45407</v>
      </c>
      <c r="D555" s="129" t="s">
        <v>364</v>
      </c>
      <c r="E555" s="131"/>
      <c r="F555" s="129" t="s">
        <v>365</v>
      </c>
      <c r="G555" s="131"/>
      <c r="H555" s="131">
        <v>1824.2</v>
      </c>
      <c r="I555" s="132">
        <v>1118454.94</v>
      </c>
      <c r="J555" s="133" t="s">
        <v>366</v>
      </c>
      <c r="K555" s="133" t="s">
        <v>367</v>
      </c>
      <c r="L555" s="133" t="s">
        <v>368</v>
      </c>
      <c r="M555" s="133" t="s">
        <v>369</v>
      </c>
      <c r="N555" s="133"/>
      <c r="O555" s="133"/>
    </row>
    <row r="556" spans="1:15">
      <c r="A556" s="124" t="s">
        <v>362</v>
      </c>
      <c r="B556" s="124" t="s">
        <v>363</v>
      </c>
      <c r="C556" s="125">
        <v>45407</v>
      </c>
      <c r="D556" s="124" t="s">
        <v>364</v>
      </c>
      <c r="E556" s="126"/>
      <c r="F556" s="124" t="s">
        <v>365</v>
      </c>
      <c r="G556" s="126"/>
      <c r="H556" s="126">
        <v>-16444.990000000002</v>
      </c>
      <c r="I556" s="127">
        <v>-10082765.17</v>
      </c>
      <c r="J556" s="128" t="s">
        <v>366</v>
      </c>
      <c r="K556" s="128" t="s">
        <v>367</v>
      </c>
      <c r="L556" s="128" t="s">
        <v>368</v>
      </c>
      <c r="M556" s="128" t="s">
        <v>369</v>
      </c>
      <c r="N556" s="128"/>
      <c r="O556" s="128"/>
    </row>
    <row r="557" spans="1:15">
      <c r="A557" s="129" t="s">
        <v>362</v>
      </c>
      <c r="B557" s="129" t="s">
        <v>363</v>
      </c>
      <c r="C557" s="130">
        <v>45407</v>
      </c>
      <c r="D557" s="129" t="s">
        <v>364</v>
      </c>
      <c r="E557" s="131"/>
      <c r="F557" s="129" t="s">
        <v>365</v>
      </c>
      <c r="G557" s="131"/>
      <c r="H557" s="131">
        <v>-687.26</v>
      </c>
      <c r="I557" s="132">
        <v>-421373.39</v>
      </c>
      <c r="J557" s="133" t="s">
        <v>366</v>
      </c>
      <c r="K557" s="133" t="s">
        <v>367</v>
      </c>
      <c r="L557" s="133" t="s">
        <v>368</v>
      </c>
      <c r="M557" s="133" t="s">
        <v>369</v>
      </c>
      <c r="N557" s="133"/>
      <c r="O557" s="133"/>
    </row>
    <row r="558" spans="1:15">
      <c r="A558" s="124" t="s">
        <v>362</v>
      </c>
      <c r="B558" s="124" t="s">
        <v>363</v>
      </c>
      <c r="C558" s="125">
        <v>45407</v>
      </c>
      <c r="D558" s="124" t="s">
        <v>364</v>
      </c>
      <c r="E558" s="126"/>
      <c r="F558" s="124" t="s">
        <v>365</v>
      </c>
      <c r="G558" s="126"/>
      <c r="H558" s="126">
        <v>-565.19000000000005</v>
      </c>
      <c r="I558" s="127">
        <v>-346529.74</v>
      </c>
      <c r="J558" s="128" t="s">
        <v>366</v>
      </c>
      <c r="K558" s="128" t="s">
        <v>367</v>
      </c>
      <c r="L558" s="128" t="s">
        <v>368</v>
      </c>
      <c r="M558" s="128" t="s">
        <v>369</v>
      </c>
      <c r="N558" s="128"/>
      <c r="O558" s="128"/>
    </row>
    <row r="559" spans="1:15">
      <c r="A559" s="129" t="s">
        <v>362</v>
      </c>
      <c r="B559" s="129" t="s">
        <v>363</v>
      </c>
      <c r="C559" s="130">
        <v>45407</v>
      </c>
      <c r="D559" s="129" t="s">
        <v>364</v>
      </c>
      <c r="E559" s="131"/>
      <c r="F559" s="129" t="s">
        <v>365</v>
      </c>
      <c r="G559" s="131"/>
      <c r="H559" s="131">
        <v>-19231.41</v>
      </c>
      <c r="I559" s="132">
        <v>-11791177.189999999</v>
      </c>
      <c r="J559" s="133" t="s">
        <v>366</v>
      </c>
      <c r="K559" s="133" t="s">
        <v>367</v>
      </c>
      <c r="L559" s="133" t="s">
        <v>368</v>
      </c>
      <c r="M559" s="133" t="s">
        <v>369</v>
      </c>
      <c r="N559" s="133"/>
      <c r="O559" s="133"/>
    </row>
    <row r="560" spans="1:15">
      <c r="A560" s="124" t="s">
        <v>362</v>
      </c>
      <c r="B560" s="124" t="s">
        <v>363</v>
      </c>
      <c r="C560" s="125">
        <v>45407</v>
      </c>
      <c r="D560" s="124" t="s">
        <v>364</v>
      </c>
      <c r="E560" s="126"/>
      <c r="F560" s="124" t="s">
        <v>365</v>
      </c>
      <c r="G560" s="126"/>
      <c r="H560" s="126">
        <v>-83.94</v>
      </c>
      <c r="I560" s="127">
        <v>-51465.36</v>
      </c>
      <c r="J560" s="128" t="s">
        <v>366</v>
      </c>
      <c r="K560" s="128" t="s">
        <v>367</v>
      </c>
      <c r="L560" s="128" t="s">
        <v>368</v>
      </c>
      <c r="M560" s="128" t="s">
        <v>369</v>
      </c>
      <c r="N560" s="128"/>
      <c r="O560" s="128"/>
    </row>
    <row r="561" spans="1:15">
      <c r="A561" s="129" t="s">
        <v>362</v>
      </c>
      <c r="B561" s="129" t="s">
        <v>363</v>
      </c>
      <c r="C561" s="130">
        <v>45407</v>
      </c>
      <c r="D561" s="129" t="s">
        <v>364</v>
      </c>
      <c r="E561" s="131"/>
      <c r="F561" s="129" t="s">
        <v>365</v>
      </c>
      <c r="G561" s="131"/>
      <c r="H561" s="131">
        <v>-1011.17</v>
      </c>
      <c r="I561" s="132">
        <v>-619969.34</v>
      </c>
      <c r="J561" s="133" t="s">
        <v>366</v>
      </c>
      <c r="K561" s="133" t="s">
        <v>367</v>
      </c>
      <c r="L561" s="133" t="s">
        <v>368</v>
      </c>
      <c r="M561" s="133" t="s">
        <v>369</v>
      </c>
      <c r="N561" s="133"/>
      <c r="O561" s="133"/>
    </row>
    <row r="562" spans="1:15">
      <c r="A562" s="124" t="s">
        <v>362</v>
      </c>
      <c r="B562" s="124" t="s">
        <v>363</v>
      </c>
      <c r="C562" s="125">
        <v>45407</v>
      </c>
      <c r="D562" s="124" t="s">
        <v>364</v>
      </c>
      <c r="E562" s="126"/>
      <c r="F562" s="124" t="s">
        <v>365</v>
      </c>
      <c r="G562" s="126"/>
      <c r="H562" s="126">
        <v>-5135</v>
      </c>
      <c r="I562" s="127">
        <v>-3148375.23</v>
      </c>
      <c r="J562" s="128" t="s">
        <v>366</v>
      </c>
      <c r="K562" s="128" t="s">
        <v>367</v>
      </c>
      <c r="L562" s="128" t="s">
        <v>368</v>
      </c>
      <c r="M562" s="128" t="s">
        <v>369</v>
      </c>
      <c r="N562" s="128"/>
      <c r="O562" s="128"/>
    </row>
    <row r="563" spans="1:15">
      <c r="A563" s="129" t="s">
        <v>362</v>
      </c>
      <c r="B563" s="129" t="s">
        <v>363</v>
      </c>
      <c r="C563" s="130">
        <v>45407</v>
      </c>
      <c r="D563" s="129" t="s">
        <v>364</v>
      </c>
      <c r="E563" s="131"/>
      <c r="F563" s="129" t="s">
        <v>365</v>
      </c>
      <c r="G563" s="131"/>
      <c r="H563" s="131">
        <v>-19225.32</v>
      </c>
      <c r="I563" s="132">
        <v>-11787443.289999999</v>
      </c>
      <c r="J563" s="133" t="s">
        <v>366</v>
      </c>
      <c r="K563" s="133" t="s">
        <v>367</v>
      </c>
      <c r="L563" s="133" t="s">
        <v>368</v>
      </c>
      <c r="M563" s="133" t="s">
        <v>369</v>
      </c>
      <c r="N563" s="133"/>
      <c r="O563" s="133"/>
    </row>
    <row r="564" spans="1:15">
      <c r="A564" s="124" t="s">
        <v>362</v>
      </c>
      <c r="B564" s="124" t="s">
        <v>363</v>
      </c>
      <c r="C564" s="125">
        <v>45407</v>
      </c>
      <c r="D564" s="124" t="s">
        <v>364</v>
      </c>
      <c r="E564" s="126"/>
      <c r="F564" s="124" t="s">
        <v>365</v>
      </c>
      <c r="G564" s="126"/>
      <c r="H564" s="126">
        <v>-44882.13</v>
      </c>
      <c r="I564" s="127">
        <v>-27518166.77</v>
      </c>
      <c r="J564" s="128" t="s">
        <v>366</v>
      </c>
      <c r="K564" s="128" t="s">
        <v>367</v>
      </c>
      <c r="L564" s="128" t="s">
        <v>368</v>
      </c>
      <c r="M564" s="128" t="s">
        <v>369</v>
      </c>
      <c r="N564" s="128"/>
      <c r="O564" s="128"/>
    </row>
    <row r="565" spans="1:15">
      <c r="A565" s="129" t="s">
        <v>362</v>
      </c>
      <c r="B565" s="129" t="s">
        <v>363</v>
      </c>
      <c r="C565" s="130">
        <v>45407</v>
      </c>
      <c r="D565" s="129" t="s">
        <v>364</v>
      </c>
      <c r="E565" s="131"/>
      <c r="F565" s="129" t="s">
        <v>365</v>
      </c>
      <c r="G565" s="131"/>
      <c r="H565" s="131">
        <v>-29914.26</v>
      </c>
      <c r="I565" s="132">
        <v>-18341054.57</v>
      </c>
      <c r="J565" s="133" t="s">
        <v>366</v>
      </c>
      <c r="K565" s="133" t="s">
        <v>367</v>
      </c>
      <c r="L565" s="133" t="s">
        <v>368</v>
      </c>
      <c r="M565" s="133" t="s">
        <v>369</v>
      </c>
      <c r="N565" s="133"/>
      <c r="O565" s="133"/>
    </row>
    <row r="566" spans="1:15">
      <c r="A566" s="124" t="s">
        <v>362</v>
      </c>
      <c r="B566" s="124" t="s">
        <v>363</v>
      </c>
      <c r="C566" s="125">
        <v>45407</v>
      </c>
      <c r="D566" s="124" t="s">
        <v>364</v>
      </c>
      <c r="E566" s="126"/>
      <c r="F566" s="124" t="s">
        <v>365</v>
      </c>
      <c r="G566" s="126"/>
      <c r="H566" s="126">
        <v>-96267.07</v>
      </c>
      <c r="I566" s="127">
        <v>-59023341.509999998</v>
      </c>
      <c r="J566" s="128" t="s">
        <v>366</v>
      </c>
      <c r="K566" s="128" t="s">
        <v>367</v>
      </c>
      <c r="L566" s="128" t="s">
        <v>368</v>
      </c>
      <c r="M566" s="128" t="s">
        <v>369</v>
      </c>
      <c r="N566" s="128"/>
      <c r="O566" s="128"/>
    </row>
    <row r="567" spans="1:15">
      <c r="A567" s="129" t="s">
        <v>362</v>
      </c>
      <c r="B567" s="129" t="s">
        <v>363</v>
      </c>
      <c r="C567" s="130">
        <v>45407</v>
      </c>
      <c r="D567" s="129" t="s">
        <v>364</v>
      </c>
      <c r="E567" s="131"/>
      <c r="F567" s="129" t="s">
        <v>365</v>
      </c>
      <c r="G567" s="131"/>
      <c r="H567" s="131">
        <v>-296.51</v>
      </c>
      <c r="I567" s="132">
        <v>-181796.44</v>
      </c>
      <c r="J567" s="133" t="s">
        <v>366</v>
      </c>
      <c r="K567" s="133" t="s">
        <v>367</v>
      </c>
      <c r="L567" s="133" t="s">
        <v>368</v>
      </c>
      <c r="M567" s="133" t="s">
        <v>369</v>
      </c>
      <c r="N567" s="133"/>
      <c r="O567" s="133"/>
    </row>
    <row r="568" spans="1:15">
      <c r="A568" s="124" t="s">
        <v>362</v>
      </c>
      <c r="B568" s="124" t="s">
        <v>363</v>
      </c>
      <c r="C568" s="125">
        <v>45407</v>
      </c>
      <c r="D568" s="124" t="s">
        <v>364</v>
      </c>
      <c r="E568" s="126"/>
      <c r="F568" s="124" t="s">
        <v>365</v>
      </c>
      <c r="G568" s="126"/>
      <c r="H568" s="126">
        <v>-147.88999999999999</v>
      </c>
      <c r="I568" s="127">
        <v>-90674.43</v>
      </c>
      <c r="J568" s="128" t="s">
        <v>366</v>
      </c>
      <c r="K568" s="128" t="s">
        <v>367</v>
      </c>
      <c r="L568" s="128" t="s">
        <v>368</v>
      </c>
      <c r="M568" s="128" t="s">
        <v>369</v>
      </c>
      <c r="N568" s="128"/>
      <c r="O568" s="128"/>
    </row>
    <row r="569" spans="1:15">
      <c r="A569" s="129" t="s">
        <v>362</v>
      </c>
      <c r="B569" s="129" t="s">
        <v>363</v>
      </c>
      <c r="C569" s="130">
        <v>45407</v>
      </c>
      <c r="D569" s="129" t="s">
        <v>364</v>
      </c>
      <c r="E569" s="131"/>
      <c r="F569" s="129" t="s">
        <v>365</v>
      </c>
      <c r="G569" s="131"/>
      <c r="H569" s="131">
        <v>-292.99</v>
      </c>
      <c r="I569" s="132">
        <v>-179638.26</v>
      </c>
      <c r="J569" s="133" t="s">
        <v>366</v>
      </c>
      <c r="K569" s="133" t="s">
        <v>367</v>
      </c>
      <c r="L569" s="133" t="s">
        <v>368</v>
      </c>
      <c r="M569" s="133" t="s">
        <v>369</v>
      </c>
      <c r="N569" s="133"/>
      <c r="O569" s="133"/>
    </row>
    <row r="570" spans="1:15">
      <c r="A570" s="124" t="s">
        <v>362</v>
      </c>
      <c r="B570" s="124" t="s">
        <v>363</v>
      </c>
      <c r="C570" s="125">
        <v>45407</v>
      </c>
      <c r="D570" s="124" t="s">
        <v>364</v>
      </c>
      <c r="E570" s="126"/>
      <c r="F570" s="124" t="s">
        <v>365</v>
      </c>
      <c r="G570" s="126"/>
      <c r="H570" s="126">
        <v>-189.31</v>
      </c>
      <c r="I570" s="127">
        <v>-116069.9</v>
      </c>
      <c r="J570" s="128" t="s">
        <v>366</v>
      </c>
      <c r="K570" s="128" t="s">
        <v>367</v>
      </c>
      <c r="L570" s="128" t="s">
        <v>368</v>
      </c>
      <c r="M570" s="128" t="s">
        <v>369</v>
      </c>
      <c r="N570" s="128"/>
      <c r="O570" s="128"/>
    </row>
    <row r="571" spans="1:15">
      <c r="A571" s="129" t="s">
        <v>362</v>
      </c>
      <c r="B571" s="129" t="s">
        <v>363</v>
      </c>
      <c r="C571" s="130">
        <v>45407</v>
      </c>
      <c r="D571" s="129" t="s">
        <v>364</v>
      </c>
      <c r="E571" s="131"/>
      <c r="F571" s="129" t="s">
        <v>365</v>
      </c>
      <c r="G571" s="131"/>
      <c r="H571" s="131">
        <v>-167.58</v>
      </c>
      <c r="I571" s="132">
        <v>-102746.78</v>
      </c>
      <c r="J571" s="133" t="s">
        <v>366</v>
      </c>
      <c r="K571" s="133" t="s">
        <v>367</v>
      </c>
      <c r="L571" s="133" t="s">
        <v>368</v>
      </c>
      <c r="M571" s="133" t="s">
        <v>369</v>
      </c>
      <c r="N571" s="133"/>
      <c r="O571" s="133"/>
    </row>
    <row r="572" spans="1:15">
      <c r="A572" s="124" t="s">
        <v>362</v>
      </c>
      <c r="B572" s="124" t="s">
        <v>363</v>
      </c>
      <c r="C572" s="125">
        <v>45407</v>
      </c>
      <c r="D572" s="124" t="s">
        <v>364</v>
      </c>
      <c r="E572" s="126"/>
      <c r="F572" s="124" t="s">
        <v>365</v>
      </c>
      <c r="G572" s="126"/>
      <c r="H572" s="126">
        <v>-96265.41</v>
      </c>
      <c r="I572" s="127">
        <v>-59022323.729999997</v>
      </c>
      <c r="J572" s="128" t="s">
        <v>366</v>
      </c>
      <c r="K572" s="128" t="s">
        <v>367</v>
      </c>
      <c r="L572" s="128" t="s">
        <v>368</v>
      </c>
      <c r="M572" s="128" t="s">
        <v>369</v>
      </c>
      <c r="N572" s="128"/>
      <c r="O572" s="128"/>
    </row>
    <row r="573" spans="1:15">
      <c r="A573" s="129" t="s">
        <v>362</v>
      </c>
      <c r="B573" s="129" t="s">
        <v>363</v>
      </c>
      <c r="C573" s="130">
        <v>45407</v>
      </c>
      <c r="D573" s="129" t="s">
        <v>364</v>
      </c>
      <c r="E573" s="131"/>
      <c r="F573" s="129" t="s">
        <v>365</v>
      </c>
      <c r="G573" s="131"/>
      <c r="H573" s="131">
        <v>-44873.09</v>
      </c>
      <c r="I573" s="132">
        <v>-27512624.16</v>
      </c>
      <c r="J573" s="133" t="s">
        <v>366</v>
      </c>
      <c r="K573" s="133" t="s">
        <v>367</v>
      </c>
      <c r="L573" s="133" t="s">
        <v>368</v>
      </c>
      <c r="M573" s="133" t="s">
        <v>369</v>
      </c>
      <c r="N573" s="133"/>
      <c r="O573" s="133"/>
    </row>
    <row r="574" spans="1:15">
      <c r="A574" s="124" t="s">
        <v>362</v>
      </c>
      <c r="B574" s="124" t="s">
        <v>363</v>
      </c>
      <c r="C574" s="125">
        <v>45407</v>
      </c>
      <c r="D574" s="124" t="s">
        <v>364</v>
      </c>
      <c r="E574" s="126"/>
      <c r="F574" s="124" t="s">
        <v>365</v>
      </c>
      <c r="G574" s="126"/>
      <c r="H574" s="126">
        <v>-19247.52</v>
      </c>
      <c r="I574" s="127">
        <v>-11801054.57</v>
      </c>
      <c r="J574" s="128" t="s">
        <v>366</v>
      </c>
      <c r="K574" s="128" t="s">
        <v>367</v>
      </c>
      <c r="L574" s="128" t="s">
        <v>368</v>
      </c>
      <c r="M574" s="128" t="s">
        <v>369</v>
      </c>
      <c r="N574" s="128"/>
      <c r="O574" s="128"/>
    </row>
    <row r="575" spans="1:15">
      <c r="A575" s="129" t="s">
        <v>362</v>
      </c>
      <c r="B575" s="129" t="s">
        <v>363</v>
      </c>
      <c r="C575" s="130">
        <v>45407</v>
      </c>
      <c r="D575" s="129" t="s">
        <v>364</v>
      </c>
      <c r="E575" s="131"/>
      <c r="F575" s="129" t="s">
        <v>365</v>
      </c>
      <c r="G575" s="131"/>
      <c r="H575" s="131">
        <v>-29915.79</v>
      </c>
      <c r="I575" s="132">
        <v>-18341992.640000001</v>
      </c>
      <c r="J575" s="133" t="s">
        <v>366</v>
      </c>
      <c r="K575" s="133" t="s">
        <v>367</v>
      </c>
      <c r="L575" s="133" t="s">
        <v>368</v>
      </c>
      <c r="M575" s="133" t="s">
        <v>369</v>
      </c>
      <c r="N575" s="133"/>
      <c r="O575" s="133"/>
    </row>
    <row r="576" spans="1:15">
      <c r="A576" s="124" t="s">
        <v>362</v>
      </c>
      <c r="B576" s="124" t="s">
        <v>363</v>
      </c>
      <c r="C576" s="125">
        <v>45407</v>
      </c>
      <c r="D576" s="124" t="s">
        <v>364</v>
      </c>
      <c r="E576" s="126"/>
      <c r="F576" s="124" t="s">
        <v>365</v>
      </c>
      <c r="G576" s="126"/>
      <c r="H576" s="126">
        <v>-520.57000000000005</v>
      </c>
      <c r="I576" s="127">
        <v>-319172.28999999998</v>
      </c>
      <c r="J576" s="128" t="s">
        <v>366</v>
      </c>
      <c r="K576" s="128" t="s">
        <v>367</v>
      </c>
      <c r="L576" s="128" t="s">
        <v>368</v>
      </c>
      <c r="M576" s="128" t="s">
        <v>369</v>
      </c>
      <c r="N576" s="128"/>
      <c r="O576" s="128"/>
    </row>
    <row r="577" spans="1:15">
      <c r="A577" s="129" t="s">
        <v>362</v>
      </c>
      <c r="B577" s="129" t="s">
        <v>363</v>
      </c>
      <c r="C577" s="130">
        <v>45407</v>
      </c>
      <c r="D577" s="129" t="s">
        <v>364</v>
      </c>
      <c r="E577" s="131"/>
      <c r="F577" s="129" t="s">
        <v>365</v>
      </c>
      <c r="G577" s="131"/>
      <c r="H577" s="131">
        <v>-775.94</v>
      </c>
      <c r="I577" s="132">
        <v>-475744.94</v>
      </c>
      <c r="J577" s="133" t="s">
        <v>366</v>
      </c>
      <c r="K577" s="133" t="s">
        <v>367</v>
      </c>
      <c r="L577" s="133" t="s">
        <v>368</v>
      </c>
      <c r="M577" s="133" t="s">
        <v>369</v>
      </c>
      <c r="N577" s="133"/>
      <c r="O577" s="133"/>
    </row>
    <row r="578" spans="1:15">
      <c r="A578" s="124" t="s">
        <v>362</v>
      </c>
      <c r="B578" s="124" t="s">
        <v>363</v>
      </c>
      <c r="C578" s="125">
        <v>45407</v>
      </c>
      <c r="D578" s="124" t="s">
        <v>364</v>
      </c>
      <c r="E578" s="126"/>
      <c r="F578" s="124" t="s">
        <v>365</v>
      </c>
      <c r="G578" s="126"/>
      <c r="H578" s="126">
        <v>-120162.48</v>
      </c>
      <c r="I578" s="127">
        <v>-73674114.040000007</v>
      </c>
      <c r="J578" s="128" t="s">
        <v>366</v>
      </c>
      <c r="K578" s="128" t="s">
        <v>367</v>
      </c>
      <c r="L578" s="128" t="s">
        <v>368</v>
      </c>
      <c r="M578" s="128" t="s">
        <v>369</v>
      </c>
      <c r="N578" s="128"/>
      <c r="O578" s="128"/>
    </row>
    <row r="579" spans="1:15">
      <c r="A579" s="129" t="s">
        <v>362</v>
      </c>
      <c r="B579" s="129" t="s">
        <v>363</v>
      </c>
      <c r="C579" s="130">
        <v>45407</v>
      </c>
      <c r="D579" s="129" t="s">
        <v>364</v>
      </c>
      <c r="E579" s="131"/>
      <c r="F579" s="129" t="s">
        <v>365</v>
      </c>
      <c r="G579" s="131"/>
      <c r="H579" s="131">
        <v>-220.24</v>
      </c>
      <c r="I579" s="132">
        <v>-135033.72</v>
      </c>
      <c r="J579" s="133" t="s">
        <v>366</v>
      </c>
      <c r="K579" s="133" t="s">
        <v>367</v>
      </c>
      <c r="L579" s="133" t="s">
        <v>368</v>
      </c>
      <c r="M579" s="133" t="s">
        <v>369</v>
      </c>
      <c r="N579" s="133"/>
      <c r="O579" s="133"/>
    </row>
    <row r="580" spans="1:15">
      <c r="A580" s="124" t="s">
        <v>362</v>
      </c>
      <c r="B580" s="124" t="s">
        <v>363</v>
      </c>
      <c r="C580" s="125">
        <v>45407</v>
      </c>
      <c r="D580" s="124" t="s">
        <v>364</v>
      </c>
      <c r="E580" s="126"/>
      <c r="F580" s="124" t="s">
        <v>365</v>
      </c>
      <c r="G580" s="126"/>
      <c r="H580" s="126">
        <v>-217233.23</v>
      </c>
      <c r="I580" s="127">
        <v>-133190208.45999999</v>
      </c>
      <c r="J580" s="128" t="s">
        <v>366</v>
      </c>
      <c r="K580" s="128" t="s">
        <v>367</v>
      </c>
      <c r="L580" s="128" t="s">
        <v>368</v>
      </c>
      <c r="M580" s="128" t="s">
        <v>369</v>
      </c>
      <c r="N580" s="128"/>
      <c r="O580" s="128"/>
    </row>
    <row r="581" spans="1:15">
      <c r="A581" s="129" t="s">
        <v>362</v>
      </c>
      <c r="B581" s="129" t="s">
        <v>363</v>
      </c>
      <c r="C581" s="130">
        <v>45407</v>
      </c>
      <c r="D581" s="129" t="s">
        <v>364</v>
      </c>
      <c r="E581" s="131"/>
      <c r="F581" s="129" t="s">
        <v>365</v>
      </c>
      <c r="G581" s="131"/>
      <c r="H581" s="131">
        <v>-782.73</v>
      </c>
      <c r="I581" s="132">
        <v>-479908.03</v>
      </c>
      <c r="J581" s="133" t="s">
        <v>366</v>
      </c>
      <c r="K581" s="133" t="s">
        <v>367</v>
      </c>
      <c r="L581" s="133" t="s">
        <v>368</v>
      </c>
      <c r="M581" s="133" t="s">
        <v>369</v>
      </c>
      <c r="N581" s="133"/>
      <c r="O581" s="133"/>
    </row>
    <row r="582" spans="1:15">
      <c r="A582" s="124" t="s">
        <v>362</v>
      </c>
      <c r="B582" s="124" t="s">
        <v>363</v>
      </c>
      <c r="C582" s="125">
        <v>45407</v>
      </c>
      <c r="D582" s="124" t="s">
        <v>364</v>
      </c>
      <c r="E582" s="126"/>
      <c r="F582" s="124" t="s">
        <v>365</v>
      </c>
      <c r="G582" s="126"/>
      <c r="H582" s="126">
        <v>-19222</v>
      </c>
      <c r="I582" s="127">
        <v>-11785407.73</v>
      </c>
      <c r="J582" s="128" t="s">
        <v>366</v>
      </c>
      <c r="K582" s="128" t="s">
        <v>367</v>
      </c>
      <c r="L582" s="128" t="s">
        <v>368</v>
      </c>
      <c r="M582" s="128" t="s">
        <v>369</v>
      </c>
      <c r="N582" s="128"/>
      <c r="O582" s="128"/>
    </row>
    <row r="583" spans="1:15">
      <c r="A583" s="129" t="s">
        <v>362</v>
      </c>
      <c r="B583" s="129" t="s">
        <v>363</v>
      </c>
      <c r="C583" s="130">
        <v>45407</v>
      </c>
      <c r="D583" s="129" t="s">
        <v>364</v>
      </c>
      <c r="E583" s="131"/>
      <c r="F583" s="129" t="s">
        <v>365</v>
      </c>
      <c r="G583" s="131"/>
      <c r="H583" s="131">
        <v>-124.55</v>
      </c>
      <c r="I583" s="132">
        <v>-76364.19</v>
      </c>
      <c r="J583" s="133" t="s">
        <v>366</v>
      </c>
      <c r="K583" s="133" t="s">
        <v>367</v>
      </c>
      <c r="L583" s="133" t="s">
        <v>368</v>
      </c>
      <c r="M583" s="133" t="s">
        <v>369</v>
      </c>
      <c r="N583" s="133"/>
      <c r="O583" s="133"/>
    </row>
    <row r="584" spans="1:15">
      <c r="A584" s="124" t="s">
        <v>362</v>
      </c>
      <c r="B584" s="124" t="s">
        <v>363</v>
      </c>
      <c r="C584" s="125">
        <v>45407</v>
      </c>
      <c r="D584" s="124" t="s">
        <v>364</v>
      </c>
      <c r="E584" s="126"/>
      <c r="F584" s="124" t="s">
        <v>365</v>
      </c>
      <c r="G584" s="126"/>
      <c r="H584" s="126">
        <v>-108.37</v>
      </c>
      <c r="I584" s="127">
        <v>-66443.899999999994</v>
      </c>
      <c r="J584" s="128" t="s">
        <v>366</v>
      </c>
      <c r="K584" s="128" t="s">
        <v>367</v>
      </c>
      <c r="L584" s="128" t="s">
        <v>368</v>
      </c>
      <c r="M584" s="128" t="s">
        <v>369</v>
      </c>
      <c r="N584" s="128"/>
      <c r="O584" s="128"/>
    </row>
    <row r="585" spans="1:15">
      <c r="A585" s="129" t="s">
        <v>362</v>
      </c>
      <c r="B585" s="129" t="s">
        <v>363</v>
      </c>
      <c r="C585" s="130">
        <v>45407</v>
      </c>
      <c r="D585" s="129" t="s">
        <v>364</v>
      </c>
      <c r="E585" s="131"/>
      <c r="F585" s="129" t="s">
        <v>365</v>
      </c>
      <c r="G585" s="131"/>
      <c r="H585" s="131">
        <v>-29906.17</v>
      </c>
      <c r="I585" s="132">
        <v>-18336094.420000002</v>
      </c>
      <c r="J585" s="133" t="s">
        <v>366</v>
      </c>
      <c r="K585" s="133" t="s">
        <v>367</v>
      </c>
      <c r="L585" s="133" t="s">
        <v>368</v>
      </c>
      <c r="M585" s="133" t="s">
        <v>369</v>
      </c>
      <c r="N585" s="133"/>
      <c r="O585" s="133"/>
    </row>
    <row r="586" spans="1:15">
      <c r="A586" s="124" t="s">
        <v>362</v>
      </c>
      <c r="B586" s="124" t="s">
        <v>363</v>
      </c>
      <c r="C586" s="125">
        <v>45407</v>
      </c>
      <c r="D586" s="124" t="s">
        <v>364</v>
      </c>
      <c r="E586" s="126"/>
      <c r="F586" s="124" t="s">
        <v>365</v>
      </c>
      <c r="G586" s="126"/>
      <c r="H586" s="126">
        <v>-44849.760000000002</v>
      </c>
      <c r="I586" s="127">
        <v>-27498320.050000001</v>
      </c>
      <c r="J586" s="128" t="s">
        <v>366</v>
      </c>
      <c r="K586" s="128" t="s">
        <v>367</v>
      </c>
      <c r="L586" s="128" t="s">
        <v>368</v>
      </c>
      <c r="M586" s="128" t="s">
        <v>369</v>
      </c>
      <c r="N586" s="128"/>
      <c r="O586" s="128"/>
    </row>
    <row r="587" spans="1:15">
      <c r="A587" s="129" t="s">
        <v>362</v>
      </c>
      <c r="B587" s="129" t="s">
        <v>363</v>
      </c>
      <c r="C587" s="130">
        <v>45407</v>
      </c>
      <c r="D587" s="129" t="s">
        <v>364</v>
      </c>
      <c r="E587" s="131"/>
      <c r="F587" s="129" t="s">
        <v>365</v>
      </c>
      <c r="G587" s="131"/>
      <c r="H587" s="131">
        <v>-808.15</v>
      </c>
      <c r="I587" s="132">
        <v>-495493.56</v>
      </c>
      <c r="J587" s="133" t="s">
        <v>366</v>
      </c>
      <c r="K587" s="133" t="s">
        <v>367</v>
      </c>
      <c r="L587" s="133" t="s">
        <v>368</v>
      </c>
      <c r="M587" s="133" t="s">
        <v>369</v>
      </c>
      <c r="N587" s="133"/>
      <c r="O587" s="133"/>
    </row>
    <row r="588" spans="1:15">
      <c r="A588" s="124" t="s">
        <v>362</v>
      </c>
      <c r="B588" s="124" t="s">
        <v>363</v>
      </c>
      <c r="C588" s="125">
        <v>45407</v>
      </c>
      <c r="D588" s="124" t="s">
        <v>364</v>
      </c>
      <c r="E588" s="126"/>
      <c r="F588" s="124" t="s">
        <v>365</v>
      </c>
      <c r="G588" s="126"/>
      <c r="H588" s="126">
        <v>1492.93</v>
      </c>
      <c r="I588" s="127">
        <v>915346.41</v>
      </c>
      <c r="J588" s="128" t="s">
        <v>366</v>
      </c>
      <c r="K588" s="128" t="s">
        <v>367</v>
      </c>
      <c r="L588" s="128" t="s">
        <v>368</v>
      </c>
      <c r="M588" s="128" t="s">
        <v>369</v>
      </c>
      <c r="N588" s="128"/>
      <c r="O588" s="128"/>
    </row>
    <row r="589" spans="1:15">
      <c r="A589" s="129" t="s">
        <v>362</v>
      </c>
      <c r="B589" s="129" t="s">
        <v>363</v>
      </c>
      <c r="C589" s="130">
        <v>45407</v>
      </c>
      <c r="D589" s="129" t="s">
        <v>364</v>
      </c>
      <c r="E589" s="131"/>
      <c r="F589" s="129" t="s">
        <v>365</v>
      </c>
      <c r="G589" s="131"/>
      <c r="H589" s="131">
        <v>-65.209999999999994</v>
      </c>
      <c r="I589" s="132">
        <v>-39981.61</v>
      </c>
      <c r="J589" s="133" t="s">
        <v>366</v>
      </c>
      <c r="K589" s="133" t="s">
        <v>367</v>
      </c>
      <c r="L589" s="133" t="s">
        <v>368</v>
      </c>
      <c r="M589" s="133" t="s">
        <v>369</v>
      </c>
      <c r="N589" s="133"/>
      <c r="O589" s="133"/>
    </row>
    <row r="590" spans="1:15">
      <c r="A590" s="124" t="s">
        <v>362</v>
      </c>
      <c r="B590" s="124" t="s">
        <v>363</v>
      </c>
      <c r="C590" s="125">
        <v>45407</v>
      </c>
      <c r="D590" s="124" t="s">
        <v>364</v>
      </c>
      <c r="E590" s="126"/>
      <c r="F590" s="124" t="s">
        <v>365</v>
      </c>
      <c r="G590" s="126"/>
      <c r="H590" s="126">
        <v>-11594.93</v>
      </c>
      <c r="I590" s="127">
        <v>-7109092.5800000001</v>
      </c>
      <c r="J590" s="128" t="s">
        <v>366</v>
      </c>
      <c r="K590" s="128" t="s">
        <v>367</v>
      </c>
      <c r="L590" s="128" t="s">
        <v>368</v>
      </c>
      <c r="M590" s="128" t="s">
        <v>369</v>
      </c>
      <c r="N590" s="128"/>
      <c r="O590" s="128"/>
    </row>
    <row r="591" spans="1:15">
      <c r="A591" s="129" t="s">
        <v>362</v>
      </c>
      <c r="B591" s="129" t="s">
        <v>363</v>
      </c>
      <c r="C591" s="130">
        <v>45407</v>
      </c>
      <c r="D591" s="129" t="s">
        <v>364</v>
      </c>
      <c r="E591" s="131"/>
      <c r="F591" s="129" t="s">
        <v>365</v>
      </c>
      <c r="G591" s="131"/>
      <c r="H591" s="131">
        <v>-8993.56</v>
      </c>
      <c r="I591" s="132">
        <v>-5514138.5700000003</v>
      </c>
      <c r="J591" s="133" t="s">
        <v>366</v>
      </c>
      <c r="K591" s="133" t="s">
        <v>367</v>
      </c>
      <c r="L591" s="133" t="s">
        <v>368</v>
      </c>
      <c r="M591" s="133" t="s">
        <v>369</v>
      </c>
      <c r="N591" s="133"/>
      <c r="O591" s="133"/>
    </row>
    <row r="592" spans="1:15">
      <c r="A592" s="124" t="s">
        <v>362</v>
      </c>
      <c r="B592" s="124" t="s">
        <v>363</v>
      </c>
      <c r="C592" s="125">
        <v>45407</v>
      </c>
      <c r="D592" s="124" t="s">
        <v>370</v>
      </c>
      <c r="E592" s="126"/>
      <c r="F592" s="124" t="s">
        <v>365</v>
      </c>
      <c r="G592" s="126"/>
      <c r="H592" s="126">
        <v>-23453.61</v>
      </c>
      <c r="I592" s="127">
        <v>-14379895.77</v>
      </c>
      <c r="J592" s="128" t="s">
        <v>366</v>
      </c>
      <c r="K592" s="128" t="s">
        <v>367</v>
      </c>
      <c r="L592" s="128" t="s">
        <v>368</v>
      </c>
      <c r="M592" s="128" t="s">
        <v>369</v>
      </c>
      <c r="N592" s="128"/>
      <c r="O592" s="128"/>
    </row>
    <row r="593" spans="1:15">
      <c r="A593" s="129" t="s">
        <v>362</v>
      </c>
      <c r="B593" s="129" t="s">
        <v>363</v>
      </c>
      <c r="C593" s="130">
        <v>45407</v>
      </c>
      <c r="D593" s="129" t="s">
        <v>370</v>
      </c>
      <c r="E593" s="131"/>
      <c r="F593" s="129" t="s">
        <v>365</v>
      </c>
      <c r="G593" s="131"/>
      <c r="H593" s="131">
        <v>3270.33</v>
      </c>
      <c r="I593" s="132">
        <v>2005107.3</v>
      </c>
      <c r="J593" s="133" t="s">
        <v>366</v>
      </c>
      <c r="K593" s="133" t="s">
        <v>367</v>
      </c>
      <c r="L593" s="133" t="s">
        <v>368</v>
      </c>
      <c r="M593" s="133" t="s">
        <v>369</v>
      </c>
      <c r="N593" s="133"/>
      <c r="O593" s="133"/>
    </row>
    <row r="594" spans="1:15">
      <c r="A594" s="124" t="s">
        <v>362</v>
      </c>
      <c r="B594" s="124" t="s">
        <v>363</v>
      </c>
      <c r="C594" s="125">
        <v>45407</v>
      </c>
      <c r="D594" s="124" t="s">
        <v>370</v>
      </c>
      <c r="E594" s="126"/>
      <c r="F594" s="124" t="s">
        <v>365</v>
      </c>
      <c r="G594" s="126"/>
      <c r="H594" s="126">
        <v>2689.61</v>
      </c>
      <c r="I594" s="127">
        <v>1649055.79</v>
      </c>
      <c r="J594" s="128" t="s">
        <v>366</v>
      </c>
      <c r="K594" s="128" t="s">
        <v>367</v>
      </c>
      <c r="L594" s="128" t="s">
        <v>368</v>
      </c>
      <c r="M594" s="128" t="s">
        <v>369</v>
      </c>
      <c r="N594" s="128"/>
      <c r="O594" s="128"/>
    </row>
    <row r="595" spans="1:15">
      <c r="A595" s="129" t="s">
        <v>362</v>
      </c>
      <c r="B595" s="129" t="s">
        <v>363</v>
      </c>
      <c r="C595" s="130">
        <v>45407</v>
      </c>
      <c r="D595" s="129" t="s">
        <v>370</v>
      </c>
      <c r="E595" s="131"/>
      <c r="F595" s="129" t="s">
        <v>365</v>
      </c>
      <c r="G595" s="131"/>
      <c r="H595" s="131">
        <v>1582.81</v>
      </c>
      <c r="I595" s="132">
        <v>970453.71</v>
      </c>
      <c r="J595" s="133" t="s">
        <v>366</v>
      </c>
      <c r="K595" s="133" t="s">
        <v>367</v>
      </c>
      <c r="L595" s="133" t="s">
        <v>368</v>
      </c>
      <c r="M595" s="133" t="s">
        <v>369</v>
      </c>
      <c r="N595" s="133"/>
      <c r="O595" s="133"/>
    </row>
    <row r="596" spans="1:15">
      <c r="A596" s="124" t="s">
        <v>362</v>
      </c>
      <c r="B596" s="124" t="s">
        <v>363</v>
      </c>
      <c r="C596" s="125">
        <v>45407</v>
      </c>
      <c r="D596" s="124" t="s">
        <v>370</v>
      </c>
      <c r="E596" s="126"/>
      <c r="F596" s="124" t="s">
        <v>365</v>
      </c>
      <c r="G596" s="126"/>
      <c r="H596" s="126">
        <v>1856.46</v>
      </c>
      <c r="I596" s="127">
        <v>1138234.21</v>
      </c>
      <c r="J596" s="128" t="s">
        <v>366</v>
      </c>
      <c r="K596" s="128" t="s">
        <v>367</v>
      </c>
      <c r="L596" s="128" t="s">
        <v>368</v>
      </c>
      <c r="M596" s="128" t="s">
        <v>369</v>
      </c>
      <c r="N596" s="128"/>
      <c r="O596" s="128"/>
    </row>
    <row r="597" spans="1:15">
      <c r="A597" s="129" t="s">
        <v>362</v>
      </c>
      <c r="B597" s="129" t="s">
        <v>363</v>
      </c>
      <c r="C597" s="130">
        <v>45407</v>
      </c>
      <c r="D597" s="129" t="s">
        <v>370</v>
      </c>
      <c r="E597" s="131"/>
      <c r="F597" s="129" t="s">
        <v>365</v>
      </c>
      <c r="G597" s="131"/>
      <c r="H597" s="131">
        <v>6241.3</v>
      </c>
      <c r="I597" s="132">
        <v>3826670.75</v>
      </c>
      <c r="J597" s="133" t="s">
        <v>366</v>
      </c>
      <c r="K597" s="133" t="s">
        <v>367</v>
      </c>
      <c r="L597" s="133" t="s">
        <v>368</v>
      </c>
      <c r="M597" s="133" t="s">
        <v>369</v>
      </c>
      <c r="N597" s="133"/>
      <c r="O597" s="133"/>
    </row>
    <row r="598" spans="1:15">
      <c r="A598" s="124" t="s">
        <v>362</v>
      </c>
      <c r="B598" s="124" t="s">
        <v>363</v>
      </c>
      <c r="C598" s="125">
        <v>45407</v>
      </c>
      <c r="D598" s="124" t="s">
        <v>370</v>
      </c>
      <c r="E598" s="126"/>
      <c r="F598" s="124" t="s">
        <v>365</v>
      </c>
      <c r="G598" s="126"/>
      <c r="H598" s="126">
        <v>6932.94</v>
      </c>
      <c r="I598" s="127">
        <v>4250729.6100000003</v>
      </c>
      <c r="J598" s="128" t="s">
        <v>366</v>
      </c>
      <c r="K598" s="128" t="s">
        <v>367</v>
      </c>
      <c r="L598" s="128" t="s">
        <v>368</v>
      </c>
      <c r="M598" s="128" t="s">
        <v>369</v>
      </c>
      <c r="N598" s="128"/>
      <c r="O598" s="128"/>
    </row>
    <row r="599" spans="1:15">
      <c r="A599" s="129" t="s">
        <v>362</v>
      </c>
      <c r="B599" s="129" t="s">
        <v>363</v>
      </c>
      <c r="C599" s="130">
        <v>45407</v>
      </c>
      <c r="D599" s="129" t="s">
        <v>370</v>
      </c>
      <c r="E599" s="131"/>
      <c r="F599" s="129" t="s">
        <v>365</v>
      </c>
      <c r="G599" s="131"/>
      <c r="H599" s="131">
        <v>2795.94</v>
      </c>
      <c r="I599" s="132">
        <v>1714248.93</v>
      </c>
      <c r="J599" s="133" t="s">
        <v>366</v>
      </c>
      <c r="K599" s="133" t="s">
        <v>367</v>
      </c>
      <c r="L599" s="133" t="s">
        <v>368</v>
      </c>
      <c r="M599" s="133" t="s">
        <v>369</v>
      </c>
      <c r="N599" s="133"/>
      <c r="O599" s="133"/>
    </row>
    <row r="600" spans="1:15">
      <c r="A600" s="124" t="s">
        <v>362</v>
      </c>
      <c r="B600" s="124" t="s">
        <v>363</v>
      </c>
      <c r="C600" s="125">
        <v>45407</v>
      </c>
      <c r="D600" s="124" t="s">
        <v>370</v>
      </c>
      <c r="E600" s="126"/>
      <c r="F600" s="124" t="s">
        <v>365</v>
      </c>
      <c r="G600" s="126"/>
      <c r="H600" s="126">
        <v>1308.22</v>
      </c>
      <c r="I600" s="127">
        <v>802096.87</v>
      </c>
      <c r="J600" s="128" t="s">
        <v>366</v>
      </c>
      <c r="K600" s="128" t="s">
        <v>367</v>
      </c>
      <c r="L600" s="128" t="s">
        <v>368</v>
      </c>
      <c r="M600" s="128" t="s">
        <v>369</v>
      </c>
      <c r="N600" s="128"/>
      <c r="O600" s="128"/>
    </row>
    <row r="601" spans="1:15">
      <c r="A601" s="129" t="s">
        <v>362</v>
      </c>
      <c r="B601" s="129" t="s">
        <v>363</v>
      </c>
      <c r="C601" s="130">
        <v>45407</v>
      </c>
      <c r="D601" s="129" t="s">
        <v>370</v>
      </c>
      <c r="E601" s="131"/>
      <c r="F601" s="129" t="s">
        <v>365</v>
      </c>
      <c r="G601" s="131"/>
      <c r="H601" s="131">
        <v>2667.91</v>
      </c>
      <c r="I601" s="132">
        <v>1635751.07</v>
      </c>
      <c r="J601" s="133" t="s">
        <v>366</v>
      </c>
      <c r="K601" s="133" t="s">
        <v>367</v>
      </c>
      <c r="L601" s="133" t="s">
        <v>368</v>
      </c>
      <c r="M601" s="133" t="s">
        <v>369</v>
      </c>
      <c r="N601" s="133"/>
      <c r="O601" s="133"/>
    </row>
    <row r="602" spans="1:15">
      <c r="A602" s="124" t="s">
        <v>362</v>
      </c>
      <c r="B602" s="124" t="s">
        <v>363</v>
      </c>
      <c r="C602" s="125">
        <v>45407</v>
      </c>
      <c r="D602" s="124" t="s">
        <v>370</v>
      </c>
      <c r="E602" s="126"/>
      <c r="F602" s="124" t="s">
        <v>365</v>
      </c>
      <c r="G602" s="126"/>
      <c r="H602" s="126">
        <v>711.75</v>
      </c>
      <c r="I602" s="127">
        <v>436388.72</v>
      </c>
      <c r="J602" s="128" t="s">
        <v>366</v>
      </c>
      <c r="K602" s="128" t="s">
        <v>367</v>
      </c>
      <c r="L602" s="128" t="s">
        <v>368</v>
      </c>
      <c r="M602" s="128" t="s">
        <v>369</v>
      </c>
      <c r="N602" s="128"/>
      <c r="O602" s="128"/>
    </row>
    <row r="603" spans="1:15">
      <c r="A603" s="129" t="s">
        <v>362</v>
      </c>
      <c r="B603" s="129" t="s">
        <v>363</v>
      </c>
      <c r="C603" s="130">
        <v>45407</v>
      </c>
      <c r="D603" s="129" t="s">
        <v>370</v>
      </c>
      <c r="E603" s="131"/>
      <c r="F603" s="129" t="s">
        <v>365</v>
      </c>
      <c r="G603" s="131"/>
      <c r="H603" s="131">
        <v>265.32</v>
      </c>
      <c r="I603" s="132">
        <v>162673.21</v>
      </c>
      <c r="J603" s="133" t="s">
        <v>366</v>
      </c>
      <c r="K603" s="133" t="s">
        <v>367</v>
      </c>
      <c r="L603" s="133" t="s">
        <v>368</v>
      </c>
      <c r="M603" s="133" t="s">
        <v>369</v>
      </c>
      <c r="N603" s="133"/>
      <c r="O603" s="133"/>
    </row>
    <row r="604" spans="1:15">
      <c r="A604" s="124" t="s">
        <v>362</v>
      </c>
      <c r="B604" s="124" t="s">
        <v>363</v>
      </c>
      <c r="C604" s="125">
        <v>45407</v>
      </c>
      <c r="D604" s="124" t="s">
        <v>370</v>
      </c>
      <c r="E604" s="126"/>
      <c r="F604" s="124" t="s">
        <v>365</v>
      </c>
      <c r="G604" s="126"/>
      <c r="H604" s="126">
        <v>1525.89</v>
      </c>
      <c r="I604" s="127">
        <v>935554.87</v>
      </c>
      <c r="J604" s="128" t="s">
        <v>366</v>
      </c>
      <c r="K604" s="128" t="s">
        <v>367</v>
      </c>
      <c r="L604" s="128" t="s">
        <v>368</v>
      </c>
      <c r="M604" s="128" t="s">
        <v>369</v>
      </c>
      <c r="N604" s="128"/>
      <c r="O604" s="128"/>
    </row>
    <row r="605" spans="1:15">
      <c r="A605" s="129" t="s">
        <v>362</v>
      </c>
      <c r="B605" s="129" t="s">
        <v>363</v>
      </c>
      <c r="C605" s="130">
        <v>45407</v>
      </c>
      <c r="D605" s="129" t="s">
        <v>370</v>
      </c>
      <c r="E605" s="131"/>
      <c r="F605" s="129" t="s">
        <v>365</v>
      </c>
      <c r="G605" s="131"/>
      <c r="H605" s="131">
        <v>-2716.85</v>
      </c>
      <c r="I605" s="132">
        <v>-1665757.2</v>
      </c>
      <c r="J605" s="133" t="s">
        <v>366</v>
      </c>
      <c r="K605" s="133" t="s">
        <v>367</v>
      </c>
      <c r="L605" s="133" t="s">
        <v>368</v>
      </c>
      <c r="M605" s="133" t="s">
        <v>369</v>
      </c>
      <c r="N605" s="133"/>
      <c r="O605" s="133"/>
    </row>
    <row r="606" spans="1:15">
      <c r="A606" s="124" t="s">
        <v>362</v>
      </c>
      <c r="B606" s="124" t="s">
        <v>363</v>
      </c>
      <c r="C606" s="125">
        <v>45407</v>
      </c>
      <c r="D606" s="124" t="s">
        <v>370</v>
      </c>
      <c r="E606" s="126"/>
      <c r="F606" s="124" t="s">
        <v>365</v>
      </c>
      <c r="G606" s="126"/>
      <c r="H606" s="126">
        <v>173.55</v>
      </c>
      <c r="I606" s="127">
        <v>106407.11</v>
      </c>
      <c r="J606" s="128" t="s">
        <v>366</v>
      </c>
      <c r="K606" s="128" t="s">
        <v>367</v>
      </c>
      <c r="L606" s="128" t="s">
        <v>368</v>
      </c>
      <c r="M606" s="128" t="s">
        <v>369</v>
      </c>
      <c r="N606" s="128"/>
      <c r="O606" s="128"/>
    </row>
    <row r="607" spans="1:15">
      <c r="A607" s="129" t="s">
        <v>362</v>
      </c>
      <c r="B607" s="129" t="s">
        <v>363</v>
      </c>
      <c r="C607" s="130">
        <v>45407</v>
      </c>
      <c r="D607" s="129" t="s">
        <v>370</v>
      </c>
      <c r="E607" s="131"/>
      <c r="F607" s="129" t="s">
        <v>365</v>
      </c>
      <c r="G607" s="131"/>
      <c r="H607" s="131">
        <v>567.85</v>
      </c>
      <c r="I607" s="132">
        <v>348160.64</v>
      </c>
      <c r="J607" s="133" t="s">
        <v>366</v>
      </c>
      <c r="K607" s="133" t="s">
        <v>367</v>
      </c>
      <c r="L607" s="133" t="s">
        <v>368</v>
      </c>
      <c r="M607" s="133" t="s">
        <v>369</v>
      </c>
      <c r="N607" s="133"/>
      <c r="O607" s="133"/>
    </row>
    <row r="608" spans="1:15">
      <c r="A608" s="124" t="s">
        <v>362</v>
      </c>
      <c r="B608" s="124" t="s">
        <v>363</v>
      </c>
      <c r="C608" s="125">
        <v>45407</v>
      </c>
      <c r="D608" s="124" t="s">
        <v>370</v>
      </c>
      <c r="E608" s="126"/>
      <c r="F608" s="124" t="s">
        <v>365</v>
      </c>
      <c r="G608" s="126"/>
      <c r="H608" s="126">
        <v>313.05</v>
      </c>
      <c r="I608" s="127">
        <v>191937.46</v>
      </c>
      <c r="J608" s="128" t="s">
        <v>366</v>
      </c>
      <c r="K608" s="128" t="s">
        <v>367</v>
      </c>
      <c r="L608" s="128" t="s">
        <v>368</v>
      </c>
      <c r="M608" s="128" t="s">
        <v>369</v>
      </c>
      <c r="N608" s="128"/>
      <c r="O608" s="128"/>
    </row>
    <row r="609" spans="1:15">
      <c r="A609" s="129" t="s">
        <v>362</v>
      </c>
      <c r="B609" s="129" t="s">
        <v>363</v>
      </c>
      <c r="C609" s="130">
        <v>45407</v>
      </c>
      <c r="D609" s="129" t="s">
        <v>370</v>
      </c>
      <c r="E609" s="131"/>
      <c r="F609" s="129" t="s">
        <v>365</v>
      </c>
      <c r="G609" s="131"/>
      <c r="H609" s="131">
        <v>825.68</v>
      </c>
      <c r="I609" s="132">
        <v>506241.57</v>
      </c>
      <c r="J609" s="133" t="s">
        <v>366</v>
      </c>
      <c r="K609" s="133" t="s">
        <v>367</v>
      </c>
      <c r="L609" s="133" t="s">
        <v>368</v>
      </c>
      <c r="M609" s="133" t="s">
        <v>369</v>
      </c>
      <c r="N609" s="133"/>
      <c r="O609" s="133"/>
    </row>
    <row r="610" spans="1:15">
      <c r="A610" s="124" t="s">
        <v>362</v>
      </c>
      <c r="B610" s="124" t="s">
        <v>363</v>
      </c>
      <c r="C610" s="125">
        <v>45407</v>
      </c>
      <c r="D610" s="124" t="s">
        <v>370</v>
      </c>
      <c r="E610" s="126"/>
      <c r="F610" s="124" t="s">
        <v>365</v>
      </c>
      <c r="G610" s="126"/>
      <c r="H610" s="126">
        <v>811.36</v>
      </c>
      <c r="I610" s="127">
        <v>497461.68</v>
      </c>
      <c r="J610" s="128" t="s">
        <v>366</v>
      </c>
      <c r="K610" s="128" t="s">
        <v>367</v>
      </c>
      <c r="L610" s="128" t="s">
        <v>368</v>
      </c>
      <c r="M610" s="128" t="s">
        <v>369</v>
      </c>
      <c r="N610" s="128"/>
      <c r="O610" s="128"/>
    </row>
    <row r="611" spans="1:15">
      <c r="A611" s="129" t="s">
        <v>362</v>
      </c>
      <c r="B611" s="129" t="s">
        <v>363</v>
      </c>
      <c r="C611" s="130">
        <v>45407</v>
      </c>
      <c r="D611" s="129" t="s">
        <v>370</v>
      </c>
      <c r="E611" s="131"/>
      <c r="F611" s="129" t="s">
        <v>365</v>
      </c>
      <c r="G611" s="131"/>
      <c r="H611" s="131">
        <v>239.6</v>
      </c>
      <c r="I611" s="132">
        <v>146903.74</v>
      </c>
      <c r="J611" s="133" t="s">
        <v>366</v>
      </c>
      <c r="K611" s="133" t="s">
        <v>367</v>
      </c>
      <c r="L611" s="133" t="s">
        <v>368</v>
      </c>
      <c r="M611" s="133" t="s">
        <v>369</v>
      </c>
      <c r="N611" s="133"/>
      <c r="O611" s="133"/>
    </row>
    <row r="612" spans="1:15">
      <c r="A612" s="124" t="s">
        <v>362</v>
      </c>
      <c r="B612" s="124" t="s">
        <v>363</v>
      </c>
      <c r="C612" s="125">
        <v>45407</v>
      </c>
      <c r="D612" s="124" t="s">
        <v>370</v>
      </c>
      <c r="E612" s="126"/>
      <c r="F612" s="124" t="s">
        <v>365</v>
      </c>
      <c r="G612" s="126"/>
      <c r="H612" s="126">
        <v>-5551.01</v>
      </c>
      <c r="I612" s="127">
        <v>-3403439.61</v>
      </c>
      <c r="J612" s="128" t="s">
        <v>366</v>
      </c>
      <c r="K612" s="128" t="s">
        <v>367</v>
      </c>
      <c r="L612" s="128" t="s">
        <v>368</v>
      </c>
      <c r="M612" s="128" t="s">
        <v>369</v>
      </c>
      <c r="N612" s="128"/>
      <c r="O612" s="128"/>
    </row>
    <row r="613" spans="1:15">
      <c r="A613" s="129" t="s">
        <v>362</v>
      </c>
      <c r="B613" s="129" t="s">
        <v>363</v>
      </c>
      <c r="C613" s="130">
        <v>45407</v>
      </c>
      <c r="D613" s="129" t="s">
        <v>370</v>
      </c>
      <c r="E613" s="131"/>
      <c r="F613" s="129" t="s">
        <v>365</v>
      </c>
      <c r="G613" s="131"/>
      <c r="H613" s="131">
        <v>810.47</v>
      </c>
      <c r="I613" s="132">
        <v>496916</v>
      </c>
      <c r="J613" s="133" t="s">
        <v>366</v>
      </c>
      <c r="K613" s="133" t="s">
        <v>367</v>
      </c>
      <c r="L613" s="133" t="s">
        <v>368</v>
      </c>
      <c r="M613" s="133" t="s">
        <v>369</v>
      </c>
      <c r="N613" s="133"/>
      <c r="O613" s="133"/>
    </row>
    <row r="614" spans="1:15">
      <c r="A614" s="124" t="s">
        <v>362</v>
      </c>
      <c r="B614" s="124" t="s">
        <v>363</v>
      </c>
      <c r="C614" s="125">
        <v>45407</v>
      </c>
      <c r="D614" s="124" t="s">
        <v>370</v>
      </c>
      <c r="E614" s="126"/>
      <c r="F614" s="124" t="s">
        <v>365</v>
      </c>
      <c r="G614" s="126"/>
      <c r="H614" s="126">
        <v>-371.8</v>
      </c>
      <c r="I614" s="127">
        <v>-227958.31</v>
      </c>
      <c r="J614" s="128" t="s">
        <v>366</v>
      </c>
      <c r="K614" s="128" t="s">
        <v>367</v>
      </c>
      <c r="L614" s="128" t="s">
        <v>368</v>
      </c>
      <c r="M614" s="128" t="s">
        <v>369</v>
      </c>
      <c r="N614" s="128"/>
      <c r="O614" s="128"/>
    </row>
    <row r="615" spans="1:15">
      <c r="A615" s="129" t="s">
        <v>362</v>
      </c>
      <c r="B615" s="129" t="s">
        <v>363</v>
      </c>
      <c r="C615" s="130">
        <v>45407</v>
      </c>
      <c r="D615" s="129" t="s">
        <v>370</v>
      </c>
      <c r="E615" s="131"/>
      <c r="F615" s="129" t="s">
        <v>365</v>
      </c>
      <c r="G615" s="131"/>
      <c r="H615" s="131">
        <v>-4126.04</v>
      </c>
      <c r="I615" s="132">
        <v>-2529760.88</v>
      </c>
      <c r="J615" s="133" t="s">
        <v>366</v>
      </c>
      <c r="K615" s="133" t="s">
        <v>367</v>
      </c>
      <c r="L615" s="133" t="s">
        <v>368</v>
      </c>
      <c r="M615" s="133" t="s">
        <v>369</v>
      </c>
      <c r="N615" s="133"/>
      <c r="O615" s="133"/>
    </row>
    <row r="616" spans="1:15">
      <c r="A616" s="124" t="s">
        <v>362</v>
      </c>
      <c r="B616" s="124" t="s">
        <v>363</v>
      </c>
      <c r="C616" s="125">
        <v>45407</v>
      </c>
      <c r="D616" s="124" t="s">
        <v>370</v>
      </c>
      <c r="E616" s="126"/>
      <c r="F616" s="124" t="s">
        <v>365</v>
      </c>
      <c r="G616" s="126"/>
      <c r="H616" s="126">
        <v>-18751.439999999999</v>
      </c>
      <c r="I616" s="127">
        <v>-11496897.609999999</v>
      </c>
      <c r="J616" s="128" t="s">
        <v>366</v>
      </c>
      <c r="K616" s="128" t="s">
        <v>367</v>
      </c>
      <c r="L616" s="128" t="s">
        <v>368</v>
      </c>
      <c r="M616" s="128" t="s">
        <v>369</v>
      </c>
      <c r="N616" s="128"/>
      <c r="O616" s="128"/>
    </row>
    <row r="617" spans="1:15">
      <c r="A617" s="129" t="s">
        <v>362</v>
      </c>
      <c r="B617" s="129" t="s">
        <v>363</v>
      </c>
      <c r="C617" s="130">
        <v>45407</v>
      </c>
      <c r="D617" s="129" t="s">
        <v>370</v>
      </c>
      <c r="E617" s="131"/>
      <c r="F617" s="129" t="s">
        <v>365</v>
      </c>
      <c r="G617" s="131"/>
      <c r="H617" s="131">
        <v>-1101.26</v>
      </c>
      <c r="I617" s="132">
        <v>-675205.4</v>
      </c>
      <c r="J617" s="133" t="s">
        <v>366</v>
      </c>
      <c r="K617" s="133" t="s">
        <v>367</v>
      </c>
      <c r="L617" s="133" t="s">
        <v>368</v>
      </c>
      <c r="M617" s="133" t="s">
        <v>369</v>
      </c>
      <c r="N617" s="133"/>
      <c r="O617" s="133"/>
    </row>
    <row r="618" spans="1:15">
      <c r="A618" s="124" t="s">
        <v>362</v>
      </c>
      <c r="B618" s="124" t="s">
        <v>363</v>
      </c>
      <c r="C618" s="125">
        <v>45407</v>
      </c>
      <c r="D618" s="124" t="s">
        <v>370</v>
      </c>
      <c r="E618" s="126"/>
      <c r="F618" s="124" t="s">
        <v>365</v>
      </c>
      <c r="G618" s="126"/>
      <c r="H618" s="126">
        <v>-19230.86</v>
      </c>
      <c r="I618" s="127">
        <v>-11790839.98</v>
      </c>
      <c r="J618" s="128" t="s">
        <v>366</v>
      </c>
      <c r="K618" s="128" t="s">
        <v>367</v>
      </c>
      <c r="L618" s="128" t="s">
        <v>368</v>
      </c>
      <c r="M618" s="128" t="s">
        <v>369</v>
      </c>
      <c r="N618" s="128"/>
      <c r="O618" s="128"/>
    </row>
    <row r="619" spans="1:15">
      <c r="A619" s="129" t="s">
        <v>362</v>
      </c>
      <c r="B619" s="129" t="s">
        <v>363</v>
      </c>
      <c r="C619" s="130">
        <v>45407</v>
      </c>
      <c r="D619" s="129" t="s">
        <v>370</v>
      </c>
      <c r="E619" s="131"/>
      <c r="F619" s="129" t="s">
        <v>365</v>
      </c>
      <c r="G619" s="131"/>
      <c r="H619" s="131">
        <v>-24273.15</v>
      </c>
      <c r="I619" s="132">
        <v>-14882372.779999999</v>
      </c>
      <c r="J619" s="133" t="s">
        <v>366</v>
      </c>
      <c r="K619" s="133" t="s">
        <v>367</v>
      </c>
      <c r="L619" s="133" t="s">
        <v>368</v>
      </c>
      <c r="M619" s="133" t="s">
        <v>369</v>
      </c>
      <c r="N619" s="133"/>
      <c r="O619" s="133"/>
    </row>
    <row r="620" spans="1:15">
      <c r="A620" s="124" t="s">
        <v>362</v>
      </c>
      <c r="B620" s="124" t="s">
        <v>363</v>
      </c>
      <c r="C620" s="125">
        <v>45407</v>
      </c>
      <c r="D620" s="124" t="s">
        <v>370</v>
      </c>
      <c r="E620" s="126"/>
      <c r="F620" s="124" t="s">
        <v>365</v>
      </c>
      <c r="G620" s="126"/>
      <c r="H620" s="126">
        <v>-550.44000000000005</v>
      </c>
      <c r="I620" s="127">
        <v>-337486.2</v>
      </c>
      <c r="J620" s="128" t="s">
        <v>366</v>
      </c>
      <c r="K620" s="128" t="s">
        <v>367</v>
      </c>
      <c r="L620" s="128" t="s">
        <v>368</v>
      </c>
      <c r="M620" s="128" t="s">
        <v>369</v>
      </c>
      <c r="N620" s="128"/>
      <c r="O620" s="128"/>
    </row>
    <row r="621" spans="1:15">
      <c r="A621" s="129" t="s">
        <v>362</v>
      </c>
      <c r="B621" s="129" t="s">
        <v>363</v>
      </c>
      <c r="C621" s="130">
        <v>45407</v>
      </c>
      <c r="D621" s="129" t="s">
        <v>370</v>
      </c>
      <c r="E621" s="131"/>
      <c r="F621" s="129" t="s">
        <v>365</v>
      </c>
      <c r="G621" s="131"/>
      <c r="H621" s="131">
        <v>-77626.710000000006</v>
      </c>
      <c r="I621" s="132">
        <v>-47594549.359999999</v>
      </c>
      <c r="J621" s="133" t="s">
        <v>366</v>
      </c>
      <c r="K621" s="133" t="s">
        <v>367</v>
      </c>
      <c r="L621" s="133" t="s">
        <v>368</v>
      </c>
      <c r="M621" s="133" t="s">
        <v>369</v>
      </c>
      <c r="N621" s="133"/>
      <c r="O621" s="133"/>
    </row>
    <row r="622" spans="1:15">
      <c r="A622" s="124" t="s">
        <v>362</v>
      </c>
      <c r="B622" s="124" t="s">
        <v>363</v>
      </c>
      <c r="C622" s="125">
        <v>45407</v>
      </c>
      <c r="D622" s="124" t="s">
        <v>370</v>
      </c>
      <c r="E622" s="126"/>
      <c r="F622" s="124" t="s">
        <v>365</v>
      </c>
      <c r="G622" s="126"/>
      <c r="H622" s="126">
        <v>-97026.89</v>
      </c>
      <c r="I622" s="127">
        <v>-59489202.939999998</v>
      </c>
      <c r="J622" s="128" t="s">
        <v>366</v>
      </c>
      <c r="K622" s="128" t="s">
        <v>367</v>
      </c>
      <c r="L622" s="128" t="s">
        <v>368</v>
      </c>
      <c r="M622" s="128" t="s">
        <v>369</v>
      </c>
      <c r="N622" s="128"/>
      <c r="O622" s="128"/>
    </row>
    <row r="623" spans="1:15">
      <c r="A623" s="129" t="s">
        <v>362</v>
      </c>
      <c r="B623" s="129" t="s">
        <v>363</v>
      </c>
      <c r="C623" s="130">
        <v>45407</v>
      </c>
      <c r="D623" s="129" t="s">
        <v>370</v>
      </c>
      <c r="E623" s="131"/>
      <c r="F623" s="129" t="s">
        <v>365</v>
      </c>
      <c r="G623" s="131"/>
      <c r="H623" s="131">
        <v>-98957.89</v>
      </c>
      <c r="I623" s="132">
        <v>-60673139.18</v>
      </c>
      <c r="J623" s="133" t="s">
        <v>366</v>
      </c>
      <c r="K623" s="133" t="s">
        <v>367</v>
      </c>
      <c r="L623" s="133" t="s">
        <v>368</v>
      </c>
      <c r="M623" s="133" t="s">
        <v>369</v>
      </c>
      <c r="N623" s="133"/>
      <c r="O623" s="133"/>
    </row>
    <row r="624" spans="1:15">
      <c r="A624" s="124" t="s">
        <v>362</v>
      </c>
      <c r="B624" s="124" t="s">
        <v>363</v>
      </c>
      <c r="C624" s="125">
        <v>45407</v>
      </c>
      <c r="D624" s="124" t="s">
        <v>370</v>
      </c>
      <c r="E624" s="126"/>
      <c r="F624" s="124" t="s">
        <v>365</v>
      </c>
      <c r="G624" s="126"/>
      <c r="H624" s="126">
        <v>-118731.32</v>
      </c>
      <c r="I624" s="127">
        <v>-72796640.099999994</v>
      </c>
      <c r="J624" s="128" t="s">
        <v>366</v>
      </c>
      <c r="K624" s="128" t="s">
        <v>367</v>
      </c>
      <c r="L624" s="128" t="s">
        <v>368</v>
      </c>
      <c r="M624" s="128" t="s">
        <v>369</v>
      </c>
      <c r="N624" s="128"/>
      <c r="O624" s="128"/>
    </row>
    <row r="625" spans="1:15">
      <c r="A625" s="129" t="s">
        <v>362</v>
      </c>
      <c r="B625" s="129" t="s">
        <v>363</v>
      </c>
      <c r="C625" s="130">
        <v>45407</v>
      </c>
      <c r="D625" s="129" t="s">
        <v>370</v>
      </c>
      <c r="E625" s="131"/>
      <c r="F625" s="129" t="s">
        <v>365</v>
      </c>
      <c r="G625" s="131"/>
      <c r="H625" s="131">
        <v>-9868.8700000000008</v>
      </c>
      <c r="I625" s="132">
        <v>-6050809.3200000003</v>
      </c>
      <c r="J625" s="133" t="s">
        <v>366</v>
      </c>
      <c r="K625" s="133" t="s">
        <v>367</v>
      </c>
      <c r="L625" s="133" t="s">
        <v>368</v>
      </c>
      <c r="M625" s="133" t="s">
        <v>369</v>
      </c>
      <c r="N625" s="133"/>
      <c r="O625" s="133"/>
    </row>
    <row r="626" spans="1:15">
      <c r="A626" s="124" t="s">
        <v>362</v>
      </c>
      <c r="B626" s="124" t="s">
        <v>363</v>
      </c>
      <c r="C626" s="125">
        <v>45407</v>
      </c>
      <c r="D626" s="124" t="s">
        <v>370</v>
      </c>
      <c r="E626" s="126"/>
      <c r="F626" s="124" t="s">
        <v>365</v>
      </c>
      <c r="G626" s="126"/>
      <c r="H626" s="126">
        <v>-11595.18</v>
      </c>
      <c r="I626" s="127">
        <v>-7109245.8600000003</v>
      </c>
      <c r="J626" s="128" t="s">
        <v>366</v>
      </c>
      <c r="K626" s="128" t="s">
        <v>367</v>
      </c>
      <c r="L626" s="128" t="s">
        <v>368</v>
      </c>
      <c r="M626" s="128" t="s">
        <v>369</v>
      </c>
      <c r="N626" s="128"/>
      <c r="O626" s="128"/>
    </row>
    <row r="627" spans="1:15">
      <c r="A627" s="129" t="s">
        <v>362</v>
      </c>
      <c r="B627" s="129" t="s">
        <v>363</v>
      </c>
      <c r="C627" s="130">
        <v>45407</v>
      </c>
      <c r="D627" s="129" t="s">
        <v>370</v>
      </c>
      <c r="E627" s="131"/>
      <c r="F627" s="129" t="s">
        <v>365</v>
      </c>
      <c r="G627" s="131"/>
      <c r="H627" s="131">
        <v>-11990.53</v>
      </c>
      <c r="I627" s="132">
        <v>-7351643.1600000001</v>
      </c>
      <c r="J627" s="133" t="s">
        <v>366</v>
      </c>
      <c r="K627" s="133" t="s">
        <v>367</v>
      </c>
      <c r="L627" s="133" t="s">
        <v>368</v>
      </c>
      <c r="M627" s="133" t="s">
        <v>369</v>
      </c>
      <c r="N627" s="133"/>
      <c r="O627" s="133"/>
    </row>
    <row r="628" spans="1:15">
      <c r="A628" s="124" t="s">
        <v>362</v>
      </c>
      <c r="B628" s="124" t="s">
        <v>363</v>
      </c>
      <c r="C628" s="125">
        <v>45407</v>
      </c>
      <c r="D628" s="124" t="s">
        <v>370</v>
      </c>
      <c r="E628" s="126"/>
      <c r="F628" s="124" t="s">
        <v>365</v>
      </c>
      <c r="G628" s="126"/>
      <c r="H628" s="126">
        <v>-40.28</v>
      </c>
      <c r="I628" s="127">
        <v>-24696.51</v>
      </c>
      <c r="J628" s="128" t="s">
        <v>366</v>
      </c>
      <c r="K628" s="128" t="s">
        <v>367</v>
      </c>
      <c r="L628" s="128" t="s">
        <v>368</v>
      </c>
      <c r="M628" s="128" t="s">
        <v>369</v>
      </c>
      <c r="N628" s="128"/>
      <c r="O628" s="128"/>
    </row>
    <row r="629" spans="1:15">
      <c r="A629" s="129" t="s">
        <v>362</v>
      </c>
      <c r="B629" s="129" t="s">
        <v>363</v>
      </c>
      <c r="C629" s="130">
        <v>45407</v>
      </c>
      <c r="D629" s="129" t="s">
        <v>370</v>
      </c>
      <c r="E629" s="131"/>
      <c r="F629" s="129" t="s">
        <v>365</v>
      </c>
      <c r="G629" s="131"/>
      <c r="H629" s="131">
        <v>2133.63</v>
      </c>
      <c r="I629" s="132">
        <v>1308172.8999999999</v>
      </c>
      <c r="J629" s="133" t="s">
        <v>366</v>
      </c>
      <c r="K629" s="133" t="s">
        <v>367</v>
      </c>
      <c r="L629" s="133" t="s">
        <v>368</v>
      </c>
      <c r="M629" s="133" t="s">
        <v>369</v>
      </c>
      <c r="N629" s="133"/>
      <c r="O629" s="133"/>
    </row>
    <row r="630" spans="1:15">
      <c r="A630" s="124" t="s">
        <v>362</v>
      </c>
      <c r="B630" s="124" t="s">
        <v>363</v>
      </c>
      <c r="C630" s="125">
        <v>45407</v>
      </c>
      <c r="D630" s="124" t="s">
        <v>370</v>
      </c>
      <c r="E630" s="126"/>
      <c r="F630" s="124" t="s">
        <v>365</v>
      </c>
      <c r="G630" s="126"/>
      <c r="H630" s="126">
        <v>-11984.1</v>
      </c>
      <c r="I630" s="127">
        <v>-7347700.7999999998</v>
      </c>
      <c r="J630" s="128" t="s">
        <v>366</v>
      </c>
      <c r="K630" s="128" t="s">
        <v>367</v>
      </c>
      <c r="L630" s="128" t="s">
        <v>368</v>
      </c>
      <c r="M630" s="128" t="s">
        <v>369</v>
      </c>
      <c r="N630" s="128"/>
      <c r="O630" s="128"/>
    </row>
    <row r="631" spans="1:15">
      <c r="A631" s="129" t="s">
        <v>362</v>
      </c>
      <c r="B631" s="129" t="s">
        <v>363</v>
      </c>
      <c r="C631" s="130">
        <v>45407</v>
      </c>
      <c r="D631" s="129" t="s">
        <v>370</v>
      </c>
      <c r="E631" s="131"/>
      <c r="F631" s="129" t="s">
        <v>365</v>
      </c>
      <c r="G631" s="131"/>
      <c r="H631" s="131">
        <v>-3138.24</v>
      </c>
      <c r="I631" s="132">
        <v>-1924120.17</v>
      </c>
      <c r="J631" s="133" t="s">
        <v>366</v>
      </c>
      <c r="K631" s="133" t="s">
        <v>367</v>
      </c>
      <c r="L631" s="133" t="s">
        <v>368</v>
      </c>
      <c r="M631" s="133" t="s">
        <v>369</v>
      </c>
      <c r="N631" s="133"/>
      <c r="O631" s="133"/>
    </row>
    <row r="632" spans="1:15">
      <c r="A632" s="124" t="s">
        <v>362</v>
      </c>
      <c r="B632" s="124" t="s">
        <v>363</v>
      </c>
      <c r="C632" s="125">
        <v>45407</v>
      </c>
      <c r="D632" s="124" t="s">
        <v>374</v>
      </c>
      <c r="E632" s="126"/>
      <c r="F632" s="124" t="s">
        <v>365</v>
      </c>
      <c r="G632" s="126"/>
      <c r="H632" s="126">
        <v>-26475</v>
      </c>
      <c r="I632" s="127">
        <v>-16232372.779999999</v>
      </c>
      <c r="J632" s="128" t="s">
        <v>366</v>
      </c>
      <c r="K632" s="128" t="s">
        <v>367</v>
      </c>
      <c r="L632" s="128" t="s">
        <v>368</v>
      </c>
      <c r="M632" s="128" t="s">
        <v>369</v>
      </c>
      <c r="N632" s="128"/>
      <c r="O632" s="128"/>
    </row>
    <row r="633" spans="1:15">
      <c r="A633" s="129" t="s">
        <v>362</v>
      </c>
      <c r="B633" s="129" t="s">
        <v>363</v>
      </c>
      <c r="C633" s="130">
        <v>45407</v>
      </c>
      <c r="D633" s="129" t="s">
        <v>374</v>
      </c>
      <c r="E633" s="131"/>
      <c r="F633" s="129" t="s">
        <v>365</v>
      </c>
      <c r="G633" s="131"/>
      <c r="H633" s="131">
        <v>-112.6</v>
      </c>
      <c r="I633" s="132">
        <v>-69037.399999999994</v>
      </c>
      <c r="J633" s="133" t="s">
        <v>366</v>
      </c>
      <c r="K633" s="133" t="s">
        <v>367</v>
      </c>
      <c r="L633" s="133" t="s">
        <v>368</v>
      </c>
      <c r="M633" s="133" t="s">
        <v>369</v>
      </c>
      <c r="N633" s="133"/>
      <c r="O633" s="133"/>
    </row>
    <row r="634" spans="1:15">
      <c r="A634" s="124" t="s">
        <v>362</v>
      </c>
      <c r="B634" s="124" t="s">
        <v>363</v>
      </c>
      <c r="C634" s="125">
        <v>45407</v>
      </c>
      <c r="D634" s="124" t="s">
        <v>374</v>
      </c>
      <c r="E634" s="126"/>
      <c r="F634" s="124" t="s">
        <v>365</v>
      </c>
      <c r="G634" s="126"/>
      <c r="H634" s="126">
        <v>777.59</v>
      </c>
      <c r="I634" s="127">
        <v>476756.59</v>
      </c>
      <c r="J634" s="128" t="s">
        <v>366</v>
      </c>
      <c r="K634" s="128" t="s">
        <v>367</v>
      </c>
      <c r="L634" s="128" t="s">
        <v>368</v>
      </c>
      <c r="M634" s="128" t="s">
        <v>369</v>
      </c>
      <c r="N634" s="128"/>
      <c r="O634" s="128"/>
    </row>
    <row r="635" spans="1:15">
      <c r="A635" s="129" t="s">
        <v>362</v>
      </c>
      <c r="B635" s="129" t="s">
        <v>363</v>
      </c>
      <c r="C635" s="130">
        <v>45407</v>
      </c>
      <c r="D635" s="129" t="s">
        <v>374</v>
      </c>
      <c r="E635" s="131"/>
      <c r="F635" s="129" t="s">
        <v>365</v>
      </c>
      <c r="G635" s="131"/>
      <c r="H635" s="131">
        <v>30</v>
      </c>
      <c r="I635" s="132">
        <v>18393.62</v>
      </c>
      <c r="J635" s="133" t="s">
        <v>366</v>
      </c>
      <c r="K635" s="133" t="s">
        <v>367</v>
      </c>
      <c r="L635" s="133" t="s">
        <v>368</v>
      </c>
      <c r="M635" s="133" t="s">
        <v>369</v>
      </c>
      <c r="N635" s="133"/>
      <c r="O635" s="133"/>
    </row>
    <row r="636" spans="1:15">
      <c r="A636" s="124" t="s">
        <v>362</v>
      </c>
      <c r="B636" s="124" t="s">
        <v>363</v>
      </c>
      <c r="C636" s="125">
        <v>45407</v>
      </c>
      <c r="D636" s="124" t="s">
        <v>374</v>
      </c>
      <c r="E636" s="126"/>
      <c r="F636" s="124" t="s">
        <v>365</v>
      </c>
      <c r="G636" s="126"/>
      <c r="H636" s="126">
        <v>626.48</v>
      </c>
      <c r="I636" s="127">
        <v>384107.91</v>
      </c>
      <c r="J636" s="128" t="s">
        <v>366</v>
      </c>
      <c r="K636" s="128" t="s">
        <v>367</v>
      </c>
      <c r="L636" s="128" t="s">
        <v>368</v>
      </c>
      <c r="M636" s="128" t="s">
        <v>369</v>
      </c>
      <c r="N636" s="128"/>
      <c r="O636" s="128"/>
    </row>
    <row r="637" spans="1:15">
      <c r="A637" s="129" t="s">
        <v>362</v>
      </c>
      <c r="B637" s="129" t="s">
        <v>363</v>
      </c>
      <c r="C637" s="130">
        <v>45407</v>
      </c>
      <c r="D637" s="129" t="s">
        <v>374</v>
      </c>
      <c r="E637" s="131"/>
      <c r="F637" s="129" t="s">
        <v>365</v>
      </c>
      <c r="G637" s="131"/>
      <c r="H637" s="131">
        <v>-273.49</v>
      </c>
      <c r="I637" s="132">
        <v>-167682.4</v>
      </c>
      <c r="J637" s="133" t="s">
        <v>366</v>
      </c>
      <c r="K637" s="133" t="s">
        <v>367</v>
      </c>
      <c r="L637" s="133" t="s">
        <v>368</v>
      </c>
      <c r="M637" s="133" t="s">
        <v>369</v>
      </c>
      <c r="N637" s="133"/>
      <c r="O637" s="133"/>
    </row>
    <row r="638" spans="1:15">
      <c r="A638" s="124" t="s">
        <v>362</v>
      </c>
      <c r="B638" s="124" t="s">
        <v>363</v>
      </c>
      <c r="C638" s="125">
        <v>45407</v>
      </c>
      <c r="D638" s="124" t="s">
        <v>374</v>
      </c>
      <c r="E638" s="126"/>
      <c r="F638" s="124" t="s">
        <v>365</v>
      </c>
      <c r="G638" s="126"/>
      <c r="H638" s="126">
        <v>80.48</v>
      </c>
      <c r="I638" s="127">
        <v>49343.96</v>
      </c>
      <c r="J638" s="128" t="s">
        <v>366</v>
      </c>
      <c r="K638" s="128" t="s">
        <v>367</v>
      </c>
      <c r="L638" s="128" t="s">
        <v>368</v>
      </c>
      <c r="M638" s="128" t="s">
        <v>369</v>
      </c>
      <c r="N638" s="128"/>
      <c r="O638" s="128"/>
    </row>
    <row r="639" spans="1:15">
      <c r="A639" s="129" t="s">
        <v>362</v>
      </c>
      <c r="B639" s="129" t="s">
        <v>363</v>
      </c>
      <c r="C639" s="130">
        <v>45407</v>
      </c>
      <c r="D639" s="129" t="s">
        <v>374</v>
      </c>
      <c r="E639" s="131"/>
      <c r="F639" s="129" t="s">
        <v>365</v>
      </c>
      <c r="G639" s="131"/>
      <c r="H639" s="131">
        <v>564</v>
      </c>
      <c r="I639" s="132">
        <v>345800.12</v>
      </c>
      <c r="J639" s="133" t="s">
        <v>366</v>
      </c>
      <c r="K639" s="133" t="s">
        <v>367</v>
      </c>
      <c r="L639" s="133" t="s">
        <v>368</v>
      </c>
      <c r="M639" s="133" t="s">
        <v>369</v>
      </c>
      <c r="N639" s="133"/>
      <c r="O639" s="133"/>
    </row>
    <row r="640" spans="1:15">
      <c r="A640" s="124" t="s">
        <v>362</v>
      </c>
      <c r="B640" s="124" t="s">
        <v>363</v>
      </c>
      <c r="C640" s="125">
        <v>45407</v>
      </c>
      <c r="D640" s="124" t="s">
        <v>374</v>
      </c>
      <c r="E640" s="126"/>
      <c r="F640" s="124" t="s">
        <v>365</v>
      </c>
      <c r="G640" s="126"/>
      <c r="H640" s="126">
        <v>107.48</v>
      </c>
      <c r="I640" s="127">
        <v>65898.22</v>
      </c>
      <c r="J640" s="128" t="s">
        <v>366</v>
      </c>
      <c r="K640" s="128" t="s">
        <v>367</v>
      </c>
      <c r="L640" s="128" t="s">
        <v>368</v>
      </c>
      <c r="M640" s="128" t="s">
        <v>369</v>
      </c>
      <c r="N640" s="128"/>
      <c r="O640" s="128"/>
    </row>
    <row r="641" spans="1:15">
      <c r="A641" s="129" t="s">
        <v>362</v>
      </c>
      <c r="B641" s="129" t="s">
        <v>363</v>
      </c>
      <c r="C641" s="130">
        <v>45407</v>
      </c>
      <c r="D641" s="129" t="s">
        <v>374</v>
      </c>
      <c r="E641" s="131"/>
      <c r="F641" s="129" t="s">
        <v>365</v>
      </c>
      <c r="G641" s="131"/>
      <c r="H641" s="131">
        <v>-5670</v>
      </c>
      <c r="I641" s="132">
        <v>-3476394.85</v>
      </c>
      <c r="J641" s="133" t="s">
        <v>366</v>
      </c>
      <c r="K641" s="133" t="s">
        <v>367</v>
      </c>
      <c r="L641" s="133" t="s">
        <v>368</v>
      </c>
      <c r="M641" s="133" t="s">
        <v>369</v>
      </c>
      <c r="N641" s="133"/>
      <c r="O641" s="133"/>
    </row>
    <row r="642" spans="1:15">
      <c r="A642" s="124" t="s">
        <v>362</v>
      </c>
      <c r="B642" s="124" t="s">
        <v>363</v>
      </c>
      <c r="C642" s="125">
        <v>45407</v>
      </c>
      <c r="D642" s="124" t="s">
        <v>374</v>
      </c>
      <c r="E642" s="126"/>
      <c r="F642" s="124" t="s">
        <v>365</v>
      </c>
      <c r="G642" s="126"/>
      <c r="H642" s="126">
        <v>-2083.89</v>
      </c>
      <c r="I642" s="127">
        <v>-1277676.27</v>
      </c>
      <c r="J642" s="128" t="s">
        <v>366</v>
      </c>
      <c r="K642" s="128" t="s">
        <v>367</v>
      </c>
      <c r="L642" s="128" t="s">
        <v>368</v>
      </c>
      <c r="M642" s="128" t="s">
        <v>369</v>
      </c>
      <c r="N642" s="128"/>
      <c r="O642" s="128"/>
    </row>
    <row r="643" spans="1:15">
      <c r="A643" s="129" t="s">
        <v>362</v>
      </c>
      <c r="B643" s="129" t="s">
        <v>363</v>
      </c>
      <c r="C643" s="130">
        <v>45407</v>
      </c>
      <c r="D643" s="129" t="s">
        <v>374</v>
      </c>
      <c r="E643" s="131"/>
      <c r="F643" s="129" t="s">
        <v>365</v>
      </c>
      <c r="G643" s="131"/>
      <c r="H643" s="131">
        <v>-3085.2</v>
      </c>
      <c r="I643" s="132">
        <v>-1891600.25</v>
      </c>
      <c r="J643" s="133" t="s">
        <v>366</v>
      </c>
      <c r="K643" s="133" t="s">
        <v>367</v>
      </c>
      <c r="L643" s="133" t="s">
        <v>368</v>
      </c>
      <c r="M643" s="133" t="s">
        <v>369</v>
      </c>
      <c r="N643" s="133"/>
      <c r="O643" s="133"/>
    </row>
    <row r="644" spans="1:15">
      <c r="A644" s="124" t="s">
        <v>362</v>
      </c>
      <c r="B644" s="124" t="s">
        <v>363</v>
      </c>
      <c r="C644" s="125">
        <v>45407</v>
      </c>
      <c r="D644" s="124" t="s">
        <v>374</v>
      </c>
      <c r="E644" s="126"/>
      <c r="F644" s="124" t="s">
        <v>365</v>
      </c>
      <c r="G644" s="126"/>
      <c r="H644" s="126">
        <v>-2300.4</v>
      </c>
      <c r="I644" s="127">
        <v>-1410423.05</v>
      </c>
      <c r="J644" s="128" t="s">
        <v>366</v>
      </c>
      <c r="K644" s="128" t="s">
        <v>367</v>
      </c>
      <c r="L644" s="128" t="s">
        <v>368</v>
      </c>
      <c r="M644" s="128" t="s">
        <v>369</v>
      </c>
      <c r="N644" s="128"/>
      <c r="O644" s="128"/>
    </row>
    <row r="645" spans="1:15">
      <c r="A645" s="129" t="s">
        <v>362</v>
      </c>
      <c r="B645" s="129" t="s">
        <v>363</v>
      </c>
      <c r="C645" s="130">
        <v>45407</v>
      </c>
      <c r="D645" s="129" t="s">
        <v>374</v>
      </c>
      <c r="E645" s="131"/>
      <c r="F645" s="129" t="s">
        <v>365</v>
      </c>
      <c r="G645" s="131"/>
      <c r="H645" s="131">
        <v>1542.3</v>
      </c>
      <c r="I645" s="132">
        <v>945616.19</v>
      </c>
      <c r="J645" s="133" t="s">
        <v>366</v>
      </c>
      <c r="K645" s="133" t="s">
        <v>367</v>
      </c>
      <c r="L645" s="133" t="s">
        <v>368</v>
      </c>
      <c r="M645" s="133" t="s">
        <v>369</v>
      </c>
      <c r="N645" s="133"/>
      <c r="O645" s="133"/>
    </row>
    <row r="646" spans="1:15">
      <c r="A646" s="124" t="s">
        <v>362</v>
      </c>
      <c r="B646" s="124" t="s">
        <v>363</v>
      </c>
      <c r="C646" s="125">
        <v>45407</v>
      </c>
      <c r="D646" s="124" t="s">
        <v>374</v>
      </c>
      <c r="E646" s="126"/>
      <c r="F646" s="124" t="s">
        <v>365</v>
      </c>
      <c r="G646" s="126"/>
      <c r="H646" s="126">
        <v>-2571</v>
      </c>
      <c r="I646" s="127">
        <v>-1576333.54</v>
      </c>
      <c r="J646" s="128" t="s">
        <v>366</v>
      </c>
      <c r="K646" s="128" t="s">
        <v>367</v>
      </c>
      <c r="L646" s="128" t="s">
        <v>368</v>
      </c>
      <c r="M646" s="128" t="s">
        <v>369</v>
      </c>
      <c r="N646" s="128"/>
      <c r="O646" s="128"/>
    </row>
    <row r="647" spans="1:15">
      <c r="A647" s="129" t="s">
        <v>362</v>
      </c>
      <c r="B647" s="129" t="s">
        <v>363</v>
      </c>
      <c r="C647" s="130">
        <v>45407</v>
      </c>
      <c r="D647" s="129" t="s">
        <v>374</v>
      </c>
      <c r="E647" s="131"/>
      <c r="F647" s="129" t="s">
        <v>365</v>
      </c>
      <c r="G647" s="131"/>
      <c r="H647" s="131">
        <v>-145.97999999999999</v>
      </c>
      <c r="I647" s="132">
        <v>-89503.37</v>
      </c>
      <c r="J647" s="133" t="s">
        <v>366</v>
      </c>
      <c r="K647" s="133" t="s">
        <v>367</v>
      </c>
      <c r="L647" s="133" t="s">
        <v>368</v>
      </c>
      <c r="M647" s="133" t="s">
        <v>369</v>
      </c>
      <c r="N647" s="133"/>
      <c r="O647" s="133"/>
    </row>
    <row r="648" spans="1:15">
      <c r="A648" s="124" t="s">
        <v>362</v>
      </c>
      <c r="B648" s="124" t="s">
        <v>363</v>
      </c>
      <c r="C648" s="125">
        <v>45407</v>
      </c>
      <c r="D648" s="124" t="s">
        <v>374</v>
      </c>
      <c r="E648" s="126"/>
      <c r="F648" s="124" t="s">
        <v>365</v>
      </c>
      <c r="G648" s="126"/>
      <c r="H648" s="126">
        <v>-153.24</v>
      </c>
      <c r="I648" s="127">
        <v>-93954.63</v>
      </c>
      <c r="J648" s="128" t="s">
        <v>366</v>
      </c>
      <c r="K648" s="128" t="s">
        <v>367</v>
      </c>
      <c r="L648" s="128" t="s">
        <v>368</v>
      </c>
      <c r="M648" s="128" t="s">
        <v>369</v>
      </c>
      <c r="N648" s="128"/>
      <c r="O648" s="128"/>
    </row>
    <row r="649" spans="1:15">
      <c r="A649" s="129" t="s">
        <v>362</v>
      </c>
      <c r="B649" s="129" t="s">
        <v>363</v>
      </c>
      <c r="C649" s="130">
        <v>45407</v>
      </c>
      <c r="D649" s="129" t="s">
        <v>374</v>
      </c>
      <c r="E649" s="131"/>
      <c r="F649" s="129" t="s">
        <v>365</v>
      </c>
      <c r="G649" s="131"/>
      <c r="H649" s="131">
        <v>-16024.4</v>
      </c>
      <c r="I649" s="132">
        <v>-9824892.6999999993</v>
      </c>
      <c r="J649" s="133" t="s">
        <v>366</v>
      </c>
      <c r="K649" s="133" t="s">
        <v>367</v>
      </c>
      <c r="L649" s="133" t="s">
        <v>368</v>
      </c>
      <c r="M649" s="133" t="s">
        <v>369</v>
      </c>
      <c r="N649" s="133"/>
      <c r="O649" s="133"/>
    </row>
    <row r="650" spans="1:15">
      <c r="A650" s="124" t="s">
        <v>362</v>
      </c>
      <c r="B650" s="124" t="s">
        <v>363</v>
      </c>
      <c r="C650" s="125">
        <v>45407</v>
      </c>
      <c r="D650" s="124" t="s">
        <v>374</v>
      </c>
      <c r="E650" s="126"/>
      <c r="F650" s="124" t="s">
        <v>365</v>
      </c>
      <c r="G650" s="126"/>
      <c r="H650" s="126">
        <v>283.8</v>
      </c>
      <c r="I650" s="127">
        <v>174003.68</v>
      </c>
      <c r="J650" s="128" t="s">
        <v>366</v>
      </c>
      <c r="K650" s="128" t="s">
        <v>367</v>
      </c>
      <c r="L650" s="128" t="s">
        <v>368</v>
      </c>
      <c r="M650" s="128" t="s">
        <v>369</v>
      </c>
      <c r="N650" s="128"/>
      <c r="O650" s="128"/>
    </row>
    <row r="651" spans="1:15">
      <c r="A651" s="129" t="s">
        <v>362</v>
      </c>
      <c r="B651" s="129" t="s">
        <v>363</v>
      </c>
      <c r="C651" s="130">
        <v>45407</v>
      </c>
      <c r="D651" s="129" t="s">
        <v>374</v>
      </c>
      <c r="E651" s="131"/>
      <c r="F651" s="129" t="s">
        <v>365</v>
      </c>
      <c r="G651" s="131"/>
      <c r="H651" s="131">
        <v>-7567.67</v>
      </c>
      <c r="I651" s="132">
        <v>-4639895.7699999996</v>
      </c>
      <c r="J651" s="133" t="s">
        <v>366</v>
      </c>
      <c r="K651" s="133" t="s">
        <v>367</v>
      </c>
      <c r="L651" s="133" t="s">
        <v>368</v>
      </c>
      <c r="M651" s="133" t="s">
        <v>369</v>
      </c>
      <c r="N651" s="133"/>
      <c r="O651" s="133"/>
    </row>
    <row r="652" spans="1:15">
      <c r="A652" s="124" t="s">
        <v>362</v>
      </c>
      <c r="B652" s="124" t="s">
        <v>363</v>
      </c>
      <c r="C652" s="125">
        <v>45407</v>
      </c>
      <c r="D652" s="124" t="s">
        <v>374</v>
      </c>
      <c r="E652" s="126"/>
      <c r="F652" s="124" t="s">
        <v>365</v>
      </c>
      <c r="G652" s="126"/>
      <c r="H652" s="126">
        <v>159.47</v>
      </c>
      <c r="I652" s="127">
        <v>97774.37</v>
      </c>
      <c r="J652" s="128" t="s">
        <v>366</v>
      </c>
      <c r="K652" s="128" t="s">
        <v>367</v>
      </c>
      <c r="L652" s="128" t="s">
        <v>368</v>
      </c>
      <c r="M652" s="128" t="s">
        <v>369</v>
      </c>
      <c r="N652" s="128"/>
      <c r="O652" s="128"/>
    </row>
    <row r="653" spans="1:15">
      <c r="A653" s="129" t="s">
        <v>362</v>
      </c>
      <c r="B653" s="129" t="s">
        <v>363</v>
      </c>
      <c r="C653" s="130">
        <v>45407</v>
      </c>
      <c r="D653" s="129" t="s">
        <v>374</v>
      </c>
      <c r="E653" s="131"/>
      <c r="F653" s="129" t="s">
        <v>365</v>
      </c>
      <c r="G653" s="131"/>
      <c r="H653" s="131">
        <v>-4741.2299999999996</v>
      </c>
      <c r="I653" s="132">
        <v>-2906946.66</v>
      </c>
      <c r="J653" s="133" t="s">
        <v>366</v>
      </c>
      <c r="K653" s="133" t="s">
        <v>367</v>
      </c>
      <c r="L653" s="133" t="s">
        <v>368</v>
      </c>
      <c r="M653" s="133" t="s">
        <v>369</v>
      </c>
      <c r="N653" s="133"/>
      <c r="O653" s="133"/>
    </row>
    <row r="654" spans="1:15">
      <c r="A654" s="124" t="s">
        <v>362</v>
      </c>
      <c r="B654" s="124" t="s">
        <v>363</v>
      </c>
      <c r="C654" s="125">
        <v>45407</v>
      </c>
      <c r="D654" s="124" t="s">
        <v>374</v>
      </c>
      <c r="E654" s="126"/>
      <c r="F654" s="124" t="s">
        <v>365</v>
      </c>
      <c r="G654" s="126"/>
      <c r="H654" s="126">
        <v>159.47</v>
      </c>
      <c r="I654" s="127">
        <v>97774.37</v>
      </c>
      <c r="J654" s="128" t="s">
        <v>366</v>
      </c>
      <c r="K654" s="128" t="s">
        <v>367</v>
      </c>
      <c r="L654" s="128" t="s">
        <v>368</v>
      </c>
      <c r="M654" s="128" t="s">
        <v>369</v>
      </c>
      <c r="N654" s="128"/>
      <c r="O654" s="128"/>
    </row>
    <row r="655" spans="1:15">
      <c r="A655" s="129" t="s">
        <v>362</v>
      </c>
      <c r="B655" s="129" t="s">
        <v>363</v>
      </c>
      <c r="C655" s="130">
        <v>45407</v>
      </c>
      <c r="D655" s="129" t="s">
        <v>374</v>
      </c>
      <c r="E655" s="131"/>
      <c r="F655" s="129" t="s">
        <v>365</v>
      </c>
      <c r="G655" s="131"/>
      <c r="H655" s="131">
        <v>263.20999999999998</v>
      </c>
      <c r="I655" s="132">
        <v>161379.51999999999</v>
      </c>
      <c r="J655" s="133" t="s">
        <v>366</v>
      </c>
      <c r="K655" s="133" t="s">
        <v>367</v>
      </c>
      <c r="L655" s="133" t="s">
        <v>368</v>
      </c>
      <c r="M655" s="133" t="s">
        <v>369</v>
      </c>
      <c r="N655" s="133"/>
      <c r="O655" s="133"/>
    </row>
    <row r="656" spans="1:15">
      <c r="A656" s="124" t="s">
        <v>362</v>
      </c>
      <c r="B656" s="124" t="s">
        <v>363</v>
      </c>
      <c r="C656" s="125">
        <v>45407</v>
      </c>
      <c r="D656" s="124" t="s">
        <v>372</v>
      </c>
      <c r="E656" s="126"/>
      <c r="F656" s="124" t="s">
        <v>365</v>
      </c>
      <c r="G656" s="126"/>
      <c r="H656" s="126">
        <v>167.48</v>
      </c>
      <c r="I656" s="127">
        <v>102685.47</v>
      </c>
      <c r="J656" s="128" t="s">
        <v>366</v>
      </c>
      <c r="K656" s="128" t="s">
        <v>367</v>
      </c>
      <c r="L656" s="128" t="s">
        <v>368</v>
      </c>
      <c r="M656" s="128" t="s">
        <v>369</v>
      </c>
      <c r="N656" s="128"/>
      <c r="O656" s="128"/>
    </row>
    <row r="657" spans="1:15">
      <c r="A657" s="129" t="s">
        <v>362</v>
      </c>
      <c r="B657" s="129" t="s">
        <v>363</v>
      </c>
      <c r="C657" s="130">
        <v>45407</v>
      </c>
      <c r="D657" s="129" t="s">
        <v>372</v>
      </c>
      <c r="E657" s="131"/>
      <c r="F657" s="129" t="s">
        <v>365</v>
      </c>
      <c r="G657" s="131"/>
      <c r="H657" s="131">
        <v>-1356.52</v>
      </c>
      <c r="I657" s="132">
        <v>-831710.61</v>
      </c>
      <c r="J657" s="133" t="s">
        <v>366</v>
      </c>
      <c r="K657" s="133" t="s">
        <v>367</v>
      </c>
      <c r="L657" s="133" t="s">
        <v>368</v>
      </c>
      <c r="M657" s="133" t="s">
        <v>369</v>
      </c>
      <c r="N657" s="133"/>
      <c r="O657" s="133"/>
    </row>
    <row r="658" spans="1:15">
      <c r="A658" s="124" t="s">
        <v>362</v>
      </c>
      <c r="B658" s="124" t="s">
        <v>363</v>
      </c>
      <c r="C658" s="125">
        <v>45407</v>
      </c>
      <c r="D658" s="124" t="s">
        <v>372</v>
      </c>
      <c r="E658" s="126"/>
      <c r="F658" s="124" t="s">
        <v>365</v>
      </c>
      <c r="G658" s="126"/>
      <c r="H658" s="126">
        <v>-11001</v>
      </c>
      <c r="I658" s="127">
        <v>-6744941.75</v>
      </c>
      <c r="J658" s="128" t="s">
        <v>366</v>
      </c>
      <c r="K658" s="128" t="s">
        <v>367</v>
      </c>
      <c r="L658" s="128" t="s">
        <v>368</v>
      </c>
      <c r="M658" s="128" t="s">
        <v>369</v>
      </c>
      <c r="N658" s="128"/>
      <c r="O658" s="128"/>
    </row>
    <row r="659" spans="1:15">
      <c r="A659" s="129" t="s">
        <v>362</v>
      </c>
      <c r="B659" s="129" t="s">
        <v>363</v>
      </c>
      <c r="C659" s="130">
        <v>45407</v>
      </c>
      <c r="D659" s="129" t="s">
        <v>372</v>
      </c>
      <c r="E659" s="131"/>
      <c r="F659" s="129" t="s">
        <v>365</v>
      </c>
      <c r="G659" s="131"/>
      <c r="H659" s="131">
        <v>92.48</v>
      </c>
      <c r="I659" s="132">
        <v>56701.41</v>
      </c>
      <c r="J659" s="133" t="s">
        <v>366</v>
      </c>
      <c r="K659" s="133" t="s">
        <v>367</v>
      </c>
      <c r="L659" s="133" t="s">
        <v>368</v>
      </c>
      <c r="M659" s="133" t="s">
        <v>369</v>
      </c>
      <c r="N659" s="133"/>
      <c r="O659" s="133"/>
    </row>
    <row r="660" spans="1:15">
      <c r="A660" s="124" t="s">
        <v>362</v>
      </c>
      <c r="B660" s="124" t="s">
        <v>363</v>
      </c>
      <c r="C660" s="125">
        <v>45407</v>
      </c>
      <c r="D660" s="124" t="s">
        <v>372</v>
      </c>
      <c r="E660" s="126"/>
      <c r="F660" s="124" t="s">
        <v>365</v>
      </c>
      <c r="G660" s="126"/>
      <c r="H660" s="126">
        <v>752</v>
      </c>
      <c r="I660" s="127">
        <v>461066.83</v>
      </c>
      <c r="J660" s="128" t="s">
        <v>366</v>
      </c>
      <c r="K660" s="128" t="s">
        <v>367</v>
      </c>
      <c r="L660" s="128" t="s">
        <v>368</v>
      </c>
      <c r="M660" s="128" t="s">
        <v>369</v>
      </c>
      <c r="N660" s="128"/>
      <c r="O660" s="128"/>
    </row>
    <row r="661" spans="1:15">
      <c r="A661" s="129" t="s">
        <v>362</v>
      </c>
      <c r="B661" s="129" t="s">
        <v>363</v>
      </c>
      <c r="C661" s="130">
        <v>45407</v>
      </c>
      <c r="D661" s="129" t="s">
        <v>372</v>
      </c>
      <c r="E661" s="131"/>
      <c r="F661" s="129" t="s">
        <v>365</v>
      </c>
      <c r="G661" s="131"/>
      <c r="H661" s="131">
        <v>242.48</v>
      </c>
      <c r="I661" s="132">
        <v>148669.53</v>
      </c>
      <c r="J661" s="133" t="s">
        <v>366</v>
      </c>
      <c r="K661" s="133" t="s">
        <v>367</v>
      </c>
      <c r="L661" s="133" t="s">
        <v>368</v>
      </c>
      <c r="M661" s="133" t="s">
        <v>369</v>
      </c>
      <c r="N661" s="133"/>
      <c r="O661" s="133"/>
    </row>
    <row r="662" spans="1:15">
      <c r="A662" s="124" t="s">
        <v>362</v>
      </c>
      <c r="B662" s="124" t="s">
        <v>363</v>
      </c>
      <c r="C662" s="125">
        <v>45407</v>
      </c>
      <c r="D662" s="124" t="s">
        <v>372</v>
      </c>
      <c r="E662" s="126"/>
      <c r="F662" s="124" t="s">
        <v>365</v>
      </c>
      <c r="G662" s="126"/>
      <c r="H662" s="126">
        <v>-855.54</v>
      </c>
      <c r="I662" s="127">
        <v>-524549.36</v>
      </c>
      <c r="J662" s="128" t="s">
        <v>366</v>
      </c>
      <c r="K662" s="128" t="s">
        <v>367</v>
      </c>
      <c r="L662" s="128" t="s">
        <v>368</v>
      </c>
      <c r="M662" s="128" t="s">
        <v>369</v>
      </c>
      <c r="N662" s="128"/>
      <c r="O662" s="128"/>
    </row>
    <row r="663" spans="1:15">
      <c r="A663" s="129" t="s">
        <v>362</v>
      </c>
      <c r="B663" s="129" t="s">
        <v>363</v>
      </c>
      <c r="C663" s="130">
        <v>45407</v>
      </c>
      <c r="D663" s="129" t="s">
        <v>372</v>
      </c>
      <c r="E663" s="131"/>
      <c r="F663" s="129" t="s">
        <v>365</v>
      </c>
      <c r="G663" s="131"/>
      <c r="H663" s="131">
        <v>80.510000000000005</v>
      </c>
      <c r="I663" s="132">
        <v>49362.35</v>
      </c>
      <c r="J663" s="133" t="s">
        <v>366</v>
      </c>
      <c r="K663" s="133" t="s">
        <v>367</v>
      </c>
      <c r="L663" s="133" t="s">
        <v>368</v>
      </c>
      <c r="M663" s="133" t="s">
        <v>369</v>
      </c>
      <c r="N663" s="133"/>
      <c r="O663" s="133"/>
    </row>
    <row r="664" spans="1:15">
      <c r="A664" s="124" t="s">
        <v>362</v>
      </c>
      <c r="B664" s="124" t="s">
        <v>363</v>
      </c>
      <c r="C664" s="125">
        <v>45407</v>
      </c>
      <c r="D664" s="124" t="s">
        <v>372</v>
      </c>
      <c r="E664" s="126"/>
      <c r="F664" s="124" t="s">
        <v>365</v>
      </c>
      <c r="G664" s="126"/>
      <c r="H664" s="126">
        <v>-3003</v>
      </c>
      <c r="I664" s="127">
        <v>-1841201.72</v>
      </c>
      <c r="J664" s="128" t="s">
        <v>366</v>
      </c>
      <c r="K664" s="128" t="s">
        <v>367</v>
      </c>
      <c r="L664" s="128" t="s">
        <v>368</v>
      </c>
      <c r="M664" s="128" t="s">
        <v>369</v>
      </c>
      <c r="N664" s="128"/>
      <c r="O664" s="128"/>
    </row>
    <row r="665" spans="1:15">
      <c r="A665" s="129" t="s">
        <v>362</v>
      </c>
      <c r="B665" s="129" t="s">
        <v>363</v>
      </c>
      <c r="C665" s="130">
        <v>45407</v>
      </c>
      <c r="D665" s="129" t="s">
        <v>372</v>
      </c>
      <c r="E665" s="131"/>
      <c r="F665" s="129" t="s">
        <v>365</v>
      </c>
      <c r="G665" s="131"/>
      <c r="H665" s="131">
        <v>-5264.56</v>
      </c>
      <c r="I665" s="132">
        <v>-3227811.16</v>
      </c>
      <c r="J665" s="133" t="s">
        <v>366</v>
      </c>
      <c r="K665" s="133" t="s">
        <v>367</v>
      </c>
      <c r="L665" s="133" t="s">
        <v>368</v>
      </c>
      <c r="M665" s="133" t="s">
        <v>369</v>
      </c>
      <c r="N665" s="133"/>
      <c r="O665" s="133"/>
    </row>
    <row r="666" spans="1:15">
      <c r="A666" s="124" t="s">
        <v>362</v>
      </c>
      <c r="B666" s="124" t="s">
        <v>363</v>
      </c>
      <c r="C666" s="125">
        <v>45407</v>
      </c>
      <c r="D666" s="124" t="s">
        <v>372</v>
      </c>
      <c r="E666" s="126"/>
      <c r="F666" s="124" t="s">
        <v>365</v>
      </c>
      <c r="G666" s="126"/>
      <c r="H666" s="126">
        <v>940</v>
      </c>
      <c r="I666" s="127">
        <v>576333.54</v>
      </c>
      <c r="J666" s="128" t="s">
        <v>366</v>
      </c>
      <c r="K666" s="128" t="s">
        <v>367</v>
      </c>
      <c r="L666" s="128" t="s">
        <v>368</v>
      </c>
      <c r="M666" s="128" t="s">
        <v>369</v>
      </c>
      <c r="N666" s="128"/>
      <c r="O666" s="128"/>
    </row>
    <row r="667" spans="1:15">
      <c r="A667" s="129" t="s">
        <v>362</v>
      </c>
      <c r="B667" s="129" t="s">
        <v>363</v>
      </c>
      <c r="C667" s="130">
        <v>45407</v>
      </c>
      <c r="D667" s="129" t="s">
        <v>372</v>
      </c>
      <c r="E667" s="131"/>
      <c r="F667" s="129" t="s">
        <v>365</v>
      </c>
      <c r="G667" s="131"/>
      <c r="H667" s="131">
        <v>-34720</v>
      </c>
      <c r="I667" s="132">
        <v>-21287553.649999999</v>
      </c>
      <c r="J667" s="133" t="s">
        <v>366</v>
      </c>
      <c r="K667" s="133" t="s">
        <v>367</v>
      </c>
      <c r="L667" s="133" t="s">
        <v>368</v>
      </c>
      <c r="M667" s="133" t="s">
        <v>369</v>
      </c>
      <c r="N667" s="133"/>
      <c r="O667" s="133"/>
    </row>
    <row r="668" spans="1:15">
      <c r="A668" s="124" t="s">
        <v>362</v>
      </c>
      <c r="B668" s="124" t="s">
        <v>363</v>
      </c>
      <c r="C668" s="125">
        <v>45407</v>
      </c>
      <c r="D668" s="124" t="s">
        <v>372</v>
      </c>
      <c r="E668" s="126"/>
      <c r="F668" s="124" t="s">
        <v>365</v>
      </c>
      <c r="G668" s="126"/>
      <c r="H668" s="126">
        <v>-195.46</v>
      </c>
      <c r="I668" s="127">
        <v>-119840.59</v>
      </c>
      <c r="J668" s="128" t="s">
        <v>366</v>
      </c>
      <c r="K668" s="128" t="s">
        <v>367</v>
      </c>
      <c r="L668" s="128" t="s">
        <v>368</v>
      </c>
      <c r="M668" s="128" t="s">
        <v>369</v>
      </c>
      <c r="N668" s="128"/>
      <c r="O668" s="128"/>
    </row>
    <row r="669" spans="1:15">
      <c r="A669" s="129" t="s">
        <v>362</v>
      </c>
      <c r="B669" s="129" t="s">
        <v>363</v>
      </c>
      <c r="C669" s="130">
        <v>45407</v>
      </c>
      <c r="D669" s="129" t="s">
        <v>372</v>
      </c>
      <c r="E669" s="131"/>
      <c r="F669" s="129" t="s">
        <v>365</v>
      </c>
      <c r="G669" s="131"/>
      <c r="H669" s="131">
        <v>-2404</v>
      </c>
      <c r="I669" s="132">
        <v>-1473942.37</v>
      </c>
      <c r="J669" s="133" t="s">
        <v>366</v>
      </c>
      <c r="K669" s="133" t="s">
        <v>367</v>
      </c>
      <c r="L669" s="133" t="s">
        <v>368</v>
      </c>
      <c r="M669" s="133" t="s">
        <v>369</v>
      </c>
      <c r="N669" s="133"/>
      <c r="O669" s="133"/>
    </row>
    <row r="670" spans="1:15">
      <c r="A670" s="124" t="s">
        <v>362</v>
      </c>
      <c r="B670" s="124" t="s">
        <v>363</v>
      </c>
      <c r="C670" s="125">
        <v>45407</v>
      </c>
      <c r="D670" s="124" t="s">
        <v>372</v>
      </c>
      <c r="E670" s="126"/>
      <c r="F670" s="124" t="s">
        <v>365</v>
      </c>
      <c r="G670" s="126"/>
      <c r="H670" s="126">
        <v>-808</v>
      </c>
      <c r="I670" s="127">
        <v>-495401.59</v>
      </c>
      <c r="J670" s="128" t="s">
        <v>366</v>
      </c>
      <c r="K670" s="128" t="s">
        <v>367</v>
      </c>
      <c r="L670" s="128" t="s">
        <v>368</v>
      </c>
      <c r="M670" s="128" t="s">
        <v>369</v>
      </c>
      <c r="N670" s="128"/>
      <c r="O670" s="128"/>
    </row>
    <row r="671" spans="1:15">
      <c r="A671" s="129" t="s">
        <v>362</v>
      </c>
      <c r="B671" s="129" t="s">
        <v>363</v>
      </c>
      <c r="C671" s="130">
        <v>45407</v>
      </c>
      <c r="D671" s="129" t="s">
        <v>372</v>
      </c>
      <c r="E671" s="131"/>
      <c r="F671" s="129" t="s">
        <v>365</v>
      </c>
      <c r="G671" s="131"/>
      <c r="H671" s="131">
        <v>-5264.56</v>
      </c>
      <c r="I671" s="132">
        <v>-3227811.16</v>
      </c>
      <c r="J671" s="133" t="s">
        <v>366</v>
      </c>
      <c r="K671" s="133" t="s">
        <v>367</v>
      </c>
      <c r="L671" s="133" t="s">
        <v>368</v>
      </c>
      <c r="M671" s="133" t="s">
        <v>369</v>
      </c>
      <c r="N671" s="133"/>
      <c r="O671" s="133"/>
    </row>
    <row r="672" spans="1:15">
      <c r="A672" s="124" t="s">
        <v>362</v>
      </c>
      <c r="B672" s="124" t="s">
        <v>363</v>
      </c>
      <c r="C672" s="125">
        <v>45407</v>
      </c>
      <c r="D672" s="124" t="s">
        <v>372</v>
      </c>
      <c r="E672" s="126"/>
      <c r="F672" s="124" t="s">
        <v>365</v>
      </c>
      <c r="G672" s="126"/>
      <c r="H672" s="126">
        <v>-233.11</v>
      </c>
      <c r="I672" s="127">
        <v>-142924.59</v>
      </c>
      <c r="J672" s="128" t="s">
        <v>366</v>
      </c>
      <c r="K672" s="128" t="s">
        <v>367</v>
      </c>
      <c r="L672" s="128" t="s">
        <v>368</v>
      </c>
      <c r="M672" s="128" t="s">
        <v>369</v>
      </c>
      <c r="N672" s="128"/>
      <c r="O672" s="128"/>
    </row>
    <row r="673" spans="1:15">
      <c r="A673" s="129" t="s">
        <v>362</v>
      </c>
      <c r="B673" s="129" t="s">
        <v>363</v>
      </c>
      <c r="C673" s="130">
        <v>45407</v>
      </c>
      <c r="D673" s="129" t="s">
        <v>372</v>
      </c>
      <c r="E673" s="131"/>
      <c r="F673" s="129" t="s">
        <v>365</v>
      </c>
      <c r="G673" s="131"/>
      <c r="H673" s="131">
        <v>754</v>
      </c>
      <c r="I673" s="132">
        <v>462293.07</v>
      </c>
      <c r="J673" s="133" t="s">
        <v>366</v>
      </c>
      <c r="K673" s="133" t="s">
        <v>367</v>
      </c>
      <c r="L673" s="133" t="s">
        <v>368</v>
      </c>
      <c r="M673" s="133" t="s">
        <v>369</v>
      </c>
      <c r="N673" s="133"/>
      <c r="O673" s="133"/>
    </row>
    <row r="674" spans="1:15">
      <c r="A674" s="124" t="s">
        <v>362</v>
      </c>
      <c r="B674" s="124" t="s">
        <v>363</v>
      </c>
      <c r="C674" s="125">
        <v>45407</v>
      </c>
      <c r="D674" s="124" t="s">
        <v>372</v>
      </c>
      <c r="E674" s="126"/>
      <c r="F674" s="124" t="s">
        <v>365</v>
      </c>
      <c r="G674" s="126"/>
      <c r="H674" s="126">
        <v>-160.27000000000001</v>
      </c>
      <c r="I674" s="127">
        <v>-98264.87</v>
      </c>
      <c r="J674" s="128" t="s">
        <v>366</v>
      </c>
      <c r="K674" s="128" t="s">
        <v>367</v>
      </c>
      <c r="L674" s="128" t="s">
        <v>368</v>
      </c>
      <c r="M674" s="128" t="s">
        <v>369</v>
      </c>
      <c r="N674" s="128"/>
      <c r="O674" s="128"/>
    </row>
    <row r="675" spans="1:15">
      <c r="A675" s="129" t="s">
        <v>362</v>
      </c>
      <c r="B675" s="129" t="s">
        <v>363</v>
      </c>
      <c r="C675" s="130">
        <v>45407</v>
      </c>
      <c r="D675" s="129" t="s">
        <v>372</v>
      </c>
      <c r="E675" s="131"/>
      <c r="F675" s="129" t="s">
        <v>365</v>
      </c>
      <c r="G675" s="131"/>
      <c r="H675" s="131">
        <v>-157</v>
      </c>
      <c r="I675" s="132">
        <v>-96259.96</v>
      </c>
      <c r="J675" s="133" t="s">
        <v>366</v>
      </c>
      <c r="K675" s="133" t="s">
        <v>367</v>
      </c>
      <c r="L675" s="133" t="s">
        <v>368</v>
      </c>
      <c r="M675" s="133" t="s">
        <v>369</v>
      </c>
      <c r="N675" s="133"/>
      <c r="O675" s="133"/>
    </row>
    <row r="676" spans="1:15">
      <c r="A676" s="124" t="s">
        <v>362</v>
      </c>
      <c r="B676" s="124" t="s">
        <v>363</v>
      </c>
      <c r="C676" s="125">
        <v>45407</v>
      </c>
      <c r="D676" s="124" t="s">
        <v>372</v>
      </c>
      <c r="E676" s="126"/>
      <c r="F676" s="124" t="s">
        <v>365</v>
      </c>
      <c r="G676" s="126"/>
      <c r="H676" s="126">
        <v>206.67</v>
      </c>
      <c r="I676" s="127">
        <v>126713.67</v>
      </c>
      <c r="J676" s="128" t="s">
        <v>366</v>
      </c>
      <c r="K676" s="128" t="s">
        <v>367</v>
      </c>
      <c r="L676" s="128" t="s">
        <v>368</v>
      </c>
      <c r="M676" s="128" t="s">
        <v>369</v>
      </c>
      <c r="N676" s="128"/>
      <c r="O676" s="128"/>
    </row>
    <row r="677" spans="1:15">
      <c r="A677" s="129" t="s">
        <v>362</v>
      </c>
      <c r="B677" s="129" t="s">
        <v>363</v>
      </c>
      <c r="C677" s="130">
        <v>45407</v>
      </c>
      <c r="D677" s="129" t="s">
        <v>372</v>
      </c>
      <c r="E677" s="131"/>
      <c r="F677" s="129" t="s">
        <v>365</v>
      </c>
      <c r="G677" s="131"/>
      <c r="H677" s="131">
        <v>297.54000000000002</v>
      </c>
      <c r="I677" s="132">
        <v>182427.96</v>
      </c>
      <c r="J677" s="133" t="s">
        <v>366</v>
      </c>
      <c r="K677" s="133" t="s">
        <v>367</v>
      </c>
      <c r="L677" s="133" t="s">
        <v>368</v>
      </c>
      <c r="M677" s="133" t="s">
        <v>369</v>
      </c>
      <c r="N677" s="133"/>
      <c r="O677" s="133"/>
    </row>
    <row r="678" spans="1:15">
      <c r="A678" s="124" t="s">
        <v>362</v>
      </c>
      <c r="B678" s="124" t="s">
        <v>363</v>
      </c>
      <c r="C678" s="125">
        <v>45407</v>
      </c>
      <c r="D678" s="124" t="s">
        <v>372</v>
      </c>
      <c r="E678" s="126"/>
      <c r="F678" s="124" t="s">
        <v>365</v>
      </c>
      <c r="G678" s="126"/>
      <c r="H678" s="126">
        <v>97.3</v>
      </c>
      <c r="I678" s="127">
        <v>59656.65</v>
      </c>
      <c r="J678" s="128" t="s">
        <v>366</v>
      </c>
      <c r="K678" s="128" t="s">
        <v>367</v>
      </c>
      <c r="L678" s="128" t="s">
        <v>368</v>
      </c>
      <c r="M678" s="128" t="s">
        <v>369</v>
      </c>
      <c r="N678" s="128"/>
      <c r="O678" s="128"/>
    </row>
    <row r="679" spans="1:15">
      <c r="A679" s="129" t="s">
        <v>362</v>
      </c>
      <c r="B679" s="129" t="s">
        <v>363</v>
      </c>
      <c r="C679" s="130">
        <v>45407</v>
      </c>
      <c r="D679" s="129" t="s">
        <v>372</v>
      </c>
      <c r="E679" s="131"/>
      <c r="F679" s="129" t="s">
        <v>365</v>
      </c>
      <c r="G679" s="131"/>
      <c r="H679" s="131">
        <v>97.3</v>
      </c>
      <c r="I679" s="132">
        <v>59656.65</v>
      </c>
      <c r="J679" s="133" t="s">
        <v>366</v>
      </c>
      <c r="K679" s="133" t="s">
        <v>367</v>
      </c>
      <c r="L679" s="133" t="s">
        <v>368</v>
      </c>
      <c r="M679" s="133" t="s">
        <v>369</v>
      </c>
      <c r="N679" s="133"/>
      <c r="O679" s="133"/>
    </row>
    <row r="680" spans="1:15">
      <c r="A680" s="124" t="s">
        <v>362</v>
      </c>
      <c r="B680" s="124" t="s">
        <v>363</v>
      </c>
      <c r="C680" s="125">
        <v>45407</v>
      </c>
      <c r="D680" s="124" t="s">
        <v>372</v>
      </c>
      <c r="E680" s="126"/>
      <c r="F680" s="124" t="s">
        <v>365</v>
      </c>
      <c r="G680" s="126"/>
      <c r="H680" s="126">
        <v>-6291.09</v>
      </c>
      <c r="I680" s="127">
        <v>-3857198.04</v>
      </c>
      <c r="J680" s="128" t="s">
        <v>366</v>
      </c>
      <c r="K680" s="128" t="s">
        <v>367</v>
      </c>
      <c r="L680" s="128" t="s">
        <v>368</v>
      </c>
      <c r="M680" s="128" t="s">
        <v>369</v>
      </c>
      <c r="N680" s="128"/>
      <c r="O680" s="128"/>
    </row>
    <row r="681" spans="1:15">
      <c r="A681" s="129" t="s">
        <v>362</v>
      </c>
      <c r="B681" s="129" t="s">
        <v>363</v>
      </c>
      <c r="C681" s="130">
        <v>45407</v>
      </c>
      <c r="D681" s="129" t="s">
        <v>372</v>
      </c>
      <c r="E681" s="131"/>
      <c r="F681" s="129" t="s">
        <v>365</v>
      </c>
      <c r="G681" s="131"/>
      <c r="H681" s="131">
        <v>-2772</v>
      </c>
      <c r="I681" s="132">
        <v>-1699570.82</v>
      </c>
      <c r="J681" s="133" t="s">
        <v>366</v>
      </c>
      <c r="K681" s="133" t="s">
        <v>367</v>
      </c>
      <c r="L681" s="133" t="s">
        <v>368</v>
      </c>
      <c r="M681" s="133" t="s">
        <v>369</v>
      </c>
      <c r="N681" s="133"/>
      <c r="O681" s="133"/>
    </row>
    <row r="682" spans="1:15">
      <c r="A682" s="124" t="s">
        <v>362</v>
      </c>
      <c r="B682" s="124" t="s">
        <v>363</v>
      </c>
      <c r="C682" s="125">
        <v>45407</v>
      </c>
      <c r="D682" s="124" t="s">
        <v>371</v>
      </c>
      <c r="E682" s="126"/>
      <c r="F682" s="124" t="s">
        <v>365</v>
      </c>
      <c r="G682" s="126"/>
      <c r="H682" s="126">
        <v>33751.699999999997</v>
      </c>
      <c r="I682" s="127">
        <v>20693868.789999999</v>
      </c>
      <c r="J682" s="128" t="s">
        <v>366</v>
      </c>
      <c r="K682" s="128" t="s">
        <v>367</v>
      </c>
      <c r="L682" s="128" t="s">
        <v>368</v>
      </c>
      <c r="M682" s="128" t="s">
        <v>369</v>
      </c>
      <c r="N682" s="128"/>
      <c r="O682" s="128"/>
    </row>
    <row r="683" spans="1:15">
      <c r="A683" s="129" t="s">
        <v>362</v>
      </c>
      <c r="B683" s="129" t="s">
        <v>363</v>
      </c>
      <c r="C683" s="130">
        <v>45407</v>
      </c>
      <c r="D683" s="129" t="s">
        <v>371</v>
      </c>
      <c r="E683" s="131"/>
      <c r="F683" s="129" t="s">
        <v>365</v>
      </c>
      <c r="G683" s="131"/>
      <c r="H683" s="131">
        <v>94557.4</v>
      </c>
      <c r="I683" s="132">
        <v>57975107.299999997</v>
      </c>
      <c r="J683" s="133" t="s">
        <v>366</v>
      </c>
      <c r="K683" s="133" t="s">
        <v>367</v>
      </c>
      <c r="L683" s="133" t="s">
        <v>368</v>
      </c>
      <c r="M683" s="133" t="s">
        <v>369</v>
      </c>
      <c r="N683" s="133"/>
      <c r="O683" s="133"/>
    </row>
    <row r="684" spans="1:15">
      <c r="A684" s="124" t="s">
        <v>362</v>
      </c>
      <c r="B684" s="124" t="s">
        <v>363</v>
      </c>
      <c r="C684" s="125">
        <v>45407</v>
      </c>
      <c r="D684" s="124" t="s">
        <v>371</v>
      </c>
      <c r="E684" s="126"/>
      <c r="F684" s="124" t="s">
        <v>365</v>
      </c>
      <c r="G684" s="126"/>
      <c r="H684" s="126">
        <v>-16920.09</v>
      </c>
      <c r="I684" s="127">
        <v>-10374058.859999999</v>
      </c>
      <c r="J684" s="128" t="s">
        <v>366</v>
      </c>
      <c r="K684" s="128" t="s">
        <v>367</v>
      </c>
      <c r="L684" s="128" t="s">
        <v>368</v>
      </c>
      <c r="M684" s="128" t="s">
        <v>369</v>
      </c>
      <c r="N684" s="128"/>
      <c r="O684" s="128"/>
    </row>
    <row r="685" spans="1:15">
      <c r="A685" s="129" t="s">
        <v>362</v>
      </c>
      <c r="B685" s="129" t="s">
        <v>363</v>
      </c>
      <c r="C685" s="130">
        <v>45407</v>
      </c>
      <c r="D685" s="129" t="s">
        <v>371</v>
      </c>
      <c r="E685" s="131"/>
      <c r="F685" s="129" t="s">
        <v>365</v>
      </c>
      <c r="G685" s="131"/>
      <c r="H685" s="131">
        <v>-20665.189999999999</v>
      </c>
      <c r="I685" s="132">
        <v>-12670257.51</v>
      </c>
      <c r="J685" s="133" t="s">
        <v>366</v>
      </c>
      <c r="K685" s="133" t="s">
        <v>367</v>
      </c>
      <c r="L685" s="133" t="s">
        <v>368</v>
      </c>
      <c r="M685" s="133" t="s">
        <v>369</v>
      </c>
      <c r="N685" s="133"/>
      <c r="O685" s="133"/>
    </row>
    <row r="686" spans="1:15">
      <c r="A686" s="124" t="s">
        <v>362</v>
      </c>
      <c r="B686" s="124" t="s">
        <v>363</v>
      </c>
      <c r="C686" s="125">
        <v>45407</v>
      </c>
      <c r="D686" s="124" t="s">
        <v>371</v>
      </c>
      <c r="E686" s="126"/>
      <c r="F686" s="124" t="s">
        <v>365</v>
      </c>
      <c r="G686" s="126"/>
      <c r="H686" s="126">
        <v>62364.71</v>
      </c>
      <c r="I686" s="127">
        <v>38237099.939999998</v>
      </c>
      <c r="J686" s="128" t="s">
        <v>366</v>
      </c>
      <c r="K686" s="128" t="s">
        <v>367</v>
      </c>
      <c r="L686" s="128" t="s">
        <v>368</v>
      </c>
      <c r="M686" s="128" t="s">
        <v>369</v>
      </c>
      <c r="N686" s="128"/>
      <c r="O686" s="128"/>
    </row>
    <row r="687" spans="1:15">
      <c r="A687" s="129" t="s">
        <v>362</v>
      </c>
      <c r="B687" s="129" t="s">
        <v>363</v>
      </c>
      <c r="C687" s="130">
        <v>45407</v>
      </c>
      <c r="D687" s="129" t="s">
        <v>371</v>
      </c>
      <c r="E687" s="131"/>
      <c r="F687" s="129" t="s">
        <v>365</v>
      </c>
      <c r="G687" s="131"/>
      <c r="H687" s="131">
        <v>-117452.91</v>
      </c>
      <c r="I687" s="132">
        <v>-72012820.359999999</v>
      </c>
      <c r="J687" s="133" t="s">
        <v>366</v>
      </c>
      <c r="K687" s="133" t="s">
        <v>367</v>
      </c>
      <c r="L687" s="133" t="s">
        <v>368</v>
      </c>
      <c r="M687" s="133" t="s">
        <v>369</v>
      </c>
      <c r="N687" s="133"/>
      <c r="O687" s="133"/>
    </row>
    <row r="688" spans="1:15">
      <c r="A688" s="124" t="s">
        <v>362</v>
      </c>
      <c r="B688" s="124" t="s">
        <v>363</v>
      </c>
      <c r="C688" s="125">
        <v>45407</v>
      </c>
      <c r="D688" s="124" t="s">
        <v>371</v>
      </c>
      <c r="E688" s="126"/>
      <c r="F688" s="124" t="s">
        <v>365</v>
      </c>
      <c r="G688" s="126"/>
      <c r="H688" s="126">
        <v>-68151.710000000006</v>
      </c>
      <c r="I688" s="127">
        <v>-41785229.920000002</v>
      </c>
      <c r="J688" s="128" t="s">
        <v>366</v>
      </c>
      <c r="K688" s="128" t="s">
        <v>367</v>
      </c>
      <c r="L688" s="128" t="s">
        <v>368</v>
      </c>
      <c r="M688" s="128" t="s">
        <v>369</v>
      </c>
      <c r="N688" s="128"/>
      <c r="O688" s="128"/>
    </row>
    <row r="689" spans="1:15">
      <c r="A689" s="129" t="s">
        <v>362</v>
      </c>
      <c r="B689" s="129" t="s">
        <v>363</v>
      </c>
      <c r="C689" s="130">
        <v>45407</v>
      </c>
      <c r="D689" s="129" t="s">
        <v>371</v>
      </c>
      <c r="E689" s="131"/>
      <c r="F689" s="129" t="s">
        <v>365</v>
      </c>
      <c r="G689" s="131"/>
      <c r="H689" s="131">
        <v>-48011.98</v>
      </c>
      <c r="I689" s="132">
        <v>-29437142.859999999</v>
      </c>
      <c r="J689" s="133" t="s">
        <v>366</v>
      </c>
      <c r="K689" s="133" t="s">
        <v>367</v>
      </c>
      <c r="L689" s="133" t="s">
        <v>368</v>
      </c>
      <c r="M689" s="133" t="s">
        <v>369</v>
      </c>
      <c r="N689" s="133"/>
      <c r="O689" s="133"/>
    </row>
    <row r="690" spans="1:15">
      <c r="A690" s="124" t="s">
        <v>362</v>
      </c>
      <c r="B690" s="124" t="s">
        <v>363</v>
      </c>
      <c r="C690" s="125">
        <v>45407</v>
      </c>
      <c r="D690" s="124" t="s">
        <v>371</v>
      </c>
      <c r="E690" s="126"/>
      <c r="F690" s="124" t="s">
        <v>365</v>
      </c>
      <c r="G690" s="126"/>
      <c r="H690" s="126">
        <v>32480.17</v>
      </c>
      <c r="I690" s="127">
        <v>19914267.32</v>
      </c>
      <c r="J690" s="128" t="s">
        <v>366</v>
      </c>
      <c r="K690" s="128" t="s">
        <v>367</v>
      </c>
      <c r="L690" s="128" t="s">
        <v>368</v>
      </c>
      <c r="M690" s="128" t="s">
        <v>369</v>
      </c>
      <c r="N690" s="128"/>
      <c r="O690" s="128"/>
    </row>
    <row r="691" spans="1:15">
      <c r="A691" s="129" t="s">
        <v>362</v>
      </c>
      <c r="B691" s="129" t="s">
        <v>363</v>
      </c>
      <c r="C691" s="130">
        <v>45407</v>
      </c>
      <c r="D691" s="129" t="s">
        <v>371</v>
      </c>
      <c r="E691" s="131"/>
      <c r="F691" s="129" t="s">
        <v>365</v>
      </c>
      <c r="G691" s="131"/>
      <c r="H691" s="131">
        <v>-57460.83</v>
      </c>
      <c r="I691" s="132">
        <v>-35230429.18</v>
      </c>
      <c r="J691" s="133" t="s">
        <v>366</v>
      </c>
      <c r="K691" s="133" t="s">
        <v>367</v>
      </c>
      <c r="L691" s="133" t="s">
        <v>368</v>
      </c>
      <c r="M691" s="133" t="s">
        <v>369</v>
      </c>
      <c r="N691" s="133"/>
      <c r="O691" s="133"/>
    </row>
    <row r="692" spans="1:15">
      <c r="A692" s="124" t="s">
        <v>362</v>
      </c>
      <c r="B692" s="124" t="s">
        <v>363</v>
      </c>
      <c r="C692" s="125">
        <v>45407</v>
      </c>
      <c r="D692" s="124" t="s">
        <v>371</v>
      </c>
      <c r="E692" s="126"/>
      <c r="F692" s="124" t="s">
        <v>365</v>
      </c>
      <c r="G692" s="126"/>
      <c r="H692" s="126">
        <v>-45803.51</v>
      </c>
      <c r="I692" s="127">
        <v>-28083084</v>
      </c>
      <c r="J692" s="128" t="s">
        <v>366</v>
      </c>
      <c r="K692" s="128" t="s">
        <v>367</v>
      </c>
      <c r="L692" s="128" t="s">
        <v>368</v>
      </c>
      <c r="M692" s="128" t="s">
        <v>369</v>
      </c>
      <c r="N692" s="128"/>
      <c r="O692" s="128"/>
    </row>
    <row r="693" spans="1:15">
      <c r="A693" s="129" t="s">
        <v>362</v>
      </c>
      <c r="B693" s="129" t="s">
        <v>363</v>
      </c>
      <c r="C693" s="130">
        <v>45407</v>
      </c>
      <c r="D693" s="129" t="s">
        <v>371</v>
      </c>
      <c r="E693" s="131"/>
      <c r="F693" s="129" t="s">
        <v>365</v>
      </c>
      <c r="G693" s="131"/>
      <c r="H693" s="131">
        <v>-46782.11</v>
      </c>
      <c r="I693" s="132">
        <v>-28683084</v>
      </c>
      <c r="J693" s="133" t="s">
        <v>366</v>
      </c>
      <c r="K693" s="133" t="s">
        <v>367</v>
      </c>
      <c r="L693" s="133" t="s">
        <v>368</v>
      </c>
      <c r="M693" s="133" t="s">
        <v>369</v>
      </c>
      <c r="N693" s="133"/>
      <c r="O693" s="133"/>
    </row>
    <row r="694" spans="1:15">
      <c r="A694" s="124" t="s">
        <v>362</v>
      </c>
      <c r="B694" s="124" t="s">
        <v>363</v>
      </c>
      <c r="C694" s="125">
        <v>45407</v>
      </c>
      <c r="D694" s="124" t="s">
        <v>371</v>
      </c>
      <c r="E694" s="126"/>
      <c r="F694" s="124" t="s">
        <v>365</v>
      </c>
      <c r="G694" s="126"/>
      <c r="H694" s="126">
        <v>29653.99</v>
      </c>
      <c r="I694" s="127">
        <v>18181477.620000001</v>
      </c>
      <c r="J694" s="128" t="s">
        <v>366</v>
      </c>
      <c r="K694" s="128" t="s">
        <v>367</v>
      </c>
      <c r="L694" s="128" t="s">
        <v>368</v>
      </c>
      <c r="M694" s="128" t="s">
        <v>369</v>
      </c>
      <c r="N694" s="128"/>
      <c r="O694" s="128"/>
    </row>
    <row r="695" spans="1:15">
      <c r="A695" s="129" t="s">
        <v>362</v>
      </c>
      <c r="B695" s="129" t="s">
        <v>363</v>
      </c>
      <c r="C695" s="130">
        <v>45407</v>
      </c>
      <c r="D695" s="129" t="s">
        <v>371</v>
      </c>
      <c r="E695" s="131"/>
      <c r="F695" s="129" t="s">
        <v>365</v>
      </c>
      <c r="G695" s="131"/>
      <c r="H695" s="131">
        <v>25856.93</v>
      </c>
      <c r="I695" s="132">
        <v>15853421.210000001</v>
      </c>
      <c r="J695" s="133" t="s">
        <v>366</v>
      </c>
      <c r="K695" s="133" t="s">
        <v>367</v>
      </c>
      <c r="L695" s="133" t="s">
        <v>368</v>
      </c>
      <c r="M695" s="133" t="s">
        <v>369</v>
      </c>
      <c r="N695" s="133"/>
      <c r="O695" s="133"/>
    </row>
    <row r="696" spans="1:15">
      <c r="A696" s="124" t="s">
        <v>362</v>
      </c>
      <c r="B696" s="124" t="s">
        <v>363</v>
      </c>
      <c r="C696" s="125">
        <v>45407</v>
      </c>
      <c r="D696" s="124" t="s">
        <v>371</v>
      </c>
      <c r="E696" s="126"/>
      <c r="F696" s="124" t="s">
        <v>365</v>
      </c>
      <c r="G696" s="126"/>
      <c r="H696" s="126">
        <v>-83918.23</v>
      </c>
      <c r="I696" s="127">
        <v>-51452011.039999999</v>
      </c>
      <c r="J696" s="128" t="s">
        <v>366</v>
      </c>
      <c r="K696" s="128" t="s">
        <v>367</v>
      </c>
      <c r="L696" s="128" t="s">
        <v>368</v>
      </c>
      <c r="M696" s="128" t="s">
        <v>369</v>
      </c>
      <c r="N696" s="128"/>
      <c r="O696" s="128"/>
    </row>
    <row r="697" spans="1:15">
      <c r="A697" s="129" t="s">
        <v>362</v>
      </c>
      <c r="B697" s="129" t="s">
        <v>363</v>
      </c>
      <c r="C697" s="130">
        <v>45407</v>
      </c>
      <c r="D697" s="129" t="s">
        <v>371</v>
      </c>
      <c r="E697" s="131"/>
      <c r="F697" s="129" t="s">
        <v>365</v>
      </c>
      <c r="G697" s="131"/>
      <c r="H697" s="131">
        <v>-502470.24</v>
      </c>
      <c r="I697" s="132">
        <v>-308074947.88</v>
      </c>
      <c r="J697" s="133" t="s">
        <v>366</v>
      </c>
      <c r="K697" s="133" t="s">
        <v>367</v>
      </c>
      <c r="L697" s="133" t="s">
        <v>368</v>
      </c>
      <c r="M697" s="133" t="s">
        <v>369</v>
      </c>
      <c r="N697" s="133"/>
      <c r="O697" s="133"/>
    </row>
    <row r="698" spans="1:15">
      <c r="A698" s="124" t="s">
        <v>362</v>
      </c>
      <c r="B698" s="124" t="s">
        <v>363</v>
      </c>
      <c r="C698" s="125">
        <v>45407</v>
      </c>
      <c r="D698" s="124" t="s">
        <v>376</v>
      </c>
      <c r="E698" s="126"/>
      <c r="F698" s="124" t="s">
        <v>365</v>
      </c>
      <c r="G698" s="126"/>
      <c r="H698" s="126">
        <v>-38723.81</v>
      </c>
      <c r="I698" s="127">
        <v>-23742372.780000001</v>
      </c>
      <c r="J698" s="128" t="s">
        <v>366</v>
      </c>
      <c r="K698" s="128" t="s">
        <v>367</v>
      </c>
      <c r="L698" s="128" t="s">
        <v>368</v>
      </c>
      <c r="M698" s="128" t="s">
        <v>369</v>
      </c>
      <c r="N698" s="128"/>
      <c r="O698" s="128"/>
    </row>
    <row r="699" spans="1:15">
      <c r="A699" s="129" t="s">
        <v>362</v>
      </c>
      <c r="B699" s="129" t="s">
        <v>363</v>
      </c>
      <c r="C699" s="130">
        <v>45412</v>
      </c>
      <c r="D699" s="129" t="s">
        <v>371</v>
      </c>
      <c r="E699" s="131"/>
      <c r="F699" s="129" t="s">
        <v>365</v>
      </c>
      <c r="G699" s="131"/>
      <c r="H699" s="131">
        <v>94024.023330949844</v>
      </c>
      <c r="I699" s="132">
        <v>57123080.939999998</v>
      </c>
      <c r="J699" s="133" t="s">
        <v>366</v>
      </c>
      <c r="K699" s="133" t="s">
        <v>367</v>
      </c>
      <c r="L699" s="133" t="s">
        <v>368</v>
      </c>
      <c r="M699" s="133" t="s">
        <v>369</v>
      </c>
      <c r="N699" s="133"/>
      <c r="O699" s="133"/>
    </row>
    <row r="700" spans="1:15">
      <c r="A700" s="124" t="s">
        <v>362</v>
      </c>
      <c r="B700" s="124" t="s">
        <v>363</v>
      </c>
      <c r="C700" s="125">
        <v>45412</v>
      </c>
      <c r="D700" s="124" t="s">
        <v>372</v>
      </c>
      <c r="E700" s="126"/>
      <c r="F700" s="124" t="s">
        <v>365</v>
      </c>
      <c r="G700" s="126"/>
      <c r="H700" s="126">
        <v>16155.919235275562</v>
      </c>
      <c r="I700" s="127">
        <v>9815320.8699999992</v>
      </c>
      <c r="J700" s="128" t="s">
        <v>366</v>
      </c>
      <c r="K700" s="128" t="s">
        <v>367</v>
      </c>
      <c r="L700" s="128" t="s">
        <v>368</v>
      </c>
      <c r="M700" s="128" t="s">
        <v>369</v>
      </c>
      <c r="N700" s="128"/>
      <c r="O700" s="128"/>
    </row>
    <row r="701" spans="1:15">
      <c r="A701" s="129" t="s">
        <v>362</v>
      </c>
      <c r="B701" s="129" t="s">
        <v>363</v>
      </c>
      <c r="C701" s="130">
        <v>45412</v>
      </c>
      <c r="D701" s="129" t="s">
        <v>374</v>
      </c>
      <c r="E701" s="131"/>
      <c r="F701" s="129" t="s">
        <v>365</v>
      </c>
      <c r="G701" s="131"/>
      <c r="H701" s="131">
        <v>7296.2215901244472</v>
      </c>
      <c r="I701" s="132">
        <v>4432724.38</v>
      </c>
      <c r="J701" s="133" t="s">
        <v>366</v>
      </c>
      <c r="K701" s="133" t="s">
        <v>367</v>
      </c>
      <c r="L701" s="133" t="s">
        <v>368</v>
      </c>
      <c r="M701" s="133" t="s">
        <v>369</v>
      </c>
      <c r="N701" s="133"/>
      <c r="O701" s="133"/>
    </row>
    <row r="702" spans="1:15">
      <c r="A702" s="124" t="s">
        <v>362</v>
      </c>
      <c r="B702" s="124" t="s">
        <v>363</v>
      </c>
      <c r="C702" s="125">
        <v>45412</v>
      </c>
      <c r="D702" s="124" t="s">
        <v>364</v>
      </c>
      <c r="E702" s="126"/>
      <c r="F702" s="124" t="s">
        <v>365</v>
      </c>
      <c r="G702" s="126"/>
      <c r="H702" s="126">
        <v>105635.80103823397</v>
      </c>
      <c r="I702" s="127">
        <v>64177668.149999999</v>
      </c>
      <c r="J702" s="128" t="s">
        <v>366</v>
      </c>
      <c r="K702" s="128" t="s">
        <v>367</v>
      </c>
      <c r="L702" s="128" t="s">
        <v>368</v>
      </c>
      <c r="M702" s="128" t="s">
        <v>369</v>
      </c>
      <c r="N702" s="128"/>
      <c r="O702" s="128"/>
    </row>
    <row r="703" spans="1:15">
      <c r="A703" s="129" t="s">
        <v>362</v>
      </c>
      <c r="B703" s="129" t="s">
        <v>363</v>
      </c>
      <c r="C703" s="130">
        <v>45412</v>
      </c>
      <c r="D703" s="129" t="s">
        <v>370</v>
      </c>
      <c r="E703" s="131"/>
      <c r="F703" s="129" t="s">
        <v>365</v>
      </c>
      <c r="G703" s="131"/>
      <c r="H703" s="131">
        <v>65988.588279898744</v>
      </c>
      <c r="I703" s="132">
        <v>40090516.950000003</v>
      </c>
      <c r="J703" s="133" t="s">
        <v>366</v>
      </c>
      <c r="K703" s="133" t="s">
        <v>367</v>
      </c>
      <c r="L703" s="133" t="s">
        <v>368</v>
      </c>
      <c r="M703" s="133" t="s">
        <v>369</v>
      </c>
      <c r="N703" s="133"/>
      <c r="O703" s="133"/>
    </row>
    <row r="704" spans="1:15">
      <c r="A704" s="124" t="s">
        <v>362</v>
      </c>
      <c r="B704" s="124" t="s">
        <v>363</v>
      </c>
      <c r="C704" s="125">
        <v>45412</v>
      </c>
      <c r="D704" s="124" t="s">
        <v>373</v>
      </c>
      <c r="E704" s="126"/>
      <c r="F704" s="124" t="s">
        <v>365</v>
      </c>
      <c r="G704" s="126"/>
      <c r="H704" s="126">
        <v>717270.42456942459</v>
      </c>
      <c r="I704" s="127">
        <v>435768394.69999999</v>
      </c>
      <c r="J704" s="128" t="s">
        <v>366</v>
      </c>
      <c r="K704" s="128" t="s">
        <v>367</v>
      </c>
      <c r="L704" s="128" t="s">
        <v>368</v>
      </c>
      <c r="M704" s="128" t="s">
        <v>369</v>
      </c>
      <c r="N704" s="128"/>
      <c r="O704" s="128"/>
    </row>
    <row r="705" spans="1:15">
      <c r="A705" s="129" t="s">
        <v>362</v>
      </c>
      <c r="B705" s="129" t="s">
        <v>363</v>
      </c>
      <c r="C705" s="130">
        <v>45412</v>
      </c>
      <c r="D705" s="129" t="s">
        <v>375</v>
      </c>
      <c r="E705" s="131"/>
      <c r="F705" s="129" t="s">
        <v>365</v>
      </c>
      <c r="G705" s="131"/>
      <c r="H705" s="131">
        <v>260629.02195609297</v>
      </c>
      <c r="I705" s="132">
        <v>158341800.38</v>
      </c>
      <c r="J705" s="133" t="s">
        <v>366</v>
      </c>
      <c r="K705" s="133" t="s">
        <v>367</v>
      </c>
      <c r="L705" s="133" t="s">
        <v>368</v>
      </c>
      <c r="M705" s="133" t="s">
        <v>369</v>
      </c>
      <c r="N705" s="133"/>
      <c r="O705" s="133"/>
    </row>
    <row r="706" spans="1:15">
      <c r="A706" s="124" t="s">
        <v>362</v>
      </c>
      <c r="B706" s="124" t="s">
        <v>363</v>
      </c>
      <c r="C706" s="125">
        <v>45412</v>
      </c>
      <c r="D706" s="124" t="s">
        <v>371</v>
      </c>
      <c r="E706" s="126"/>
      <c r="F706" s="124" t="s">
        <v>365</v>
      </c>
      <c r="G706" s="126"/>
      <c r="H706" s="126">
        <v>-122994.099015243</v>
      </c>
      <c r="I706" s="127">
        <v>-75297125.719999999</v>
      </c>
      <c r="J706" s="128" t="s">
        <v>366</v>
      </c>
      <c r="K706" s="128" t="s">
        <v>367</v>
      </c>
      <c r="L706" s="128" t="s">
        <v>368</v>
      </c>
      <c r="M706" s="128" t="s">
        <v>369</v>
      </c>
      <c r="N706" s="128"/>
      <c r="O706" s="128"/>
    </row>
    <row r="707" spans="1:15">
      <c r="A707" s="129" t="s">
        <v>362</v>
      </c>
      <c r="B707" s="129" t="s">
        <v>363</v>
      </c>
      <c r="C707" s="130">
        <v>45412</v>
      </c>
      <c r="D707" s="129" t="s">
        <v>372</v>
      </c>
      <c r="E707" s="131"/>
      <c r="F707" s="129" t="s">
        <v>365</v>
      </c>
      <c r="G707" s="131"/>
      <c r="H707" s="131">
        <v>-25633.249590263687</v>
      </c>
      <c r="I707" s="132">
        <v>-15692705.619999999</v>
      </c>
      <c r="J707" s="133" t="s">
        <v>366</v>
      </c>
      <c r="K707" s="133" t="s">
        <v>367</v>
      </c>
      <c r="L707" s="133" t="s">
        <v>368</v>
      </c>
      <c r="M707" s="133" t="s">
        <v>369</v>
      </c>
      <c r="N707" s="133"/>
      <c r="O707" s="133"/>
    </row>
    <row r="708" spans="1:15">
      <c r="A708" s="124" t="s">
        <v>362</v>
      </c>
      <c r="B708" s="124" t="s">
        <v>363</v>
      </c>
      <c r="C708" s="125">
        <v>45412</v>
      </c>
      <c r="D708" s="124" t="s">
        <v>374</v>
      </c>
      <c r="E708" s="126"/>
      <c r="F708" s="124" t="s">
        <v>365</v>
      </c>
      <c r="G708" s="126"/>
      <c r="H708" s="126">
        <v>-10134.075419406574</v>
      </c>
      <c r="I708" s="127">
        <v>-6204095.6299999999</v>
      </c>
      <c r="J708" s="128" t="s">
        <v>366</v>
      </c>
      <c r="K708" s="128" t="s">
        <v>367</v>
      </c>
      <c r="L708" s="128" t="s">
        <v>368</v>
      </c>
      <c r="M708" s="128" t="s">
        <v>369</v>
      </c>
      <c r="N708" s="128"/>
      <c r="O708" s="128"/>
    </row>
    <row r="709" spans="1:15">
      <c r="A709" s="129" t="s">
        <v>362</v>
      </c>
      <c r="B709" s="129" t="s">
        <v>363</v>
      </c>
      <c r="C709" s="130">
        <v>45412</v>
      </c>
      <c r="D709" s="129" t="s">
        <v>364</v>
      </c>
      <c r="E709" s="131"/>
      <c r="F709" s="129" t="s">
        <v>365</v>
      </c>
      <c r="G709" s="131"/>
      <c r="H709" s="131">
        <v>-154616.87108151821</v>
      </c>
      <c r="I709" s="132">
        <v>-94656628.609999999</v>
      </c>
      <c r="J709" s="133" t="s">
        <v>366</v>
      </c>
      <c r="K709" s="133" t="s">
        <v>367</v>
      </c>
      <c r="L709" s="133" t="s">
        <v>368</v>
      </c>
      <c r="M709" s="133" t="s">
        <v>369</v>
      </c>
      <c r="N709" s="133"/>
      <c r="O709" s="133"/>
    </row>
    <row r="710" spans="1:15">
      <c r="A710" s="124" t="s">
        <v>362</v>
      </c>
      <c r="B710" s="124" t="s">
        <v>363</v>
      </c>
      <c r="C710" s="125">
        <v>45412</v>
      </c>
      <c r="D710" s="124" t="s">
        <v>370</v>
      </c>
      <c r="E710" s="126"/>
      <c r="F710" s="124" t="s">
        <v>365</v>
      </c>
      <c r="G710" s="126"/>
      <c r="H710" s="126">
        <v>-98816.799372891153</v>
      </c>
      <c r="I710" s="127">
        <v>-60495760.509999998</v>
      </c>
      <c r="J710" s="128" t="s">
        <v>366</v>
      </c>
      <c r="K710" s="128" t="s">
        <v>367</v>
      </c>
      <c r="L710" s="128" t="s">
        <v>368</v>
      </c>
      <c r="M710" s="128" t="s">
        <v>369</v>
      </c>
      <c r="N710" s="128"/>
      <c r="O710" s="128"/>
    </row>
    <row r="711" spans="1:15">
      <c r="A711" s="129" t="s">
        <v>362</v>
      </c>
      <c r="B711" s="129" t="s">
        <v>363</v>
      </c>
      <c r="C711" s="130">
        <v>45412</v>
      </c>
      <c r="D711" s="129" t="s">
        <v>373</v>
      </c>
      <c r="E711" s="131"/>
      <c r="F711" s="129" t="s">
        <v>365</v>
      </c>
      <c r="G711" s="131"/>
      <c r="H711" s="131">
        <v>-1350999.8384358163</v>
      </c>
      <c r="I711" s="132">
        <v>-827083681.77999997</v>
      </c>
      <c r="J711" s="133" t="s">
        <v>366</v>
      </c>
      <c r="K711" s="133" t="s">
        <v>367</v>
      </c>
      <c r="L711" s="133" t="s">
        <v>368</v>
      </c>
      <c r="M711" s="133" t="s">
        <v>369</v>
      </c>
      <c r="N711" s="133"/>
      <c r="O711" s="133"/>
    </row>
    <row r="712" spans="1:15">
      <c r="A712" s="124" t="s">
        <v>362</v>
      </c>
      <c r="B712" s="124" t="s">
        <v>363</v>
      </c>
      <c r="C712" s="125">
        <v>45412</v>
      </c>
      <c r="D712" s="124" t="s">
        <v>375</v>
      </c>
      <c r="E712" s="126"/>
      <c r="F712" s="124" t="s">
        <v>365</v>
      </c>
      <c r="G712" s="126"/>
      <c r="H712" s="126">
        <v>-298117.86708486127</v>
      </c>
      <c r="I712" s="127">
        <v>-182508108.59</v>
      </c>
      <c r="J712" s="128" t="s">
        <v>366</v>
      </c>
      <c r="K712" s="128" t="s">
        <v>367</v>
      </c>
      <c r="L712" s="128" t="s">
        <v>368</v>
      </c>
      <c r="M712" s="128" t="s">
        <v>369</v>
      </c>
      <c r="N712" s="128"/>
      <c r="O712" s="128"/>
    </row>
    <row r="713" spans="1:15">
      <c r="A713" s="129" t="s">
        <v>362</v>
      </c>
      <c r="B713" s="129" t="s">
        <v>363</v>
      </c>
      <c r="C713" s="130">
        <v>45412</v>
      </c>
      <c r="D713" s="129" t="s">
        <v>373</v>
      </c>
      <c r="E713" s="131"/>
      <c r="F713" s="129" t="s">
        <v>365</v>
      </c>
      <c r="G713" s="131"/>
      <c r="H713" s="131">
        <v>-2149.4200000000096</v>
      </c>
      <c r="I713" s="132">
        <v>-1317854.0799999775</v>
      </c>
      <c r="J713" s="133" t="s">
        <v>366</v>
      </c>
      <c r="K713" s="133" t="s">
        <v>367</v>
      </c>
      <c r="L713" s="133" t="s">
        <v>368</v>
      </c>
      <c r="M713" s="133" t="s">
        <v>369</v>
      </c>
      <c r="N713" s="133"/>
      <c r="O713" s="133"/>
    </row>
    <row r="714" spans="1:15">
      <c r="A714" s="124" t="s">
        <v>362</v>
      </c>
      <c r="B714" s="124" t="s">
        <v>363</v>
      </c>
      <c r="C714" s="125">
        <v>45412</v>
      </c>
      <c r="D714" s="124" t="s">
        <v>375</v>
      </c>
      <c r="E714" s="126"/>
      <c r="F714" s="124" t="s">
        <v>365</v>
      </c>
      <c r="G714" s="126"/>
      <c r="H714" s="126">
        <v>206286.82</v>
      </c>
      <c r="I714" s="127">
        <v>126478736.97</v>
      </c>
      <c r="J714" s="128" t="s">
        <v>366</v>
      </c>
      <c r="K714" s="128" t="s">
        <v>367</v>
      </c>
      <c r="L714" s="128" t="s">
        <v>368</v>
      </c>
      <c r="M714" s="128" t="s">
        <v>369</v>
      </c>
      <c r="N714" s="128"/>
      <c r="O714" s="128"/>
    </row>
    <row r="715" spans="1:15">
      <c r="A715" s="129" t="s">
        <v>362</v>
      </c>
      <c r="B715" s="129" t="s">
        <v>363</v>
      </c>
      <c r="C715" s="130">
        <v>45412</v>
      </c>
      <c r="D715" s="129" t="s">
        <v>364</v>
      </c>
      <c r="E715" s="131"/>
      <c r="F715" s="129" t="s">
        <v>365</v>
      </c>
      <c r="G715" s="131"/>
      <c r="H715" s="131">
        <v>862807.74000000011</v>
      </c>
      <c r="I715" s="132">
        <v>529005358.69999993</v>
      </c>
      <c r="J715" s="133" t="s">
        <v>366</v>
      </c>
      <c r="K715" s="133" t="s">
        <v>367</v>
      </c>
      <c r="L715" s="133" t="s">
        <v>368</v>
      </c>
      <c r="M715" s="133" t="s">
        <v>369</v>
      </c>
      <c r="N715" s="133"/>
      <c r="O715" s="133"/>
    </row>
    <row r="716" spans="1:15">
      <c r="A716" s="124" t="s">
        <v>362</v>
      </c>
      <c r="B716" s="124" t="s">
        <v>363</v>
      </c>
      <c r="C716" s="125">
        <v>45412</v>
      </c>
      <c r="D716" s="124" t="s">
        <v>370</v>
      </c>
      <c r="E716" s="126"/>
      <c r="F716" s="124" t="s">
        <v>365</v>
      </c>
      <c r="G716" s="126"/>
      <c r="H716" s="126">
        <v>503362.80000000005</v>
      </c>
      <c r="I716" s="127">
        <v>308622195.00000012</v>
      </c>
      <c r="J716" s="128" t="s">
        <v>366</v>
      </c>
      <c r="K716" s="128" t="s">
        <v>367</v>
      </c>
      <c r="L716" s="128" t="s">
        <v>368</v>
      </c>
      <c r="M716" s="128" t="s">
        <v>369</v>
      </c>
      <c r="N716" s="128"/>
      <c r="O716" s="128"/>
    </row>
    <row r="717" spans="1:15">
      <c r="A717" s="129" t="s">
        <v>362</v>
      </c>
      <c r="B717" s="129" t="s">
        <v>363</v>
      </c>
      <c r="C717" s="130">
        <v>45412</v>
      </c>
      <c r="D717" s="129" t="s">
        <v>374</v>
      </c>
      <c r="E717" s="131"/>
      <c r="F717" s="129" t="s">
        <v>365</v>
      </c>
      <c r="G717" s="131"/>
      <c r="H717" s="131">
        <v>66609.819999999992</v>
      </c>
      <c r="I717" s="132">
        <v>40839865.120000005</v>
      </c>
      <c r="J717" s="133" t="s">
        <v>366</v>
      </c>
      <c r="K717" s="133" t="s">
        <v>367</v>
      </c>
      <c r="L717" s="133" t="s">
        <v>368</v>
      </c>
      <c r="M717" s="133" t="s">
        <v>369</v>
      </c>
      <c r="N717" s="133"/>
      <c r="O717" s="133"/>
    </row>
    <row r="718" spans="1:15">
      <c r="A718" s="124" t="s">
        <v>362</v>
      </c>
      <c r="B718" s="124" t="s">
        <v>363</v>
      </c>
      <c r="C718" s="125">
        <v>45412</v>
      </c>
      <c r="D718" s="124" t="s">
        <v>372</v>
      </c>
      <c r="E718" s="126"/>
      <c r="F718" s="124" t="s">
        <v>365</v>
      </c>
      <c r="G718" s="126"/>
      <c r="H718" s="126">
        <v>70758.349999999991</v>
      </c>
      <c r="I718" s="127">
        <v>43383415.109999999</v>
      </c>
      <c r="J718" s="128" t="s">
        <v>366</v>
      </c>
      <c r="K718" s="128" t="s">
        <v>367</v>
      </c>
      <c r="L718" s="128" t="s">
        <v>368</v>
      </c>
      <c r="M718" s="128" t="s">
        <v>369</v>
      </c>
      <c r="N718" s="128"/>
      <c r="O718" s="128"/>
    </row>
    <row r="719" spans="1:15">
      <c r="A719" s="129" t="s">
        <v>362</v>
      </c>
      <c r="B719" s="129" t="s">
        <v>363</v>
      </c>
      <c r="C719" s="130">
        <v>45412</v>
      </c>
      <c r="D719" s="129" t="s">
        <v>371</v>
      </c>
      <c r="E719" s="131"/>
      <c r="F719" s="129" t="s">
        <v>365</v>
      </c>
      <c r="G719" s="131"/>
      <c r="H719" s="131">
        <v>728971.9</v>
      </c>
      <c r="I719" s="132">
        <v>446947823.42999995</v>
      </c>
      <c r="J719" s="133" t="s">
        <v>366</v>
      </c>
      <c r="K719" s="133" t="s">
        <v>367</v>
      </c>
      <c r="L719" s="133" t="s">
        <v>368</v>
      </c>
      <c r="M719" s="133" t="s">
        <v>369</v>
      </c>
      <c r="N719" s="133"/>
      <c r="O719" s="133"/>
    </row>
    <row r="720" spans="1:15">
      <c r="A720" s="124" t="s">
        <v>362</v>
      </c>
      <c r="B720" s="124" t="s">
        <v>363</v>
      </c>
      <c r="C720" s="125">
        <v>45412</v>
      </c>
      <c r="D720" s="124" t="s">
        <v>376</v>
      </c>
      <c r="E720" s="126"/>
      <c r="F720" s="124" t="s">
        <v>365</v>
      </c>
      <c r="G720" s="126"/>
      <c r="H720" s="126">
        <v>38723.81</v>
      </c>
      <c r="I720" s="127">
        <v>23742372.780000001</v>
      </c>
      <c r="J720" s="128" t="s">
        <v>366</v>
      </c>
      <c r="K720" s="128" t="s">
        <v>367</v>
      </c>
      <c r="L720" s="128" t="s">
        <v>368</v>
      </c>
      <c r="M720" s="128" t="s">
        <v>369</v>
      </c>
      <c r="N720" s="128"/>
      <c r="O720" s="128"/>
    </row>
    <row r="721" spans="1:15">
      <c r="A721" s="129" t="s">
        <v>362</v>
      </c>
      <c r="B721" s="129" t="s">
        <v>363</v>
      </c>
      <c r="C721" s="130">
        <v>45414</v>
      </c>
      <c r="D721" s="129" t="s">
        <v>372</v>
      </c>
      <c r="E721" s="131">
        <v>20</v>
      </c>
      <c r="F721" s="129" t="s">
        <v>365</v>
      </c>
      <c r="G721" s="131"/>
      <c r="H721" s="131">
        <v>27615</v>
      </c>
      <c r="I721" s="132">
        <v>16900244.800000001</v>
      </c>
      <c r="J721" s="133" t="s">
        <v>366</v>
      </c>
      <c r="K721" s="133" t="s">
        <v>367</v>
      </c>
      <c r="L721" s="133" t="s">
        <v>368</v>
      </c>
      <c r="M721" s="133" t="s">
        <v>369</v>
      </c>
      <c r="N721" s="133"/>
      <c r="O721" s="133"/>
    </row>
    <row r="722" spans="1:15">
      <c r="A722" s="124" t="s">
        <v>362</v>
      </c>
      <c r="B722" s="124" t="s">
        <v>363</v>
      </c>
      <c r="C722" s="125">
        <v>45414</v>
      </c>
      <c r="D722" s="124" t="s">
        <v>371</v>
      </c>
      <c r="E722" s="126">
        <v>717.39</v>
      </c>
      <c r="F722" s="124" t="s">
        <v>365</v>
      </c>
      <c r="G722" s="126"/>
      <c r="H722" s="126">
        <v>163940.18</v>
      </c>
      <c r="I722" s="127">
        <v>100330587.52</v>
      </c>
      <c r="J722" s="128" t="s">
        <v>366</v>
      </c>
      <c r="K722" s="128" t="s">
        <v>367</v>
      </c>
      <c r="L722" s="128" t="s">
        <v>368</v>
      </c>
      <c r="M722" s="128" t="s">
        <v>369</v>
      </c>
      <c r="N722" s="128"/>
      <c r="O722" s="128"/>
    </row>
    <row r="723" spans="1:15">
      <c r="A723" s="129" t="s">
        <v>362</v>
      </c>
      <c r="B723" s="129" t="s">
        <v>363</v>
      </c>
      <c r="C723" s="130">
        <v>45414</v>
      </c>
      <c r="D723" s="129" t="s">
        <v>364</v>
      </c>
      <c r="E723" s="131">
        <v>100.018</v>
      </c>
      <c r="F723" s="129" t="s">
        <v>365</v>
      </c>
      <c r="G723" s="131"/>
      <c r="H723" s="131">
        <v>193854.89</v>
      </c>
      <c r="I723" s="132">
        <v>118638243.56999999</v>
      </c>
      <c r="J723" s="133" t="s">
        <v>366</v>
      </c>
      <c r="K723" s="133" t="s">
        <v>367</v>
      </c>
      <c r="L723" s="133" t="s">
        <v>368</v>
      </c>
      <c r="M723" s="133" t="s">
        <v>369</v>
      </c>
      <c r="N723" s="133"/>
      <c r="O723" s="133"/>
    </row>
    <row r="724" spans="1:15">
      <c r="A724" s="124" t="s">
        <v>362</v>
      </c>
      <c r="B724" s="124" t="s">
        <v>363</v>
      </c>
      <c r="C724" s="125">
        <v>45414</v>
      </c>
      <c r="D724" s="124" t="s">
        <v>364</v>
      </c>
      <c r="E724" s="126">
        <v>100.03400000000001</v>
      </c>
      <c r="F724" s="124" t="s">
        <v>365</v>
      </c>
      <c r="G724" s="126"/>
      <c r="H724" s="126">
        <v>193885.9</v>
      </c>
      <c r="I724" s="127">
        <v>118657221.54000001</v>
      </c>
      <c r="J724" s="128" t="s">
        <v>366</v>
      </c>
      <c r="K724" s="128" t="s">
        <v>367</v>
      </c>
      <c r="L724" s="128" t="s">
        <v>368</v>
      </c>
      <c r="M724" s="128" t="s">
        <v>369</v>
      </c>
      <c r="N724" s="128"/>
      <c r="O724" s="128"/>
    </row>
    <row r="725" spans="1:15">
      <c r="A725" s="129" t="s">
        <v>362</v>
      </c>
      <c r="B725" s="129" t="s">
        <v>363</v>
      </c>
      <c r="C725" s="130">
        <v>45414</v>
      </c>
      <c r="D725" s="129" t="s">
        <v>364</v>
      </c>
      <c r="E725" s="131">
        <v>200.02199999999999</v>
      </c>
      <c r="F725" s="129" t="s">
        <v>365</v>
      </c>
      <c r="G725" s="131"/>
      <c r="H725" s="131">
        <v>377061.47</v>
      </c>
      <c r="I725" s="132">
        <v>230759773.56</v>
      </c>
      <c r="J725" s="133" t="s">
        <v>366</v>
      </c>
      <c r="K725" s="133" t="s">
        <v>367</v>
      </c>
      <c r="L725" s="133" t="s">
        <v>368</v>
      </c>
      <c r="M725" s="133" t="s">
        <v>369</v>
      </c>
      <c r="N725" s="133"/>
      <c r="O725" s="133"/>
    </row>
    <row r="726" spans="1:15">
      <c r="A726" s="124" t="s">
        <v>362</v>
      </c>
      <c r="B726" s="124" t="s">
        <v>363</v>
      </c>
      <c r="C726" s="125">
        <v>45417</v>
      </c>
      <c r="D726" s="124" t="s">
        <v>372</v>
      </c>
      <c r="E726" s="126">
        <v>60</v>
      </c>
      <c r="F726" s="124" t="s">
        <v>365</v>
      </c>
      <c r="G726" s="126"/>
      <c r="H726" s="126">
        <v>77073</v>
      </c>
      <c r="I726" s="127">
        <v>46967093.240000002</v>
      </c>
      <c r="J726" s="128" t="s">
        <v>366</v>
      </c>
      <c r="K726" s="128" t="s">
        <v>367</v>
      </c>
      <c r="L726" s="128" t="s">
        <v>368</v>
      </c>
      <c r="M726" s="128" t="s">
        <v>369</v>
      </c>
      <c r="N726" s="128"/>
      <c r="O726" s="128"/>
    </row>
    <row r="727" spans="1:15">
      <c r="A727" s="129" t="s">
        <v>362</v>
      </c>
      <c r="B727" s="129" t="s">
        <v>363</v>
      </c>
      <c r="C727" s="130">
        <v>45417</v>
      </c>
      <c r="D727" s="129" t="s">
        <v>374</v>
      </c>
      <c r="E727" s="131">
        <v>100</v>
      </c>
      <c r="F727" s="129" t="s">
        <v>365</v>
      </c>
      <c r="G727" s="131"/>
      <c r="H727" s="131">
        <v>187465</v>
      </c>
      <c r="I727" s="132">
        <v>114238269.34999999</v>
      </c>
      <c r="J727" s="133" t="s">
        <v>366</v>
      </c>
      <c r="K727" s="133" t="s">
        <v>367</v>
      </c>
      <c r="L727" s="133" t="s">
        <v>368</v>
      </c>
      <c r="M727" s="133" t="s">
        <v>369</v>
      </c>
      <c r="N727" s="133"/>
      <c r="O727" s="133"/>
    </row>
    <row r="728" spans="1:15">
      <c r="A728" s="124" t="s">
        <v>362</v>
      </c>
      <c r="B728" s="124" t="s">
        <v>363</v>
      </c>
      <c r="C728" s="125">
        <v>45417</v>
      </c>
      <c r="D728" s="124" t="s">
        <v>374</v>
      </c>
      <c r="E728" s="126">
        <v>60</v>
      </c>
      <c r="F728" s="124" t="s">
        <v>365</v>
      </c>
      <c r="G728" s="126"/>
      <c r="H728" s="126">
        <v>112479</v>
      </c>
      <c r="I728" s="127">
        <v>68542961.609999999</v>
      </c>
      <c r="J728" s="128" t="s">
        <v>366</v>
      </c>
      <c r="K728" s="128" t="s">
        <v>367</v>
      </c>
      <c r="L728" s="128" t="s">
        <v>368</v>
      </c>
      <c r="M728" s="128" t="s">
        <v>369</v>
      </c>
      <c r="N728" s="128"/>
      <c r="O728" s="128"/>
    </row>
    <row r="729" spans="1:15">
      <c r="A729" s="129" t="s">
        <v>362</v>
      </c>
      <c r="B729" s="129" t="s">
        <v>363</v>
      </c>
      <c r="C729" s="130">
        <v>45417</v>
      </c>
      <c r="D729" s="129" t="s">
        <v>374</v>
      </c>
      <c r="E729" s="131">
        <v>80</v>
      </c>
      <c r="F729" s="129" t="s">
        <v>365</v>
      </c>
      <c r="G729" s="131"/>
      <c r="H729" s="131">
        <v>149164</v>
      </c>
      <c r="I729" s="132">
        <v>90898232.780000001</v>
      </c>
      <c r="J729" s="133" t="s">
        <v>366</v>
      </c>
      <c r="K729" s="133" t="s">
        <v>367</v>
      </c>
      <c r="L729" s="133" t="s">
        <v>368</v>
      </c>
      <c r="M729" s="133" t="s">
        <v>369</v>
      </c>
      <c r="N729" s="133"/>
      <c r="O729" s="133"/>
    </row>
    <row r="730" spans="1:15">
      <c r="A730" s="124" t="s">
        <v>362</v>
      </c>
      <c r="B730" s="124" t="s">
        <v>363</v>
      </c>
      <c r="C730" s="125">
        <v>45417</v>
      </c>
      <c r="D730" s="124" t="s">
        <v>371</v>
      </c>
      <c r="E730" s="126">
        <v>853.61300000000006</v>
      </c>
      <c r="F730" s="124" t="s">
        <v>365</v>
      </c>
      <c r="G730" s="126"/>
      <c r="H730" s="126">
        <v>237957.53</v>
      </c>
      <c r="I730" s="127">
        <v>145007635.59</v>
      </c>
      <c r="J730" s="128" t="s">
        <v>366</v>
      </c>
      <c r="K730" s="128" t="s">
        <v>367</v>
      </c>
      <c r="L730" s="128" t="s">
        <v>368</v>
      </c>
      <c r="M730" s="128" t="s">
        <v>369</v>
      </c>
      <c r="N730" s="128"/>
      <c r="O730" s="128"/>
    </row>
    <row r="731" spans="1:15">
      <c r="A731" s="129" t="s">
        <v>362</v>
      </c>
      <c r="B731" s="129" t="s">
        <v>363</v>
      </c>
      <c r="C731" s="130">
        <v>45417</v>
      </c>
      <c r="D731" s="129" t="s">
        <v>364</v>
      </c>
      <c r="E731" s="131">
        <v>110.0625</v>
      </c>
      <c r="F731" s="129" t="s">
        <v>365</v>
      </c>
      <c r="G731" s="131"/>
      <c r="H731" s="131">
        <v>204524.57</v>
      </c>
      <c r="I731" s="132">
        <v>124634107.25</v>
      </c>
      <c r="J731" s="133" t="s">
        <v>366</v>
      </c>
      <c r="K731" s="133" t="s">
        <v>367</v>
      </c>
      <c r="L731" s="133" t="s">
        <v>368</v>
      </c>
      <c r="M731" s="133" t="s">
        <v>369</v>
      </c>
      <c r="N731" s="133"/>
      <c r="O731" s="133"/>
    </row>
    <row r="732" spans="1:15">
      <c r="A732" s="124" t="s">
        <v>362</v>
      </c>
      <c r="B732" s="124" t="s">
        <v>363</v>
      </c>
      <c r="C732" s="125">
        <v>45417</v>
      </c>
      <c r="D732" s="124" t="s">
        <v>370</v>
      </c>
      <c r="E732" s="126">
        <v>59.491</v>
      </c>
      <c r="F732" s="124" t="s">
        <v>365</v>
      </c>
      <c r="G732" s="126"/>
      <c r="H732" s="126">
        <v>105066.85</v>
      </c>
      <c r="I732" s="127">
        <v>64026112.130000003</v>
      </c>
      <c r="J732" s="128" t="s">
        <v>366</v>
      </c>
      <c r="K732" s="128" t="s">
        <v>367</v>
      </c>
      <c r="L732" s="128" t="s">
        <v>368</v>
      </c>
      <c r="M732" s="128" t="s">
        <v>369</v>
      </c>
      <c r="N732" s="128"/>
      <c r="O732" s="128"/>
    </row>
    <row r="733" spans="1:15">
      <c r="A733" s="129" t="s">
        <v>362</v>
      </c>
      <c r="B733" s="129" t="s">
        <v>363</v>
      </c>
      <c r="C733" s="130">
        <v>45419</v>
      </c>
      <c r="D733" s="129" t="s">
        <v>364</v>
      </c>
      <c r="E733" s="131">
        <v>110.13875</v>
      </c>
      <c r="F733" s="129" t="s">
        <v>365</v>
      </c>
      <c r="G733" s="131"/>
      <c r="H733" s="131">
        <v>207419.27</v>
      </c>
      <c r="I733" s="132">
        <v>126398092.63</v>
      </c>
      <c r="J733" s="133" t="s">
        <v>366</v>
      </c>
      <c r="K733" s="133" t="s">
        <v>367</v>
      </c>
      <c r="L733" s="133" t="s">
        <v>368</v>
      </c>
      <c r="M733" s="133" t="s">
        <v>369</v>
      </c>
      <c r="N733" s="133"/>
      <c r="O733" s="133"/>
    </row>
    <row r="734" spans="1:15">
      <c r="A734" s="124" t="s">
        <v>362</v>
      </c>
      <c r="B734" s="124" t="s">
        <v>363</v>
      </c>
      <c r="C734" s="125">
        <v>45419</v>
      </c>
      <c r="D734" s="124" t="s">
        <v>364</v>
      </c>
      <c r="E734" s="126">
        <v>154.16749999999999</v>
      </c>
      <c r="F734" s="124" t="s">
        <v>365</v>
      </c>
      <c r="G734" s="126"/>
      <c r="H734" s="126">
        <v>289436.88</v>
      </c>
      <c r="I734" s="127">
        <v>176378354.66</v>
      </c>
      <c r="J734" s="128" t="s">
        <v>366</v>
      </c>
      <c r="K734" s="128" t="s">
        <v>367</v>
      </c>
      <c r="L734" s="128" t="s">
        <v>368</v>
      </c>
      <c r="M734" s="128" t="s">
        <v>369</v>
      </c>
      <c r="N734" s="128"/>
      <c r="O734" s="128"/>
    </row>
    <row r="735" spans="1:15">
      <c r="A735" s="129" t="s">
        <v>362</v>
      </c>
      <c r="B735" s="129" t="s">
        <v>363</v>
      </c>
      <c r="C735" s="130">
        <v>45419</v>
      </c>
      <c r="D735" s="129" t="s">
        <v>370</v>
      </c>
      <c r="E735" s="131">
        <v>79.991</v>
      </c>
      <c r="F735" s="129" t="s">
        <v>365</v>
      </c>
      <c r="G735" s="131"/>
      <c r="H735" s="131">
        <v>138944.37</v>
      </c>
      <c r="I735" s="132">
        <v>84670548.450000003</v>
      </c>
      <c r="J735" s="133" t="s">
        <v>366</v>
      </c>
      <c r="K735" s="133" t="s">
        <v>367</v>
      </c>
      <c r="L735" s="133" t="s">
        <v>368</v>
      </c>
      <c r="M735" s="133" t="s">
        <v>369</v>
      </c>
      <c r="N735" s="133"/>
      <c r="O735" s="133"/>
    </row>
    <row r="736" spans="1:15">
      <c r="A736" s="124" t="s">
        <v>362</v>
      </c>
      <c r="B736" s="124" t="s">
        <v>363</v>
      </c>
      <c r="C736" s="125">
        <v>45419</v>
      </c>
      <c r="D736" s="124" t="s">
        <v>364</v>
      </c>
      <c r="E736" s="126">
        <v>110.1425</v>
      </c>
      <c r="F736" s="124" t="s">
        <v>365</v>
      </c>
      <c r="G736" s="126"/>
      <c r="H736" s="126">
        <v>206325.37</v>
      </c>
      <c r="I736" s="127">
        <v>125731486.90000001</v>
      </c>
      <c r="J736" s="128" t="s">
        <v>366</v>
      </c>
      <c r="K736" s="128" t="s">
        <v>367</v>
      </c>
      <c r="L736" s="128" t="s">
        <v>368</v>
      </c>
      <c r="M736" s="128" t="s">
        <v>369</v>
      </c>
      <c r="N736" s="128"/>
      <c r="O736" s="128"/>
    </row>
    <row r="737" spans="1:15">
      <c r="A737" s="129" t="s">
        <v>362</v>
      </c>
      <c r="B737" s="129" t="s">
        <v>363</v>
      </c>
      <c r="C737" s="130">
        <v>45421</v>
      </c>
      <c r="D737" s="129" t="s">
        <v>370</v>
      </c>
      <c r="E737" s="131">
        <v>110.11620000000001</v>
      </c>
      <c r="F737" s="129" t="s">
        <v>365</v>
      </c>
      <c r="G737" s="131"/>
      <c r="H737" s="131">
        <v>196694.71</v>
      </c>
      <c r="I737" s="132">
        <v>120082240.54000001</v>
      </c>
      <c r="J737" s="133" t="s">
        <v>366</v>
      </c>
      <c r="K737" s="133" t="s">
        <v>367</v>
      </c>
      <c r="L737" s="133" t="s">
        <v>368</v>
      </c>
      <c r="M737" s="133" t="s">
        <v>369</v>
      </c>
      <c r="N737" s="133"/>
      <c r="O737" s="133"/>
    </row>
    <row r="738" spans="1:15">
      <c r="A738" s="124" t="s">
        <v>362</v>
      </c>
      <c r="B738" s="124" t="s">
        <v>363</v>
      </c>
      <c r="C738" s="125">
        <v>45421</v>
      </c>
      <c r="D738" s="124" t="s">
        <v>370</v>
      </c>
      <c r="E738" s="126">
        <v>110.4325</v>
      </c>
      <c r="F738" s="124" t="s">
        <v>365</v>
      </c>
      <c r="G738" s="126"/>
      <c r="H738" s="126">
        <v>197260.95</v>
      </c>
      <c r="I738" s="127">
        <v>120427930.40000001</v>
      </c>
      <c r="J738" s="128" t="s">
        <v>366</v>
      </c>
      <c r="K738" s="128" t="s">
        <v>367</v>
      </c>
      <c r="L738" s="128" t="s">
        <v>368</v>
      </c>
      <c r="M738" s="128" t="s">
        <v>369</v>
      </c>
      <c r="N738" s="128"/>
      <c r="O738" s="128"/>
    </row>
    <row r="739" spans="1:15">
      <c r="A739" s="129" t="s">
        <v>362</v>
      </c>
      <c r="B739" s="129" t="s">
        <v>363</v>
      </c>
      <c r="C739" s="130">
        <v>45424</v>
      </c>
      <c r="D739" s="129" t="s">
        <v>371</v>
      </c>
      <c r="E739" s="131">
        <v>733.98800000000006</v>
      </c>
      <c r="F739" s="129" t="s">
        <v>365</v>
      </c>
      <c r="G739" s="131"/>
      <c r="H739" s="131">
        <v>189734.67</v>
      </c>
      <c r="I739" s="132">
        <v>115480626.90000001</v>
      </c>
      <c r="J739" s="133" t="s">
        <v>366</v>
      </c>
      <c r="K739" s="133" t="s">
        <v>367</v>
      </c>
      <c r="L739" s="133" t="s">
        <v>368</v>
      </c>
      <c r="M739" s="133" t="s">
        <v>369</v>
      </c>
      <c r="N739" s="133"/>
      <c r="O739" s="133"/>
    </row>
    <row r="740" spans="1:15">
      <c r="A740" s="124" t="s">
        <v>362</v>
      </c>
      <c r="B740" s="124" t="s">
        <v>363</v>
      </c>
      <c r="C740" s="125">
        <v>45424</v>
      </c>
      <c r="D740" s="124" t="s">
        <v>371</v>
      </c>
      <c r="E740" s="126">
        <v>516.13499999999999</v>
      </c>
      <c r="F740" s="124" t="s">
        <v>365</v>
      </c>
      <c r="G740" s="126"/>
      <c r="H740" s="126">
        <v>130966.85</v>
      </c>
      <c r="I740" s="127">
        <v>79712020.689999998</v>
      </c>
      <c r="J740" s="128" t="s">
        <v>366</v>
      </c>
      <c r="K740" s="128" t="s">
        <v>367</v>
      </c>
      <c r="L740" s="128" t="s">
        <v>368</v>
      </c>
      <c r="M740" s="128" t="s">
        <v>369</v>
      </c>
      <c r="N740" s="128"/>
      <c r="O740" s="128"/>
    </row>
    <row r="741" spans="1:15">
      <c r="A741" s="129" t="s">
        <v>362</v>
      </c>
      <c r="B741" s="129" t="s">
        <v>363</v>
      </c>
      <c r="C741" s="130">
        <v>45424</v>
      </c>
      <c r="D741" s="129" t="s">
        <v>372</v>
      </c>
      <c r="E741" s="131">
        <v>40</v>
      </c>
      <c r="F741" s="129" t="s">
        <v>365</v>
      </c>
      <c r="G741" s="131"/>
      <c r="H741" s="131">
        <v>55230</v>
      </c>
      <c r="I741" s="132">
        <v>33615337.799999997</v>
      </c>
      <c r="J741" s="133" t="s">
        <v>366</v>
      </c>
      <c r="K741" s="133" t="s">
        <v>367</v>
      </c>
      <c r="L741" s="133" t="s">
        <v>368</v>
      </c>
      <c r="M741" s="133" t="s">
        <v>369</v>
      </c>
      <c r="N741" s="133"/>
      <c r="O741" s="133"/>
    </row>
    <row r="742" spans="1:15">
      <c r="A742" s="124" t="s">
        <v>362</v>
      </c>
      <c r="B742" s="124" t="s">
        <v>363</v>
      </c>
      <c r="C742" s="125">
        <v>45425</v>
      </c>
      <c r="D742" s="124" t="s">
        <v>364</v>
      </c>
      <c r="E742" s="126">
        <v>20.007000000000001</v>
      </c>
      <c r="F742" s="124" t="s">
        <v>365</v>
      </c>
      <c r="G742" s="126"/>
      <c r="H742" s="126">
        <v>37689.19</v>
      </c>
      <c r="I742" s="127">
        <v>22953221.68</v>
      </c>
      <c r="J742" s="128" t="s">
        <v>366</v>
      </c>
      <c r="K742" s="128" t="s">
        <v>367</v>
      </c>
      <c r="L742" s="128" t="s">
        <v>368</v>
      </c>
      <c r="M742" s="128" t="s">
        <v>369</v>
      </c>
      <c r="N742" s="128"/>
      <c r="O742" s="128"/>
    </row>
    <row r="743" spans="1:15">
      <c r="A743" s="129" t="s">
        <v>362</v>
      </c>
      <c r="B743" s="129" t="s">
        <v>363</v>
      </c>
      <c r="C743" s="130">
        <v>45426</v>
      </c>
      <c r="D743" s="129" t="s">
        <v>372</v>
      </c>
      <c r="E743" s="131">
        <v>60</v>
      </c>
      <c r="F743" s="129" t="s">
        <v>365</v>
      </c>
      <c r="G743" s="131"/>
      <c r="H743" s="131">
        <v>76977</v>
      </c>
      <c r="I743" s="132">
        <v>46794528.880000003</v>
      </c>
      <c r="J743" s="133" t="s">
        <v>366</v>
      </c>
      <c r="K743" s="133" t="s">
        <v>367</v>
      </c>
      <c r="L743" s="133" t="s">
        <v>368</v>
      </c>
      <c r="M743" s="133" t="s">
        <v>369</v>
      </c>
      <c r="N743" s="133"/>
      <c r="O743" s="133"/>
    </row>
    <row r="744" spans="1:15">
      <c r="A744" s="124" t="s">
        <v>362</v>
      </c>
      <c r="B744" s="124" t="s">
        <v>363</v>
      </c>
      <c r="C744" s="125">
        <v>45428</v>
      </c>
      <c r="D744" s="124" t="s">
        <v>370</v>
      </c>
      <c r="E744" s="126">
        <v>265.0675</v>
      </c>
      <c r="F744" s="124" t="s">
        <v>365</v>
      </c>
      <c r="G744" s="126"/>
      <c r="H744" s="126">
        <v>467051.58</v>
      </c>
      <c r="I744" s="127">
        <v>281356373.49000001</v>
      </c>
      <c r="J744" s="128" t="s">
        <v>366</v>
      </c>
      <c r="K744" s="128" t="s">
        <v>367</v>
      </c>
      <c r="L744" s="128" t="s">
        <v>368</v>
      </c>
      <c r="M744" s="128" t="s">
        <v>369</v>
      </c>
      <c r="N744" s="128"/>
      <c r="O744" s="128"/>
    </row>
    <row r="745" spans="1:15">
      <c r="A745" s="129" t="s">
        <v>362</v>
      </c>
      <c r="B745" s="129" t="s">
        <v>363</v>
      </c>
      <c r="C745" s="130">
        <v>45428</v>
      </c>
      <c r="D745" s="129" t="s">
        <v>364</v>
      </c>
      <c r="E745" s="131">
        <v>97.486999999999995</v>
      </c>
      <c r="F745" s="129" t="s">
        <v>365</v>
      </c>
      <c r="G745" s="131"/>
      <c r="H745" s="131">
        <v>187978.12</v>
      </c>
      <c r="I745" s="132">
        <v>113239831.33</v>
      </c>
      <c r="J745" s="133" t="s">
        <v>366</v>
      </c>
      <c r="K745" s="133" t="s">
        <v>367</v>
      </c>
      <c r="L745" s="133" t="s">
        <v>368</v>
      </c>
      <c r="M745" s="133" t="s">
        <v>369</v>
      </c>
      <c r="N745" s="133"/>
      <c r="O745" s="133"/>
    </row>
    <row r="746" spans="1:15">
      <c r="A746" s="124" t="s">
        <v>362</v>
      </c>
      <c r="B746" s="124" t="s">
        <v>363</v>
      </c>
      <c r="C746" s="125">
        <v>45428</v>
      </c>
      <c r="D746" s="124" t="s">
        <v>364</v>
      </c>
      <c r="E746" s="126">
        <v>389.99200000000002</v>
      </c>
      <c r="F746" s="124" t="s">
        <v>365</v>
      </c>
      <c r="G746" s="126"/>
      <c r="H746" s="126">
        <v>856027.69</v>
      </c>
      <c r="I746" s="127">
        <v>515679331.32999998</v>
      </c>
      <c r="J746" s="128" t="s">
        <v>366</v>
      </c>
      <c r="K746" s="128" t="s">
        <v>367</v>
      </c>
      <c r="L746" s="128" t="s">
        <v>368</v>
      </c>
      <c r="M746" s="128" t="s">
        <v>369</v>
      </c>
      <c r="N746" s="128"/>
      <c r="O746" s="128"/>
    </row>
    <row r="747" spans="1:15">
      <c r="A747" s="129" t="s">
        <v>362</v>
      </c>
      <c r="B747" s="129" t="s">
        <v>363</v>
      </c>
      <c r="C747" s="130">
        <v>45429</v>
      </c>
      <c r="D747" s="129" t="s">
        <v>373</v>
      </c>
      <c r="E747" s="131">
        <v>35008.196000000004</v>
      </c>
      <c r="F747" s="129" t="s">
        <v>365</v>
      </c>
      <c r="G747" s="131"/>
      <c r="H747" s="131">
        <v>8185504.3600000003</v>
      </c>
      <c r="I747" s="132">
        <v>4939954351.2399998</v>
      </c>
      <c r="J747" s="133" t="s">
        <v>366</v>
      </c>
      <c r="K747" s="133" t="s">
        <v>367</v>
      </c>
      <c r="L747" s="133" t="s">
        <v>368</v>
      </c>
      <c r="M747" s="133" t="s">
        <v>369</v>
      </c>
      <c r="N747" s="133"/>
      <c r="O747" s="133"/>
    </row>
    <row r="748" spans="1:15">
      <c r="A748" s="124" t="s">
        <v>362</v>
      </c>
      <c r="B748" s="124" t="s">
        <v>363</v>
      </c>
      <c r="C748" s="125">
        <v>45429</v>
      </c>
      <c r="D748" s="124" t="s">
        <v>364</v>
      </c>
      <c r="E748" s="126">
        <v>99.986999999999995</v>
      </c>
      <c r="F748" s="124" t="s">
        <v>365</v>
      </c>
      <c r="G748" s="126"/>
      <c r="H748" s="126">
        <v>188610.48</v>
      </c>
      <c r="I748" s="127">
        <v>113826481.59</v>
      </c>
      <c r="J748" s="128" t="s">
        <v>366</v>
      </c>
      <c r="K748" s="128" t="s">
        <v>367</v>
      </c>
      <c r="L748" s="128" t="s">
        <v>368</v>
      </c>
      <c r="M748" s="128" t="s">
        <v>369</v>
      </c>
      <c r="N748" s="128"/>
      <c r="O748" s="128"/>
    </row>
    <row r="749" spans="1:15">
      <c r="A749" s="129" t="s">
        <v>362</v>
      </c>
      <c r="B749" s="129" t="s">
        <v>363</v>
      </c>
      <c r="C749" s="130">
        <v>45429</v>
      </c>
      <c r="D749" s="129" t="s">
        <v>364</v>
      </c>
      <c r="E749" s="131">
        <v>88.02</v>
      </c>
      <c r="F749" s="129" t="s">
        <v>365</v>
      </c>
      <c r="G749" s="131"/>
      <c r="H749" s="131">
        <v>164885.34</v>
      </c>
      <c r="I749" s="132">
        <v>99508352.439999998</v>
      </c>
      <c r="J749" s="133" t="s">
        <v>366</v>
      </c>
      <c r="K749" s="133" t="s">
        <v>367</v>
      </c>
      <c r="L749" s="133" t="s">
        <v>368</v>
      </c>
      <c r="M749" s="133" t="s">
        <v>369</v>
      </c>
      <c r="N749" s="133"/>
      <c r="O749" s="133"/>
    </row>
    <row r="750" spans="1:15">
      <c r="A750" s="124" t="s">
        <v>362</v>
      </c>
      <c r="B750" s="124" t="s">
        <v>363</v>
      </c>
      <c r="C750" s="125">
        <v>45431</v>
      </c>
      <c r="D750" s="124" t="s">
        <v>364</v>
      </c>
      <c r="E750" s="126">
        <v>498.54899999999998</v>
      </c>
      <c r="F750" s="124" t="s">
        <v>365</v>
      </c>
      <c r="G750" s="126"/>
      <c r="H750" s="126">
        <v>922340.58</v>
      </c>
      <c r="I750" s="127">
        <v>555961772.14999998</v>
      </c>
      <c r="J750" s="128" t="s">
        <v>366</v>
      </c>
      <c r="K750" s="128" t="s">
        <v>367</v>
      </c>
      <c r="L750" s="128" t="s">
        <v>368</v>
      </c>
      <c r="M750" s="128" t="s">
        <v>369</v>
      </c>
      <c r="N750" s="128"/>
      <c r="O750" s="128"/>
    </row>
    <row r="751" spans="1:15">
      <c r="A751" s="129" t="s">
        <v>362</v>
      </c>
      <c r="B751" s="129" t="s">
        <v>363</v>
      </c>
      <c r="C751" s="130">
        <v>45433</v>
      </c>
      <c r="D751" s="129" t="s">
        <v>374</v>
      </c>
      <c r="E751" s="131">
        <v>120</v>
      </c>
      <c r="F751" s="129" t="s">
        <v>365</v>
      </c>
      <c r="G751" s="131"/>
      <c r="H751" s="131">
        <v>224958</v>
      </c>
      <c r="I751" s="132">
        <v>135844202.90000001</v>
      </c>
      <c r="J751" s="133" t="s">
        <v>366</v>
      </c>
      <c r="K751" s="133" t="s">
        <v>367</v>
      </c>
      <c r="L751" s="133" t="s">
        <v>368</v>
      </c>
      <c r="M751" s="133" t="s">
        <v>369</v>
      </c>
      <c r="N751" s="133"/>
      <c r="O751" s="133"/>
    </row>
    <row r="752" spans="1:15">
      <c r="A752" s="124" t="s">
        <v>362</v>
      </c>
      <c r="B752" s="124" t="s">
        <v>363</v>
      </c>
      <c r="C752" s="125">
        <v>45433</v>
      </c>
      <c r="D752" s="124" t="s">
        <v>372</v>
      </c>
      <c r="E752" s="126">
        <v>60</v>
      </c>
      <c r="F752" s="124" t="s">
        <v>365</v>
      </c>
      <c r="G752" s="126"/>
      <c r="H752" s="126">
        <v>77073</v>
      </c>
      <c r="I752" s="127">
        <v>46541666.670000002</v>
      </c>
      <c r="J752" s="128" t="s">
        <v>366</v>
      </c>
      <c r="K752" s="128" t="s">
        <v>367</v>
      </c>
      <c r="L752" s="128" t="s">
        <v>368</v>
      </c>
      <c r="M752" s="128" t="s">
        <v>369</v>
      </c>
      <c r="N752" s="128"/>
      <c r="O752" s="128"/>
    </row>
    <row r="753" spans="1:15">
      <c r="A753" s="129" t="s">
        <v>362</v>
      </c>
      <c r="B753" s="129" t="s">
        <v>363</v>
      </c>
      <c r="C753" s="130">
        <v>45433</v>
      </c>
      <c r="D753" s="129" t="s">
        <v>364</v>
      </c>
      <c r="E753" s="131">
        <v>154.15100000000001</v>
      </c>
      <c r="F753" s="129" t="s">
        <v>365</v>
      </c>
      <c r="G753" s="131"/>
      <c r="H753" s="131">
        <v>288539.84000000003</v>
      </c>
      <c r="I753" s="132">
        <v>174239033.81999999</v>
      </c>
      <c r="J753" s="133" t="s">
        <v>366</v>
      </c>
      <c r="K753" s="133" t="s">
        <v>367</v>
      </c>
      <c r="L753" s="133" t="s">
        <v>368</v>
      </c>
      <c r="M753" s="133" t="s">
        <v>369</v>
      </c>
      <c r="N753" s="133"/>
      <c r="O753" s="133"/>
    </row>
    <row r="754" spans="1:15">
      <c r="A754" s="124" t="s">
        <v>362</v>
      </c>
      <c r="B754" s="124" t="s">
        <v>363</v>
      </c>
      <c r="C754" s="125">
        <v>45436</v>
      </c>
      <c r="D754" s="124" t="s">
        <v>375</v>
      </c>
      <c r="E754" s="126">
        <v>25000.045999999998</v>
      </c>
      <c r="F754" s="124" t="s">
        <v>365</v>
      </c>
      <c r="G754" s="126"/>
      <c r="H754" s="126">
        <v>7275013.3899999997</v>
      </c>
      <c r="I754" s="127">
        <v>4414449872.5699997</v>
      </c>
      <c r="J754" s="128" t="s">
        <v>366</v>
      </c>
      <c r="K754" s="128" t="s">
        <v>367</v>
      </c>
      <c r="L754" s="128" t="s">
        <v>368</v>
      </c>
      <c r="M754" s="128" t="s">
        <v>369</v>
      </c>
      <c r="N754" s="128"/>
      <c r="O754" s="128"/>
    </row>
    <row r="755" spans="1:15">
      <c r="A755" s="129" t="s">
        <v>362</v>
      </c>
      <c r="B755" s="129" t="s">
        <v>363</v>
      </c>
      <c r="C755" s="130">
        <v>45436</v>
      </c>
      <c r="D755" s="129" t="s">
        <v>372</v>
      </c>
      <c r="E755" s="131">
        <v>100</v>
      </c>
      <c r="F755" s="129" t="s">
        <v>365</v>
      </c>
      <c r="G755" s="131"/>
      <c r="H755" s="131">
        <v>138460</v>
      </c>
      <c r="I755" s="132">
        <v>84016990.290000007</v>
      </c>
      <c r="J755" s="133" t="s">
        <v>366</v>
      </c>
      <c r="K755" s="133" t="s">
        <v>367</v>
      </c>
      <c r="L755" s="133" t="s">
        <v>368</v>
      </c>
      <c r="M755" s="133" t="s">
        <v>369</v>
      </c>
      <c r="N755" s="133"/>
      <c r="O755" s="133"/>
    </row>
    <row r="756" spans="1:15">
      <c r="A756" s="124" t="s">
        <v>362</v>
      </c>
      <c r="B756" s="124" t="s">
        <v>363</v>
      </c>
      <c r="C756" s="125">
        <v>45436</v>
      </c>
      <c r="D756" s="124" t="s">
        <v>364</v>
      </c>
      <c r="E756" s="126">
        <v>110.15</v>
      </c>
      <c r="F756" s="124" t="s">
        <v>365</v>
      </c>
      <c r="G756" s="126"/>
      <c r="H756" s="126">
        <v>209576.9</v>
      </c>
      <c r="I756" s="127">
        <v>127170449.03</v>
      </c>
      <c r="J756" s="128" t="s">
        <v>366</v>
      </c>
      <c r="K756" s="128" t="s">
        <v>367</v>
      </c>
      <c r="L756" s="128" t="s">
        <v>368</v>
      </c>
      <c r="M756" s="128" t="s">
        <v>369</v>
      </c>
      <c r="N756" s="128"/>
      <c r="O756" s="128"/>
    </row>
    <row r="757" spans="1:15">
      <c r="A757" s="129" t="s">
        <v>362</v>
      </c>
      <c r="B757" s="129" t="s">
        <v>363</v>
      </c>
      <c r="C757" s="130">
        <v>45436</v>
      </c>
      <c r="D757" s="129" t="s">
        <v>370</v>
      </c>
      <c r="E757" s="131">
        <v>88.064999999999998</v>
      </c>
      <c r="F757" s="129" t="s">
        <v>365</v>
      </c>
      <c r="G757" s="131"/>
      <c r="H757" s="131">
        <v>155172.29</v>
      </c>
      <c r="I757" s="132">
        <v>94157942.959999993</v>
      </c>
      <c r="J757" s="133" t="s">
        <v>366</v>
      </c>
      <c r="K757" s="133" t="s">
        <v>367</v>
      </c>
      <c r="L757" s="133" t="s">
        <v>368</v>
      </c>
      <c r="M757" s="133" t="s">
        <v>369</v>
      </c>
      <c r="N757" s="133"/>
      <c r="O757" s="133"/>
    </row>
    <row r="758" spans="1:15">
      <c r="A758" s="124" t="s">
        <v>362</v>
      </c>
      <c r="B758" s="124" t="s">
        <v>363</v>
      </c>
      <c r="C758" s="125">
        <v>45436</v>
      </c>
      <c r="D758" s="124" t="s">
        <v>370</v>
      </c>
      <c r="E758" s="126">
        <v>264.1875</v>
      </c>
      <c r="F758" s="124" t="s">
        <v>365</v>
      </c>
      <c r="G758" s="126"/>
      <c r="H758" s="126">
        <v>470628.07</v>
      </c>
      <c r="I758" s="127">
        <v>285575285.19</v>
      </c>
      <c r="J758" s="128" t="s">
        <v>366</v>
      </c>
      <c r="K758" s="128" t="s">
        <v>367</v>
      </c>
      <c r="L758" s="128" t="s">
        <v>368</v>
      </c>
      <c r="M758" s="128" t="s">
        <v>369</v>
      </c>
      <c r="N758" s="128"/>
      <c r="O758" s="128"/>
    </row>
    <row r="759" spans="1:15">
      <c r="A759" s="129" t="s">
        <v>362</v>
      </c>
      <c r="B759" s="129" t="s">
        <v>363</v>
      </c>
      <c r="C759" s="130">
        <v>45436</v>
      </c>
      <c r="D759" s="129" t="s">
        <v>370</v>
      </c>
      <c r="E759" s="131">
        <v>242.21</v>
      </c>
      <c r="F759" s="129" t="s">
        <v>365</v>
      </c>
      <c r="G759" s="131"/>
      <c r="H759" s="131">
        <v>432651.19</v>
      </c>
      <c r="I759" s="132">
        <v>262531061.88999999</v>
      </c>
      <c r="J759" s="133" t="s">
        <v>366</v>
      </c>
      <c r="K759" s="133" t="s">
        <v>367</v>
      </c>
      <c r="L759" s="133" t="s">
        <v>368</v>
      </c>
      <c r="M759" s="133" t="s">
        <v>369</v>
      </c>
      <c r="N759" s="133"/>
      <c r="O759" s="133"/>
    </row>
    <row r="760" spans="1:15">
      <c r="A760" s="124" t="s">
        <v>362</v>
      </c>
      <c r="B760" s="124" t="s">
        <v>363</v>
      </c>
      <c r="C760" s="125">
        <v>45436</v>
      </c>
      <c r="D760" s="124" t="s">
        <v>364</v>
      </c>
      <c r="E760" s="126">
        <v>198.20249999999999</v>
      </c>
      <c r="F760" s="124" t="s">
        <v>365</v>
      </c>
      <c r="G760" s="126"/>
      <c r="H760" s="126">
        <v>375211.98</v>
      </c>
      <c r="I760" s="127">
        <v>227677172.33000001</v>
      </c>
      <c r="J760" s="128" t="s">
        <v>366</v>
      </c>
      <c r="K760" s="128" t="s">
        <v>367</v>
      </c>
      <c r="L760" s="128" t="s">
        <v>368</v>
      </c>
      <c r="M760" s="128" t="s">
        <v>369</v>
      </c>
      <c r="N760" s="128"/>
      <c r="O760" s="128"/>
    </row>
    <row r="761" spans="1:15">
      <c r="A761" s="129" t="s">
        <v>362</v>
      </c>
      <c r="B761" s="129" t="s">
        <v>363</v>
      </c>
      <c r="C761" s="130">
        <v>45436</v>
      </c>
      <c r="D761" s="129" t="s">
        <v>370</v>
      </c>
      <c r="E761" s="131">
        <v>154.19499999999999</v>
      </c>
      <c r="F761" s="129" t="s">
        <v>365</v>
      </c>
      <c r="G761" s="131"/>
      <c r="H761" s="131">
        <v>276899.26</v>
      </c>
      <c r="I761" s="132">
        <v>168021395.63</v>
      </c>
      <c r="J761" s="133" t="s">
        <v>366</v>
      </c>
      <c r="K761" s="133" t="s">
        <v>367</v>
      </c>
      <c r="L761" s="133" t="s">
        <v>368</v>
      </c>
      <c r="M761" s="133" t="s">
        <v>369</v>
      </c>
      <c r="N761" s="133"/>
      <c r="O761" s="133"/>
    </row>
    <row r="762" spans="1:15">
      <c r="A762" s="124" t="s">
        <v>362</v>
      </c>
      <c r="B762" s="124" t="s">
        <v>363</v>
      </c>
      <c r="C762" s="125">
        <v>45436</v>
      </c>
      <c r="D762" s="124" t="s">
        <v>370</v>
      </c>
      <c r="E762" s="126">
        <v>242.45</v>
      </c>
      <c r="F762" s="124" t="s">
        <v>365</v>
      </c>
      <c r="G762" s="126"/>
      <c r="H762" s="126">
        <v>434960.68</v>
      </c>
      <c r="I762" s="127">
        <v>263932451.46000001</v>
      </c>
      <c r="J762" s="128" t="s">
        <v>366</v>
      </c>
      <c r="K762" s="128" t="s">
        <v>367</v>
      </c>
      <c r="L762" s="128" t="s">
        <v>368</v>
      </c>
      <c r="M762" s="128" t="s">
        <v>369</v>
      </c>
      <c r="N762" s="128"/>
      <c r="O762" s="128"/>
    </row>
    <row r="763" spans="1:15">
      <c r="A763" s="129" t="s">
        <v>362</v>
      </c>
      <c r="B763" s="129" t="s">
        <v>363</v>
      </c>
      <c r="C763" s="130">
        <v>45440</v>
      </c>
      <c r="D763" s="129" t="s">
        <v>372</v>
      </c>
      <c r="E763" s="131">
        <v>60</v>
      </c>
      <c r="F763" s="129" t="s">
        <v>365</v>
      </c>
      <c r="G763" s="131"/>
      <c r="H763" s="131">
        <v>77448</v>
      </c>
      <c r="I763" s="132">
        <v>46768115.939999998</v>
      </c>
      <c r="J763" s="133" t="s">
        <v>366</v>
      </c>
      <c r="K763" s="133" t="s">
        <v>367</v>
      </c>
      <c r="L763" s="133" t="s">
        <v>368</v>
      </c>
      <c r="M763" s="133" t="s">
        <v>369</v>
      </c>
      <c r="N763" s="133"/>
      <c r="O763" s="133"/>
    </row>
    <row r="764" spans="1:15">
      <c r="A764" s="124" t="s">
        <v>362</v>
      </c>
      <c r="B764" s="124" t="s">
        <v>363</v>
      </c>
      <c r="C764" s="125">
        <v>45440</v>
      </c>
      <c r="D764" s="124" t="s">
        <v>371</v>
      </c>
      <c r="E764" s="126">
        <v>789.00599999999997</v>
      </c>
      <c r="F764" s="124" t="s">
        <v>365</v>
      </c>
      <c r="G764" s="126"/>
      <c r="H764" s="126">
        <v>180307.28</v>
      </c>
      <c r="I764" s="127">
        <v>108881207.73</v>
      </c>
      <c r="J764" s="128" t="s">
        <v>366</v>
      </c>
      <c r="K764" s="128" t="s">
        <v>367</v>
      </c>
      <c r="L764" s="128" t="s">
        <v>368</v>
      </c>
      <c r="M764" s="128" t="s">
        <v>369</v>
      </c>
      <c r="N764" s="128"/>
      <c r="O764" s="128"/>
    </row>
    <row r="765" spans="1:15">
      <c r="A765" s="129" t="s">
        <v>362</v>
      </c>
      <c r="B765" s="129" t="s">
        <v>363</v>
      </c>
      <c r="C765" s="130">
        <v>45440</v>
      </c>
      <c r="D765" s="129" t="s">
        <v>364</v>
      </c>
      <c r="E765" s="131">
        <v>260.13</v>
      </c>
      <c r="F765" s="129" t="s">
        <v>365</v>
      </c>
      <c r="G765" s="131"/>
      <c r="H765" s="131">
        <v>504183.97</v>
      </c>
      <c r="I765" s="132">
        <v>304458919.07999998</v>
      </c>
      <c r="J765" s="133" t="s">
        <v>366</v>
      </c>
      <c r="K765" s="133" t="s">
        <v>367</v>
      </c>
      <c r="L765" s="133" t="s">
        <v>368</v>
      </c>
      <c r="M765" s="133" t="s">
        <v>369</v>
      </c>
      <c r="N765" s="133"/>
      <c r="O765" s="133"/>
    </row>
    <row r="766" spans="1:15">
      <c r="A766" s="124" t="s">
        <v>362</v>
      </c>
      <c r="B766" s="124" t="s">
        <v>363</v>
      </c>
      <c r="C766" s="125">
        <v>45440</v>
      </c>
      <c r="D766" s="124" t="s">
        <v>370</v>
      </c>
      <c r="E766" s="126">
        <v>99.957999999999998</v>
      </c>
      <c r="F766" s="124" t="s">
        <v>365</v>
      </c>
      <c r="G766" s="126"/>
      <c r="H766" s="126">
        <v>176051.03</v>
      </c>
      <c r="I766" s="127">
        <v>106311008.45</v>
      </c>
      <c r="J766" s="128" t="s">
        <v>366</v>
      </c>
      <c r="K766" s="128" t="s">
        <v>367</v>
      </c>
      <c r="L766" s="128" t="s">
        <v>368</v>
      </c>
      <c r="M766" s="128" t="s">
        <v>369</v>
      </c>
      <c r="N766" s="128"/>
      <c r="O766" s="128"/>
    </row>
    <row r="767" spans="1:15">
      <c r="A767" s="129" t="s">
        <v>362</v>
      </c>
      <c r="B767" s="129" t="s">
        <v>363</v>
      </c>
      <c r="C767" s="130">
        <v>45440</v>
      </c>
      <c r="D767" s="129" t="s">
        <v>370</v>
      </c>
      <c r="E767" s="131">
        <v>59.963000000000001</v>
      </c>
      <c r="F767" s="129" t="s">
        <v>365</v>
      </c>
      <c r="G767" s="131"/>
      <c r="H767" s="131">
        <v>105900.44</v>
      </c>
      <c r="I767" s="132">
        <v>63949541.060000002</v>
      </c>
      <c r="J767" s="133" t="s">
        <v>366</v>
      </c>
      <c r="K767" s="133" t="s">
        <v>367</v>
      </c>
      <c r="L767" s="133" t="s">
        <v>368</v>
      </c>
      <c r="M767" s="133" t="s">
        <v>369</v>
      </c>
      <c r="N767" s="133"/>
      <c r="O767" s="133"/>
    </row>
    <row r="768" spans="1:15">
      <c r="A768" s="124" t="s">
        <v>362</v>
      </c>
      <c r="B768" s="124" t="s">
        <v>363</v>
      </c>
      <c r="C768" s="125">
        <v>45442</v>
      </c>
      <c r="D768" s="124" t="s">
        <v>372</v>
      </c>
      <c r="E768" s="126">
        <v>200</v>
      </c>
      <c r="F768" s="124" t="s">
        <v>365</v>
      </c>
      <c r="G768" s="126"/>
      <c r="H768" s="126">
        <v>262690</v>
      </c>
      <c r="I768" s="127">
        <v>159496053.43000001</v>
      </c>
      <c r="J768" s="128" t="s">
        <v>366</v>
      </c>
      <c r="K768" s="128" t="s">
        <v>367</v>
      </c>
      <c r="L768" s="128" t="s">
        <v>368</v>
      </c>
      <c r="M768" s="128" t="s">
        <v>369</v>
      </c>
      <c r="N768" s="128"/>
      <c r="O768" s="128"/>
    </row>
    <row r="769" spans="1:15">
      <c r="A769" s="129" t="s">
        <v>362</v>
      </c>
      <c r="B769" s="129" t="s">
        <v>363</v>
      </c>
      <c r="C769" s="130">
        <v>45442</v>
      </c>
      <c r="D769" s="129" t="s">
        <v>364</v>
      </c>
      <c r="E769" s="131">
        <v>200.07900000000001</v>
      </c>
      <c r="F769" s="129" t="s">
        <v>365</v>
      </c>
      <c r="G769" s="131"/>
      <c r="H769" s="131">
        <v>368755.6</v>
      </c>
      <c r="I769" s="132">
        <v>223895324.83000001</v>
      </c>
      <c r="J769" s="133" t="s">
        <v>366</v>
      </c>
      <c r="K769" s="133" t="s">
        <v>367</v>
      </c>
      <c r="L769" s="133" t="s">
        <v>368</v>
      </c>
      <c r="M769" s="133" t="s">
        <v>369</v>
      </c>
      <c r="N769" s="133"/>
      <c r="O769" s="133"/>
    </row>
    <row r="770" spans="1:15">
      <c r="A770" s="124" t="s">
        <v>362</v>
      </c>
      <c r="B770" s="124" t="s">
        <v>363</v>
      </c>
      <c r="C770" s="125">
        <v>45442</v>
      </c>
      <c r="D770" s="124" t="s">
        <v>364</v>
      </c>
      <c r="E770" s="126">
        <v>179.953</v>
      </c>
      <c r="F770" s="124" t="s">
        <v>365</v>
      </c>
      <c r="G770" s="126"/>
      <c r="H770" s="126">
        <v>337814.89</v>
      </c>
      <c r="I770" s="127">
        <v>205109222.83000001</v>
      </c>
      <c r="J770" s="128" t="s">
        <v>366</v>
      </c>
      <c r="K770" s="128" t="s">
        <v>367</v>
      </c>
      <c r="L770" s="128" t="s">
        <v>368</v>
      </c>
      <c r="M770" s="128" t="s">
        <v>369</v>
      </c>
      <c r="N770" s="128"/>
      <c r="O770" s="128"/>
    </row>
    <row r="771" spans="1:15">
      <c r="A771" s="129" t="s">
        <v>362</v>
      </c>
      <c r="B771" s="129" t="s">
        <v>363</v>
      </c>
      <c r="C771" s="130">
        <v>45441</v>
      </c>
      <c r="D771" s="129" t="s">
        <v>373</v>
      </c>
      <c r="E771" s="131"/>
      <c r="F771" s="129" t="s">
        <v>365</v>
      </c>
      <c r="G771" s="131"/>
      <c r="H771" s="131">
        <v>112.03</v>
      </c>
      <c r="I771" s="132">
        <v>67732.77</v>
      </c>
      <c r="J771" s="133" t="s">
        <v>366</v>
      </c>
      <c r="K771" s="133" t="s">
        <v>367</v>
      </c>
      <c r="L771" s="133" t="s">
        <v>368</v>
      </c>
      <c r="M771" s="133" t="s">
        <v>369</v>
      </c>
      <c r="N771" s="133"/>
      <c r="O771" s="133"/>
    </row>
    <row r="772" spans="1:15">
      <c r="A772" s="124" t="s">
        <v>362</v>
      </c>
      <c r="B772" s="124" t="s">
        <v>363</v>
      </c>
      <c r="C772" s="125">
        <v>45436</v>
      </c>
      <c r="D772" s="124" t="s">
        <v>370</v>
      </c>
      <c r="E772" s="126"/>
      <c r="F772" s="124" t="s">
        <v>365</v>
      </c>
      <c r="G772" s="126"/>
      <c r="H772" s="126">
        <v>-434960.68</v>
      </c>
      <c r="I772" s="127">
        <v>-263932451.46000001</v>
      </c>
      <c r="J772" s="128" t="s">
        <v>366</v>
      </c>
      <c r="K772" s="128" t="s">
        <v>367</v>
      </c>
      <c r="L772" s="128" t="s">
        <v>368</v>
      </c>
      <c r="M772" s="128" t="s">
        <v>369</v>
      </c>
      <c r="N772" s="128"/>
      <c r="O772" s="128"/>
    </row>
    <row r="773" spans="1:15">
      <c r="A773" s="129" t="s">
        <v>362</v>
      </c>
      <c r="B773" s="129" t="s">
        <v>363</v>
      </c>
      <c r="C773" s="130">
        <v>45436</v>
      </c>
      <c r="D773" s="129" t="s">
        <v>370</v>
      </c>
      <c r="E773" s="131"/>
      <c r="F773" s="129" t="s">
        <v>365</v>
      </c>
      <c r="G773" s="131"/>
      <c r="H773" s="131">
        <v>434960.68</v>
      </c>
      <c r="I773" s="132">
        <v>263932451.46000001</v>
      </c>
      <c r="J773" s="133" t="s">
        <v>366</v>
      </c>
      <c r="K773" s="133" t="s">
        <v>367</v>
      </c>
      <c r="L773" s="133" t="s">
        <v>368</v>
      </c>
      <c r="M773" s="133" t="s">
        <v>369</v>
      </c>
      <c r="N773" s="133"/>
      <c r="O773" s="133"/>
    </row>
    <row r="774" spans="1:15">
      <c r="A774" s="124" t="s">
        <v>362</v>
      </c>
      <c r="B774" s="124" t="s">
        <v>363</v>
      </c>
      <c r="C774" s="125">
        <v>45436</v>
      </c>
      <c r="D774" s="124" t="s">
        <v>370</v>
      </c>
      <c r="E774" s="126"/>
      <c r="F774" s="124" t="s">
        <v>365</v>
      </c>
      <c r="G774" s="126"/>
      <c r="H774" s="126">
        <v>-434960.68</v>
      </c>
      <c r="I774" s="127">
        <v>-263932451.46000001</v>
      </c>
      <c r="J774" s="128" t="s">
        <v>366</v>
      </c>
      <c r="K774" s="128" t="s">
        <v>367</v>
      </c>
      <c r="L774" s="128" t="s">
        <v>368</v>
      </c>
      <c r="M774" s="128" t="s">
        <v>369</v>
      </c>
      <c r="N774" s="128"/>
      <c r="O774" s="128"/>
    </row>
    <row r="775" spans="1:15">
      <c r="A775" s="129" t="s">
        <v>362</v>
      </c>
      <c r="B775" s="129" t="s">
        <v>363</v>
      </c>
      <c r="C775" s="130">
        <v>45436</v>
      </c>
      <c r="D775" s="129" t="s">
        <v>370</v>
      </c>
      <c r="E775" s="131"/>
      <c r="F775" s="129" t="s">
        <v>365</v>
      </c>
      <c r="G775" s="131"/>
      <c r="H775" s="131">
        <v>434960.68</v>
      </c>
      <c r="I775" s="132">
        <v>263932451.46000001</v>
      </c>
      <c r="J775" s="133" t="s">
        <v>366</v>
      </c>
      <c r="K775" s="133" t="s">
        <v>367</v>
      </c>
      <c r="L775" s="133" t="s">
        <v>368</v>
      </c>
      <c r="M775" s="133" t="s">
        <v>369</v>
      </c>
      <c r="N775" s="133"/>
      <c r="O775" s="133"/>
    </row>
    <row r="776" spans="1:15">
      <c r="A776" s="124" t="s">
        <v>362</v>
      </c>
      <c r="B776" s="124" t="s">
        <v>363</v>
      </c>
      <c r="C776" s="125">
        <v>45436</v>
      </c>
      <c r="D776" s="124" t="s">
        <v>370</v>
      </c>
      <c r="E776" s="126"/>
      <c r="F776" s="124" t="s">
        <v>365</v>
      </c>
      <c r="G776" s="126"/>
      <c r="H776" s="126">
        <v>-434960.68</v>
      </c>
      <c r="I776" s="127">
        <v>-263932451.46000001</v>
      </c>
      <c r="J776" s="128" t="s">
        <v>366</v>
      </c>
      <c r="K776" s="128" t="s">
        <v>367</v>
      </c>
      <c r="L776" s="128" t="s">
        <v>368</v>
      </c>
      <c r="M776" s="128" t="s">
        <v>369</v>
      </c>
      <c r="N776" s="128"/>
      <c r="O776" s="128"/>
    </row>
    <row r="777" spans="1:15">
      <c r="A777" s="129" t="s">
        <v>362</v>
      </c>
      <c r="B777" s="129" t="s">
        <v>363</v>
      </c>
      <c r="C777" s="130">
        <v>45436</v>
      </c>
      <c r="D777" s="129" t="s">
        <v>370</v>
      </c>
      <c r="E777" s="131"/>
      <c r="F777" s="129" t="s">
        <v>365</v>
      </c>
      <c r="G777" s="131"/>
      <c r="H777" s="131">
        <v>434960.68</v>
      </c>
      <c r="I777" s="132">
        <v>263932451.46000001</v>
      </c>
      <c r="J777" s="133" t="s">
        <v>366</v>
      </c>
      <c r="K777" s="133" t="s">
        <v>367</v>
      </c>
      <c r="L777" s="133" t="s">
        <v>368</v>
      </c>
      <c r="M777" s="133" t="s">
        <v>369</v>
      </c>
      <c r="N777" s="133"/>
      <c r="O777" s="133"/>
    </row>
    <row r="778" spans="1:15">
      <c r="A778" s="124" t="s">
        <v>362</v>
      </c>
      <c r="B778" s="124" t="s">
        <v>363</v>
      </c>
      <c r="C778" s="125">
        <v>45436</v>
      </c>
      <c r="D778" s="124" t="s">
        <v>370</v>
      </c>
      <c r="E778" s="126"/>
      <c r="F778" s="124" t="s">
        <v>365</v>
      </c>
      <c r="G778" s="126"/>
      <c r="H778" s="126">
        <v>-434960.68</v>
      </c>
      <c r="I778" s="127">
        <v>-263932451.46000001</v>
      </c>
      <c r="J778" s="128" t="s">
        <v>366</v>
      </c>
      <c r="K778" s="128" t="s">
        <v>367</v>
      </c>
      <c r="L778" s="128" t="s">
        <v>368</v>
      </c>
      <c r="M778" s="128" t="s">
        <v>369</v>
      </c>
      <c r="N778" s="128"/>
      <c r="O778" s="128"/>
    </row>
    <row r="779" spans="1:15">
      <c r="A779" s="129" t="s">
        <v>362</v>
      </c>
      <c r="B779" s="129" t="s">
        <v>363</v>
      </c>
      <c r="C779" s="130">
        <v>45436</v>
      </c>
      <c r="D779" s="129" t="s">
        <v>370</v>
      </c>
      <c r="E779" s="131"/>
      <c r="F779" s="129" t="s">
        <v>365</v>
      </c>
      <c r="G779" s="131"/>
      <c r="H779" s="131">
        <v>434960.68</v>
      </c>
      <c r="I779" s="132">
        <v>263932451.46000001</v>
      </c>
      <c r="J779" s="133" t="s">
        <v>366</v>
      </c>
      <c r="K779" s="133" t="s">
        <v>367</v>
      </c>
      <c r="L779" s="133" t="s">
        <v>368</v>
      </c>
      <c r="M779" s="133" t="s">
        <v>369</v>
      </c>
      <c r="N779" s="133"/>
      <c r="O779" s="133"/>
    </row>
    <row r="780" spans="1:15">
      <c r="A780" s="124" t="s">
        <v>362</v>
      </c>
      <c r="B780" s="124" t="s">
        <v>363</v>
      </c>
      <c r="C780" s="125">
        <v>45443</v>
      </c>
      <c r="D780" s="124" t="s">
        <v>371</v>
      </c>
      <c r="E780" s="126"/>
      <c r="F780" s="124" t="s">
        <v>365</v>
      </c>
      <c r="G780" s="126"/>
      <c r="H780" s="126">
        <v>122994.099015243</v>
      </c>
      <c r="I780" s="127">
        <v>75297125.719999999</v>
      </c>
      <c r="J780" s="128" t="s">
        <v>366</v>
      </c>
      <c r="K780" s="128" t="s">
        <v>367</v>
      </c>
      <c r="L780" s="128" t="s">
        <v>368</v>
      </c>
      <c r="M780" s="128" t="s">
        <v>369</v>
      </c>
      <c r="N780" s="128"/>
      <c r="O780" s="128"/>
    </row>
    <row r="781" spans="1:15">
      <c r="A781" s="129" t="s">
        <v>362</v>
      </c>
      <c r="B781" s="129" t="s">
        <v>363</v>
      </c>
      <c r="C781" s="130">
        <v>45443</v>
      </c>
      <c r="D781" s="129" t="s">
        <v>372</v>
      </c>
      <c r="E781" s="131"/>
      <c r="F781" s="129" t="s">
        <v>365</v>
      </c>
      <c r="G781" s="131"/>
      <c r="H781" s="131">
        <v>25633.249590263687</v>
      </c>
      <c r="I781" s="132">
        <v>15692705.619999999</v>
      </c>
      <c r="J781" s="133" t="s">
        <v>366</v>
      </c>
      <c r="K781" s="133" t="s">
        <v>367</v>
      </c>
      <c r="L781" s="133" t="s">
        <v>368</v>
      </c>
      <c r="M781" s="133" t="s">
        <v>369</v>
      </c>
      <c r="N781" s="133"/>
      <c r="O781" s="133"/>
    </row>
    <row r="782" spans="1:15">
      <c r="A782" s="124" t="s">
        <v>362</v>
      </c>
      <c r="B782" s="124" t="s">
        <v>363</v>
      </c>
      <c r="C782" s="125">
        <v>45443</v>
      </c>
      <c r="D782" s="124" t="s">
        <v>374</v>
      </c>
      <c r="E782" s="126"/>
      <c r="F782" s="124" t="s">
        <v>365</v>
      </c>
      <c r="G782" s="126"/>
      <c r="H782" s="126">
        <v>10134.075419406574</v>
      </c>
      <c r="I782" s="127">
        <v>6204095.6299999999</v>
      </c>
      <c r="J782" s="128" t="s">
        <v>366</v>
      </c>
      <c r="K782" s="128" t="s">
        <v>367</v>
      </c>
      <c r="L782" s="128" t="s">
        <v>368</v>
      </c>
      <c r="M782" s="128" t="s">
        <v>369</v>
      </c>
      <c r="N782" s="128"/>
      <c r="O782" s="128"/>
    </row>
    <row r="783" spans="1:15">
      <c r="A783" s="129" t="s">
        <v>362</v>
      </c>
      <c r="B783" s="129" t="s">
        <v>363</v>
      </c>
      <c r="C783" s="130">
        <v>45443</v>
      </c>
      <c r="D783" s="129" t="s">
        <v>364</v>
      </c>
      <c r="E783" s="131"/>
      <c r="F783" s="129" t="s">
        <v>365</v>
      </c>
      <c r="G783" s="131"/>
      <c r="H783" s="131">
        <v>154616.87108151821</v>
      </c>
      <c r="I783" s="132">
        <v>94656628.609999999</v>
      </c>
      <c r="J783" s="133" t="s">
        <v>366</v>
      </c>
      <c r="K783" s="133" t="s">
        <v>367</v>
      </c>
      <c r="L783" s="133" t="s">
        <v>368</v>
      </c>
      <c r="M783" s="133" t="s">
        <v>369</v>
      </c>
      <c r="N783" s="133"/>
      <c r="O783" s="133"/>
    </row>
    <row r="784" spans="1:15">
      <c r="A784" s="124" t="s">
        <v>362</v>
      </c>
      <c r="B784" s="124" t="s">
        <v>363</v>
      </c>
      <c r="C784" s="125">
        <v>45443</v>
      </c>
      <c r="D784" s="124" t="s">
        <v>370</v>
      </c>
      <c r="E784" s="126"/>
      <c r="F784" s="124" t="s">
        <v>365</v>
      </c>
      <c r="G784" s="126"/>
      <c r="H784" s="126">
        <v>98816.799372891153</v>
      </c>
      <c r="I784" s="127">
        <v>60495760.509999998</v>
      </c>
      <c r="J784" s="128" t="s">
        <v>366</v>
      </c>
      <c r="K784" s="128" t="s">
        <v>367</v>
      </c>
      <c r="L784" s="128" t="s">
        <v>368</v>
      </c>
      <c r="M784" s="128" t="s">
        <v>369</v>
      </c>
      <c r="N784" s="128"/>
      <c r="O784" s="128"/>
    </row>
    <row r="785" spans="1:15">
      <c r="A785" s="129" t="s">
        <v>362</v>
      </c>
      <c r="B785" s="129" t="s">
        <v>363</v>
      </c>
      <c r="C785" s="130">
        <v>45443</v>
      </c>
      <c r="D785" s="129" t="s">
        <v>373</v>
      </c>
      <c r="E785" s="131"/>
      <c r="F785" s="129" t="s">
        <v>365</v>
      </c>
      <c r="G785" s="131"/>
      <c r="H785" s="131">
        <v>1350999.8384358163</v>
      </c>
      <c r="I785" s="132">
        <v>827083681.77999997</v>
      </c>
      <c r="J785" s="133" t="s">
        <v>366</v>
      </c>
      <c r="K785" s="133" t="s">
        <v>367</v>
      </c>
      <c r="L785" s="133" t="s">
        <v>368</v>
      </c>
      <c r="M785" s="133" t="s">
        <v>369</v>
      </c>
      <c r="N785" s="133"/>
      <c r="O785" s="133"/>
    </row>
    <row r="786" spans="1:15">
      <c r="A786" s="124" t="s">
        <v>362</v>
      </c>
      <c r="B786" s="124" t="s">
        <v>363</v>
      </c>
      <c r="C786" s="125">
        <v>45443</v>
      </c>
      <c r="D786" s="124" t="s">
        <v>375</v>
      </c>
      <c r="E786" s="126"/>
      <c r="F786" s="124" t="s">
        <v>365</v>
      </c>
      <c r="G786" s="126"/>
      <c r="H786" s="126">
        <v>298117.86708486127</v>
      </c>
      <c r="I786" s="127">
        <v>182508108.59</v>
      </c>
      <c r="J786" s="128" t="s">
        <v>366</v>
      </c>
      <c r="K786" s="128" t="s">
        <v>367</v>
      </c>
      <c r="L786" s="128" t="s">
        <v>368</v>
      </c>
      <c r="M786" s="128" t="s">
        <v>369</v>
      </c>
      <c r="N786" s="128"/>
      <c r="O786" s="128"/>
    </row>
    <row r="787" spans="1:15">
      <c r="A787" s="129" t="s">
        <v>362</v>
      </c>
      <c r="B787" s="129" t="s">
        <v>363</v>
      </c>
      <c r="C787" s="130">
        <v>45443</v>
      </c>
      <c r="D787" s="129" t="s">
        <v>371</v>
      </c>
      <c r="E787" s="131"/>
      <c r="F787" s="129" t="s">
        <v>365</v>
      </c>
      <c r="G787" s="131"/>
      <c r="H787" s="131">
        <v>-84075.37</v>
      </c>
      <c r="I787" s="132">
        <v>-50916196.82</v>
      </c>
      <c r="J787" s="133" t="s">
        <v>366</v>
      </c>
      <c r="K787" s="133" t="s">
        <v>367</v>
      </c>
      <c r="L787" s="133" t="s">
        <v>368</v>
      </c>
      <c r="M787" s="133" t="s">
        <v>369</v>
      </c>
      <c r="N787" s="133"/>
      <c r="O787" s="133"/>
    </row>
    <row r="788" spans="1:15">
      <c r="A788" s="124" t="s">
        <v>362</v>
      </c>
      <c r="B788" s="124" t="s">
        <v>363</v>
      </c>
      <c r="C788" s="125">
        <v>45443</v>
      </c>
      <c r="D788" s="124" t="s">
        <v>372</v>
      </c>
      <c r="E788" s="126"/>
      <c r="F788" s="124" t="s">
        <v>365</v>
      </c>
      <c r="G788" s="126"/>
      <c r="H788" s="126">
        <v>-16442.169999999998</v>
      </c>
      <c r="I788" s="127">
        <v>-9957408.0199999996</v>
      </c>
      <c r="J788" s="128" t="s">
        <v>366</v>
      </c>
      <c r="K788" s="128" t="s">
        <v>367</v>
      </c>
      <c r="L788" s="128" t="s">
        <v>368</v>
      </c>
      <c r="M788" s="128" t="s">
        <v>369</v>
      </c>
      <c r="N788" s="128"/>
      <c r="O788" s="128"/>
    </row>
    <row r="789" spans="1:15">
      <c r="A789" s="129" t="s">
        <v>362</v>
      </c>
      <c r="B789" s="129" t="s">
        <v>363</v>
      </c>
      <c r="C789" s="130">
        <v>45443</v>
      </c>
      <c r="D789" s="129" t="s">
        <v>374</v>
      </c>
      <c r="E789" s="131"/>
      <c r="F789" s="129" t="s">
        <v>365</v>
      </c>
      <c r="G789" s="131"/>
      <c r="H789" s="131">
        <v>-7370.63</v>
      </c>
      <c r="I789" s="132">
        <v>-4463666.92</v>
      </c>
      <c r="J789" s="133" t="s">
        <v>366</v>
      </c>
      <c r="K789" s="133" t="s">
        <v>367</v>
      </c>
      <c r="L789" s="133" t="s">
        <v>368</v>
      </c>
      <c r="M789" s="133" t="s">
        <v>369</v>
      </c>
      <c r="N789" s="133"/>
      <c r="O789" s="133"/>
    </row>
    <row r="790" spans="1:15">
      <c r="A790" s="124" t="s">
        <v>362</v>
      </c>
      <c r="B790" s="124" t="s">
        <v>363</v>
      </c>
      <c r="C790" s="125">
        <v>45443</v>
      </c>
      <c r="D790" s="124" t="s">
        <v>364</v>
      </c>
      <c r="E790" s="126"/>
      <c r="F790" s="124" t="s">
        <v>365</v>
      </c>
      <c r="G790" s="126"/>
      <c r="H790" s="126">
        <v>-96074.31</v>
      </c>
      <c r="I790" s="127">
        <v>-58182776.68</v>
      </c>
      <c r="J790" s="128" t="s">
        <v>366</v>
      </c>
      <c r="K790" s="128" t="s">
        <v>367</v>
      </c>
      <c r="L790" s="128" t="s">
        <v>368</v>
      </c>
      <c r="M790" s="128" t="s">
        <v>369</v>
      </c>
      <c r="N790" s="128"/>
      <c r="O790" s="128"/>
    </row>
    <row r="791" spans="1:15">
      <c r="A791" s="129" t="s">
        <v>362</v>
      </c>
      <c r="B791" s="129" t="s">
        <v>363</v>
      </c>
      <c r="C791" s="130">
        <v>45443</v>
      </c>
      <c r="D791" s="129" t="s">
        <v>370</v>
      </c>
      <c r="E791" s="131"/>
      <c r="F791" s="129" t="s">
        <v>365</v>
      </c>
      <c r="G791" s="131"/>
      <c r="H791" s="131">
        <v>-59579.98</v>
      </c>
      <c r="I791" s="132">
        <v>-36081744.130000003</v>
      </c>
      <c r="J791" s="133" t="s">
        <v>366</v>
      </c>
      <c r="K791" s="133" t="s">
        <v>367</v>
      </c>
      <c r="L791" s="133" t="s">
        <v>368</v>
      </c>
      <c r="M791" s="133" t="s">
        <v>369</v>
      </c>
      <c r="N791" s="133"/>
      <c r="O791" s="133"/>
    </row>
    <row r="792" spans="1:15">
      <c r="A792" s="124" t="s">
        <v>362</v>
      </c>
      <c r="B792" s="124" t="s">
        <v>363</v>
      </c>
      <c r="C792" s="125">
        <v>45443</v>
      </c>
      <c r="D792" s="124" t="s">
        <v>373</v>
      </c>
      <c r="E792" s="126"/>
      <c r="F792" s="124" t="s">
        <v>365</v>
      </c>
      <c r="G792" s="126"/>
      <c r="H792" s="126">
        <v>-890575.92</v>
      </c>
      <c r="I792" s="127">
        <v>-539334395.15999997</v>
      </c>
      <c r="J792" s="128" t="s">
        <v>366</v>
      </c>
      <c r="K792" s="128" t="s">
        <v>367</v>
      </c>
      <c r="L792" s="128" t="s">
        <v>368</v>
      </c>
      <c r="M792" s="128" t="s">
        <v>369</v>
      </c>
      <c r="N792" s="128"/>
      <c r="O792" s="128"/>
    </row>
    <row r="793" spans="1:15">
      <c r="A793" s="129" t="s">
        <v>362</v>
      </c>
      <c r="B793" s="129" t="s">
        <v>363</v>
      </c>
      <c r="C793" s="130">
        <v>45443</v>
      </c>
      <c r="D793" s="129" t="s">
        <v>375</v>
      </c>
      <c r="E793" s="131"/>
      <c r="F793" s="129" t="s">
        <v>365</v>
      </c>
      <c r="G793" s="131"/>
      <c r="H793" s="131">
        <v>-318948.84000000003</v>
      </c>
      <c r="I793" s="132">
        <v>-193155996.97</v>
      </c>
      <c r="J793" s="133" t="s">
        <v>366</v>
      </c>
      <c r="K793" s="133" t="s">
        <v>367</v>
      </c>
      <c r="L793" s="133" t="s">
        <v>368</v>
      </c>
      <c r="M793" s="133" t="s">
        <v>369</v>
      </c>
      <c r="N793" s="133"/>
      <c r="O793" s="133"/>
    </row>
    <row r="794" spans="1:15">
      <c r="A794" s="124" t="s">
        <v>362</v>
      </c>
      <c r="B794" s="124" t="s">
        <v>363</v>
      </c>
      <c r="C794" s="125">
        <v>45447</v>
      </c>
      <c r="D794" s="124" t="s">
        <v>373</v>
      </c>
      <c r="E794" s="126"/>
      <c r="F794" s="124" t="s">
        <v>365</v>
      </c>
      <c r="G794" s="126"/>
      <c r="H794" s="126">
        <v>-38196.879999999997</v>
      </c>
      <c r="I794" s="127">
        <v>-22968659.050000001</v>
      </c>
      <c r="J794" s="128" t="s">
        <v>366</v>
      </c>
      <c r="K794" s="128" t="s">
        <v>367</v>
      </c>
      <c r="L794" s="128" t="s">
        <v>368</v>
      </c>
      <c r="M794" s="128" t="s">
        <v>369</v>
      </c>
      <c r="N794" s="128"/>
      <c r="O794" s="128"/>
    </row>
    <row r="795" spans="1:15">
      <c r="A795" s="129" t="s">
        <v>362</v>
      </c>
      <c r="B795" s="129" t="s">
        <v>363</v>
      </c>
      <c r="C795" s="130">
        <v>45447</v>
      </c>
      <c r="D795" s="129" t="s">
        <v>375</v>
      </c>
      <c r="E795" s="131"/>
      <c r="F795" s="129" t="s">
        <v>365</v>
      </c>
      <c r="G795" s="131"/>
      <c r="H795" s="131">
        <v>-126100.5</v>
      </c>
      <c r="I795" s="132">
        <v>-75827119.659999996</v>
      </c>
      <c r="J795" s="133" t="s">
        <v>366</v>
      </c>
      <c r="K795" s="133" t="s">
        <v>367</v>
      </c>
      <c r="L795" s="133" t="s">
        <v>368</v>
      </c>
      <c r="M795" s="133" t="s">
        <v>369</v>
      </c>
      <c r="N795" s="133"/>
      <c r="O795" s="133"/>
    </row>
    <row r="796" spans="1:15">
      <c r="A796" s="124" t="s">
        <v>362</v>
      </c>
      <c r="B796" s="124" t="s">
        <v>363</v>
      </c>
      <c r="C796" s="125">
        <v>45447</v>
      </c>
      <c r="D796" s="124" t="s">
        <v>372</v>
      </c>
      <c r="E796" s="126"/>
      <c r="F796" s="124" t="s">
        <v>365</v>
      </c>
      <c r="G796" s="126"/>
      <c r="H796" s="126">
        <v>-33.219999999993888</v>
      </c>
      <c r="I796" s="127">
        <v>-19975.95</v>
      </c>
      <c r="J796" s="128" t="s">
        <v>366</v>
      </c>
      <c r="K796" s="128" t="s">
        <v>367</v>
      </c>
      <c r="L796" s="128" t="s">
        <v>368</v>
      </c>
      <c r="M796" s="128" t="s">
        <v>369</v>
      </c>
      <c r="N796" s="128"/>
      <c r="O796" s="128"/>
    </row>
    <row r="797" spans="1:15">
      <c r="A797" s="129" t="s">
        <v>362</v>
      </c>
      <c r="B797" s="129" t="s">
        <v>363</v>
      </c>
      <c r="C797" s="130">
        <v>45447</v>
      </c>
      <c r="D797" s="129" t="s">
        <v>372</v>
      </c>
      <c r="E797" s="131"/>
      <c r="F797" s="129" t="s">
        <v>365</v>
      </c>
      <c r="G797" s="131"/>
      <c r="H797" s="131">
        <v>-4091.4295959999999</v>
      </c>
      <c r="I797" s="132">
        <v>-2460270.6</v>
      </c>
      <c r="J797" s="133" t="s">
        <v>366</v>
      </c>
      <c r="K797" s="133" t="s">
        <v>367</v>
      </c>
      <c r="L797" s="133" t="s">
        <v>368</v>
      </c>
      <c r="M797" s="133" t="s">
        <v>369</v>
      </c>
      <c r="N797" s="133"/>
      <c r="O797" s="133"/>
    </row>
    <row r="798" spans="1:15">
      <c r="A798" s="124" t="s">
        <v>362</v>
      </c>
      <c r="B798" s="124" t="s">
        <v>363</v>
      </c>
      <c r="C798" s="125">
        <v>45447</v>
      </c>
      <c r="D798" s="124" t="s">
        <v>372</v>
      </c>
      <c r="E798" s="126"/>
      <c r="F798" s="124" t="s">
        <v>365</v>
      </c>
      <c r="G798" s="126"/>
      <c r="H798" s="126">
        <v>-1562.5095960000017</v>
      </c>
      <c r="I798" s="127">
        <v>-939573.06</v>
      </c>
      <c r="J798" s="128" t="s">
        <v>366</v>
      </c>
      <c r="K798" s="128" t="s">
        <v>367</v>
      </c>
      <c r="L798" s="128" t="s">
        <v>368</v>
      </c>
      <c r="M798" s="128" t="s">
        <v>369</v>
      </c>
      <c r="N798" s="128"/>
      <c r="O798" s="128"/>
    </row>
    <row r="799" spans="1:15">
      <c r="A799" s="129" t="s">
        <v>362</v>
      </c>
      <c r="B799" s="129" t="s">
        <v>363</v>
      </c>
      <c r="C799" s="130">
        <v>45447</v>
      </c>
      <c r="D799" s="129" t="s">
        <v>372</v>
      </c>
      <c r="E799" s="131"/>
      <c r="F799" s="129" t="s">
        <v>365</v>
      </c>
      <c r="G799" s="131"/>
      <c r="H799" s="131">
        <v>-2803.4295959999999</v>
      </c>
      <c r="I799" s="132">
        <v>-1685766.69</v>
      </c>
      <c r="J799" s="133" t="s">
        <v>366</v>
      </c>
      <c r="K799" s="133" t="s">
        <v>367</v>
      </c>
      <c r="L799" s="133" t="s">
        <v>368</v>
      </c>
      <c r="M799" s="133" t="s">
        <v>369</v>
      </c>
      <c r="N799" s="133"/>
      <c r="O799" s="133"/>
    </row>
    <row r="800" spans="1:15">
      <c r="A800" s="124" t="s">
        <v>362</v>
      </c>
      <c r="B800" s="124" t="s">
        <v>363</v>
      </c>
      <c r="C800" s="125">
        <v>45447</v>
      </c>
      <c r="D800" s="124" t="s">
        <v>372</v>
      </c>
      <c r="E800" s="126"/>
      <c r="F800" s="124" t="s">
        <v>365</v>
      </c>
      <c r="G800" s="126"/>
      <c r="H800" s="126">
        <v>-3234</v>
      </c>
      <c r="I800" s="127">
        <v>-1944678.29</v>
      </c>
      <c r="J800" s="128" t="s">
        <v>366</v>
      </c>
      <c r="K800" s="128" t="s">
        <v>367</v>
      </c>
      <c r="L800" s="128" t="s">
        <v>368</v>
      </c>
      <c r="M800" s="128" t="s">
        <v>369</v>
      </c>
      <c r="N800" s="128"/>
      <c r="O800" s="128"/>
    </row>
    <row r="801" spans="1:15">
      <c r="A801" s="129" t="s">
        <v>362</v>
      </c>
      <c r="B801" s="129" t="s">
        <v>363</v>
      </c>
      <c r="C801" s="130">
        <v>45447</v>
      </c>
      <c r="D801" s="129" t="s">
        <v>371</v>
      </c>
      <c r="E801" s="131"/>
      <c r="F801" s="129" t="s">
        <v>365</v>
      </c>
      <c r="G801" s="131"/>
      <c r="H801" s="131">
        <v>-41046.07</v>
      </c>
      <c r="I801" s="132">
        <v>-24681942.27</v>
      </c>
      <c r="J801" s="133" t="s">
        <v>366</v>
      </c>
      <c r="K801" s="133" t="s">
        <v>367</v>
      </c>
      <c r="L801" s="133" t="s">
        <v>368</v>
      </c>
      <c r="M801" s="133" t="s">
        <v>369</v>
      </c>
      <c r="N801" s="133"/>
      <c r="O801" s="133"/>
    </row>
    <row r="802" spans="1:15">
      <c r="A802" s="124" t="s">
        <v>362</v>
      </c>
      <c r="B802" s="124" t="s">
        <v>363</v>
      </c>
      <c r="C802" s="125">
        <v>45447</v>
      </c>
      <c r="D802" s="124" t="s">
        <v>371</v>
      </c>
      <c r="E802" s="126"/>
      <c r="F802" s="124" t="s">
        <v>365</v>
      </c>
      <c r="G802" s="126"/>
      <c r="H802" s="126">
        <v>-39799.5</v>
      </c>
      <c r="I802" s="127">
        <v>-23932351.170000002</v>
      </c>
      <c r="J802" s="128" t="s">
        <v>366</v>
      </c>
      <c r="K802" s="128" t="s">
        <v>367</v>
      </c>
      <c r="L802" s="128" t="s">
        <v>368</v>
      </c>
      <c r="M802" s="128" t="s">
        <v>369</v>
      </c>
      <c r="N802" s="128"/>
      <c r="O802" s="128"/>
    </row>
    <row r="803" spans="1:15">
      <c r="A803" s="129" t="s">
        <v>362</v>
      </c>
      <c r="B803" s="129" t="s">
        <v>363</v>
      </c>
      <c r="C803" s="130">
        <v>45447</v>
      </c>
      <c r="D803" s="129" t="s">
        <v>371</v>
      </c>
      <c r="E803" s="131"/>
      <c r="F803" s="129" t="s">
        <v>365</v>
      </c>
      <c r="G803" s="131"/>
      <c r="H803" s="131">
        <v>4288.57</v>
      </c>
      <c r="I803" s="132">
        <v>2578815.39</v>
      </c>
      <c r="J803" s="133" t="s">
        <v>366</v>
      </c>
      <c r="K803" s="133" t="s">
        <v>367</v>
      </c>
      <c r="L803" s="133" t="s">
        <v>368</v>
      </c>
      <c r="M803" s="133" t="s">
        <v>369</v>
      </c>
      <c r="N803" s="133"/>
      <c r="O803" s="133"/>
    </row>
    <row r="804" spans="1:15">
      <c r="A804" s="124" t="s">
        <v>362</v>
      </c>
      <c r="B804" s="124" t="s">
        <v>363</v>
      </c>
      <c r="C804" s="125">
        <v>45447</v>
      </c>
      <c r="D804" s="124" t="s">
        <v>371</v>
      </c>
      <c r="E804" s="126"/>
      <c r="F804" s="124" t="s">
        <v>365</v>
      </c>
      <c r="G804" s="126"/>
      <c r="H804" s="126">
        <v>3077.22</v>
      </c>
      <c r="I804" s="127">
        <v>1850402.89</v>
      </c>
      <c r="J804" s="128" t="s">
        <v>366</v>
      </c>
      <c r="K804" s="128" t="s">
        <v>367</v>
      </c>
      <c r="L804" s="128" t="s">
        <v>368</v>
      </c>
      <c r="M804" s="128" t="s">
        <v>369</v>
      </c>
      <c r="N804" s="128"/>
      <c r="O804" s="128"/>
    </row>
    <row r="805" spans="1:15">
      <c r="A805" s="129" t="s">
        <v>362</v>
      </c>
      <c r="B805" s="129" t="s">
        <v>363</v>
      </c>
      <c r="C805" s="130">
        <v>45447</v>
      </c>
      <c r="D805" s="129" t="s">
        <v>371</v>
      </c>
      <c r="E805" s="131"/>
      <c r="F805" s="129" t="s">
        <v>365</v>
      </c>
      <c r="G805" s="131"/>
      <c r="H805" s="131">
        <v>-28378.68</v>
      </c>
      <c r="I805" s="132">
        <v>-17064750.449999999</v>
      </c>
      <c r="J805" s="133" t="s">
        <v>366</v>
      </c>
      <c r="K805" s="133" t="s">
        <v>367</v>
      </c>
      <c r="L805" s="133" t="s">
        <v>368</v>
      </c>
      <c r="M805" s="133" t="s">
        <v>369</v>
      </c>
      <c r="N805" s="133"/>
      <c r="O805" s="133"/>
    </row>
    <row r="806" spans="1:15">
      <c r="A806" s="124" t="s">
        <v>362</v>
      </c>
      <c r="B806" s="124" t="s">
        <v>363</v>
      </c>
      <c r="C806" s="125">
        <v>45447</v>
      </c>
      <c r="D806" s="124" t="s">
        <v>374</v>
      </c>
      <c r="E806" s="126"/>
      <c r="F806" s="124" t="s">
        <v>365</v>
      </c>
      <c r="G806" s="126"/>
      <c r="H806" s="126">
        <v>240.29999999998836</v>
      </c>
      <c r="I806" s="127">
        <v>144497.9</v>
      </c>
      <c r="J806" s="128" t="s">
        <v>366</v>
      </c>
      <c r="K806" s="128" t="s">
        <v>367</v>
      </c>
      <c r="L806" s="128" t="s">
        <v>368</v>
      </c>
      <c r="M806" s="128" t="s">
        <v>369</v>
      </c>
      <c r="N806" s="128"/>
      <c r="O806" s="128"/>
    </row>
    <row r="807" spans="1:15">
      <c r="A807" s="129" t="s">
        <v>362</v>
      </c>
      <c r="B807" s="129" t="s">
        <v>363</v>
      </c>
      <c r="C807" s="130">
        <v>45447</v>
      </c>
      <c r="D807" s="129" t="s">
        <v>374</v>
      </c>
      <c r="E807" s="131"/>
      <c r="F807" s="129" t="s">
        <v>365</v>
      </c>
      <c r="G807" s="131"/>
      <c r="H807" s="131">
        <v>-5939.88</v>
      </c>
      <c r="I807" s="132">
        <v>-3571785.93</v>
      </c>
      <c r="J807" s="133" t="s">
        <v>366</v>
      </c>
      <c r="K807" s="133" t="s">
        <v>367</v>
      </c>
      <c r="L807" s="133" t="s">
        <v>368</v>
      </c>
      <c r="M807" s="133" t="s">
        <v>369</v>
      </c>
      <c r="N807" s="133"/>
      <c r="O807" s="133"/>
    </row>
    <row r="808" spans="1:15">
      <c r="A808" s="124" t="s">
        <v>362</v>
      </c>
      <c r="B808" s="124" t="s">
        <v>363</v>
      </c>
      <c r="C808" s="125">
        <v>45447</v>
      </c>
      <c r="D808" s="124" t="s">
        <v>364</v>
      </c>
      <c r="E808" s="126"/>
      <c r="F808" s="124" t="s">
        <v>365</v>
      </c>
      <c r="G808" s="126"/>
      <c r="H808" s="126">
        <v>624.74</v>
      </c>
      <c r="I808" s="127">
        <v>375670.48</v>
      </c>
      <c r="J808" s="128" t="s">
        <v>366</v>
      </c>
      <c r="K808" s="128" t="s">
        <v>367</v>
      </c>
      <c r="L808" s="128" t="s">
        <v>368</v>
      </c>
      <c r="M808" s="128" t="s">
        <v>369</v>
      </c>
      <c r="N808" s="128"/>
      <c r="O808" s="128"/>
    </row>
    <row r="809" spans="1:15">
      <c r="A809" s="129" t="s">
        <v>362</v>
      </c>
      <c r="B809" s="129" t="s">
        <v>363</v>
      </c>
      <c r="C809" s="130">
        <v>45447</v>
      </c>
      <c r="D809" s="129" t="s">
        <v>364</v>
      </c>
      <c r="E809" s="131"/>
      <c r="F809" s="129" t="s">
        <v>365</v>
      </c>
      <c r="G809" s="131"/>
      <c r="H809" s="131">
        <v>-100.36</v>
      </c>
      <c r="I809" s="132">
        <v>-60348.77</v>
      </c>
      <c r="J809" s="133" t="s">
        <v>366</v>
      </c>
      <c r="K809" s="133" t="s">
        <v>367</v>
      </c>
      <c r="L809" s="133" t="s">
        <v>368</v>
      </c>
      <c r="M809" s="133" t="s">
        <v>369</v>
      </c>
      <c r="N809" s="133"/>
      <c r="O809" s="133"/>
    </row>
    <row r="810" spans="1:15">
      <c r="A810" s="124" t="s">
        <v>362</v>
      </c>
      <c r="B810" s="124" t="s">
        <v>363</v>
      </c>
      <c r="C810" s="125">
        <v>45447</v>
      </c>
      <c r="D810" s="124" t="s">
        <v>364</v>
      </c>
      <c r="E810" s="126"/>
      <c r="F810" s="124" t="s">
        <v>365</v>
      </c>
      <c r="G810" s="126"/>
      <c r="H810" s="126">
        <v>-1831.9</v>
      </c>
      <c r="I810" s="127">
        <v>-1101563.44</v>
      </c>
      <c r="J810" s="128" t="s">
        <v>366</v>
      </c>
      <c r="K810" s="128" t="s">
        <v>367</v>
      </c>
      <c r="L810" s="128" t="s">
        <v>368</v>
      </c>
      <c r="M810" s="128" t="s">
        <v>369</v>
      </c>
      <c r="N810" s="128"/>
      <c r="O810" s="128"/>
    </row>
    <row r="811" spans="1:15">
      <c r="A811" s="129" t="s">
        <v>362</v>
      </c>
      <c r="B811" s="129" t="s">
        <v>363</v>
      </c>
      <c r="C811" s="130">
        <v>45447</v>
      </c>
      <c r="D811" s="129" t="s">
        <v>364</v>
      </c>
      <c r="E811" s="131"/>
      <c r="F811" s="129" t="s">
        <v>365</v>
      </c>
      <c r="G811" s="131"/>
      <c r="H811" s="131">
        <v>-11954.759999999991</v>
      </c>
      <c r="I811" s="132">
        <v>-7188671.0800000001</v>
      </c>
      <c r="J811" s="133" t="s">
        <v>366</v>
      </c>
      <c r="K811" s="133" t="s">
        <v>367</v>
      </c>
      <c r="L811" s="133" t="s">
        <v>368</v>
      </c>
      <c r="M811" s="133" t="s">
        <v>369</v>
      </c>
      <c r="N811" s="133"/>
      <c r="O811" s="133"/>
    </row>
    <row r="812" spans="1:15">
      <c r="A812" s="124" t="s">
        <v>362</v>
      </c>
      <c r="B812" s="124" t="s">
        <v>363</v>
      </c>
      <c r="C812" s="125">
        <v>45447</v>
      </c>
      <c r="D812" s="124" t="s">
        <v>364</v>
      </c>
      <c r="E812" s="126"/>
      <c r="F812" s="124" t="s">
        <v>365</v>
      </c>
      <c r="G812" s="126"/>
      <c r="H812" s="126">
        <v>-8998.7454820000203</v>
      </c>
      <c r="I812" s="127">
        <v>-5411154.54</v>
      </c>
      <c r="J812" s="128" t="s">
        <v>366</v>
      </c>
      <c r="K812" s="128" t="s">
        <v>367</v>
      </c>
      <c r="L812" s="128" t="s">
        <v>368</v>
      </c>
      <c r="M812" s="128" t="s">
        <v>369</v>
      </c>
      <c r="N812" s="128"/>
      <c r="O812" s="128"/>
    </row>
    <row r="813" spans="1:15">
      <c r="A813" s="129" t="s">
        <v>362</v>
      </c>
      <c r="B813" s="129" t="s">
        <v>363</v>
      </c>
      <c r="C813" s="130">
        <v>45447</v>
      </c>
      <c r="D813" s="129" t="s">
        <v>364</v>
      </c>
      <c r="E813" s="131"/>
      <c r="F813" s="129" t="s">
        <v>365</v>
      </c>
      <c r="G813" s="131"/>
      <c r="H813" s="131">
        <v>-45.5</v>
      </c>
      <c r="I813" s="132">
        <v>-27360.19</v>
      </c>
      <c r="J813" s="133" t="s">
        <v>366</v>
      </c>
      <c r="K813" s="133" t="s">
        <v>367</v>
      </c>
      <c r="L813" s="133" t="s">
        <v>368</v>
      </c>
      <c r="M813" s="133" t="s">
        <v>369</v>
      </c>
      <c r="N813" s="133"/>
      <c r="O813" s="133"/>
    </row>
    <row r="814" spans="1:15">
      <c r="A814" s="124" t="s">
        <v>362</v>
      </c>
      <c r="B814" s="124" t="s">
        <v>363</v>
      </c>
      <c r="C814" s="125">
        <v>45447</v>
      </c>
      <c r="D814" s="124" t="s">
        <v>364</v>
      </c>
      <c r="E814" s="126"/>
      <c r="F814" s="124" t="s">
        <v>365</v>
      </c>
      <c r="G814" s="126"/>
      <c r="H814" s="126">
        <v>-2477.12</v>
      </c>
      <c r="I814" s="127">
        <v>-1489549.01</v>
      </c>
      <c r="J814" s="128" t="s">
        <v>366</v>
      </c>
      <c r="K814" s="128" t="s">
        <v>367</v>
      </c>
      <c r="L814" s="128" t="s">
        <v>368</v>
      </c>
      <c r="M814" s="128" t="s">
        <v>369</v>
      </c>
      <c r="N814" s="128"/>
      <c r="O814" s="128"/>
    </row>
    <row r="815" spans="1:15">
      <c r="A815" s="129" t="s">
        <v>362</v>
      </c>
      <c r="B815" s="129" t="s">
        <v>363</v>
      </c>
      <c r="C815" s="130">
        <v>45447</v>
      </c>
      <c r="D815" s="129" t="s">
        <v>364</v>
      </c>
      <c r="E815" s="131"/>
      <c r="F815" s="129" t="s">
        <v>365</v>
      </c>
      <c r="G815" s="131"/>
      <c r="H815" s="131">
        <v>-1601.87</v>
      </c>
      <c r="I815" s="132">
        <v>-963241.13</v>
      </c>
      <c r="J815" s="133" t="s">
        <v>366</v>
      </c>
      <c r="K815" s="133" t="s">
        <v>367</v>
      </c>
      <c r="L815" s="133" t="s">
        <v>368</v>
      </c>
      <c r="M815" s="133" t="s">
        <v>369</v>
      </c>
      <c r="N815" s="133"/>
      <c r="O815" s="133"/>
    </row>
    <row r="816" spans="1:15">
      <c r="A816" s="124" t="s">
        <v>362</v>
      </c>
      <c r="B816" s="124" t="s">
        <v>363</v>
      </c>
      <c r="C816" s="125">
        <v>45447</v>
      </c>
      <c r="D816" s="124" t="s">
        <v>364</v>
      </c>
      <c r="E816" s="126"/>
      <c r="F816" s="124" t="s">
        <v>365</v>
      </c>
      <c r="G816" s="126"/>
      <c r="H816" s="126">
        <v>-75.48</v>
      </c>
      <c r="I816" s="127">
        <v>-45387.85</v>
      </c>
      <c r="J816" s="128" t="s">
        <v>366</v>
      </c>
      <c r="K816" s="128" t="s">
        <v>367</v>
      </c>
      <c r="L816" s="128" t="s">
        <v>368</v>
      </c>
      <c r="M816" s="128" t="s">
        <v>369</v>
      </c>
      <c r="N816" s="128"/>
      <c r="O816" s="128"/>
    </row>
    <row r="817" spans="1:15">
      <c r="A817" s="129" t="s">
        <v>362</v>
      </c>
      <c r="B817" s="129" t="s">
        <v>363</v>
      </c>
      <c r="C817" s="130">
        <v>45447</v>
      </c>
      <c r="D817" s="129" t="s">
        <v>364</v>
      </c>
      <c r="E817" s="131"/>
      <c r="F817" s="129" t="s">
        <v>365</v>
      </c>
      <c r="G817" s="131"/>
      <c r="H817" s="131">
        <v>-86.14</v>
      </c>
      <c r="I817" s="132">
        <v>-51797.96</v>
      </c>
      <c r="J817" s="133" t="s">
        <v>366</v>
      </c>
      <c r="K817" s="133" t="s">
        <v>367</v>
      </c>
      <c r="L817" s="133" t="s">
        <v>368</v>
      </c>
      <c r="M817" s="133" t="s">
        <v>369</v>
      </c>
      <c r="N817" s="133"/>
      <c r="O817" s="133"/>
    </row>
    <row r="818" spans="1:15">
      <c r="A818" s="124" t="s">
        <v>362</v>
      </c>
      <c r="B818" s="124" t="s">
        <v>363</v>
      </c>
      <c r="C818" s="125">
        <v>45447</v>
      </c>
      <c r="D818" s="124" t="s">
        <v>364</v>
      </c>
      <c r="E818" s="126"/>
      <c r="F818" s="124" t="s">
        <v>365</v>
      </c>
      <c r="G818" s="126"/>
      <c r="H818" s="126">
        <v>-90.01</v>
      </c>
      <c r="I818" s="127">
        <v>-54125.08</v>
      </c>
      <c r="J818" s="128" t="s">
        <v>366</v>
      </c>
      <c r="K818" s="128" t="s">
        <v>367</v>
      </c>
      <c r="L818" s="128" t="s">
        <v>368</v>
      </c>
      <c r="M818" s="128" t="s">
        <v>369</v>
      </c>
      <c r="N818" s="128"/>
      <c r="O818" s="128"/>
    </row>
    <row r="819" spans="1:15">
      <c r="A819" s="129" t="s">
        <v>362</v>
      </c>
      <c r="B819" s="129" t="s">
        <v>363</v>
      </c>
      <c r="C819" s="130">
        <v>45447</v>
      </c>
      <c r="D819" s="129" t="s">
        <v>364</v>
      </c>
      <c r="E819" s="131"/>
      <c r="F819" s="129" t="s">
        <v>365</v>
      </c>
      <c r="G819" s="131"/>
      <c r="H819" s="131">
        <v>-11955.23</v>
      </c>
      <c r="I819" s="132">
        <v>-7188953.7000000002</v>
      </c>
      <c r="J819" s="133" t="s">
        <v>366</v>
      </c>
      <c r="K819" s="133" t="s">
        <v>367</v>
      </c>
      <c r="L819" s="133" t="s">
        <v>368</v>
      </c>
      <c r="M819" s="133" t="s">
        <v>369</v>
      </c>
      <c r="N819" s="133"/>
      <c r="O819" s="133"/>
    </row>
    <row r="820" spans="1:15">
      <c r="A820" s="124" t="s">
        <v>362</v>
      </c>
      <c r="B820" s="124" t="s">
        <v>363</v>
      </c>
      <c r="C820" s="125">
        <v>45447</v>
      </c>
      <c r="D820" s="124" t="s">
        <v>364</v>
      </c>
      <c r="E820" s="126"/>
      <c r="F820" s="124" t="s">
        <v>365</v>
      </c>
      <c r="G820" s="126"/>
      <c r="H820" s="126">
        <v>-8994.5</v>
      </c>
      <c r="I820" s="127">
        <v>-5408598.9199999999</v>
      </c>
      <c r="J820" s="128" t="s">
        <v>366</v>
      </c>
      <c r="K820" s="128" t="s">
        <v>367</v>
      </c>
      <c r="L820" s="128" t="s">
        <v>368</v>
      </c>
      <c r="M820" s="128" t="s">
        <v>369</v>
      </c>
      <c r="N820" s="128"/>
      <c r="O820" s="128"/>
    </row>
    <row r="821" spans="1:15">
      <c r="A821" s="129" t="s">
        <v>362</v>
      </c>
      <c r="B821" s="129" t="s">
        <v>363</v>
      </c>
      <c r="C821" s="130">
        <v>45447</v>
      </c>
      <c r="D821" s="129" t="s">
        <v>364</v>
      </c>
      <c r="E821" s="131"/>
      <c r="F821" s="129" t="s">
        <v>365</v>
      </c>
      <c r="G821" s="131"/>
      <c r="H821" s="131">
        <v>-140960.41</v>
      </c>
      <c r="I821" s="132">
        <v>-84762723.989999995</v>
      </c>
      <c r="J821" s="133" t="s">
        <v>366</v>
      </c>
      <c r="K821" s="133" t="s">
        <v>367</v>
      </c>
      <c r="L821" s="133" t="s">
        <v>368</v>
      </c>
      <c r="M821" s="133" t="s">
        <v>369</v>
      </c>
      <c r="N821" s="133"/>
      <c r="O821" s="133"/>
    </row>
    <row r="822" spans="1:15">
      <c r="A822" s="124" t="s">
        <v>362</v>
      </c>
      <c r="B822" s="124" t="s">
        <v>363</v>
      </c>
      <c r="C822" s="125">
        <v>45447</v>
      </c>
      <c r="D822" s="124" t="s">
        <v>364</v>
      </c>
      <c r="E822" s="126"/>
      <c r="F822" s="124" t="s">
        <v>365</v>
      </c>
      <c r="G822" s="126"/>
      <c r="H822" s="126">
        <v>1849.54</v>
      </c>
      <c r="I822" s="127">
        <v>1112170.78</v>
      </c>
      <c r="J822" s="128" t="s">
        <v>366</v>
      </c>
      <c r="K822" s="128" t="s">
        <v>367</v>
      </c>
      <c r="L822" s="128" t="s">
        <v>368</v>
      </c>
      <c r="M822" s="128" t="s">
        <v>369</v>
      </c>
      <c r="N822" s="128"/>
      <c r="O822" s="128"/>
    </row>
    <row r="823" spans="1:15">
      <c r="A823" s="129" t="s">
        <v>362</v>
      </c>
      <c r="B823" s="129" t="s">
        <v>363</v>
      </c>
      <c r="C823" s="130">
        <v>45447</v>
      </c>
      <c r="D823" s="129" t="s">
        <v>364</v>
      </c>
      <c r="E823" s="131"/>
      <c r="F823" s="129" t="s">
        <v>365</v>
      </c>
      <c r="G823" s="131"/>
      <c r="H823" s="131">
        <v>-142.85</v>
      </c>
      <c r="I823" s="132">
        <v>-85898.98</v>
      </c>
      <c r="J823" s="133" t="s">
        <v>366</v>
      </c>
      <c r="K823" s="133" t="s">
        <v>367</v>
      </c>
      <c r="L823" s="133" t="s">
        <v>368</v>
      </c>
      <c r="M823" s="133" t="s">
        <v>369</v>
      </c>
      <c r="N823" s="133"/>
      <c r="O823" s="133"/>
    </row>
    <row r="824" spans="1:15">
      <c r="A824" s="124" t="s">
        <v>362</v>
      </c>
      <c r="B824" s="124" t="s">
        <v>363</v>
      </c>
      <c r="C824" s="125">
        <v>45447</v>
      </c>
      <c r="D824" s="124" t="s">
        <v>364</v>
      </c>
      <c r="E824" s="126"/>
      <c r="F824" s="124" t="s">
        <v>365</v>
      </c>
      <c r="G824" s="126"/>
      <c r="H824" s="126">
        <v>-11738.3</v>
      </c>
      <c r="I824" s="127">
        <v>-7058508.7199999997</v>
      </c>
      <c r="J824" s="128" t="s">
        <v>366</v>
      </c>
      <c r="K824" s="128" t="s">
        <v>367</v>
      </c>
      <c r="L824" s="128" t="s">
        <v>368</v>
      </c>
      <c r="M824" s="128" t="s">
        <v>369</v>
      </c>
      <c r="N824" s="128"/>
      <c r="O824" s="128"/>
    </row>
    <row r="825" spans="1:15">
      <c r="A825" s="129" t="s">
        <v>362</v>
      </c>
      <c r="B825" s="129" t="s">
        <v>363</v>
      </c>
      <c r="C825" s="130">
        <v>45447</v>
      </c>
      <c r="D825" s="129" t="s">
        <v>364</v>
      </c>
      <c r="E825" s="131"/>
      <c r="F825" s="129" t="s">
        <v>365</v>
      </c>
      <c r="G825" s="131"/>
      <c r="H825" s="131">
        <v>-11982.81</v>
      </c>
      <c r="I825" s="132">
        <v>-7205538.1799999997</v>
      </c>
      <c r="J825" s="133" t="s">
        <v>366</v>
      </c>
      <c r="K825" s="133" t="s">
        <v>367</v>
      </c>
      <c r="L825" s="133" t="s">
        <v>368</v>
      </c>
      <c r="M825" s="133" t="s">
        <v>369</v>
      </c>
      <c r="N825" s="133"/>
      <c r="O825" s="133"/>
    </row>
    <row r="826" spans="1:15">
      <c r="A826" s="124" t="s">
        <v>362</v>
      </c>
      <c r="B826" s="124" t="s">
        <v>363</v>
      </c>
      <c r="C826" s="125">
        <v>45447</v>
      </c>
      <c r="D826" s="124" t="s">
        <v>364</v>
      </c>
      <c r="E826" s="126"/>
      <c r="F826" s="124" t="s">
        <v>365</v>
      </c>
      <c r="G826" s="126"/>
      <c r="H826" s="126">
        <v>-140984.60999999999</v>
      </c>
      <c r="I826" s="127">
        <v>-84777276.010000005</v>
      </c>
      <c r="J826" s="128" t="s">
        <v>366</v>
      </c>
      <c r="K826" s="128" t="s">
        <v>367</v>
      </c>
      <c r="L826" s="128" t="s">
        <v>368</v>
      </c>
      <c r="M826" s="128" t="s">
        <v>369</v>
      </c>
      <c r="N826" s="128"/>
      <c r="O826" s="128"/>
    </row>
    <row r="827" spans="1:15">
      <c r="A827" s="129" t="s">
        <v>362</v>
      </c>
      <c r="B827" s="129" t="s">
        <v>363</v>
      </c>
      <c r="C827" s="130">
        <v>45447</v>
      </c>
      <c r="D827" s="129" t="s">
        <v>364</v>
      </c>
      <c r="E827" s="131"/>
      <c r="F827" s="129" t="s">
        <v>365</v>
      </c>
      <c r="G827" s="131"/>
      <c r="H827" s="131">
        <v>-218007.53</v>
      </c>
      <c r="I827" s="132">
        <v>-131092922.43000001</v>
      </c>
      <c r="J827" s="133" t="s">
        <v>366</v>
      </c>
      <c r="K827" s="133" t="s">
        <v>367</v>
      </c>
      <c r="L827" s="133" t="s">
        <v>368</v>
      </c>
      <c r="M827" s="133" t="s">
        <v>369</v>
      </c>
      <c r="N827" s="133"/>
      <c r="O827" s="133"/>
    </row>
    <row r="828" spans="1:15">
      <c r="A828" s="124" t="s">
        <v>362</v>
      </c>
      <c r="B828" s="124" t="s">
        <v>363</v>
      </c>
      <c r="C828" s="125">
        <v>45447</v>
      </c>
      <c r="D828" s="124" t="s">
        <v>364</v>
      </c>
      <c r="E828" s="126"/>
      <c r="F828" s="124" t="s">
        <v>365</v>
      </c>
      <c r="G828" s="126"/>
      <c r="H828" s="126">
        <v>-217205.47</v>
      </c>
      <c r="I828" s="127">
        <v>-130610625.38</v>
      </c>
      <c r="J828" s="128" t="s">
        <v>366</v>
      </c>
      <c r="K828" s="128" t="s">
        <v>367</v>
      </c>
      <c r="L828" s="128" t="s">
        <v>368</v>
      </c>
      <c r="M828" s="128" t="s">
        <v>369</v>
      </c>
      <c r="N828" s="128"/>
      <c r="O828" s="128"/>
    </row>
    <row r="829" spans="1:15">
      <c r="A829" s="129" t="s">
        <v>362</v>
      </c>
      <c r="B829" s="129" t="s">
        <v>363</v>
      </c>
      <c r="C829" s="130">
        <v>45447</v>
      </c>
      <c r="D829" s="129" t="s">
        <v>370</v>
      </c>
      <c r="E829" s="131"/>
      <c r="F829" s="129" t="s">
        <v>365</v>
      </c>
      <c r="G829" s="131"/>
      <c r="H829" s="131">
        <v>-77.69</v>
      </c>
      <c r="I829" s="132">
        <v>-46716.78</v>
      </c>
      <c r="J829" s="133" t="s">
        <v>366</v>
      </c>
      <c r="K829" s="133" t="s">
        <v>367</v>
      </c>
      <c r="L829" s="133" t="s">
        <v>368</v>
      </c>
      <c r="M829" s="133" t="s">
        <v>369</v>
      </c>
      <c r="N829" s="133"/>
      <c r="O829" s="133"/>
    </row>
    <row r="830" spans="1:15">
      <c r="A830" s="124" t="s">
        <v>362</v>
      </c>
      <c r="B830" s="124" t="s">
        <v>363</v>
      </c>
      <c r="C830" s="125">
        <v>45447</v>
      </c>
      <c r="D830" s="124" t="s">
        <v>370</v>
      </c>
      <c r="E830" s="126"/>
      <c r="F830" s="124" t="s">
        <v>365</v>
      </c>
      <c r="G830" s="126"/>
      <c r="H830" s="126">
        <v>-2369.13</v>
      </c>
      <c r="I830" s="127">
        <v>-1424612.15</v>
      </c>
      <c r="J830" s="128" t="s">
        <v>366</v>
      </c>
      <c r="K830" s="128" t="s">
        <v>367</v>
      </c>
      <c r="L830" s="128" t="s">
        <v>368</v>
      </c>
      <c r="M830" s="128" t="s">
        <v>369</v>
      </c>
      <c r="N830" s="128"/>
      <c r="O830" s="128"/>
    </row>
    <row r="831" spans="1:15">
      <c r="A831" s="129" t="s">
        <v>362</v>
      </c>
      <c r="B831" s="129" t="s">
        <v>363</v>
      </c>
      <c r="C831" s="130">
        <v>45447</v>
      </c>
      <c r="D831" s="129" t="s">
        <v>370</v>
      </c>
      <c r="E831" s="131"/>
      <c r="F831" s="129" t="s">
        <v>365</v>
      </c>
      <c r="G831" s="131"/>
      <c r="H831" s="131">
        <v>-9812.49</v>
      </c>
      <c r="I831" s="132">
        <v>-5900475.04</v>
      </c>
      <c r="J831" s="133" t="s">
        <v>366</v>
      </c>
      <c r="K831" s="133" t="s">
        <v>367</v>
      </c>
      <c r="L831" s="133" t="s">
        <v>368</v>
      </c>
      <c r="M831" s="133" t="s">
        <v>369</v>
      </c>
      <c r="N831" s="133"/>
      <c r="O831" s="133"/>
    </row>
    <row r="832" spans="1:15">
      <c r="A832" s="124" t="s">
        <v>362</v>
      </c>
      <c r="B832" s="124" t="s">
        <v>363</v>
      </c>
      <c r="C832" s="125">
        <v>45447</v>
      </c>
      <c r="D832" s="124" t="s">
        <v>370</v>
      </c>
      <c r="E832" s="126"/>
      <c r="F832" s="124" t="s">
        <v>365</v>
      </c>
      <c r="G832" s="126"/>
      <c r="H832" s="126">
        <v>-10470.42</v>
      </c>
      <c r="I832" s="127">
        <v>-6296103.4299999997</v>
      </c>
      <c r="J832" s="128" t="s">
        <v>366</v>
      </c>
      <c r="K832" s="128" t="s">
        <v>367</v>
      </c>
      <c r="L832" s="128" t="s">
        <v>368</v>
      </c>
      <c r="M832" s="128" t="s">
        <v>369</v>
      </c>
      <c r="N832" s="128"/>
      <c r="O832" s="128"/>
    </row>
    <row r="833" spans="1:15">
      <c r="A833" s="129" t="s">
        <v>362</v>
      </c>
      <c r="B833" s="129" t="s">
        <v>363</v>
      </c>
      <c r="C833" s="130">
        <v>45447</v>
      </c>
      <c r="D833" s="129" t="s">
        <v>370</v>
      </c>
      <c r="E833" s="131"/>
      <c r="F833" s="129" t="s">
        <v>365</v>
      </c>
      <c r="G833" s="131"/>
      <c r="H833" s="131">
        <v>-11992.51</v>
      </c>
      <c r="I833" s="132">
        <v>-7211371.0199999996</v>
      </c>
      <c r="J833" s="133" t="s">
        <v>366</v>
      </c>
      <c r="K833" s="133" t="s">
        <v>367</v>
      </c>
      <c r="L833" s="133" t="s">
        <v>368</v>
      </c>
      <c r="M833" s="133" t="s">
        <v>369</v>
      </c>
      <c r="N833" s="133"/>
      <c r="O833" s="133"/>
    </row>
    <row r="834" spans="1:15">
      <c r="A834" s="124" t="s">
        <v>362</v>
      </c>
      <c r="B834" s="124" t="s">
        <v>363</v>
      </c>
      <c r="C834" s="125">
        <v>45447</v>
      </c>
      <c r="D834" s="124" t="s">
        <v>370</v>
      </c>
      <c r="E834" s="126"/>
      <c r="F834" s="124" t="s">
        <v>365</v>
      </c>
      <c r="G834" s="126"/>
      <c r="H834" s="126">
        <v>4190.46</v>
      </c>
      <c r="I834" s="127">
        <v>2519819.6</v>
      </c>
      <c r="J834" s="128" t="s">
        <v>366</v>
      </c>
      <c r="K834" s="128" t="s">
        <v>367</v>
      </c>
      <c r="L834" s="128" t="s">
        <v>368</v>
      </c>
      <c r="M834" s="128" t="s">
        <v>369</v>
      </c>
      <c r="N834" s="128"/>
      <c r="O834" s="128"/>
    </row>
    <row r="835" spans="1:15">
      <c r="A835" s="129" t="s">
        <v>362</v>
      </c>
      <c r="B835" s="129" t="s">
        <v>363</v>
      </c>
      <c r="C835" s="130">
        <v>45447</v>
      </c>
      <c r="D835" s="129" t="s">
        <v>370</v>
      </c>
      <c r="E835" s="131"/>
      <c r="F835" s="129" t="s">
        <v>365</v>
      </c>
      <c r="G835" s="131"/>
      <c r="H835" s="131">
        <v>-14975.43</v>
      </c>
      <c r="I835" s="132">
        <v>-9005069.1500000004</v>
      </c>
      <c r="J835" s="133" t="s">
        <v>366</v>
      </c>
      <c r="K835" s="133" t="s">
        <v>367</v>
      </c>
      <c r="L835" s="133" t="s">
        <v>368</v>
      </c>
      <c r="M835" s="133" t="s">
        <v>369</v>
      </c>
      <c r="N835" s="133"/>
      <c r="O835" s="133"/>
    </row>
    <row r="836" spans="1:15">
      <c r="A836" s="124" t="s">
        <v>362</v>
      </c>
      <c r="B836" s="124" t="s">
        <v>363</v>
      </c>
      <c r="C836" s="125">
        <v>45447</v>
      </c>
      <c r="D836" s="124" t="s">
        <v>370</v>
      </c>
      <c r="E836" s="126"/>
      <c r="F836" s="124" t="s">
        <v>365</v>
      </c>
      <c r="G836" s="126"/>
      <c r="H836" s="126">
        <v>-1391.86</v>
      </c>
      <c r="I836" s="127">
        <v>-836957.31</v>
      </c>
      <c r="J836" s="128" t="s">
        <v>366</v>
      </c>
      <c r="K836" s="128" t="s">
        <v>367</v>
      </c>
      <c r="L836" s="128" t="s">
        <v>368</v>
      </c>
      <c r="M836" s="128" t="s">
        <v>369</v>
      </c>
      <c r="N836" s="128"/>
      <c r="O836" s="128"/>
    </row>
    <row r="837" spans="1:15">
      <c r="A837" s="129" t="s">
        <v>362</v>
      </c>
      <c r="B837" s="129" t="s">
        <v>363</v>
      </c>
      <c r="C837" s="130">
        <v>45467</v>
      </c>
      <c r="D837" s="129" t="s">
        <v>373</v>
      </c>
      <c r="E837" s="131"/>
      <c r="F837" s="129" t="s">
        <v>365</v>
      </c>
      <c r="G837" s="131"/>
      <c r="H837" s="131">
        <v>38195.948199999701</v>
      </c>
      <c r="I837" s="132">
        <v>22968659.050000001</v>
      </c>
      <c r="J837" s="133" t="s">
        <v>366</v>
      </c>
      <c r="K837" s="133" t="s">
        <v>367</v>
      </c>
      <c r="L837" s="133" t="s">
        <v>368</v>
      </c>
      <c r="M837" s="133" t="s">
        <v>369</v>
      </c>
      <c r="N837" s="133"/>
      <c r="O837" s="133"/>
    </row>
    <row r="838" spans="1:15">
      <c r="A838" s="124" t="s">
        <v>362</v>
      </c>
      <c r="B838" s="124" t="s">
        <v>363</v>
      </c>
      <c r="C838" s="125">
        <v>45467</v>
      </c>
      <c r="D838" s="124" t="s">
        <v>375</v>
      </c>
      <c r="E838" s="126"/>
      <c r="F838" s="124" t="s">
        <v>365</v>
      </c>
      <c r="G838" s="126"/>
      <c r="H838" s="126">
        <v>126100</v>
      </c>
      <c r="I838" s="127">
        <v>75827119.659999996</v>
      </c>
      <c r="J838" s="128" t="s">
        <v>366</v>
      </c>
      <c r="K838" s="128" t="s">
        <v>367</v>
      </c>
      <c r="L838" s="128" t="s">
        <v>368</v>
      </c>
      <c r="M838" s="128" t="s">
        <v>369</v>
      </c>
      <c r="N838" s="128"/>
      <c r="O838" s="128"/>
    </row>
    <row r="839" spans="1:15">
      <c r="A839" s="129" t="s">
        <v>362</v>
      </c>
      <c r="B839" s="129" t="s">
        <v>363</v>
      </c>
      <c r="C839" s="130">
        <v>45467</v>
      </c>
      <c r="D839" s="129" t="s">
        <v>364</v>
      </c>
      <c r="E839" s="131"/>
      <c r="F839" s="129" t="s">
        <v>365</v>
      </c>
      <c r="G839" s="131"/>
      <c r="H839" s="131">
        <v>786759.33</v>
      </c>
      <c r="I839" s="132">
        <v>473096404.10000002</v>
      </c>
      <c r="J839" s="133" t="s">
        <v>366</v>
      </c>
      <c r="K839" s="133" t="s">
        <v>367</v>
      </c>
      <c r="L839" s="133" t="s">
        <v>368</v>
      </c>
      <c r="M839" s="133" t="s">
        <v>369</v>
      </c>
      <c r="N839" s="133"/>
      <c r="O839" s="133"/>
    </row>
    <row r="840" spans="1:15">
      <c r="A840" s="124" t="s">
        <v>362</v>
      </c>
      <c r="B840" s="124" t="s">
        <v>363</v>
      </c>
      <c r="C840" s="125">
        <v>45467</v>
      </c>
      <c r="D840" s="124" t="s">
        <v>370</v>
      </c>
      <c r="E840" s="126"/>
      <c r="F840" s="124" t="s">
        <v>365</v>
      </c>
      <c r="G840" s="126"/>
      <c r="H840" s="126">
        <v>46899.040000000001</v>
      </c>
      <c r="I840" s="127">
        <v>28201485.279999997</v>
      </c>
      <c r="J840" s="128" t="s">
        <v>366</v>
      </c>
      <c r="K840" s="128" t="s">
        <v>367</v>
      </c>
      <c r="L840" s="128" t="s">
        <v>368</v>
      </c>
      <c r="M840" s="128" t="s">
        <v>369</v>
      </c>
      <c r="N840" s="128"/>
      <c r="O840" s="128"/>
    </row>
    <row r="841" spans="1:15">
      <c r="A841" s="129" t="s">
        <v>362</v>
      </c>
      <c r="B841" s="129" t="s">
        <v>363</v>
      </c>
      <c r="C841" s="130">
        <v>45467</v>
      </c>
      <c r="D841" s="129" t="s">
        <v>374</v>
      </c>
      <c r="E841" s="131"/>
      <c r="F841" s="129" t="s">
        <v>365</v>
      </c>
      <c r="G841" s="131"/>
      <c r="H841" s="131">
        <v>5699.5800000000118</v>
      </c>
      <c r="I841" s="132">
        <v>3427288.0300000003</v>
      </c>
      <c r="J841" s="133" t="s">
        <v>366</v>
      </c>
      <c r="K841" s="133" t="s">
        <v>367</v>
      </c>
      <c r="L841" s="133" t="s">
        <v>368</v>
      </c>
      <c r="M841" s="133" t="s">
        <v>369</v>
      </c>
      <c r="N841" s="133"/>
      <c r="O841" s="133"/>
    </row>
    <row r="842" spans="1:15">
      <c r="A842" s="124" t="s">
        <v>362</v>
      </c>
      <c r="B842" s="124" t="s">
        <v>363</v>
      </c>
      <c r="C842" s="125">
        <v>45467</v>
      </c>
      <c r="D842" s="124" t="s">
        <v>372</v>
      </c>
      <c r="E842" s="126"/>
      <c r="F842" s="124" t="s">
        <v>365</v>
      </c>
      <c r="G842" s="126"/>
      <c r="H842" s="126">
        <v>11724.588787999995</v>
      </c>
      <c r="I842" s="127">
        <v>7050264.5900000008</v>
      </c>
      <c r="J842" s="128" t="s">
        <v>366</v>
      </c>
      <c r="K842" s="128" t="s">
        <v>367</v>
      </c>
      <c r="L842" s="128" t="s">
        <v>368</v>
      </c>
      <c r="M842" s="128" t="s">
        <v>369</v>
      </c>
      <c r="N842" s="128"/>
      <c r="O842" s="128"/>
    </row>
    <row r="843" spans="1:15">
      <c r="A843" s="129" t="s">
        <v>362</v>
      </c>
      <c r="B843" s="129" t="s">
        <v>363</v>
      </c>
      <c r="C843" s="130">
        <v>45467</v>
      </c>
      <c r="D843" s="129" t="s">
        <v>371</v>
      </c>
      <c r="E843" s="131"/>
      <c r="F843" s="129" t="s">
        <v>365</v>
      </c>
      <c r="G843" s="131"/>
      <c r="H843" s="131">
        <v>101858.41</v>
      </c>
      <c r="I843" s="132">
        <v>61249825.609999999</v>
      </c>
      <c r="J843" s="133" t="s">
        <v>366</v>
      </c>
      <c r="K843" s="133" t="s">
        <v>367</v>
      </c>
      <c r="L843" s="133" t="s">
        <v>368</v>
      </c>
      <c r="M843" s="133" t="s">
        <v>369</v>
      </c>
      <c r="N843" s="133"/>
      <c r="O843" s="133"/>
    </row>
    <row r="844" spans="1:15">
      <c r="A844" s="124" t="s">
        <v>362</v>
      </c>
      <c r="B844" s="124" t="s">
        <v>363</v>
      </c>
      <c r="C844" s="125">
        <v>45444</v>
      </c>
      <c r="D844" s="124" t="s">
        <v>364</v>
      </c>
      <c r="E844" s="126">
        <v>154.1875</v>
      </c>
      <c r="F844" s="124" t="s">
        <v>365</v>
      </c>
      <c r="G844" s="126"/>
      <c r="H844" s="126">
        <v>289474.43</v>
      </c>
      <c r="I844" s="127">
        <v>175014770.25</v>
      </c>
      <c r="J844" s="128" t="s">
        <v>366</v>
      </c>
      <c r="K844" s="128" t="s">
        <v>367</v>
      </c>
      <c r="L844" s="128" t="s">
        <v>368</v>
      </c>
      <c r="M844" s="128" t="s">
        <v>369</v>
      </c>
      <c r="N844" s="128"/>
      <c r="O844" s="128"/>
    </row>
    <row r="845" spans="1:15">
      <c r="A845" s="129" t="s">
        <v>362</v>
      </c>
      <c r="B845" s="129" t="s">
        <v>363</v>
      </c>
      <c r="C845" s="130">
        <v>45444</v>
      </c>
      <c r="D845" s="129" t="s">
        <v>370</v>
      </c>
      <c r="E845" s="131">
        <v>110.1375</v>
      </c>
      <c r="F845" s="129" t="s">
        <v>365</v>
      </c>
      <c r="G845" s="131"/>
      <c r="H845" s="131">
        <v>198877.99</v>
      </c>
      <c r="I845" s="132">
        <v>120240622.73</v>
      </c>
      <c r="J845" s="133" t="s">
        <v>366</v>
      </c>
      <c r="K845" s="133" t="s">
        <v>367</v>
      </c>
      <c r="L845" s="133" t="s">
        <v>368</v>
      </c>
      <c r="M845" s="133" t="s">
        <v>369</v>
      </c>
      <c r="N845" s="133"/>
      <c r="O845" s="133"/>
    </row>
    <row r="846" spans="1:15">
      <c r="A846" s="124" t="s">
        <v>362</v>
      </c>
      <c r="B846" s="124" t="s">
        <v>363</v>
      </c>
      <c r="C846" s="125">
        <v>45444</v>
      </c>
      <c r="D846" s="124" t="s">
        <v>370</v>
      </c>
      <c r="E846" s="126">
        <v>19.984000000000002</v>
      </c>
      <c r="F846" s="124" t="s">
        <v>365</v>
      </c>
      <c r="G846" s="126"/>
      <c r="H846" s="126">
        <v>35851.300000000003</v>
      </c>
      <c r="I846" s="127">
        <v>21675513.91</v>
      </c>
      <c r="J846" s="128" t="s">
        <v>366</v>
      </c>
      <c r="K846" s="128" t="s">
        <v>367</v>
      </c>
      <c r="L846" s="128" t="s">
        <v>368</v>
      </c>
      <c r="M846" s="128" t="s">
        <v>369</v>
      </c>
      <c r="N846" s="128"/>
      <c r="O846" s="128"/>
    </row>
    <row r="847" spans="1:15">
      <c r="A847" s="129" t="s">
        <v>362</v>
      </c>
      <c r="B847" s="129" t="s">
        <v>363</v>
      </c>
      <c r="C847" s="130">
        <v>45444</v>
      </c>
      <c r="D847" s="129" t="s">
        <v>370</v>
      </c>
      <c r="E847" s="131">
        <v>19.984000000000002</v>
      </c>
      <c r="F847" s="129" t="s">
        <v>365</v>
      </c>
      <c r="G847" s="131"/>
      <c r="H847" s="131">
        <v>35819.32</v>
      </c>
      <c r="I847" s="132">
        <v>21656178.960000001</v>
      </c>
      <c r="J847" s="133" t="s">
        <v>366</v>
      </c>
      <c r="K847" s="133" t="s">
        <v>367</v>
      </c>
      <c r="L847" s="133" t="s">
        <v>368</v>
      </c>
      <c r="M847" s="133" t="s">
        <v>369</v>
      </c>
      <c r="N847" s="133"/>
      <c r="O847" s="133"/>
    </row>
    <row r="848" spans="1:15">
      <c r="A848" s="124" t="s">
        <v>362</v>
      </c>
      <c r="B848" s="124" t="s">
        <v>363</v>
      </c>
      <c r="C848" s="125">
        <v>45445</v>
      </c>
      <c r="D848" s="124" t="s">
        <v>371</v>
      </c>
      <c r="E848" s="126">
        <v>1069.4469999999999</v>
      </c>
      <c r="F848" s="124" t="s">
        <v>365</v>
      </c>
      <c r="G848" s="126"/>
      <c r="H848" s="126">
        <v>298120.81</v>
      </c>
      <c r="I848" s="127">
        <v>180242327.69</v>
      </c>
      <c r="J848" s="128" t="s">
        <v>366</v>
      </c>
      <c r="K848" s="128" t="s">
        <v>367</v>
      </c>
      <c r="L848" s="128" t="s">
        <v>368</v>
      </c>
      <c r="M848" s="128" t="s">
        <v>369</v>
      </c>
      <c r="N848" s="128"/>
      <c r="O848" s="128"/>
    </row>
    <row r="849" spans="1:15">
      <c r="A849" s="129" t="s">
        <v>362</v>
      </c>
      <c r="B849" s="129" t="s">
        <v>363</v>
      </c>
      <c r="C849" s="130">
        <v>45445</v>
      </c>
      <c r="D849" s="129" t="s">
        <v>364</v>
      </c>
      <c r="E849" s="131">
        <v>197.98500000000001</v>
      </c>
      <c r="F849" s="129" t="s">
        <v>365</v>
      </c>
      <c r="G849" s="131"/>
      <c r="H849" s="131">
        <v>383734.53</v>
      </c>
      <c r="I849" s="132">
        <v>232003948</v>
      </c>
      <c r="J849" s="133" t="s">
        <v>366</v>
      </c>
      <c r="K849" s="133" t="s">
        <v>367</v>
      </c>
      <c r="L849" s="133" t="s">
        <v>368</v>
      </c>
      <c r="M849" s="133" t="s">
        <v>369</v>
      </c>
      <c r="N849" s="133"/>
      <c r="O849" s="133"/>
    </row>
    <row r="850" spans="1:15">
      <c r="A850" s="124" t="s">
        <v>362</v>
      </c>
      <c r="B850" s="124" t="s">
        <v>363</v>
      </c>
      <c r="C850" s="125">
        <v>45445</v>
      </c>
      <c r="D850" s="124" t="s">
        <v>364</v>
      </c>
      <c r="E850" s="126">
        <v>39.981999999999999</v>
      </c>
      <c r="F850" s="124" t="s">
        <v>365</v>
      </c>
      <c r="G850" s="126"/>
      <c r="H850" s="126">
        <v>78668.58</v>
      </c>
      <c r="I850" s="127">
        <v>47562623.939999998</v>
      </c>
      <c r="J850" s="128" t="s">
        <v>366</v>
      </c>
      <c r="K850" s="128" t="s">
        <v>367</v>
      </c>
      <c r="L850" s="128" t="s">
        <v>368</v>
      </c>
      <c r="M850" s="128" t="s">
        <v>369</v>
      </c>
      <c r="N850" s="128"/>
      <c r="O850" s="128"/>
    </row>
    <row r="851" spans="1:15">
      <c r="A851" s="129" t="s">
        <v>362</v>
      </c>
      <c r="B851" s="129" t="s">
        <v>363</v>
      </c>
      <c r="C851" s="130">
        <v>45449</v>
      </c>
      <c r="D851" s="129" t="s">
        <v>372</v>
      </c>
      <c r="E851" s="131">
        <v>60</v>
      </c>
      <c r="F851" s="129" t="s">
        <v>365</v>
      </c>
      <c r="G851" s="131"/>
      <c r="H851" s="131">
        <v>76977</v>
      </c>
      <c r="I851" s="132">
        <v>46427623.640000001</v>
      </c>
      <c r="J851" s="133" t="s">
        <v>366</v>
      </c>
      <c r="K851" s="133" t="s">
        <v>367</v>
      </c>
      <c r="L851" s="133" t="s">
        <v>368</v>
      </c>
      <c r="M851" s="133" t="s">
        <v>369</v>
      </c>
      <c r="N851" s="133"/>
      <c r="O851" s="133"/>
    </row>
    <row r="852" spans="1:15">
      <c r="A852" s="124" t="s">
        <v>362</v>
      </c>
      <c r="B852" s="124" t="s">
        <v>363</v>
      </c>
      <c r="C852" s="125">
        <v>45449</v>
      </c>
      <c r="D852" s="124" t="s">
        <v>372</v>
      </c>
      <c r="E852" s="126">
        <v>60</v>
      </c>
      <c r="F852" s="124" t="s">
        <v>365</v>
      </c>
      <c r="G852" s="126"/>
      <c r="H852" s="126">
        <v>77073</v>
      </c>
      <c r="I852" s="127">
        <v>46485524.729999997</v>
      </c>
      <c r="J852" s="128" t="s">
        <v>366</v>
      </c>
      <c r="K852" s="128" t="s">
        <v>367</v>
      </c>
      <c r="L852" s="128" t="s">
        <v>368</v>
      </c>
      <c r="M852" s="128" t="s">
        <v>369</v>
      </c>
      <c r="N852" s="128"/>
      <c r="O852" s="128"/>
    </row>
    <row r="853" spans="1:15">
      <c r="A853" s="129" t="s">
        <v>362</v>
      </c>
      <c r="B853" s="129" t="s">
        <v>363</v>
      </c>
      <c r="C853" s="130">
        <v>45449</v>
      </c>
      <c r="D853" s="129" t="s">
        <v>374</v>
      </c>
      <c r="E853" s="131">
        <v>120</v>
      </c>
      <c r="F853" s="129" t="s">
        <v>365</v>
      </c>
      <c r="G853" s="131"/>
      <c r="H853" s="131">
        <v>219138</v>
      </c>
      <c r="I853" s="132">
        <v>132170084.44</v>
      </c>
      <c r="J853" s="133" t="s">
        <v>366</v>
      </c>
      <c r="K853" s="133" t="s">
        <v>367</v>
      </c>
      <c r="L853" s="133" t="s">
        <v>368</v>
      </c>
      <c r="M853" s="133" t="s">
        <v>369</v>
      </c>
      <c r="N853" s="133"/>
      <c r="O853" s="133"/>
    </row>
    <row r="854" spans="1:15">
      <c r="A854" s="124" t="s">
        <v>362</v>
      </c>
      <c r="B854" s="124" t="s">
        <v>363</v>
      </c>
      <c r="C854" s="125">
        <v>45449</v>
      </c>
      <c r="D854" s="124" t="s">
        <v>374</v>
      </c>
      <c r="E854" s="126">
        <v>120</v>
      </c>
      <c r="F854" s="124" t="s">
        <v>365</v>
      </c>
      <c r="G854" s="126"/>
      <c r="H854" s="126">
        <v>219138</v>
      </c>
      <c r="I854" s="127">
        <v>132170084.44</v>
      </c>
      <c r="J854" s="128" t="s">
        <v>366</v>
      </c>
      <c r="K854" s="128" t="s">
        <v>367</v>
      </c>
      <c r="L854" s="128" t="s">
        <v>368</v>
      </c>
      <c r="M854" s="128" t="s">
        <v>369</v>
      </c>
      <c r="N854" s="128"/>
      <c r="O854" s="128"/>
    </row>
    <row r="855" spans="1:15">
      <c r="A855" s="129" t="s">
        <v>362</v>
      </c>
      <c r="B855" s="129" t="s">
        <v>363</v>
      </c>
      <c r="C855" s="130">
        <v>45449</v>
      </c>
      <c r="D855" s="129" t="s">
        <v>364</v>
      </c>
      <c r="E855" s="131">
        <v>200.083</v>
      </c>
      <c r="F855" s="129" t="s">
        <v>365</v>
      </c>
      <c r="G855" s="131"/>
      <c r="H855" s="131">
        <v>369713.37</v>
      </c>
      <c r="I855" s="132">
        <v>222987557.30000001</v>
      </c>
      <c r="J855" s="133" t="s">
        <v>366</v>
      </c>
      <c r="K855" s="133" t="s">
        <v>367</v>
      </c>
      <c r="L855" s="133" t="s">
        <v>368</v>
      </c>
      <c r="M855" s="133" t="s">
        <v>369</v>
      </c>
      <c r="N855" s="133"/>
      <c r="O855" s="133"/>
    </row>
    <row r="856" spans="1:15">
      <c r="A856" s="124" t="s">
        <v>362</v>
      </c>
      <c r="B856" s="124" t="s">
        <v>363</v>
      </c>
      <c r="C856" s="125">
        <v>45449</v>
      </c>
      <c r="D856" s="124" t="s">
        <v>370</v>
      </c>
      <c r="E856" s="126">
        <v>20.012</v>
      </c>
      <c r="F856" s="124" t="s">
        <v>365</v>
      </c>
      <c r="G856" s="126"/>
      <c r="H856" s="126">
        <v>34988.720000000001</v>
      </c>
      <c r="I856" s="127">
        <v>21102967.43</v>
      </c>
      <c r="J856" s="128" t="s">
        <v>366</v>
      </c>
      <c r="K856" s="128" t="s">
        <v>367</v>
      </c>
      <c r="L856" s="128" t="s">
        <v>368</v>
      </c>
      <c r="M856" s="128" t="s">
        <v>369</v>
      </c>
      <c r="N856" s="128"/>
      <c r="O856" s="128"/>
    </row>
    <row r="857" spans="1:15">
      <c r="A857" s="129" t="s">
        <v>362</v>
      </c>
      <c r="B857" s="129" t="s">
        <v>363</v>
      </c>
      <c r="C857" s="130">
        <v>45450</v>
      </c>
      <c r="D857" s="129" t="s">
        <v>364</v>
      </c>
      <c r="E857" s="131">
        <v>99.992000000000004</v>
      </c>
      <c r="F857" s="129" t="s">
        <v>365</v>
      </c>
      <c r="G857" s="131"/>
      <c r="H857" s="131">
        <v>188619.91</v>
      </c>
      <c r="I857" s="132">
        <v>113626451.81</v>
      </c>
      <c r="J857" s="133" t="s">
        <v>366</v>
      </c>
      <c r="K857" s="133" t="s">
        <v>367</v>
      </c>
      <c r="L857" s="133" t="s">
        <v>368</v>
      </c>
      <c r="M857" s="133" t="s">
        <v>369</v>
      </c>
      <c r="N857" s="133"/>
      <c r="O857" s="133"/>
    </row>
    <row r="858" spans="1:15">
      <c r="A858" s="124" t="s">
        <v>362</v>
      </c>
      <c r="B858" s="124" t="s">
        <v>363</v>
      </c>
      <c r="C858" s="125">
        <v>45450</v>
      </c>
      <c r="D858" s="124" t="s">
        <v>364</v>
      </c>
      <c r="E858" s="126">
        <v>110.1825</v>
      </c>
      <c r="F858" s="124" t="s">
        <v>365</v>
      </c>
      <c r="G858" s="126"/>
      <c r="H858" s="126">
        <v>206400.3</v>
      </c>
      <c r="I858" s="127">
        <v>124337530.12</v>
      </c>
      <c r="J858" s="128" t="s">
        <v>366</v>
      </c>
      <c r="K858" s="128" t="s">
        <v>367</v>
      </c>
      <c r="L858" s="128" t="s">
        <v>368</v>
      </c>
      <c r="M858" s="128" t="s">
        <v>369</v>
      </c>
      <c r="N858" s="128"/>
      <c r="O858" s="128"/>
    </row>
    <row r="859" spans="1:15">
      <c r="A859" s="129" t="s">
        <v>362</v>
      </c>
      <c r="B859" s="129" t="s">
        <v>363</v>
      </c>
      <c r="C859" s="130">
        <v>45453</v>
      </c>
      <c r="D859" s="129" t="s">
        <v>372</v>
      </c>
      <c r="E859" s="131">
        <v>60</v>
      </c>
      <c r="F859" s="129" t="s">
        <v>365</v>
      </c>
      <c r="G859" s="131"/>
      <c r="H859" s="131">
        <v>85098</v>
      </c>
      <c r="I859" s="132">
        <v>51794278.759999998</v>
      </c>
      <c r="J859" s="133" t="s">
        <v>366</v>
      </c>
      <c r="K859" s="133" t="s">
        <v>367</v>
      </c>
      <c r="L859" s="133" t="s">
        <v>368</v>
      </c>
      <c r="M859" s="133" t="s">
        <v>369</v>
      </c>
      <c r="N859" s="133"/>
      <c r="O859" s="133"/>
    </row>
    <row r="860" spans="1:15">
      <c r="A860" s="124" t="s">
        <v>362</v>
      </c>
      <c r="B860" s="124" t="s">
        <v>363</v>
      </c>
      <c r="C860" s="125">
        <v>45454</v>
      </c>
      <c r="D860" s="124" t="s">
        <v>372</v>
      </c>
      <c r="E860" s="126">
        <v>40</v>
      </c>
      <c r="F860" s="124" t="s">
        <v>365</v>
      </c>
      <c r="G860" s="126"/>
      <c r="H860" s="126">
        <v>51260</v>
      </c>
      <c r="I860" s="127">
        <v>31237050.579999998</v>
      </c>
      <c r="J860" s="128" t="s">
        <v>366</v>
      </c>
      <c r="K860" s="128" t="s">
        <v>367</v>
      </c>
      <c r="L860" s="128" t="s">
        <v>368</v>
      </c>
      <c r="M860" s="128" t="s">
        <v>369</v>
      </c>
      <c r="N860" s="128"/>
      <c r="O860" s="128"/>
    </row>
    <row r="861" spans="1:15">
      <c r="A861" s="129" t="s">
        <v>362</v>
      </c>
      <c r="B861" s="129" t="s">
        <v>363</v>
      </c>
      <c r="C861" s="130">
        <v>45454</v>
      </c>
      <c r="D861" s="129" t="s">
        <v>372</v>
      </c>
      <c r="E861" s="131">
        <v>40</v>
      </c>
      <c r="F861" s="129" t="s">
        <v>365</v>
      </c>
      <c r="G861" s="131"/>
      <c r="H861" s="131">
        <v>51260</v>
      </c>
      <c r="I861" s="132">
        <v>31237050.579999998</v>
      </c>
      <c r="J861" s="133" t="s">
        <v>366</v>
      </c>
      <c r="K861" s="133" t="s">
        <v>367</v>
      </c>
      <c r="L861" s="133" t="s">
        <v>368</v>
      </c>
      <c r="M861" s="133" t="s">
        <v>369</v>
      </c>
      <c r="N861" s="133"/>
      <c r="O861" s="133"/>
    </row>
    <row r="862" spans="1:15">
      <c r="A862" s="124" t="s">
        <v>362</v>
      </c>
      <c r="B862" s="124" t="s">
        <v>363</v>
      </c>
      <c r="C862" s="125">
        <v>45454</v>
      </c>
      <c r="D862" s="124" t="s">
        <v>364</v>
      </c>
      <c r="E862" s="126">
        <v>88.087500000000006</v>
      </c>
      <c r="F862" s="124" t="s">
        <v>365</v>
      </c>
      <c r="G862" s="126"/>
      <c r="H862" s="126">
        <v>165891.73000000001</v>
      </c>
      <c r="I862" s="127">
        <v>101091852.53</v>
      </c>
      <c r="J862" s="128" t="s">
        <v>366</v>
      </c>
      <c r="K862" s="128" t="s">
        <v>367</v>
      </c>
      <c r="L862" s="128" t="s">
        <v>368</v>
      </c>
      <c r="M862" s="128" t="s">
        <v>369</v>
      </c>
      <c r="N862" s="128"/>
      <c r="O862" s="128"/>
    </row>
    <row r="863" spans="1:15">
      <c r="A863" s="129" t="s">
        <v>362</v>
      </c>
      <c r="B863" s="129" t="s">
        <v>363</v>
      </c>
      <c r="C863" s="130">
        <v>45454</v>
      </c>
      <c r="D863" s="129" t="s">
        <v>364</v>
      </c>
      <c r="E863" s="131">
        <v>132.155</v>
      </c>
      <c r="F863" s="129" t="s">
        <v>365</v>
      </c>
      <c r="G863" s="131"/>
      <c r="H863" s="131">
        <v>246878.76</v>
      </c>
      <c r="I863" s="132">
        <v>150444095.06</v>
      </c>
      <c r="J863" s="133" t="s">
        <v>366</v>
      </c>
      <c r="K863" s="133" t="s">
        <v>367</v>
      </c>
      <c r="L863" s="133" t="s">
        <v>368</v>
      </c>
      <c r="M863" s="133" t="s">
        <v>369</v>
      </c>
      <c r="N863" s="133"/>
      <c r="O863" s="133"/>
    </row>
    <row r="864" spans="1:15">
      <c r="A864" s="124" t="s">
        <v>362</v>
      </c>
      <c r="B864" s="124" t="s">
        <v>363</v>
      </c>
      <c r="C864" s="125">
        <v>45454</v>
      </c>
      <c r="D864" s="124" t="s">
        <v>364</v>
      </c>
      <c r="E864" s="126">
        <v>110.21250000000001</v>
      </c>
      <c r="F864" s="124" t="s">
        <v>365</v>
      </c>
      <c r="G864" s="126"/>
      <c r="H864" s="126">
        <v>206630.64</v>
      </c>
      <c r="I864" s="127">
        <v>125917513.70999999</v>
      </c>
      <c r="J864" s="128" t="s">
        <v>366</v>
      </c>
      <c r="K864" s="128" t="s">
        <v>367</v>
      </c>
      <c r="L864" s="128" t="s">
        <v>368</v>
      </c>
      <c r="M864" s="128" t="s">
        <v>369</v>
      </c>
      <c r="N864" s="128"/>
      <c r="O864" s="128"/>
    </row>
    <row r="865" spans="1:15">
      <c r="A865" s="129" t="s">
        <v>362</v>
      </c>
      <c r="B865" s="129" t="s">
        <v>363</v>
      </c>
      <c r="C865" s="130">
        <v>45455</v>
      </c>
      <c r="D865" s="129" t="s">
        <v>372</v>
      </c>
      <c r="E865" s="131">
        <v>80</v>
      </c>
      <c r="F865" s="129" t="s">
        <v>365</v>
      </c>
      <c r="G865" s="131"/>
      <c r="H865" s="131">
        <v>110460</v>
      </c>
      <c r="I865" s="132">
        <v>67477092.239999995</v>
      </c>
      <c r="J865" s="133" t="s">
        <v>366</v>
      </c>
      <c r="K865" s="133" t="s">
        <v>367</v>
      </c>
      <c r="L865" s="133" t="s">
        <v>368</v>
      </c>
      <c r="M865" s="133" t="s">
        <v>369</v>
      </c>
      <c r="N865" s="133"/>
      <c r="O865" s="133"/>
    </row>
    <row r="866" spans="1:15">
      <c r="A866" s="124" t="s">
        <v>362</v>
      </c>
      <c r="B866" s="124" t="s">
        <v>363</v>
      </c>
      <c r="C866" s="125">
        <v>45455</v>
      </c>
      <c r="D866" s="124" t="s">
        <v>370</v>
      </c>
      <c r="E866" s="126">
        <v>299.99200000000002</v>
      </c>
      <c r="F866" s="124" t="s">
        <v>365</v>
      </c>
      <c r="G866" s="126"/>
      <c r="H866" s="126">
        <v>507316.47</v>
      </c>
      <c r="I866" s="127">
        <v>309906212.57999998</v>
      </c>
      <c r="J866" s="128" t="s">
        <v>366</v>
      </c>
      <c r="K866" s="128" t="s">
        <v>367</v>
      </c>
      <c r="L866" s="128" t="s">
        <v>368</v>
      </c>
      <c r="M866" s="128" t="s">
        <v>369</v>
      </c>
      <c r="N866" s="128"/>
      <c r="O866" s="128"/>
    </row>
    <row r="867" spans="1:15">
      <c r="A867" s="129" t="s">
        <v>362</v>
      </c>
      <c r="B867" s="129" t="s">
        <v>363</v>
      </c>
      <c r="C867" s="130">
        <v>45455</v>
      </c>
      <c r="D867" s="129" t="s">
        <v>370</v>
      </c>
      <c r="E867" s="131">
        <v>499.89299999999997</v>
      </c>
      <c r="F867" s="129" t="s">
        <v>365</v>
      </c>
      <c r="G867" s="131"/>
      <c r="H867" s="131">
        <v>845369.05</v>
      </c>
      <c r="I867" s="132">
        <v>516413591.94</v>
      </c>
      <c r="J867" s="133" t="s">
        <v>366</v>
      </c>
      <c r="K867" s="133" t="s">
        <v>367</v>
      </c>
      <c r="L867" s="133" t="s">
        <v>368</v>
      </c>
      <c r="M867" s="133" t="s">
        <v>369</v>
      </c>
      <c r="N867" s="133"/>
      <c r="O867" s="133"/>
    </row>
    <row r="868" spans="1:15">
      <c r="A868" s="124" t="s">
        <v>362</v>
      </c>
      <c r="B868" s="124" t="s">
        <v>363</v>
      </c>
      <c r="C868" s="125">
        <v>45457</v>
      </c>
      <c r="D868" s="124" t="s">
        <v>374</v>
      </c>
      <c r="E868" s="126">
        <v>80</v>
      </c>
      <c r="F868" s="124" t="s">
        <v>365</v>
      </c>
      <c r="G868" s="126"/>
      <c r="H868" s="126">
        <v>149164</v>
      </c>
      <c r="I868" s="127">
        <v>91120342.090000004</v>
      </c>
      <c r="J868" s="128" t="s">
        <v>366</v>
      </c>
      <c r="K868" s="128" t="s">
        <v>367</v>
      </c>
      <c r="L868" s="128" t="s">
        <v>368</v>
      </c>
      <c r="M868" s="128" t="s">
        <v>369</v>
      </c>
      <c r="N868" s="128"/>
      <c r="O868" s="128"/>
    </row>
    <row r="869" spans="1:15">
      <c r="A869" s="129" t="s">
        <v>362</v>
      </c>
      <c r="B869" s="129" t="s">
        <v>363</v>
      </c>
      <c r="C869" s="130">
        <v>45457</v>
      </c>
      <c r="D869" s="129" t="s">
        <v>364</v>
      </c>
      <c r="E869" s="131">
        <v>154.18299999999999</v>
      </c>
      <c r="F869" s="129" t="s">
        <v>365</v>
      </c>
      <c r="G869" s="131"/>
      <c r="H869" s="131">
        <v>288603.48</v>
      </c>
      <c r="I869" s="132">
        <v>176300232.13</v>
      </c>
      <c r="J869" s="133" t="s">
        <v>366</v>
      </c>
      <c r="K869" s="133" t="s">
        <v>367</v>
      </c>
      <c r="L869" s="133" t="s">
        <v>368</v>
      </c>
      <c r="M869" s="133" t="s">
        <v>369</v>
      </c>
      <c r="N869" s="133"/>
      <c r="O869" s="133"/>
    </row>
    <row r="870" spans="1:15">
      <c r="A870" s="124" t="s">
        <v>362</v>
      </c>
      <c r="B870" s="124" t="s">
        <v>363</v>
      </c>
      <c r="C870" s="125">
        <v>45457</v>
      </c>
      <c r="D870" s="124" t="s">
        <v>370</v>
      </c>
      <c r="E870" s="126">
        <v>39.999000000000002</v>
      </c>
      <c r="F870" s="124" t="s">
        <v>365</v>
      </c>
      <c r="G870" s="126"/>
      <c r="H870" s="126">
        <v>69933.73</v>
      </c>
      <c r="I870" s="127">
        <v>42720665.850000001</v>
      </c>
      <c r="J870" s="128" t="s">
        <v>366</v>
      </c>
      <c r="K870" s="128" t="s">
        <v>367</v>
      </c>
      <c r="L870" s="128" t="s">
        <v>368</v>
      </c>
      <c r="M870" s="128" t="s">
        <v>369</v>
      </c>
      <c r="N870" s="128"/>
      <c r="O870" s="128"/>
    </row>
    <row r="871" spans="1:15">
      <c r="A871" s="129" t="s">
        <v>362</v>
      </c>
      <c r="B871" s="129" t="s">
        <v>363</v>
      </c>
      <c r="C871" s="130">
        <v>45458</v>
      </c>
      <c r="D871" s="129" t="s">
        <v>373</v>
      </c>
      <c r="E871" s="131">
        <v>35000.656999999999</v>
      </c>
      <c r="F871" s="129" t="s">
        <v>365</v>
      </c>
      <c r="G871" s="131"/>
      <c r="H871" s="131">
        <v>8712752.0500000007</v>
      </c>
      <c r="I871" s="132">
        <v>5335426852.4200001</v>
      </c>
      <c r="J871" s="133" t="s">
        <v>366</v>
      </c>
      <c r="K871" s="133" t="s">
        <v>367</v>
      </c>
      <c r="L871" s="133" t="s">
        <v>368</v>
      </c>
      <c r="M871" s="133" t="s">
        <v>369</v>
      </c>
      <c r="N871" s="133"/>
      <c r="O871" s="133"/>
    </row>
    <row r="872" spans="1:15">
      <c r="A872" s="124" t="s">
        <v>362</v>
      </c>
      <c r="B872" s="124" t="s">
        <v>363</v>
      </c>
      <c r="C872" s="125">
        <v>45461</v>
      </c>
      <c r="D872" s="124" t="s">
        <v>364</v>
      </c>
      <c r="E872" s="126">
        <v>110.4325</v>
      </c>
      <c r="F872" s="124" t="s">
        <v>365</v>
      </c>
      <c r="G872" s="126"/>
      <c r="H872" s="126">
        <v>206877.45</v>
      </c>
      <c r="I872" s="127">
        <v>126375962.13</v>
      </c>
      <c r="J872" s="128" t="s">
        <v>366</v>
      </c>
      <c r="K872" s="128" t="s">
        <v>367</v>
      </c>
      <c r="L872" s="128" t="s">
        <v>368</v>
      </c>
      <c r="M872" s="128" t="s">
        <v>369</v>
      </c>
      <c r="N872" s="128"/>
      <c r="O872" s="128"/>
    </row>
    <row r="873" spans="1:15">
      <c r="A873" s="129" t="s">
        <v>362</v>
      </c>
      <c r="B873" s="129" t="s">
        <v>363</v>
      </c>
      <c r="C873" s="130">
        <v>45461</v>
      </c>
      <c r="D873" s="129" t="s">
        <v>364</v>
      </c>
      <c r="E873" s="131">
        <v>800.01800000000003</v>
      </c>
      <c r="F873" s="129" t="s">
        <v>365</v>
      </c>
      <c r="G873" s="131"/>
      <c r="H873" s="131">
        <v>1443352.47</v>
      </c>
      <c r="I873" s="132">
        <v>881705846.05999994</v>
      </c>
      <c r="J873" s="133" t="s">
        <v>366</v>
      </c>
      <c r="K873" s="133" t="s">
        <v>367</v>
      </c>
      <c r="L873" s="133" t="s">
        <v>368</v>
      </c>
      <c r="M873" s="133" t="s">
        <v>369</v>
      </c>
      <c r="N873" s="133"/>
      <c r="O873" s="133"/>
    </row>
    <row r="874" spans="1:15">
      <c r="A874" s="124" t="s">
        <v>362</v>
      </c>
      <c r="B874" s="124" t="s">
        <v>363</v>
      </c>
      <c r="C874" s="125">
        <v>45463</v>
      </c>
      <c r="D874" s="124" t="s">
        <v>364</v>
      </c>
      <c r="E874" s="126">
        <v>409.35300000000001</v>
      </c>
      <c r="F874" s="124" t="s">
        <v>365</v>
      </c>
      <c r="G874" s="126"/>
      <c r="H874" s="126">
        <v>898724.17</v>
      </c>
      <c r="I874" s="127">
        <v>548671654.46000004</v>
      </c>
      <c r="J874" s="128" t="s">
        <v>366</v>
      </c>
      <c r="K874" s="128" t="s">
        <v>367</v>
      </c>
      <c r="L874" s="128" t="s">
        <v>368</v>
      </c>
      <c r="M874" s="128" t="s">
        <v>369</v>
      </c>
      <c r="N874" s="128"/>
      <c r="O874" s="128"/>
    </row>
    <row r="875" spans="1:15">
      <c r="A875" s="129" t="s">
        <v>362</v>
      </c>
      <c r="B875" s="129" t="s">
        <v>363</v>
      </c>
      <c r="C875" s="130">
        <v>45467</v>
      </c>
      <c r="D875" s="129" t="s">
        <v>364</v>
      </c>
      <c r="E875" s="131">
        <v>176.99799999999999</v>
      </c>
      <c r="F875" s="129" t="s">
        <v>365</v>
      </c>
      <c r="G875" s="131"/>
      <c r="H875" s="131">
        <v>332269.5</v>
      </c>
      <c r="I875" s="132">
        <v>203971454.88</v>
      </c>
      <c r="J875" s="133" t="s">
        <v>366</v>
      </c>
      <c r="K875" s="133" t="s">
        <v>367</v>
      </c>
      <c r="L875" s="133" t="s">
        <v>368</v>
      </c>
      <c r="M875" s="133" t="s">
        <v>369</v>
      </c>
      <c r="N875" s="133"/>
      <c r="O875" s="133"/>
    </row>
    <row r="876" spans="1:15">
      <c r="A876" s="124" t="s">
        <v>362</v>
      </c>
      <c r="B876" s="124" t="s">
        <v>363</v>
      </c>
      <c r="C876" s="125">
        <v>45468</v>
      </c>
      <c r="D876" s="124" t="s">
        <v>371</v>
      </c>
      <c r="E876" s="126">
        <v>511.86</v>
      </c>
      <c r="F876" s="124" t="s">
        <v>365</v>
      </c>
      <c r="G876" s="126"/>
      <c r="H876" s="126">
        <v>129882.09</v>
      </c>
      <c r="I876" s="127">
        <v>79390030.560000002</v>
      </c>
      <c r="J876" s="128" t="s">
        <v>366</v>
      </c>
      <c r="K876" s="128" t="s">
        <v>367</v>
      </c>
      <c r="L876" s="128" t="s">
        <v>368</v>
      </c>
      <c r="M876" s="128" t="s">
        <v>369</v>
      </c>
      <c r="N876" s="128"/>
      <c r="O876" s="128"/>
    </row>
    <row r="877" spans="1:15">
      <c r="A877" s="129" t="s">
        <v>362</v>
      </c>
      <c r="B877" s="129" t="s">
        <v>363</v>
      </c>
      <c r="C877" s="130">
        <v>45468</v>
      </c>
      <c r="D877" s="129" t="s">
        <v>370</v>
      </c>
      <c r="E877" s="131">
        <v>242.28749999999999</v>
      </c>
      <c r="F877" s="129" t="s">
        <v>365</v>
      </c>
      <c r="G877" s="131"/>
      <c r="H877" s="131">
        <v>427942.95</v>
      </c>
      <c r="I877" s="132">
        <v>261578820.28999999</v>
      </c>
      <c r="J877" s="133" t="s">
        <v>366</v>
      </c>
      <c r="K877" s="133" t="s">
        <v>367</v>
      </c>
      <c r="L877" s="133" t="s">
        <v>368</v>
      </c>
      <c r="M877" s="133" t="s">
        <v>369</v>
      </c>
      <c r="N877" s="133"/>
      <c r="O877" s="133"/>
    </row>
    <row r="878" spans="1:15">
      <c r="A878" s="124" t="s">
        <v>362</v>
      </c>
      <c r="B878" s="124" t="s">
        <v>363</v>
      </c>
      <c r="C878" s="125">
        <v>45468</v>
      </c>
      <c r="D878" s="124" t="s">
        <v>364</v>
      </c>
      <c r="E878" s="126">
        <v>700.4</v>
      </c>
      <c r="F878" s="124" t="s">
        <v>365</v>
      </c>
      <c r="G878" s="126"/>
      <c r="H878" s="126">
        <v>1263626.6599999999</v>
      </c>
      <c r="I878" s="127">
        <v>772387933.99000001</v>
      </c>
      <c r="J878" s="128" t="s">
        <v>366</v>
      </c>
      <c r="K878" s="128" t="s">
        <v>367</v>
      </c>
      <c r="L878" s="128" t="s">
        <v>368</v>
      </c>
      <c r="M878" s="128" t="s">
        <v>369</v>
      </c>
      <c r="N878" s="128"/>
      <c r="O878" s="128"/>
    </row>
    <row r="879" spans="1:15">
      <c r="A879" s="129" t="s">
        <v>362</v>
      </c>
      <c r="B879" s="129" t="s">
        <v>363</v>
      </c>
      <c r="C879" s="130">
        <v>45468</v>
      </c>
      <c r="D879" s="129" t="s">
        <v>364</v>
      </c>
      <c r="E879" s="131">
        <v>132.08500000000001</v>
      </c>
      <c r="F879" s="129" t="s">
        <v>365</v>
      </c>
      <c r="G879" s="131"/>
      <c r="H879" s="131">
        <v>246749.86</v>
      </c>
      <c r="I879" s="132">
        <v>150825097.80000001</v>
      </c>
      <c r="J879" s="133" t="s">
        <v>366</v>
      </c>
      <c r="K879" s="133" t="s">
        <v>367</v>
      </c>
      <c r="L879" s="133" t="s">
        <v>368</v>
      </c>
      <c r="M879" s="133" t="s">
        <v>369</v>
      </c>
      <c r="N879" s="133"/>
      <c r="O879" s="133"/>
    </row>
    <row r="880" spans="1:15">
      <c r="A880" s="124" t="s">
        <v>362</v>
      </c>
      <c r="B880" s="124" t="s">
        <v>363</v>
      </c>
      <c r="C880" s="125">
        <v>45470</v>
      </c>
      <c r="D880" s="124" t="s">
        <v>376</v>
      </c>
      <c r="E880" s="126">
        <v>8000.13</v>
      </c>
      <c r="F880" s="124" t="s">
        <v>365</v>
      </c>
      <c r="G880" s="126"/>
      <c r="H880" s="126">
        <v>1853203.55</v>
      </c>
      <c r="I880" s="127">
        <v>1138331418.9200001</v>
      </c>
      <c r="J880" s="128" t="s">
        <v>366</v>
      </c>
      <c r="K880" s="128" t="s">
        <v>367</v>
      </c>
      <c r="L880" s="128" t="s">
        <v>368</v>
      </c>
      <c r="M880" s="128" t="s">
        <v>369</v>
      </c>
      <c r="N880" s="128"/>
      <c r="O880" s="128"/>
    </row>
    <row r="881" spans="1:15">
      <c r="A881" s="129" t="s">
        <v>362</v>
      </c>
      <c r="B881" s="129" t="s">
        <v>363</v>
      </c>
      <c r="C881" s="130">
        <v>45470</v>
      </c>
      <c r="D881" s="129" t="s">
        <v>375</v>
      </c>
      <c r="E881" s="131">
        <v>12000.367</v>
      </c>
      <c r="F881" s="129" t="s">
        <v>365</v>
      </c>
      <c r="G881" s="131"/>
      <c r="H881" s="131">
        <v>3769275.43</v>
      </c>
      <c r="I881" s="132">
        <v>2315279748.1599998</v>
      </c>
      <c r="J881" s="133" t="s">
        <v>366</v>
      </c>
      <c r="K881" s="133" t="s">
        <v>367</v>
      </c>
      <c r="L881" s="133" t="s">
        <v>368</v>
      </c>
      <c r="M881" s="133" t="s">
        <v>369</v>
      </c>
      <c r="N881" s="133"/>
      <c r="O881" s="133"/>
    </row>
    <row r="882" spans="1:15">
      <c r="A882" s="124" t="s">
        <v>362</v>
      </c>
      <c r="B882" s="124" t="s">
        <v>363</v>
      </c>
      <c r="C882" s="125">
        <v>45470</v>
      </c>
      <c r="D882" s="124" t="s">
        <v>375</v>
      </c>
      <c r="E882" s="126">
        <v>5000</v>
      </c>
      <c r="F882" s="124" t="s">
        <v>365</v>
      </c>
      <c r="G882" s="126"/>
      <c r="H882" s="126">
        <v>1570483.4</v>
      </c>
      <c r="I882" s="127">
        <v>964670393.12</v>
      </c>
      <c r="J882" s="128" t="s">
        <v>366</v>
      </c>
      <c r="K882" s="128" t="s">
        <v>367</v>
      </c>
      <c r="L882" s="128" t="s">
        <v>368</v>
      </c>
      <c r="M882" s="128" t="s">
        <v>369</v>
      </c>
      <c r="N882" s="128"/>
      <c r="O882" s="128"/>
    </row>
    <row r="883" spans="1:15">
      <c r="A883" s="129" t="s">
        <v>362</v>
      </c>
      <c r="B883" s="129" t="s">
        <v>363</v>
      </c>
      <c r="C883" s="130">
        <v>45470</v>
      </c>
      <c r="D883" s="129" t="s">
        <v>373</v>
      </c>
      <c r="E883" s="131">
        <v>10009.105</v>
      </c>
      <c r="F883" s="129" t="s">
        <v>365</v>
      </c>
      <c r="G883" s="131"/>
      <c r="H883" s="131">
        <v>2804017.54</v>
      </c>
      <c r="I883" s="132">
        <v>1722369496.3099999</v>
      </c>
      <c r="J883" s="133" t="s">
        <v>366</v>
      </c>
      <c r="K883" s="133" t="s">
        <v>367</v>
      </c>
      <c r="L883" s="133" t="s">
        <v>368</v>
      </c>
      <c r="M883" s="133" t="s">
        <v>369</v>
      </c>
      <c r="N883" s="133"/>
      <c r="O883" s="133"/>
    </row>
    <row r="884" spans="1:15">
      <c r="A884" s="124" t="s">
        <v>362</v>
      </c>
      <c r="B884" s="124" t="s">
        <v>363</v>
      </c>
      <c r="C884" s="125">
        <v>45472</v>
      </c>
      <c r="D884" s="124" t="s">
        <v>372</v>
      </c>
      <c r="E884" s="126">
        <v>100</v>
      </c>
      <c r="F884" s="124" t="s">
        <v>365</v>
      </c>
      <c r="G884" s="126"/>
      <c r="H884" s="126">
        <v>129080</v>
      </c>
      <c r="I884" s="127">
        <v>78996328.030000001</v>
      </c>
      <c r="J884" s="128" t="s">
        <v>366</v>
      </c>
      <c r="K884" s="128" t="s">
        <v>367</v>
      </c>
      <c r="L884" s="128" t="s">
        <v>368</v>
      </c>
      <c r="M884" s="128" t="s">
        <v>369</v>
      </c>
      <c r="N884" s="128"/>
      <c r="O884" s="128"/>
    </row>
    <row r="885" spans="1:15">
      <c r="A885" s="129" t="s">
        <v>362</v>
      </c>
      <c r="B885" s="129" t="s">
        <v>363</v>
      </c>
      <c r="C885" s="130">
        <v>45472</v>
      </c>
      <c r="D885" s="129" t="s">
        <v>370</v>
      </c>
      <c r="E885" s="131">
        <v>132.49799999999999</v>
      </c>
      <c r="F885" s="129" t="s">
        <v>365</v>
      </c>
      <c r="G885" s="131"/>
      <c r="H885" s="131">
        <v>239253.44</v>
      </c>
      <c r="I885" s="132">
        <v>146421933.90000001</v>
      </c>
      <c r="J885" s="133" t="s">
        <v>366</v>
      </c>
      <c r="K885" s="133" t="s">
        <v>367</v>
      </c>
      <c r="L885" s="133" t="s">
        <v>368</v>
      </c>
      <c r="M885" s="133" t="s">
        <v>369</v>
      </c>
      <c r="N885" s="133"/>
      <c r="O885" s="133"/>
    </row>
    <row r="886" spans="1:15">
      <c r="A886" s="124" t="s">
        <v>362</v>
      </c>
      <c r="B886" s="124" t="s">
        <v>363</v>
      </c>
      <c r="C886" s="125">
        <v>45473</v>
      </c>
      <c r="D886" s="124" t="s">
        <v>371</v>
      </c>
      <c r="E886" s="126">
        <v>602.26</v>
      </c>
      <c r="F886" s="124" t="s">
        <v>365</v>
      </c>
      <c r="G886" s="126"/>
      <c r="H886" s="126">
        <v>155670.98000000001</v>
      </c>
      <c r="I886" s="127">
        <v>95269877.599999994</v>
      </c>
      <c r="J886" s="128" t="s">
        <v>366</v>
      </c>
      <c r="K886" s="128" t="s">
        <v>367</v>
      </c>
      <c r="L886" s="128" t="s">
        <v>368</v>
      </c>
      <c r="M886" s="128" t="s">
        <v>369</v>
      </c>
      <c r="N886" s="128"/>
      <c r="O886" s="128"/>
    </row>
    <row r="887" spans="1:15">
      <c r="A887" s="129" t="s">
        <v>362</v>
      </c>
      <c r="B887" s="129" t="s">
        <v>363</v>
      </c>
      <c r="C887" s="130">
        <v>45473</v>
      </c>
      <c r="D887" s="129" t="s">
        <v>371</v>
      </c>
      <c r="E887" s="131">
        <v>946.36</v>
      </c>
      <c r="F887" s="129" t="s">
        <v>365</v>
      </c>
      <c r="G887" s="131"/>
      <c r="H887" s="131">
        <v>221698.03</v>
      </c>
      <c r="I887" s="132">
        <v>135678108.94</v>
      </c>
      <c r="J887" s="133" t="s">
        <v>366</v>
      </c>
      <c r="K887" s="133" t="s">
        <v>367</v>
      </c>
      <c r="L887" s="133" t="s">
        <v>368</v>
      </c>
      <c r="M887" s="133" t="s">
        <v>369</v>
      </c>
      <c r="N887" s="133"/>
      <c r="O887" s="133"/>
    </row>
    <row r="888" spans="1:15">
      <c r="A888" s="124" t="s">
        <v>362</v>
      </c>
      <c r="B888" s="124" t="s">
        <v>363</v>
      </c>
      <c r="C888" s="125">
        <v>45473</v>
      </c>
      <c r="D888" s="124" t="s">
        <v>371</v>
      </c>
      <c r="E888" s="126">
        <v>708.85500000000002</v>
      </c>
      <c r="F888" s="124" t="s">
        <v>365</v>
      </c>
      <c r="G888" s="126"/>
      <c r="H888" s="126">
        <v>161989.74</v>
      </c>
      <c r="I888" s="127">
        <v>99136927.780000001</v>
      </c>
      <c r="J888" s="128" t="s">
        <v>366</v>
      </c>
      <c r="K888" s="128" t="s">
        <v>367</v>
      </c>
      <c r="L888" s="128" t="s">
        <v>368</v>
      </c>
      <c r="M888" s="128" t="s">
        <v>369</v>
      </c>
      <c r="N888" s="128"/>
      <c r="O888" s="128"/>
    </row>
    <row r="889" spans="1:15">
      <c r="A889" s="129" t="s">
        <v>362</v>
      </c>
      <c r="B889" s="129" t="s">
        <v>363</v>
      </c>
      <c r="C889" s="130">
        <v>45473</v>
      </c>
      <c r="D889" s="129" t="s">
        <v>364</v>
      </c>
      <c r="E889" s="131">
        <v>300.27600000000001</v>
      </c>
      <c r="F889" s="129" t="s">
        <v>365</v>
      </c>
      <c r="G889" s="131"/>
      <c r="H889" s="131">
        <v>554849.99</v>
      </c>
      <c r="I889" s="132">
        <v>339565477.36000001</v>
      </c>
      <c r="J889" s="133" t="s">
        <v>366</v>
      </c>
      <c r="K889" s="133" t="s">
        <v>367</v>
      </c>
      <c r="L889" s="133" t="s">
        <v>368</v>
      </c>
      <c r="M889" s="133" t="s">
        <v>369</v>
      </c>
      <c r="N889" s="133"/>
      <c r="O889" s="133"/>
    </row>
    <row r="890" spans="1:15">
      <c r="A890" s="124" t="s">
        <v>362</v>
      </c>
      <c r="B890" s="124" t="s">
        <v>363</v>
      </c>
      <c r="C890" s="125">
        <v>45473</v>
      </c>
      <c r="D890" s="124" t="s">
        <v>364</v>
      </c>
      <c r="E890" s="126">
        <v>700.495</v>
      </c>
      <c r="F890" s="124" t="s">
        <v>365</v>
      </c>
      <c r="G890" s="126"/>
      <c r="H890" s="126">
        <v>1263798.05</v>
      </c>
      <c r="I890" s="127">
        <v>773438219.09000003</v>
      </c>
      <c r="J890" s="128" t="s">
        <v>366</v>
      </c>
      <c r="K890" s="128" t="s">
        <v>367</v>
      </c>
      <c r="L890" s="128" t="s">
        <v>368</v>
      </c>
      <c r="M890" s="128" t="s">
        <v>369</v>
      </c>
      <c r="N890" s="128"/>
      <c r="O890" s="128"/>
    </row>
    <row r="891" spans="1:15">
      <c r="A891" s="129" t="s">
        <v>362</v>
      </c>
      <c r="B891" s="129" t="s">
        <v>363</v>
      </c>
      <c r="C891" s="130">
        <v>45473</v>
      </c>
      <c r="D891" s="129" t="s">
        <v>370</v>
      </c>
      <c r="E891" s="131">
        <v>242.20500000000001</v>
      </c>
      <c r="F891" s="129" t="s">
        <v>365</v>
      </c>
      <c r="G891" s="131"/>
      <c r="H891" s="131">
        <v>429063.08</v>
      </c>
      <c r="I891" s="132">
        <v>262584504.28</v>
      </c>
      <c r="J891" s="133" t="s">
        <v>366</v>
      </c>
      <c r="K891" s="133" t="s">
        <v>367</v>
      </c>
      <c r="L891" s="133" t="s">
        <v>368</v>
      </c>
      <c r="M891" s="133" t="s">
        <v>369</v>
      </c>
      <c r="N891" s="133"/>
      <c r="O891" s="133"/>
    </row>
    <row r="892" spans="1:15">
      <c r="A892" s="124" t="s">
        <v>362</v>
      </c>
      <c r="B892" s="124" t="s">
        <v>363</v>
      </c>
      <c r="C892" s="125">
        <v>45472</v>
      </c>
      <c r="D892" s="124" t="s">
        <v>370</v>
      </c>
      <c r="E892" s="126">
        <v>264.22750000000002</v>
      </c>
      <c r="F892" s="124" t="s">
        <v>365</v>
      </c>
      <c r="G892" s="126"/>
      <c r="H892" s="126">
        <v>465569.74</v>
      </c>
      <c r="I892" s="127">
        <v>284926401.47000003</v>
      </c>
      <c r="J892" s="128" t="s">
        <v>366</v>
      </c>
      <c r="K892" s="128" t="s">
        <v>367</v>
      </c>
      <c r="L892" s="128" t="s">
        <v>368</v>
      </c>
      <c r="M892" s="128" t="s">
        <v>369</v>
      </c>
      <c r="N892" s="128"/>
      <c r="O892" s="128"/>
    </row>
    <row r="893" spans="1:15">
      <c r="A893" s="129" t="s">
        <v>362</v>
      </c>
      <c r="B893" s="129" t="s">
        <v>363</v>
      </c>
      <c r="C893" s="130">
        <v>45472</v>
      </c>
      <c r="D893" s="129" t="s">
        <v>374</v>
      </c>
      <c r="E893" s="131">
        <v>132</v>
      </c>
      <c r="F893" s="129" t="s">
        <v>365</v>
      </c>
      <c r="G893" s="131"/>
      <c r="H893" s="131">
        <v>238939.8</v>
      </c>
      <c r="I893" s="132">
        <v>146229987.75999999</v>
      </c>
      <c r="J893" s="133" t="s">
        <v>366</v>
      </c>
      <c r="K893" s="133" t="s">
        <v>367</v>
      </c>
      <c r="L893" s="133" t="s">
        <v>368</v>
      </c>
      <c r="M893" s="133" t="s">
        <v>369</v>
      </c>
      <c r="N893" s="133"/>
      <c r="O893" s="133"/>
    </row>
    <row r="894" spans="1:15">
      <c r="A894" s="124" t="s">
        <v>362</v>
      </c>
      <c r="B894" s="124" t="s">
        <v>363</v>
      </c>
      <c r="C894" s="125">
        <v>45472</v>
      </c>
      <c r="D894" s="124" t="s">
        <v>374</v>
      </c>
      <c r="E894" s="126">
        <v>60</v>
      </c>
      <c r="F894" s="124" t="s">
        <v>365</v>
      </c>
      <c r="G894" s="126"/>
      <c r="H894" s="126">
        <v>108609</v>
      </c>
      <c r="I894" s="127">
        <v>66508879.359999999</v>
      </c>
      <c r="J894" s="128" t="s">
        <v>366</v>
      </c>
      <c r="K894" s="128" t="s">
        <v>367</v>
      </c>
      <c r="L894" s="128" t="s">
        <v>368</v>
      </c>
      <c r="M894" s="128" t="s">
        <v>369</v>
      </c>
      <c r="N894" s="128"/>
      <c r="O894" s="128"/>
    </row>
    <row r="895" spans="1:15">
      <c r="A895" s="129" t="s">
        <v>362</v>
      </c>
      <c r="B895" s="129" t="s">
        <v>363</v>
      </c>
      <c r="C895" s="130">
        <v>45472</v>
      </c>
      <c r="D895" s="129" t="s">
        <v>364</v>
      </c>
      <c r="E895" s="131">
        <v>200.108</v>
      </c>
      <c r="F895" s="129" t="s">
        <v>365</v>
      </c>
      <c r="G895" s="131"/>
      <c r="H895" s="131">
        <v>380665.45</v>
      </c>
      <c r="I895" s="132">
        <v>232965391.68000001</v>
      </c>
      <c r="J895" s="133" t="s">
        <v>366</v>
      </c>
      <c r="K895" s="133" t="s">
        <v>367</v>
      </c>
      <c r="L895" s="133" t="s">
        <v>368</v>
      </c>
      <c r="M895" s="133" t="s">
        <v>369</v>
      </c>
      <c r="N895" s="133"/>
      <c r="O895" s="133"/>
    </row>
    <row r="896" spans="1:15">
      <c r="A896" s="124" t="s">
        <v>362</v>
      </c>
      <c r="B896" s="124" t="s">
        <v>363</v>
      </c>
      <c r="C896" s="125">
        <v>45472</v>
      </c>
      <c r="D896" s="124" t="s">
        <v>370</v>
      </c>
      <c r="E896" s="126">
        <v>154.13</v>
      </c>
      <c r="F896" s="124" t="s">
        <v>365</v>
      </c>
      <c r="G896" s="126"/>
      <c r="H896" s="126">
        <v>276780.74</v>
      </c>
      <c r="I896" s="127">
        <v>169388457.77000001</v>
      </c>
      <c r="J896" s="128" t="s">
        <v>366</v>
      </c>
      <c r="K896" s="128" t="s">
        <v>367</v>
      </c>
      <c r="L896" s="128" t="s">
        <v>368</v>
      </c>
      <c r="M896" s="128" t="s">
        <v>369</v>
      </c>
      <c r="N896" s="128"/>
      <c r="O896" s="128"/>
    </row>
    <row r="897" spans="1:15">
      <c r="A897" s="129" t="s">
        <v>362</v>
      </c>
      <c r="B897" s="129" t="s">
        <v>363</v>
      </c>
      <c r="C897" s="130">
        <v>45472</v>
      </c>
      <c r="D897" s="129" t="s">
        <v>370</v>
      </c>
      <c r="E897" s="131">
        <v>110.08</v>
      </c>
      <c r="F897" s="129" t="s">
        <v>365</v>
      </c>
      <c r="G897" s="131"/>
      <c r="H897" s="131">
        <v>193962.72</v>
      </c>
      <c r="I897" s="132">
        <v>118704235.01000001</v>
      </c>
      <c r="J897" s="133" t="s">
        <v>366</v>
      </c>
      <c r="K897" s="133" t="s">
        <v>367</v>
      </c>
      <c r="L897" s="133" t="s">
        <v>368</v>
      </c>
      <c r="M897" s="133" t="s">
        <v>369</v>
      </c>
      <c r="N897" s="133"/>
      <c r="O897" s="133"/>
    </row>
    <row r="898" spans="1:15">
      <c r="A898" s="124" t="s">
        <v>362</v>
      </c>
      <c r="B898" s="124" t="s">
        <v>363</v>
      </c>
      <c r="C898" s="125">
        <v>45472</v>
      </c>
      <c r="D898" s="124" t="s">
        <v>370</v>
      </c>
      <c r="E898" s="126">
        <v>264.33249999999998</v>
      </c>
      <c r="F898" s="124" t="s">
        <v>365</v>
      </c>
      <c r="G898" s="126"/>
      <c r="H898" s="126">
        <v>470886.37</v>
      </c>
      <c r="I898" s="127">
        <v>288180153</v>
      </c>
      <c r="J898" s="128" t="s">
        <v>366</v>
      </c>
      <c r="K898" s="128" t="s">
        <v>367</v>
      </c>
      <c r="L898" s="128" t="s">
        <v>368</v>
      </c>
      <c r="M898" s="128" t="s">
        <v>369</v>
      </c>
      <c r="N898" s="128"/>
      <c r="O898" s="128"/>
    </row>
    <row r="899" spans="1:15">
      <c r="A899" s="129" t="s">
        <v>362</v>
      </c>
      <c r="B899" s="129" t="s">
        <v>363</v>
      </c>
      <c r="C899" s="130">
        <v>45472</v>
      </c>
      <c r="D899" s="129" t="s">
        <v>370</v>
      </c>
      <c r="E899" s="131">
        <v>220.29750000000001</v>
      </c>
      <c r="F899" s="129" t="s">
        <v>365</v>
      </c>
      <c r="G899" s="131"/>
      <c r="H899" s="131">
        <v>393507.3</v>
      </c>
      <c r="I899" s="132">
        <v>240824541</v>
      </c>
      <c r="J899" s="133" t="s">
        <v>366</v>
      </c>
      <c r="K899" s="133" t="s">
        <v>367</v>
      </c>
      <c r="L899" s="133" t="s">
        <v>368</v>
      </c>
      <c r="M899" s="133" t="s">
        <v>369</v>
      </c>
      <c r="N899" s="133"/>
      <c r="O899" s="133"/>
    </row>
    <row r="900" spans="1:15">
      <c r="A900" s="124" t="s">
        <v>362</v>
      </c>
      <c r="B900" s="124" t="s">
        <v>363</v>
      </c>
      <c r="C900" s="125">
        <v>45472</v>
      </c>
      <c r="D900" s="124" t="s">
        <v>370</v>
      </c>
      <c r="E900" s="126">
        <v>59.594999999999999</v>
      </c>
      <c r="F900" s="124" t="s">
        <v>365</v>
      </c>
      <c r="G900" s="126"/>
      <c r="H900" s="126">
        <v>107875.89</v>
      </c>
      <c r="I900" s="127">
        <v>66019516.520000003</v>
      </c>
      <c r="J900" s="128" t="s">
        <v>366</v>
      </c>
      <c r="K900" s="128" t="s">
        <v>367</v>
      </c>
      <c r="L900" s="128" t="s">
        <v>368</v>
      </c>
      <c r="M900" s="128" t="s">
        <v>369</v>
      </c>
      <c r="N900" s="128"/>
      <c r="O900" s="128"/>
    </row>
    <row r="901" spans="1:15">
      <c r="A901" s="129" t="s">
        <v>362</v>
      </c>
      <c r="B901" s="129" t="s">
        <v>363</v>
      </c>
      <c r="C901" s="130">
        <v>45473</v>
      </c>
      <c r="D901" s="129" t="s">
        <v>370</v>
      </c>
      <c r="E901" s="131">
        <v>39.994999999999997</v>
      </c>
      <c r="F901" s="129" t="s">
        <v>365</v>
      </c>
      <c r="G901" s="131"/>
      <c r="H901" s="131">
        <v>70660.13</v>
      </c>
      <c r="I901" s="132">
        <v>43243653.609999999</v>
      </c>
      <c r="J901" s="133" t="s">
        <v>366</v>
      </c>
      <c r="K901" s="133" t="s">
        <v>367</v>
      </c>
      <c r="L901" s="133" t="s">
        <v>368</v>
      </c>
      <c r="M901" s="133" t="s">
        <v>369</v>
      </c>
      <c r="N901" s="133"/>
      <c r="O901" s="133"/>
    </row>
    <row r="902" spans="1:15">
      <c r="A902" s="124" t="s">
        <v>362</v>
      </c>
      <c r="B902" s="124" t="s">
        <v>363</v>
      </c>
      <c r="C902" s="125">
        <v>45473</v>
      </c>
      <c r="D902" s="124" t="s">
        <v>370</v>
      </c>
      <c r="E902" s="126"/>
      <c r="F902" s="124" t="s">
        <v>365</v>
      </c>
      <c r="G902" s="126"/>
      <c r="H902" s="126">
        <v>-20369.46</v>
      </c>
      <c r="I902" s="127">
        <v>-12466009.789999999</v>
      </c>
      <c r="J902" s="128" t="s">
        <v>366</v>
      </c>
      <c r="K902" s="128" t="s">
        <v>367</v>
      </c>
      <c r="L902" s="128" t="s">
        <v>368</v>
      </c>
      <c r="M902" s="128" t="s">
        <v>369</v>
      </c>
      <c r="N902" s="128"/>
      <c r="O902" s="128"/>
    </row>
    <row r="903" spans="1:15">
      <c r="A903" s="129" t="s">
        <v>362</v>
      </c>
      <c r="B903" s="129" t="s">
        <v>363</v>
      </c>
      <c r="C903" s="130">
        <v>45473</v>
      </c>
      <c r="D903" s="129" t="s">
        <v>370</v>
      </c>
      <c r="E903" s="131"/>
      <c r="F903" s="129" t="s">
        <v>365</v>
      </c>
      <c r="G903" s="131"/>
      <c r="H903" s="131">
        <v>20369.46</v>
      </c>
      <c r="I903" s="132">
        <v>12466009.789999999</v>
      </c>
      <c r="J903" s="133" t="s">
        <v>366</v>
      </c>
      <c r="K903" s="133" t="s">
        <v>367</v>
      </c>
      <c r="L903" s="133" t="s">
        <v>368</v>
      </c>
      <c r="M903" s="133" t="s">
        <v>369</v>
      </c>
      <c r="N903" s="133"/>
      <c r="O903" s="133"/>
    </row>
    <row r="904" spans="1:15">
      <c r="A904" s="124" t="s">
        <v>362</v>
      </c>
      <c r="B904" s="124" t="s">
        <v>363</v>
      </c>
      <c r="C904" s="125">
        <v>45473</v>
      </c>
      <c r="D904" s="124" t="s">
        <v>370</v>
      </c>
      <c r="E904" s="126"/>
      <c r="F904" s="124" t="s">
        <v>365</v>
      </c>
      <c r="G904" s="126"/>
      <c r="H904" s="126">
        <v>20369.46</v>
      </c>
      <c r="I904" s="127">
        <v>12466009.789999999</v>
      </c>
      <c r="J904" s="128" t="s">
        <v>366</v>
      </c>
      <c r="K904" s="128" t="s">
        <v>367</v>
      </c>
      <c r="L904" s="128" t="s">
        <v>368</v>
      </c>
      <c r="M904" s="128" t="s">
        <v>369</v>
      </c>
      <c r="N904" s="128"/>
      <c r="O904" s="128"/>
    </row>
    <row r="905" spans="1:15">
      <c r="A905" s="129" t="s">
        <v>362</v>
      </c>
      <c r="B905" s="129" t="s">
        <v>363</v>
      </c>
      <c r="C905" s="130">
        <v>45473</v>
      </c>
      <c r="D905" s="129" t="s">
        <v>372</v>
      </c>
      <c r="E905" s="131"/>
      <c r="F905" s="129" t="s">
        <v>365</v>
      </c>
      <c r="G905" s="131"/>
      <c r="H905" s="131">
        <v>0</v>
      </c>
      <c r="I905" s="132">
        <v>-96031.1</v>
      </c>
      <c r="J905" s="133" t="s">
        <v>366</v>
      </c>
      <c r="K905" s="133" t="s">
        <v>367</v>
      </c>
      <c r="L905" s="133" t="s">
        <v>368</v>
      </c>
      <c r="M905" s="133" t="s">
        <v>369</v>
      </c>
      <c r="N905" s="133"/>
      <c r="O905" s="133"/>
    </row>
    <row r="906" spans="1:15">
      <c r="A906" s="124" t="s">
        <v>362</v>
      </c>
      <c r="B906" s="124" t="s">
        <v>363</v>
      </c>
      <c r="C906" s="125">
        <v>45473</v>
      </c>
      <c r="D906" s="124" t="s">
        <v>371</v>
      </c>
      <c r="E906" s="126"/>
      <c r="F906" s="124" t="s">
        <v>365</v>
      </c>
      <c r="G906" s="126"/>
      <c r="H906" s="126">
        <v>84075.37</v>
      </c>
      <c r="I906" s="127">
        <v>50916196.82</v>
      </c>
      <c r="J906" s="128" t="s">
        <v>366</v>
      </c>
      <c r="K906" s="128" t="s">
        <v>367</v>
      </c>
      <c r="L906" s="128" t="s">
        <v>368</v>
      </c>
      <c r="M906" s="128" t="s">
        <v>369</v>
      </c>
      <c r="N906" s="128"/>
      <c r="O906" s="128"/>
    </row>
    <row r="907" spans="1:15">
      <c r="A907" s="129" t="s">
        <v>362</v>
      </c>
      <c r="B907" s="129" t="s">
        <v>363</v>
      </c>
      <c r="C907" s="130">
        <v>45473</v>
      </c>
      <c r="D907" s="129" t="s">
        <v>372</v>
      </c>
      <c r="E907" s="131"/>
      <c r="F907" s="129" t="s">
        <v>365</v>
      </c>
      <c r="G907" s="131"/>
      <c r="H907" s="131">
        <v>16442.169999999998</v>
      </c>
      <c r="I907" s="132">
        <v>9957408.0199999996</v>
      </c>
      <c r="J907" s="133" t="s">
        <v>366</v>
      </c>
      <c r="K907" s="133" t="s">
        <v>367</v>
      </c>
      <c r="L907" s="133" t="s">
        <v>368</v>
      </c>
      <c r="M907" s="133" t="s">
        <v>369</v>
      </c>
      <c r="N907" s="133"/>
      <c r="O907" s="133"/>
    </row>
    <row r="908" spans="1:15">
      <c r="A908" s="124" t="s">
        <v>362</v>
      </c>
      <c r="B908" s="124" t="s">
        <v>363</v>
      </c>
      <c r="C908" s="125">
        <v>45473</v>
      </c>
      <c r="D908" s="124" t="s">
        <v>374</v>
      </c>
      <c r="E908" s="126"/>
      <c r="F908" s="124" t="s">
        <v>365</v>
      </c>
      <c r="G908" s="126"/>
      <c r="H908" s="126">
        <v>7370.63</v>
      </c>
      <c r="I908" s="127">
        <v>4463666.92</v>
      </c>
      <c r="J908" s="128" t="s">
        <v>366</v>
      </c>
      <c r="K908" s="128" t="s">
        <v>367</v>
      </c>
      <c r="L908" s="128" t="s">
        <v>368</v>
      </c>
      <c r="M908" s="128" t="s">
        <v>369</v>
      </c>
      <c r="N908" s="128"/>
      <c r="O908" s="128"/>
    </row>
    <row r="909" spans="1:15">
      <c r="A909" s="129" t="s">
        <v>362</v>
      </c>
      <c r="B909" s="129" t="s">
        <v>363</v>
      </c>
      <c r="C909" s="130">
        <v>45473</v>
      </c>
      <c r="D909" s="129" t="s">
        <v>364</v>
      </c>
      <c r="E909" s="131"/>
      <c r="F909" s="129" t="s">
        <v>365</v>
      </c>
      <c r="G909" s="131"/>
      <c r="H909" s="131">
        <v>96074.31</v>
      </c>
      <c r="I909" s="132">
        <v>58182776.68</v>
      </c>
      <c r="J909" s="133" t="s">
        <v>366</v>
      </c>
      <c r="K909" s="133" t="s">
        <v>367</v>
      </c>
      <c r="L909" s="133" t="s">
        <v>368</v>
      </c>
      <c r="M909" s="133" t="s">
        <v>369</v>
      </c>
      <c r="N909" s="133"/>
      <c r="O909" s="133"/>
    </row>
    <row r="910" spans="1:15">
      <c r="A910" s="124" t="s">
        <v>362</v>
      </c>
      <c r="B910" s="124" t="s">
        <v>363</v>
      </c>
      <c r="C910" s="125">
        <v>45473</v>
      </c>
      <c r="D910" s="124" t="s">
        <v>370</v>
      </c>
      <c r="E910" s="126"/>
      <c r="F910" s="124" t="s">
        <v>365</v>
      </c>
      <c r="G910" s="126"/>
      <c r="H910" s="126">
        <v>59579.98</v>
      </c>
      <c r="I910" s="127">
        <v>36081744.130000003</v>
      </c>
      <c r="J910" s="128" t="s">
        <v>366</v>
      </c>
      <c r="K910" s="128" t="s">
        <v>367</v>
      </c>
      <c r="L910" s="128" t="s">
        <v>368</v>
      </c>
      <c r="M910" s="128" t="s">
        <v>369</v>
      </c>
      <c r="N910" s="128"/>
      <c r="O910" s="128"/>
    </row>
    <row r="911" spans="1:15">
      <c r="A911" s="129" t="s">
        <v>362</v>
      </c>
      <c r="B911" s="129" t="s">
        <v>363</v>
      </c>
      <c r="C911" s="130">
        <v>45473</v>
      </c>
      <c r="D911" s="129" t="s">
        <v>373</v>
      </c>
      <c r="E911" s="131"/>
      <c r="F911" s="129" t="s">
        <v>365</v>
      </c>
      <c r="G911" s="131"/>
      <c r="H911" s="131">
        <v>890575.92</v>
      </c>
      <c r="I911" s="132">
        <v>539334395.15999997</v>
      </c>
      <c r="J911" s="133" t="s">
        <v>366</v>
      </c>
      <c r="K911" s="133" t="s">
        <v>367</v>
      </c>
      <c r="L911" s="133" t="s">
        <v>368</v>
      </c>
      <c r="M911" s="133" t="s">
        <v>369</v>
      </c>
      <c r="N911" s="133"/>
      <c r="O911" s="133"/>
    </row>
    <row r="912" spans="1:15">
      <c r="A912" s="124" t="s">
        <v>362</v>
      </c>
      <c r="B912" s="124" t="s">
        <v>363</v>
      </c>
      <c r="C912" s="125">
        <v>45473</v>
      </c>
      <c r="D912" s="124" t="s">
        <v>375</v>
      </c>
      <c r="E912" s="126"/>
      <c r="F912" s="124" t="s">
        <v>365</v>
      </c>
      <c r="G912" s="126"/>
      <c r="H912" s="126">
        <v>318948.84000000003</v>
      </c>
      <c r="I912" s="127">
        <v>193155996.97</v>
      </c>
      <c r="J912" s="128" t="s">
        <v>366</v>
      </c>
      <c r="K912" s="128" t="s">
        <v>367</v>
      </c>
      <c r="L912" s="128" t="s">
        <v>368</v>
      </c>
      <c r="M912" s="128" t="s">
        <v>369</v>
      </c>
      <c r="N912" s="128"/>
      <c r="O912" s="128"/>
    </row>
    <row r="913" spans="1:15">
      <c r="A913" s="129" t="s">
        <v>362</v>
      </c>
      <c r="B913" s="129" t="s">
        <v>363</v>
      </c>
      <c r="C913" s="130">
        <v>45473</v>
      </c>
      <c r="D913" s="129" t="s">
        <v>371</v>
      </c>
      <c r="E913" s="131"/>
      <c r="F913" s="129" t="s">
        <v>365</v>
      </c>
      <c r="G913" s="131"/>
      <c r="H913" s="131">
        <v>-67219.240000000005</v>
      </c>
      <c r="I913" s="132">
        <v>-41149933.890000001</v>
      </c>
      <c r="J913" s="133" t="s">
        <v>366</v>
      </c>
      <c r="K913" s="133" t="s">
        <v>367</v>
      </c>
      <c r="L913" s="133" t="s">
        <v>368</v>
      </c>
      <c r="M913" s="133" t="s">
        <v>369</v>
      </c>
      <c r="N913" s="133"/>
      <c r="O913" s="133"/>
    </row>
    <row r="914" spans="1:15">
      <c r="A914" s="124" t="s">
        <v>362</v>
      </c>
      <c r="B914" s="124" t="s">
        <v>363</v>
      </c>
      <c r="C914" s="125">
        <v>45473</v>
      </c>
      <c r="D914" s="124" t="s">
        <v>372</v>
      </c>
      <c r="E914" s="126"/>
      <c r="F914" s="124" t="s">
        <v>365</v>
      </c>
      <c r="G914" s="126"/>
      <c r="H914" s="126">
        <v>-11815.49</v>
      </c>
      <c r="I914" s="127">
        <v>-7233146.8200000003</v>
      </c>
      <c r="J914" s="128" t="s">
        <v>366</v>
      </c>
      <c r="K914" s="128" t="s">
        <v>367</v>
      </c>
      <c r="L914" s="128" t="s">
        <v>368</v>
      </c>
      <c r="M914" s="128" t="s">
        <v>369</v>
      </c>
      <c r="N914" s="128"/>
      <c r="O914" s="128"/>
    </row>
    <row r="915" spans="1:15">
      <c r="A915" s="129" t="s">
        <v>362</v>
      </c>
      <c r="B915" s="129" t="s">
        <v>363</v>
      </c>
      <c r="C915" s="130">
        <v>45473</v>
      </c>
      <c r="D915" s="129" t="s">
        <v>374</v>
      </c>
      <c r="E915" s="131"/>
      <c r="F915" s="129" t="s">
        <v>365</v>
      </c>
      <c r="G915" s="131"/>
      <c r="H915" s="131">
        <v>-6644.07</v>
      </c>
      <c r="I915" s="132">
        <v>-4067333.12</v>
      </c>
      <c r="J915" s="133" t="s">
        <v>366</v>
      </c>
      <c r="K915" s="133" t="s">
        <v>367</v>
      </c>
      <c r="L915" s="133" t="s">
        <v>368</v>
      </c>
      <c r="M915" s="133" t="s">
        <v>369</v>
      </c>
      <c r="N915" s="133"/>
      <c r="O915" s="133"/>
    </row>
    <row r="916" spans="1:15">
      <c r="A916" s="124" t="s">
        <v>362</v>
      </c>
      <c r="B916" s="124" t="s">
        <v>363</v>
      </c>
      <c r="C916" s="125">
        <v>45473</v>
      </c>
      <c r="D916" s="124" t="s">
        <v>364</v>
      </c>
      <c r="E916" s="126"/>
      <c r="F916" s="124" t="s">
        <v>365</v>
      </c>
      <c r="G916" s="126"/>
      <c r="H916" s="126">
        <v>-78655.83</v>
      </c>
      <c r="I916" s="127">
        <v>-48151127.630000003</v>
      </c>
      <c r="J916" s="128" t="s">
        <v>366</v>
      </c>
      <c r="K916" s="128" t="s">
        <v>367</v>
      </c>
      <c r="L916" s="128" t="s">
        <v>368</v>
      </c>
      <c r="M916" s="128" t="s">
        <v>369</v>
      </c>
      <c r="N916" s="128"/>
      <c r="O916" s="128"/>
    </row>
    <row r="917" spans="1:15">
      <c r="A917" s="129" t="s">
        <v>362</v>
      </c>
      <c r="B917" s="129" t="s">
        <v>363</v>
      </c>
      <c r="C917" s="130">
        <v>45473</v>
      </c>
      <c r="D917" s="129" t="s">
        <v>370</v>
      </c>
      <c r="E917" s="131"/>
      <c r="F917" s="129" t="s">
        <v>365</v>
      </c>
      <c r="G917" s="131"/>
      <c r="H917" s="131">
        <v>-47717.51</v>
      </c>
      <c r="I917" s="132">
        <v>-29211463.59</v>
      </c>
      <c r="J917" s="133" t="s">
        <v>366</v>
      </c>
      <c r="K917" s="133" t="s">
        <v>367</v>
      </c>
      <c r="L917" s="133" t="s">
        <v>368</v>
      </c>
      <c r="M917" s="133" t="s">
        <v>369</v>
      </c>
      <c r="N917" s="133"/>
      <c r="O917" s="133"/>
    </row>
    <row r="918" spans="1:15">
      <c r="A918" s="124" t="s">
        <v>362</v>
      </c>
      <c r="B918" s="124" t="s">
        <v>363</v>
      </c>
      <c r="C918" s="125">
        <v>45473</v>
      </c>
      <c r="D918" s="124" t="s">
        <v>373</v>
      </c>
      <c r="E918" s="126"/>
      <c r="F918" s="124" t="s">
        <v>365</v>
      </c>
      <c r="G918" s="126"/>
      <c r="H918" s="126">
        <v>-730635.85</v>
      </c>
      <c r="I918" s="127">
        <v>-447276954.06</v>
      </c>
      <c r="J918" s="128" t="s">
        <v>366</v>
      </c>
      <c r="K918" s="128" t="s">
        <v>367</v>
      </c>
      <c r="L918" s="128" t="s">
        <v>368</v>
      </c>
      <c r="M918" s="128" t="s">
        <v>369</v>
      </c>
      <c r="N918" s="128"/>
      <c r="O918" s="128"/>
    </row>
    <row r="919" spans="1:15">
      <c r="A919" s="129" t="s">
        <v>362</v>
      </c>
      <c r="B919" s="129" t="s">
        <v>363</v>
      </c>
      <c r="C919" s="130">
        <v>45473</v>
      </c>
      <c r="D919" s="129" t="s">
        <v>375</v>
      </c>
      <c r="E919" s="131"/>
      <c r="F919" s="129" t="s">
        <v>365</v>
      </c>
      <c r="G919" s="131"/>
      <c r="H919" s="131">
        <v>-265438.40000000002</v>
      </c>
      <c r="I919" s="132">
        <v>-162494735.30000001</v>
      </c>
      <c r="J919" s="133" t="s">
        <v>366</v>
      </c>
      <c r="K919" s="133" t="s">
        <v>367</v>
      </c>
      <c r="L919" s="133" t="s">
        <v>368</v>
      </c>
      <c r="M919" s="133" t="s">
        <v>369</v>
      </c>
      <c r="N919" s="133"/>
      <c r="O919" s="133"/>
    </row>
    <row r="920" spans="1:15">
      <c r="A920" s="124" t="s">
        <v>362</v>
      </c>
      <c r="B920" s="124" t="s">
        <v>363</v>
      </c>
      <c r="C920" s="125">
        <v>45473</v>
      </c>
      <c r="D920" s="124" t="s">
        <v>376</v>
      </c>
      <c r="E920" s="126"/>
      <c r="F920" s="124" t="s">
        <v>365</v>
      </c>
      <c r="G920" s="126"/>
      <c r="H920" s="126">
        <v>-34248.339999999997</v>
      </c>
      <c r="I920" s="127">
        <v>-20965975.32</v>
      </c>
      <c r="J920" s="128" t="s">
        <v>366</v>
      </c>
      <c r="K920" s="128" t="s">
        <v>367</v>
      </c>
      <c r="L920" s="128" t="s">
        <v>368</v>
      </c>
      <c r="M920" s="128" t="s">
        <v>369</v>
      </c>
      <c r="N920" s="128"/>
      <c r="O920" s="128"/>
    </row>
    <row r="921" spans="1:15">
      <c r="A921" s="129" t="s">
        <v>377</v>
      </c>
      <c r="B921" s="129">
        <v>28497</v>
      </c>
      <c r="C921" s="130">
        <v>45322</v>
      </c>
      <c r="D921" s="129" t="s">
        <v>378</v>
      </c>
      <c r="E921" s="131">
        <v>7545.625</v>
      </c>
      <c r="F921" s="129" t="s">
        <v>379</v>
      </c>
      <c r="G921" s="131"/>
      <c r="H921" s="131"/>
      <c r="I921" s="132">
        <v>209976427</v>
      </c>
      <c r="J921" s="133" t="s">
        <v>366</v>
      </c>
      <c r="K921" s="133" t="s">
        <v>380</v>
      </c>
      <c r="L921" s="133" t="s">
        <v>381</v>
      </c>
      <c r="M921" s="133" t="s">
        <v>246</v>
      </c>
      <c r="N921" s="133"/>
      <c r="O921" s="133"/>
    </row>
    <row r="922" spans="1:15">
      <c r="A922" s="124" t="s">
        <v>377</v>
      </c>
      <c r="B922" s="124">
        <v>28497</v>
      </c>
      <c r="C922" s="125">
        <v>45322</v>
      </c>
      <c r="D922" s="124" t="s">
        <v>378</v>
      </c>
      <c r="E922" s="126">
        <v>6377.8050000000003</v>
      </c>
      <c r="F922" s="124" t="s">
        <v>379</v>
      </c>
      <c r="G922" s="126"/>
      <c r="H922" s="126"/>
      <c r="I922" s="127">
        <v>149813494</v>
      </c>
      <c r="J922" s="128" t="s">
        <v>366</v>
      </c>
      <c r="K922" s="128" t="s">
        <v>380</v>
      </c>
      <c r="L922" s="128" t="s">
        <v>382</v>
      </c>
      <c r="M922" s="128" t="s">
        <v>383</v>
      </c>
      <c r="N922" s="128"/>
      <c r="O922" s="128"/>
    </row>
    <row r="923" spans="1:15">
      <c r="A923" s="129" t="s">
        <v>377</v>
      </c>
      <c r="B923" s="129">
        <v>28497</v>
      </c>
      <c r="C923" s="130">
        <v>45350</v>
      </c>
      <c r="D923" s="129" t="s">
        <v>378</v>
      </c>
      <c r="E923" s="131">
        <v>3242.7629999999999</v>
      </c>
      <c r="F923" s="129" t="s">
        <v>379</v>
      </c>
      <c r="G923" s="131"/>
      <c r="H923" s="131"/>
      <c r="I923" s="132">
        <v>106338659</v>
      </c>
      <c r="J923" s="133" t="s">
        <v>366</v>
      </c>
      <c r="K923" s="133" t="s">
        <v>380</v>
      </c>
      <c r="L923" s="133" t="s">
        <v>384</v>
      </c>
      <c r="M923" s="133" t="s">
        <v>385</v>
      </c>
      <c r="N923" s="133"/>
      <c r="O923" s="133"/>
    </row>
    <row r="924" spans="1:15">
      <c r="A924" s="124" t="s">
        <v>377</v>
      </c>
      <c r="B924" s="124">
        <v>28497</v>
      </c>
      <c r="C924" s="125">
        <v>45350</v>
      </c>
      <c r="D924" s="124" t="s">
        <v>378</v>
      </c>
      <c r="E924" s="126">
        <v>3181.9549999999999</v>
      </c>
      <c r="F924" s="124" t="s">
        <v>379</v>
      </c>
      <c r="G924" s="126"/>
      <c r="H924" s="126"/>
      <c r="I924" s="127">
        <v>74743552</v>
      </c>
      <c r="J924" s="128" t="s">
        <v>366</v>
      </c>
      <c r="K924" s="128" t="s">
        <v>380</v>
      </c>
      <c r="L924" s="128" t="s">
        <v>382</v>
      </c>
      <c r="M924" s="128" t="s">
        <v>383</v>
      </c>
      <c r="N924" s="128"/>
      <c r="O924" s="128"/>
    </row>
    <row r="925" spans="1:15">
      <c r="A925" s="129" t="s">
        <v>377</v>
      </c>
      <c r="B925" s="129">
        <v>28497</v>
      </c>
      <c r="C925" s="130">
        <v>45382</v>
      </c>
      <c r="D925" s="129" t="s">
        <v>378</v>
      </c>
      <c r="E925" s="131">
        <v>6512.19</v>
      </c>
      <c r="F925" s="129" t="s">
        <v>379</v>
      </c>
      <c r="G925" s="131"/>
      <c r="H925" s="131"/>
      <c r="I925" s="132">
        <v>195833352</v>
      </c>
      <c r="J925" s="133" t="s">
        <v>366</v>
      </c>
      <c r="K925" s="133" t="s">
        <v>380</v>
      </c>
      <c r="L925" s="133" t="s">
        <v>381</v>
      </c>
      <c r="M925" s="133" t="s">
        <v>246</v>
      </c>
      <c r="N925" s="133"/>
      <c r="O925" s="133"/>
    </row>
    <row r="926" spans="1:15">
      <c r="A926" s="124" t="s">
        <v>377</v>
      </c>
      <c r="B926" s="124">
        <v>28497</v>
      </c>
      <c r="C926" s="125">
        <v>45382</v>
      </c>
      <c r="D926" s="124" t="s">
        <v>378</v>
      </c>
      <c r="E926" s="126">
        <v>6063.2049999999999</v>
      </c>
      <c r="F926" s="124" t="s">
        <v>379</v>
      </c>
      <c r="G926" s="126"/>
      <c r="H926" s="126"/>
      <c r="I926" s="127">
        <v>159350552</v>
      </c>
      <c r="J926" s="128" t="s">
        <v>366</v>
      </c>
      <c r="K926" s="128" t="s">
        <v>380</v>
      </c>
      <c r="L926" s="128" t="s">
        <v>384</v>
      </c>
      <c r="M926" s="128" t="s">
        <v>385</v>
      </c>
      <c r="N926" s="128"/>
      <c r="O926" s="128"/>
    </row>
    <row r="927" spans="1:15">
      <c r="A927" s="129" t="s">
        <v>377</v>
      </c>
      <c r="B927" s="129">
        <v>28497</v>
      </c>
      <c r="C927" s="130">
        <v>45382</v>
      </c>
      <c r="D927" s="129" t="s">
        <v>378</v>
      </c>
      <c r="E927" s="131">
        <v>4869.25</v>
      </c>
      <c r="F927" s="129" t="s">
        <v>379</v>
      </c>
      <c r="G927" s="131"/>
      <c r="H927" s="131"/>
      <c r="I927" s="132">
        <v>114544208</v>
      </c>
      <c r="J927" s="133" t="s">
        <v>366</v>
      </c>
      <c r="K927" s="133" t="s">
        <v>380</v>
      </c>
      <c r="L927" s="133" t="s">
        <v>382</v>
      </c>
      <c r="M927" s="133" t="s">
        <v>383</v>
      </c>
      <c r="N927" s="133"/>
      <c r="O927" s="133"/>
    </row>
    <row r="928" spans="1:15">
      <c r="A928" s="124" t="s">
        <v>377</v>
      </c>
      <c r="B928" s="124">
        <v>28497</v>
      </c>
      <c r="C928" s="125">
        <v>45412</v>
      </c>
      <c r="D928" s="124" t="s">
        <v>378</v>
      </c>
      <c r="E928" s="126">
        <v>7231.3549999999996</v>
      </c>
      <c r="F928" s="124" t="s">
        <v>379</v>
      </c>
      <c r="G928" s="126"/>
      <c r="H928" s="126"/>
      <c r="I928" s="127">
        <v>169863227</v>
      </c>
      <c r="J928" s="128" t="s">
        <v>366</v>
      </c>
      <c r="K928" s="128" t="s">
        <v>380</v>
      </c>
      <c r="L928" s="128" t="s">
        <v>381</v>
      </c>
      <c r="M928" s="128" t="s">
        <v>246</v>
      </c>
      <c r="N928" s="128"/>
      <c r="O928" s="128"/>
    </row>
    <row r="929" spans="1:15">
      <c r="A929" s="129" t="s">
        <v>377</v>
      </c>
      <c r="B929" s="129">
        <v>28497</v>
      </c>
      <c r="C929" s="130">
        <v>45443</v>
      </c>
      <c r="D929" s="129" t="s">
        <v>378</v>
      </c>
      <c r="E929" s="131">
        <v>2462.9929999999999</v>
      </c>
      <c r="F929" s="129" t="s">
        <v>379</v>
      </c>
      <c r="G929" s="131"/>
      <c r="H929" s="131"/>
      <c r="I929" s="132">
        <v>65244750</v>
      </c>
      <c r="J929" s="133" t="s">
        <v>366</v>
      </c>
      <c r="K929" s="133" t="s">
        <v>380</v>
      </c>
      <c r="L929" s="133" t="s">
        <v>381</v>
      </c>
      <c r="M929" s="133" t="s">
        <v>246</v>
      </c>
      <c r="N929" s="133"/>
      <c r="O929" s="133"/>
    </row>
    <row r="930" spans="1:15">
      <c r="A930" s="124" t="s">
        <v>377</v>
      </c>
      <c r="B930" s="124">
        <v>28497</v>
      </c>
      <c r="C930" s="125">
        <v>45443</v>
      </c>
      <c r="D930" s="124" t="s">
        <v>378</v>
      </c>
      <c r="E930" s="126">
        <v>5996.558</v>
      </c>
      <c r="F930" s="124" t="s">
        <v>379</v>
      </c>
      <c r="G930" s="126"/>
      <c r="H930" s="126"/>
      <c r="I930" s="127">
        <v>165658726</v>
      </c>
      <c r="J930" s="128" t="s">
        <v>366</v>
      </c>
      <c r="K930" s="128" t="s">
        <v>380</v>
      </c>
      <c r="L930" s="128" t="s">
        <v>384</v>
      </c>
      <c r="M930" s="128" t="s">
        <v>385</v>
      </c>
      <c r="N930" s="128"/>
      <c r="O930" s="128"/>
    </row>
    <row r="931" spans="1:15">
      <c r="A931" s="129" t="s">
        <v>377</v>
      </c>
      <c r="B931" s="129">
        <v>28497</v>
      </c>
      <c r="C931" s="130">
        <v>45443</v>
      </c>
      <c r="D931" s="129" t="s">
        <v>378</v>
      </c>
      <c r="E931" s="131">
        <v>11168.603999999999</v>
      </c>
      <c r="F931" s="129" t="s">
        <v>379</v>
      </c>
      <c r="G931" s="131"/>
      <c r="H931" s="131"/>
      <c r="I931" s="132">
        <v>288651654</v>
      </c>
      <c r="J931" s="133" t="s">
        <v>366</v>
      </c>
      <c r="K931" s="133" t="s">
        <v>380</v>
      </c>
      <c r="L931" s="133" t="s">
        <v>382</v>
      </c>
      <c r="M931" s="133" t="s">
        <v>383</v>
      </c>
      <c r="N931" s="133"/>
      <c r="O931" s="133"/>
    </row>
    <row r="932" spans="1:15">
      <c r="A932" s="124" t="s">
        <v>377</v>
      </c>
      <c r="B932" s="124">
        <v>28497</v>
      </c>
      <c r="C932" s="125">
        <v>45473</v>
      </c>
      <c r="D932" s="124" t="s">
        <v>378</v>
      </c>
      <c r="E932" s="126">
        <v>6600.26</v>
      </c>
      <c r="F932" s="124" t="s">
        <v>379</v>
      </c>
      <c r="G932" s="126"/>
      <c r="H932" s="126"/>
      <c r="I932" s="127">
        <v>188652321</v>
      </c>
      <c r="J932" s="128" t="s">
        <v>366</v>
      </c>
      <c r="K932" s="128" t="s">
        <v>380</v>
      </c>
      <c r="L932" s="128" t="s">
        <v>381</v>
      </c>
      <c r="M932" s="128" t="s">
        <v>246</v>
      </c>
      <c r="N932" s="128"/>
      <c r="O932" s="128"/>
    </row>
    <row r="933" spans="1:15">
      <c r="A933" s="129" t="s">
        <v>377</v>
      </c>
      <c r="B933" s="129">
        <v>28497</v>
      </c>
      <c r="C933" s="130">
        <v>45473</v>
      </c>
      <c r="D933" s="129" t="s">
        <v>378</v>
      </c>
      <c r="E933" s="131">
        <v>10735.873</v>
      </c>
      <c r="F933" s="129" t="s">
        <v>379</v>
      </c>
      <c r="G933" s="131"/>
      <c r="H933" s="131"/>
      <c r="I933" s="132">
        <v>252183731</v>
      </c>
      <c r="J933" s="133" t="s">
        <v>366</v>
      </c>
      <c r="K933" s="133" t="s">
        <v>380</v>
      </c>
      <c r="L933" s="133" t="s">
        <v>382</v>
      </c>
      <c r="M933" s="133" t="s">
        <v>383</v>
      </c>
      <c r="N933" s="133"/>
      <c r="O933" s="133"/>
    </row>
    <row r="934" spans="1:15">
      <c r="A934" s="124" t="s">
        <v>377</v>
      </c>
      <c r="B934" s="124">
        <v>28497</v>
      </c>
      <c r="C934" s="125">
        <v>45504</v>
      </c>
      <c r="D934" s="124" t="s">
        <v>386</v>
      </c>
      <c r="E934" s="126">
        <v>6948.52</v>
      </c>
      <c r="F934" s="124" t="s">
        <v>379</v>
      </c>
      <c r="G934" s="126"/>
      <c r="H934" s="126"/>
      <c r="I934" s="127">
        <v>175971885</v>
      </c>
      <c r="J934" s="128" t="s">
        <v>366</v>
      </c>
      <c r="K934" s="128" t="s">
        <v>380</v>
      </c>
      <c r="L934" s="128" t="s">
        <v>381</v>
      </c>
      <c r="M934" s="128" t="s">
        <v>246</v>
      </c>
      <c r="N934" s="128"/>
      <c r="O934" s="128"/>
    </row>
    <row r="935" spans="1:15">
      <c r="A935" s="129" t="s">
        <v>377</v>
      </c>
      <c r="B935" s="129">
        <v>28497</v>
      </c>
      <c r="C935" s="130">
        <v>45535</v>
      </c>
      <c r="D935" s="129" t="s">
        <v>386</v>
      </c>
      <c r="E935" s="131">
        <v>5516.43</v>
      </c>
      <c r="F935" s="129" t="s">
        <v>379</v>
      </c>
      <c r="G935" s="131"/>
      <c r="H935" s="131"/>
      <c r="I935" s="132">
        <v>153810798</v>
      </c>
      <c r="J935" s="133" t="s">
        <v>366</v>
      </c>
      <c r="K935" s="133" t="s">
        <v>380</v>
      </c>
      <c r="L935" s="133" t="s">
        <v>384</v>
      </c>
      <c r="M935" s="133" t="s">
        <v>385</v>
      </c>
      <c r="N935" s="133"/>
      <c r="O935" s="133"/>
    </row>
    <row r="936" spans="1:15">
      <c r="A936" s="124" t="s">
        <v>377</v>
      </c>
      <c r="B936" s="124">
        <v>28497</v>
      </c>
      <c r="C936" s="125">
        <v>45565</v>
      </c>
      <c r="D936" s="124" t="s">
        <v>386</v>
      </c>
      <c r="E936" s="126">
        <v>8110.085</v>
      </c>
      <c r="F936" s="124" t="s">
        <v>379</v>
      </c>
      <c r="G936" s="126"/>
      <c r="H936" s="126"/>
      <c r="I936" s="127">
        <v>231735420</v>
      </c>
      <c r="J936" s="128" t="s">
        <v>366</v>
      </c>
      <c r="K936" s="128" t="s">
        <v>380</v>
      </c>
      <c r="L936" s="128" t="s">
        <v>381</v>
      </c>
      <c r="M936" s="128" t="s">
        <v>246</v>
      </c>
      <c r="N936" s="128"/>
      <c r="O936" s="128"/>
    </row>
    <row r="937" spans="1:15">
      <c r="A937" s="129" t="s">
        <v>377</v>
      </c>
      <c r="B937" s="129">
        <v>28497</v>
      </c>
      <c r="C937" s="130">
        <v>45565</v>
      </c>
      <c r="D937" s="129" t="s">
        <v>386</v>
      </c>
      <c r="E937" s="131">
        <v>13185.362999999999</v>
      </c>
      <c r="F937" s="129" t="s">
        <v>379</v>
      </c>
      <c r="G937" s="131"/>
      <c r="H937" s="131"/>
      <c r="I937" s="132">
        <v>309721807</v>
      </c>
      <c r="J937" s="133" t="s">
        <v>366</v>
      </c>
      <c r="K937" s="133" t="s">
        <v>380</v>
      </c>
      <c r="L937" s="133" t="s">
        <v>382</v>
      </c>
      <c r="M937" s="133" t="s">
        <v>383</v>
      </c>
      <c r="N937" s="133"/>
      <c r="O937" s="133"/>
    </row>
    <row r="938" spans="1:15">
      <c r="A938" s="124" t="s">
        <v>377</v>
      </c>
      <c r="B938" s="124">
        <v>28497</v>
      </c>
      <c r="C938" s="125">
        <v>45596</v>
      </c>
      <c r="D938" s="124" t="s">
        <v>386</v>
      </c>
      <c r="E938" s="126">
        <v>7728.915</v>
      </c>
      <c r="F938" s="124" t="s">
        <v>379</v>
      </c>
      <c r="G938" s="126"/>
      <c r="H938" s="126"/>
      <c r="I938" s="127">
        <v>237243136</v>
      </c>
      <c r="J938" s="128" t="s">
        <v>366</v>
      </c>
      <c r="K938" s="128" t="s">
        <v>380</v>
      </c>
      <c r="L938" s="128" t="s">
        <v>381</v>
      </c>
      <c r="M938" s="128" t="s">
        <v>246</v>
      </c>
      <c r="N938" s="128"/>
      <c r="O938" s="128"/>
    </row>
    <row r="939" spans="1:15">
      <c r="A939" s="129" t="s">
        <v>377</v>
      </c>
      <c r="B939" s="129">
        <v>28497</v>
      </c>
      <c r="C939" s="130">
        <v>45596</v>
      </c>
      <c r="D939" s="129" t="s">
        <v>386</v>
      </c>
      <c r="E939" s="131">
        <v>6245.3789999999999</v>
      </c>
      <c r="F939" s="129" t="s">
        <v>379</v>
      </c>
      <c r="G939" s="131"/>
      <c r="H939" s="131"/>
      <c r="I939" s="132">
        <v>210465594</v>
      </c>
      <c r="J939" s="133" t="s">
        <v>366</v>
      </c>
      <c r="K939" s="133" t="s">
        <v>380</v>
      </c>
      <c r="L939" s="133" t="s">
        <v>384</v>
      </c>
      <c r="M939" s="133" t="s">
        <v>385</v>
      </c>
      <c r="N939" s="133"/>
      <c r="O939" s="133"/>
    </row>
    <row r="940" spans="1:15">
      <c r="A940" s="124" t="s">
        <v>377</v>
      </c>
      <c r="B940" s="124">
        <v>28497</v>
      </c>
      <c r="C940" s="125">
        <v>45626</v>
      </c>
      <c r="D940" s="124" t="s">
        <v>386</v>
      </c>
      <c r="E940" s="126">
        <v>10413.174000000001</v>
      </c>
      <c r="F940" s="124" t="s">
        <v>379</v>
      </c>
      <c r="G940" s="126"/>
      <c r="H940" s="126"/>
      <c r="I940" s="127">
        <v>265027061</v>
      </c>
      <c r="J940" s="128" t="s">
        <v>366</v>
      </c>
      <c r="K940" s="128" t="s">
        <v>380</v>
      </c>
      <c r="L940" s="128" t="s">
        <v>382</v>
      </c>
      <c r="M940" s="128" t="s">
        <v>383</v>
      </c>
      <c r="N940" s="128"/>
      <c r="O940" s="128"/>
    </row>
    <row r="941" spans="1:15">
      <c r="A941" s="129" t="s">
        <v>377</v>
      </c>
      <c r="B941" s="129">
        <v>28497</v>
      </c>
      <c r="C941" s="130">
        <v>45657</v>
      </c>
      <c r="D941" s="129" t="s">
        <v>386</v>
      </c>
      <c r="E941" s="131">
        <v>6359.3559999999998</v>
      </c>
      <c r="F941" s="129" t="s">
        <v>379</v>
      </c>
      <c r="G941" s="131"/>
      <c r="H941" s="131"/>
      <c r="I941" s="132">
        <v>168240842</v>
      </c>
      <c r="J941" s="133" t="s">
        <v>366</v>
      </c>
      <c r="K941" s="133" t="s">
        <v>380</v>
      </c>
      <c r="L941" s="133" t="s">
        <v>381</v>
      </c>
      <c r="M941" s="133" t="s">
        <v>246</v>
      </c>
      <c r="N941" s="133"/>
      <c r="O941" s="133"/>
    </row>
    <row r="942" spans="1:15">
      <c r="A942" s="124" t="s">
        <v>377</v>
      </c>
      <c r="B942" s="124">
        <v>28497</v>
      </c>
      <c r="C942" s="125">
        <v>45657</v>
      </c>
      <c r="D942" s="124" t="s">
        <v>386</v>
      </c>
      <c r="E942" s="126">
        <v>3437.4569999999999</v>
      </c>
      <c r="F942" s="124" t="s">
        <v>379</v>
      </c>
      <c r="G942" s="126"/>
      <c r="H942" s="126"/>
      <c r="I942" s="127">
        <v>123000176</v>
      </c>
      <c r="J942" s="128" t="s">
        <v>366</v>
      </c>
      <c r="K942" s="128" t="s">
        <v>380</v>
      </c>
      <c r="L942" s="128" t="s">
        <v>384</v>
      </c>
      <c r="M942" s="128" t="s">
        <v>385</v>
      </c>
      <c r="N942" s="128"/>
      <c r="O942" s="128"/>
    </row>
    <row r="943" spans="1:15">
      <c r="A943" s="129" t="s">
        <v>377</v>
      </c>
      <c r="B943" s="129">
        <v>28497</v>
      </c>
      <c r="C943" s="130">
        <v>45657</v>
      </c>
      <c r="D943" s="129" t="s">
        <v>386</v>
      </c>
      <c r="E943" s="131">
        <v>6609.3879999999999</v>
      </c>
      <c r="F943" s="129" t="s">
        <v>379</v>
      </c>
      <c r="G943" s="131"/>
      <c r="H943" s="131"/>
      <c r="I943" s="132">
        <v>168216401</v>
      </c>
      <c r="J943" s="133" t="s">
        <v>366</v>
      </c>
      <c r="K943" s="133" t="s">
        <v>380</v>
      </c>
      <c r="L943" s="133" t="s">
        <v>382</v>
      </c>
      <c r="M943" s="133" t="s">
        <v>383</v>
      </c>
      <c r="N943" s="133"/>
      <c r="O943" s="133"/>
    </row>
    <row r="944" spans="1:15">
      <c r="A944" s="124" t="s">
        <v>387</v>
      </c>
      <c r="B944" s="124" t="s">
        <v>388</v>
      </c>
      <c r="C944" s="125" t="s">
        <v>389</v>
      </c>
      <c r="D944" s="124" t="s">
        <v>390</v>
      </c>
      <c r="E944" s="126">
        <v>15784.076999999999</v>
      </c>
      <c r="F944" s="124" t="s">
        <v>391</v>
      </c>
      <c r="G944" s="126"/>
      <c r="H944" s="126">
        <v>15547315.849996645</v>
      </c>
      <c r="I944" s="127">
        <v>9271175387.6700001</v>
      </c>
      <c r="J944" s="128" t="s">
        <v>366</v>
      </c>
      <c r="K944" s="128" t="s">
        <v>392</v>
      </c>
      <c r="L944" s="128" t="s">
        <v>393</v>
      </c>
      <c r="M944" s="128" t="s">
        <v>394</v>
      </c>
      <c r="N944" s="128"/>
      <c r="O944" s="128"/>
    </row>
    <row r="945" spans="1:15">
      <c r="A945" s="129" t="s">
        <v>387</v>
      </c>
      <c r="B945" s="129"/>
      <c r="C945" s="130" t="s">
        <v>395</v>
      </c>
      <c r="D945" s="129" t="s">
        <v>390</v>
      </c>
      <c r="E945" s="131">
        <v>17891.239000000001</v>
      </c>
      <c r="F945" s="129" t="s">
        <v>391</v>
      </c>
      <c r="G945" s="131"/>
      <c r="H945" s="131">
        <v>17622870.419992622</v>
      </c>
      <c r="I945" s="132">
        <v>10508870088.85</v>
      </c>
      <c r="J945" s="133" t="s">
        <v>366</v>
      </c>
      <c r="K945" s="133" t="s">
        <v>392</v>
      </c>
      <c r="L945" s="133" t="s">
        <v>393</v>
      </c>
      <c r="M945" s="133" t="s">
        <v>394</v>
      </c>
      <c r="N945" s="133"/>
      <c r="O945" s="133"/>
    </row>
    <row r="946" spans="1:15">
      <c r="A946" s="124" t="s">
        <v>387</v>
      </c>
      <c r="B946" s="124"/>
      <c r="C946" s="125" t="s">
        <v>396</v>
      </c>
      <c r="D946" s="124" t="s">
        <v>390</v>
      </c>
      <c r="E946" s="126">
        <v>9654.9619999999995</v>
      </c>
      <c r="F946" s="124" t="s">
        <v>391</v>
      </c>
      <c r="G946" s="126"/>
      <c r="H946" s="126">
        <v>9696478.3400020115</v>
      </c>
      <c r="I946" s="127">
        <v>5782203963.71</v>
      </c>
      <c r="J946" s="128" t="s">
        <v>366</v>
      </c>
      <c r="K946" s="128" t="s">
        <v>392</v>
      </c>
      <c r="L946" s="128" t="s">
        <v>397</v>
      </c>
      <c r="M946" s="128" t="s">
        <v>394</v>
      </c>
      <c r="N946" s="128"/>
      <c r="O946" s="128"/>
    </row>
    <row r="947" spans="1:15">
      <c r="A947" s="129" t="s">
        <v>387</v>
      </c>
      <c r="B947" s="129"/>
      <c r="C947" s="130" t="s">
        <v>395</v>
      </c>
      <c r="D947" s="129" t="s">
        <v>398</v>
      </c>
      <c r="E947" s="131"/>
      <c r="F947" s="129" t="s">
        <v>391</v>
      </c>
      <c r="G947" s="131"/>
      <c r="H947" s="131">
        <v>-458910.28000067075</v>
      </c>
      <c r="I947" s="132">
        <v>-273657378.17000002</v>
      </c>
      <c r="J947" s="133" t="s">
        <v>366</v>
      </c>
      <c r="K947" s="133" t="s">
        <v>392</v>
      </c>
      <c r="L947" s="133" t="s">
        <v>393</v>
      </c>
      <c r="M947" s="133" t="s">
        <v>394</v>
      </c>
      <c r="N947" s="133"/>
      <c r="O947" s="133"/>
    </row>
    <row r="948" spans="1:15">
      <c r="A948" s="124" t="s">
        <v>387</v>
      </c>
      <c r="B948" s="124"/>
      <c r="C948" s="125" t="s">
        <v>389</v>
      </c>
      <c r="D948" s="124" t="s">
        <v>390</v>
      </c>
      <c r="E948" s="126"/>
      <c r="F948" s="124" t="s">
        <v>391</v>
      </c>
      <c r="G948" s="126"/>
      <c r="H948" s="126">
        <v>0</v>
      </c>
      <c r="I948" s="127">
        <v>0</v>
      </c>
      <c r="J948" s="128" t="s">
        <v>366</v>
      </c>
      <c r="K948" s="128" t="s">
        <v>392</v>
      </c>
      <c r="L948" s="128" t="s">
        <v>393</v>
      </c>
      <c r="M948" s="128" t="s">
        <v>394</v>
      </c>
      <c r="N948" s="128"/>
      <c r="O948" s="128"/>
    </row>
    <row r="949" spans="1:15">
      <c r="A949" s="129" t="s">
        <v>387</v>
      </c>
      <c r="B949" s="129"/>
      <c r="C949" s="130" t="s">
        <v>389</v>
      </c>
      <c r="D949" s="129" t="s">
        <v>398</v>
      </c>
      <c r="E949" s="131"/>
      <c r="F949" s="129" t="s">
        <v>391</v>
      </c>
      <c r="G949" s="131"/>
      <c r="H949" s="131">
        <v>-405335.09999664611</v>
      </c>
      <c r="I949" s="132">
        <v>-241709426.83000001</v>
      </c>
      <c r="J949" s="133" t="s">
        <v>366</v>
      </c>
      <c r="K949" s="133" t="s">
        <v>392</v>
      </c>
      <c r="L949" s="133" t="s">
        <v>393</v>
      </c>
      <c r="M949" s="133" t="s">
        <v>394</v>
      </c>
      <c r="N949" s="133"/>
      <c r="O949" s="133"/>
    </row>
    <row r="950" spans="1:15">
      <c r="A950" s="124" t="s">
        <v>387</v>
      </c>
      <c r="B950" s="124"/>
      <c r="C950" s="125" t="s">
        <v>399</v>
      </c>
      <c r="D950" s="124" t="s">
        <v>400</v>
      </c>
      <c r="E950" s="126">
        <v>50</v>
      </c>
      <c r="F950" s="124" t="s">
        <v>391</v>
      </c>
      <c r="G950" s="126"/>
      <c r="H950" s="126">
        <v>6995.4702272787135</v>
      </c>
      <c r="I950" s="127">
        <v>4250000</v>
      </c>
      <c r="J950" s="128" t="s">
        <v>289</v>
      </c>
      <c r="K950" s="128" t="s">
        <v>392</v>
      </c>
      <c r="L950" s="128" t="s">
        <v>401</v>
      </c>
      <c r="M950" s="128" t="s">
        <v>261</v>
      </c>
      <c r="N950" s="128"/>
      <c r="O950" s="128"/>
    </row>
    <row r="951" spans="1:15">
      <c r="A951" s="129" t="s">
        <v>387</v>
      </c>
      <c r="B951" s="129"/>
      <c r="C951" s="130" t="s">
        <v>399</v>
      </c>
      <c r="D951" s="129" t="s">
        <v>400</v>
      </c>
      <c r="E951" s="131">
        <v>50</v>
      </c>
      <c r="F951" s="129" t="s">
        <v>391</v>
      </c>
      <c r="G951" s="131"/>
      <c r="H951" s="131">
        <v>6995.4702272787135</v>
      </c>
      <c r="I951" s="132">
        <v>4250000</v>
      </c>
      <c r="J951" s="133" t="s">
        <v>289</v>
      </c>
      <c r="K951" s="133" t="s">
        <v>392</v>
      </c>
      <c r="L951" s="133" t="s">
        <v>401</v>
      </c>
      <c r="M951" s="133" t="s">
        <v>261</v>
      </c>
      <c r="N951" s="133"/>
      <c r="O951" s="133"/>
    </row>
    <row r="952" spans="1:15">
      <c r="A952" s="124" t="s">
        <v>387</v>
      </c>
      <c r="B952" s="124"/>
      <c r="C952" s="125" t="s">
        <v>402</v>
      </c>
      <c r="D952" s="124" t="s">
        <v>400</v>
      </c>
      <c r="E952" s="126">
        <v>50</v>
      </c>
      <c r="F952" s="124" t="s">
        <v>391</v>
      </c>
      <c r="G952" s="126"/>
      <c r="H952" s="126">
        <v>6995.4702272787135</v>
      </c>
      <c r="I952" s="127">
        <v>4250000</v>
      </c>
      <c r="J952" s="128" t="s">
        <v>289</v>
      </c>
      <c r="K952" s="128" t="s">
        <v>392</v>
      </c>
      <c r="L952" s="128" t="s">
        <v>401</v>
      </c>
      <c r="M952" s="128" t="s">
        <v>261</v>
      </c>
      <c r="N952" s="128"/>
      <c r="O952" s="128"/>
    </row>
    <row r="953" spans="1:15">
      <c r="A953" s="129" t="s">
        <v>387</v>
      </c>
      <c r="B953" s="129"/>
      <c r="C953" s="130" t="s">
        <v>402</v>
      </c>
      <c r="D953" s="129" t="s">
        <v>400</v>
      </c>
      <c r="E953" s="131">
        <v>52</v>
      </c>
      <c r="F953" s="129" t="s">
        <v>391</v>
      </c>
      <c r="G953" s="131"/>
      <c r="H953" s="131">
        <v>7275.2890363698616</v>
      </c>
      <c r="I953" s="132">
        <v>4420000</v>
      </c>
      <c r="J953" s="133" t="s">
        <v>289</v>
      </c>
      <c r="K953" s="133" t="s">
        <v>392</v>
      </c>
      <c r="L953" s="133" t="s">
        <v>401</v>
      </c>
      <c r="M953" s="133" t="s">
        <v>261</v>
      </c>
      <c r="N953" s="133"/>
      <c r="O953" s="133"/>
    </row>
    <row r="954" spans="1:15">
      <c r="A954" s="124" t="s">
        <v>387</v>
      </c>
      <c r="B954" s="124"/>
      <c r="C954" s="125" t="s">
        <v>402</v>
      </c>
      <c r="D954" s="124" t="s">
        <v>400</v>
      </c>
      <c r="E954" s="126">
        <v>50</v>
      </c>
      <c r="F954" s="124" t="s">
        <v>391</v>
      </c>
      <c r="G954" s="126"/>
      <c r="H954" s="126">
        <v>6995.4702272787135</v>
      </c>
      <c r="I954" s="127">
        <v>4250000</v>
      </c>
      <c r="J954" s="128" t="s">
        <v>289</v>
      </c>
      <c r="K954" s="128" t="s">
        <v>392</v>
      </c>
      <c r="L954" s="128" t="s">
        <v>401</v>
      </c>
      <c r="M954" s="128" t="s">
        <v>261</v>
      </c>
      <c r="N954" s="128"/>
      <c r="O954" s="128"/>
    </row>
    <row r="955" spans="1:15">
      <c r="A955" s="129" t="s">
        <v>387</v>
      </c>
      <c r="B955" s="129"/>
      <c r="C955" s="130" t="s">
        <v>402</v>
      </c>
      <c r="D955" s="129" t="s">
        <v>400</v>
      </c>
      <c r="E955" s="131">
        <v>51</v>
      </c>
      <c r="F955" s="129" t="s">
        <v>391</v>
      </c>
      <c r="G955" s="131"/>
      <c r="H955" s="131">
        <v>7135.3796318242876</v>
      </c>
      <c r="I955" s="132">
        <v>4335000</v>
      </c>
      <c r="J955" s="133" t="s">
        <v>289</v>
      </c>
      <c r="K955" s="133" t="s">
        <v>392</v>
      </c>
      <c r="L955" s="133" t="s">
        <v>401</v>
      </c>
      <c r="M955" s="133" t="s">
        <v>261</v>
      </c>
      <c r="N955" s="133"/>
      <c r="O955" s="133"/>
    </row>
    <row r="956" spans="1:15">
      <c r="A956" s="124" t="s">
        <v>387</v>
      </c>
      <c r="B956" s="124"/>
      <c r="C956" s="125" t="s">
        <v>402</v>
      </c>
      <c r="D956" s="124" t="s">
        <v>400</v>
      </c>
      <c r="E956" s="126">
        <v>50</v>
      </c>
      <c r="F956" s="124" t="s">
        <v>391</v>
      </c>
      <c r="G956" s="126"/>
      <c r="H956" s="126">
        <v>6995.4702272787135</v>
      </c>
      <c r="I956" s="127">
        <v>4250000</v>
      </c>
      <c r="J956" s="128" t="s">
        <v>289</v>
      </c>
      <c r="K956" s="128" t="s">
        <v>392</v>
      </c>
      <c r="L956" s="128" t="s">
        <v>401</v>
      </c>
      <c r="M956" s="128" t="s">
        <v>261</v>
      </c>
      <c r="N956" s="128"/>
      <c r="O956" s="128"/>
    </row>
    <row r="957" spans="1:15">
      <c r="A957" s="129" t="s">
        <v>387</v>
      </c>
      <c r="B957" s="129"/>
      <c r="C957" s="130" t="s">
        <v>402</v>
      </c>
      <c r="D957" s="129" t="s">
        <v>400</v>
      </c>
      <c r="E957" s="131">
        <v>50</v>
      </c>
      <c r="F957" s="129" t="s">
        <v>391</v>
      </c>
      <c r="G957" s="131"/>
      <c r="H957" s="131">
        <v>6995.4702272787135</v>
      </c>
      <c r="I957" s="132">
        <v>4250000</v>
      </c>
      <c r="J957" s="133" t="s">
        <v>289</v>
      </c>
      <c r="K957" s="133" t="s">
        <v>392</v>
      </c>
      <c r="L957" s="133" t="s">
        <v>401</v>
      </c>
      <c r="M957" s="133" t="s">
        <v>261</v>
      </c>
      <c r="N957" s="133"/>
      <c r="O957" s="133"/>
    </row>
    <row r="958" spans="1:15">
      <c r="A958" s="124" t="s">
        <v>387</v>
      </c>
      <c r="B958" s="124"/>
      <c r="C958" s="125" t="s">
        <v>402</v>
      </c>
      <c r="D958" s="124" t="s">
        <v>400</v>
      </c>
      <c r="E958" s="126">
        <v>50</v>
      </c>
      <c r="F958" s="124" t="s">
        <v>391</v>
      </c>
      <c r="G958" s="126"/>
      <c r="H958" s="126">
        <v>6995.4702272787135</v>
      </c>
      <c r="I958" s="127">
        <v>4250000</v>
      </c>
      <c r="J958" s="128" t="s">
        <v>289</v>
      </c>
      <c r="K958" s="128" t="s">
        <v>392</v>
      </c>
      <c r="L958" s="128" t="s">
        <v>401</v>
      </c>
      <c r="M958" s="128" t="s">
        <v>261</v>
      </c>
      <c r="N958" s="128"/>
      <c r="O958" s="128"/>
    </row>
    <row r="959" spans="1:15">
      <c r="A959" s="129" t="s">
        <v>387</v>
      </c>
      <c r="B959" s="129"/>
      <c r="C959" s="130" t="s">
        <v>402</v>
      </c>
      <c r="D959" s="129" t="s">
        <v>400</v>
      </c>
      <c r="E959" s="131">
        <v>50</v>
      </c>
      <c r="F959" s="129" t="s">
        <v>391</v>
      </c>
      <c r="G959" s="131"/>
      <c r="H959" s="131">
        <v>6995.4702272787135</v>
      </c>
      <c r="I959" s="132">
        <v>4250000</v>
      </c>
      <c r="J959" s="133" t="s">
        <v>289</v>
      </c>
      <c r="K959" s="133" t="s">
        <v>392</v>
      </c>
      <c r="L959" s="133" t="s">
        <v>401</v>
      </c>
      <c r="M959" s="133" t="s">
        <v>261</v>
      </c>
      <c r="N959" s="133"/>
      <c r="O959" s="133"/>
    </row>
    <row r="960" spans="1:15">
      <c r="A960" s="124" t="s">
        <v>387</v>
      </c>
      <c r="B960" s="124"/>
      <c r="C960" s="125" t="s">
        <v>402</v>
      </c>
      <c r="D960" s="124" t="s">
        <v>400</v>
      </c>
      <c r="E960" s="126">
        <v>50</v>
      </c>
      <c r="F960" s="124" t="s">
        <v>391</v>
      </c>
      <c r="G960" s="126"/>
      <c r="H960" s="126">
        <v>6995.4702272787135</v>
      </c>
      <c r="I960" s="127">
        <v>4250000</v>
      </c>
      <c r="J960" s="128" t="s">
        <v>289</v>
      </c>
      <c r="K960" s="128" t="s">
        <v>392</v>
      </c>
      <c r="L960" s="128" t="s">
        <v>401</v>
      </c>
      <c r="M960" s="128" t="s">
        <v>261</v>
      </c>
      <c r="N960" s="128"/>
      <c r="O960" s="128"/>
    </row>
    <row r="961" spans="1:15">
      <c r="A961" s="129" t="s">
        <v>387</v>
      </c>
      <c r="B961" s="129"/>
      <c r="C961" s="130" t="s">
        <v>402</v>
      </c>
      <c r="D961" s="129" t="s">
        <v>400</v>
      </c>
      <c r="E961" s="131">
        <v>50</v>
      </c>
      <c r="F961" s="129" t="s">
        <v>391</v>
      </c>
      <c r="G961" s="131"/>
      <c r="H961" s="131">
        <v>6995.4702272787135</v>
      </c>
      <c r="I961" s="132">
        <v>4250000</v>
      </c>
      <c r="J961" s="133" t="s">
        <v>289</v>
      </c>
      <c r="K961" s="133" t="s">
        <v>392</v>
      </c>
      <c r="L961" s="133" t="s">
        <v>401</v>
      </c>
      <c r="M961" s="133" t="s">
        <v>261</v>
      </c>
      <c r="N961" s="133"/>
      <c r="O961" s="133"/>
    </row>
    <row r="962" spans="1:15">
      <c r="A962" s="124" t="s">
        <v>387</v>
      </c>
      <c r="B962" s="124"/>
      <c r="C962" s="125" t="s">
        <v>399</v>
      </c>
      <c r="D962" s="124" t="s">
        <v>400</v>
      </c>
      <c r="E962" s="126">
        <v>52</v>
      </c>
      <c r="F962" s="124" t="s">
        <v>391</v>
      </c>
      <c r="G962" s="126"/>
      <c r="H962" s="126">
        <v>7275.2890363698616</v>
      </c>
      <c r="I962" s="127">
        <v>4420000</v>
      </c>
      <c r="J962" s="128" t="s">
        <v>289</v>
      </c>
      <c r="K962" s="128" t="s">
        <v>392</v>
      </c>
      <c r="L962" s="128" t="s">
        <v>401</v>
      </c>
      <c r="M962" s="128" t="s">
        <v>261</v>
      </c>
      <c r="N962" s="128"/>
      <c r="O962" s="128"/>
    </row>
    <row r="963" spans="1:15">
      <c r="A963" s="129" t="s">
        <v>387</v>
      </c>
      <c r="B963" s="129"/>
      <c r="C963" s="130" t="s">
        <v>399</v>
      </c>
      <c r="D963" s="129" t="s">
        <v>400</v>
      </c>
      <c r="E963" s="131">
        <v>51</v>
      </c>
      <c r="F963" s="129" t="s">
        <v>391</v>
      </c>
      <c r="G963" s="131"/>
      <c r="H963" s="131">
        <v>7135.3796318242876</v>
      </c>
      <c r="I963" s="132">
        <v>4335000</v>
      </c>
      <c r="J963" s="133" t="s">
        <v>289</v>
      </c>
      <c r="K963" s="133" t="s">
        <v>392</v>
      </c>
      <c r="L963" s="133" t="s">
        <v>401</v>
      </c>
      <c r="M963" s="133" t="s">
        <v>261</v>
      </c>
      <c r="N963" s="133"/>
      <c r="O963" s="133"/>
    </row>
    <row r="964" spans="1:15">
      <c r="A964" s="124" t="s">
        <v>387</v>
      </c>
      <c r="B964" s="124"/>
      <c r="C964" s="125" t="s">
        <v>399</v>
      </c>
      <c r="D964" s="124" t="s">
        <v>400</v>
      </c>
      <c r="E964" s="126">
        <v>50</v>
      </c>
      <c r="F964" s="124" t="s">
        <v>391</v>
      </c>
      <c r="G964" s="126"/>
      <c r="H964" s="126">
        <v>6995.4702272787135</v>
      </c>
      <c r="I964" s="127">
        <v>4250000</v>
      </c>
      <c r="J964" s="128" t="s">
        <v>289</v>
      </c>
      <c r="K964" s="128" t="s">
        <v>392</v>
      </c>
      <c r="L964" s="128" t="s">
        <v>401</v>
      </c>
      <c r="M964" s="128" t="s">
        <v>261</v>
      </c>
      <c r="N964" s="128"/>
      <c r="O964" s="128"/>
    </row>
    <row r="965" spans="1:15">
      <c r="A965" s="129" t="s">
        <v>387</v>
      </c>
      <c r="B965" s="129"/>
      <c r="C965" s="130" t="s">
        <v>399</v>
      </c>
      <c r="D965" s="129" t="s">
        <v>400</v>
      </c>
      <c r="E965" s="131">
        <v>51</v>
      </c>
      <c r="F965" s="129" t="s">
        <v>391</v>
      </c>
      <c r="G965" s="131"/>
      <c r="H965" s="131">
        <v>7135.3796318242876</v>
      </c>
      <c r="I965" s="132">
        <v>4335000</v>
      </c>
      <c r="J965" s="133" t="s">
        <v>289</v>
      </c>
      <c r="K965" s="133" t="s">
        <v>392</v>
      </c>
      <c r="L965" s="133" t="s">
        <v>401</v>
      </c>
      <c r="M965" s="133" t="s">
        <v>261</v>
      </c>
      <c r="N965" s="133"/>
      <c r="O965" s="133"/>
    </row>
    <row r="966" spans="1:15">
      <c r="A966" s="124" t="s">
        <v>387</v>
      </c>
      <c r="B966" s="124"/>
      <c r="C966" s="125" t="s">
        <v>399</v>
      </c>
      <c r="D966" s="124" t="s">
        <v>400</v>
      </c>
      <c r="E966" s="126">
        <v>50</v>
      </c>
      <c r="F966" s="124" t="s">
        <v>391</v>
      </c>
      <c r="G966" s="126"/>
      <c r="H966" s="126">
        <v>6995.4702272787135</v>
      </c>
      <c r="I966" s="127">
        <v>4250000</v>
      </c>
      <c r="J966" s="128" t="s">
        <v>289</v>
      </c>
      <c r="K966" s="128" t="s">
        <v>392</v>
      </c>
      <c r="L966" s="128" t="s">
        <v>401</v>
      </c>
      <c r="M966" s="128" t="s">
        <v>261</v>
      </c>
      <c r="N966" s="128"/>
      <c r="O966" s="128"/>
    </row>
    <row r="967" spans="1:15">
      <c r="A967" s="129" t="s">
        <v>387</v>
      </c>
      <c r="B967" s="129"/>
      <c r="C967" s="130" t="s">
        <v>399</v>
      </c>
      <c r="D967" s="129" t="s">
        <v>400</v>
      </c>
      <c r="E967" s="131">
        <v>52</v>
      </c>
      <c r="F967" s="129" t="s">
        <v>391</v>
      </c>
      <c r="G967" s="131"/>
      <c r="H967" s="131">
        <v>7275.2890363698616</v>
      </c>
      <c r="I967" s="132">
        <v>4420000</v>
      </c>
      <c r="J967" s="133" t="s">
        <v>289</v>
      </c>
      <c r="K967" s="133" t="s">
        <v>392</v>
      </c>
      <c r="L967" s="133" t="s">
        <v>401</v>
      </c>
      <c r="M967" s="133" t="s">
        <v>261</v>
      </c>
      <c r="N967" s="133"/>
      <c r="O967" s="133"/>
    </row>
    <row r="968" spans="1:15">
      <c r="A968" s="124" t="s">
        <v>387</v>
      </c>
      <c r="B968" s="124"/>
      <c r="C968" s="125" t="s">
        <v>399</v>
      </c>
      <c r="D968" s="124" t="s">
        <v>400</v>
      </c>
      <c r="E968" s="126">
        <v>51</v>
      </c>
      <c r="F968" s="124" t="s">
        <v>391</v>
      </c>
      <c r="G968" s="126"/>
      <c r="H968" s="126">
        <v>7135.3796318242876</v>
      </c>
      <c r="I968" s="127">
        <v>4335000</v>
      </c>
      <c r="J968" s="128" t="s">
        <v>289</v>
      </c>
      <c r="K968" s="128" t="s">
        <v>392</v>
      </c>
      <c r="L968" s="128" t="s">
        <v>401</v>
      </c>
      <c r="M968" s="128" t="s">
        <v>261</v>
      </c>
      <c r="N968" s="128"/>
      <c r="O968" s="128"/>
    </row>
    <row r="969" spans="1:15">
      <c r="A969" s="129" t="s">
        <v>387</v>
      </c>
      <c r="B969" s="129"/>
      <c r="C969" s="130" t="s">
        <v>399</v>
      </c>
      <c r="D969" s="129" t="s">
        <v>400</v>
      </c>
      <c r="E969" s="131">
        <v>51</v>
      </c>
      <c r="F969" s="129" t="s">
        <v>391</v>
      </c>
      <c r="G969" s="131"/>
      <c r="H969" s="131">
        <v>7135.3796318242876</v>
      </c>
      <c r="I969" s="132">
        <v>4335000</v>
      </c>
      <c r="J969" s="133" t="s">
        <v>289</v>
      </c>
      <c r="K969" s="133" t="s">
        <v>392</v>
      </c>
      <c r="L969" s="133" t="s">
        <v>401</v>
      </c>
      <c r="M969" s="133" t="s">
        <v>261</v>
      </c>
      <c r="N969" s="133"/>
      <c r="O969" s="133"/>
    </row>
    <row r="970" spans="1:15">
      <c r="A970" s="124" t="s">
        <v>387</v>
      </c>
      <c r="B970" s="124"/>
      <c r="C970" s="125" t="s">
        <v>399</v>
      </c>
      <c r="D970" s="124" t="s">
        <v>403</v>
      </c>
      <c r="E970" s="126">
        <v>27123.999</v>
      </c>
      <c r="F970" s="124" t="s">
        <v>391</v>
      </c>
      <c r="G970" s="126"/>
      <c r="H970" s="126">
        <v>16355771.399999345</v>
      </c>
      <c r="I970" s="127">
        <v>9936719933.2700005</v>
      </c>
      <c r="J970" s="128" t="s">
        <v>289</v>
      </c>
      <c r="K970" s="128" t="s">
        <v>392</v>
      </c>
      <c r="L970" s="128" t="s">
        <v>404</v>
      </c>
      <c r="M970" s="128" t="s">
        <v>226</v>
      </c>
      <c r="N970" s="128"/>
      <c r="O970" s="128"/>
    </row>
    <row r="971" spans="1:15">
      <c r="A971" s="129" t="s">
        <v>387</v>
      </c>
      <c r="B971" s="129"/>
      <c r="C971" s="130" t="s">
        <v>405</v>
      </c>
      <c r="D971" s="129" t="s">
        <v>390</v>
      </c>
      <c r="E971" s="131">
        <v>17217.778999999999</v>
      </c>
      <c r="F971" s="129" t="s">
        <v>391</v>
      </c>
      <c r="G971" s="131"/>
      <c r="H971" s="131">
        <v>16666810.070004085</v>
      </c>
      <c r="I971" s="132">
        <v>10125687122.690001</v>
      </c>
      <c r="J971" s="133" t="s">
        <v>366</v>
      </c>
      <c r="K971" s="133" t="s">
        <v>392</v>
      </c>
      <c r="L971" s="133" t="s">
        <v>393</v>
      </c>
      <c r="M971" s="133" t="s">
        <v>394</v>
      </c>
      <c r="N971" s="133"/>
      <c r="O971" s="133"/>
    </row>
    <row r="972" spans="1:15">
      <c r="A972" s="124" t="s">
        <v>387</v>
      </c>
      <c r="B972" s="124"/>
      <c r="C972" s="125" t="s">
        <v>406</v>
      </c>
      <c r="D972" s="124" t="s">
        <v>407</v>
      </c>
      <c r="E972" s="126">
        <v>49</v>
      </c>
      <c r="F972" s="124" t="s">
        <v>391</v>
      </c>
      <c r="G972" s="126"/>
      <c r="H972" s="126">
        <v>27946.492059729797</v>
      </c>
      <c r="I972" s="127">
        <v>16978500</v>
      </c>
      <c r="J972" s="128" t="s">
        <v>289</v>
      </c>
      <c r="K972" s="128" t="s">
        <v>392</v>
      </c>
      <c r="L972" s="128" t="s">
        <v>408</v>
      </c>
      <c r="M972" s="128" t="s">
        <v>261</v>
      </c>
      <c r="N972" s="128"/>
      <c r="O972" s="128"/>
    </row>
    <row r="973" spans="1:15">
      <c r="A973" s="129" t="s">
        <v>387</v>
      </c>
      <c r="B973" s="129"/>
      <c r="C973" s="130" t="s">
        <v>406</v>
      </c>
      <c r="D973" s="129" t="s">
        <v>407</v>
      </c>
      <c r="E973" s="131">
        <v>49</v>
      </c>
      <c r="F973" s="129" t="s">
        <v>391</v>
      </c>
      <c r="G973" s="131"/>
      <c r="H973" s="131">
        <v>27946.492059729797</v>
      </c>
      <c r="I973" s="132">
        <v>16978500</v>
      </c>
      <c r="J973" s="133" t="s">
        <v>289</v>
      </c>
      <c r="K973" s="133" t="s">
        <v>392</v>
      </c>
      <c r="L973" s="133" t="s">
        <v>408</v>
      </c>
      <c r="M973" s="133" t="s">
        <v>261</v>
      </c>
      <c r="N973" s="133"/>
      <c r="O973" s="133"/>
    </row>
    <row r="974" spans="1:15">
      <c r="A974" s="124" t="s">
        <v>387</v>
      </c>
      <c r="B974" s="124"/>
      <c r="C974" s="125" t="s">
        <v>406</v>
      </c>
      <c r="D974" s="124" t="s">
        <v>407</v>
      </c>
      <c r="E974" s="126">
        <v>49</v>
      </c>
      <c r="F974" s="124" t="s">
        <v>391</v>
      </c>
      <c r="G974" s="126"/>
      <c r="H974" s="126">
        <v>27946.492059729797</v>
      </c>
      <c r="I974" s="127">
        <v>16978500</v>
      </c>
      <c r="J974" s="128" t="s">
        <v>289</v>
      </c>
      <c r="K974" s="128" t="s">
        <v>392</v>
      </c>
      <c r="L974" s="128" t="s">
        <v>408</v>
      </c>
      <c r="M974" s="128" t="s">
        <v>261</v>
      </c>
      <c r="N974" s="128"/>
      <c r="O974" s="128"/>
    </row>
    <row r="975" spans="1:15">
      <c r="A975" s="129" t="s">
        <v>387</v>
      </c>
      <c r="B975" s="129"/>
      <c r="C975" s="130" t="s">
        <v>406</v>
      </c>
      <c r="D975" s="129" t="s">
        <v>407</v>
      </c>
      <c r="E975" s="131">
        <v>49</v>
      </c>
      <c r="F975" s="129" t="s">
        <v>391</v>
      </c>
      <c r="G975" s="131"/>
      <c r="H975" s="131">
        <v>27946.492059729797</v>
      </c>
      <c r="I975" s="132">
        <v>16978500</v>
      </c>
      <c r="J975" s="133" t="s">
        <v>289</v>
      </c>
      <c r="K975" s="133" t="s">
        <v>392</v>
      </c>
      <c r="L975" s="133" t="s">
        <v>408</v>
      </c>
      <c r="M975" s="133" t="s">
        <v>261</v>
      </c>
      <c r="N975" s="133"/>
      <c r="O975" s="133"/>
    </row>
    <row r="976" spans="1:15">
      <c r="A976" s="124" t="s">
        <v>387</v>
      </c>
      <c r="B976" s="124"/>
      <c r="C976" s="125" t="s">
        <v>406</v>
      </c>
      <c r="D976" s="124" t="s">
        <v>407</v>
      </c>
      <c r="E976" s="126">
        <v>49</v>
      </c>
      <c r="F976" s="124" t="s">
        <v>391</v>
      </c>
      <c r="G976" s="126"/>
      <c r="H976" s="126">
        <v>27946.492059729797</v>
      </c>
      <c r="I976" s="127">
        <v>16978500</v>
      </c>
      <c r="J976" s="128" t="s">
        <v>289</v>
      </c>
      <c r="K976" s="128" t="s">
        <v>392</v>
      </c>
      <c r="L976" s="128" t="s">
        <v>408</v>
      </c>
      <c r="M976" s="128" t="s">
        <v>261</v>
      </c>
      <c r="N976" s="128"/>
      <c r="O976" s="128"/>
    </row>
    <row r="977" spans="1:15">
      <c r="A977" s="129" t="s">
        <v>387</v>
      </c>
      <c r="B977" s="129"/>
      <c r="C977" s="130" t="s">
        <v>406</v>
      </c>
      <c r="D977" s="129" t="s">
        <v>407</v>
      </c>
      <c r="E977" s="131">
        <v>49</v>
      </c>
      <c r="F977" s="129" t="s">
        <v>391</v>
      </c>
      <c r="G977" s="131"/>
      <c r="H977" s="131">
        <v>27946.492059729797</v>
      </c>
      <c r="I977" s="132">
        <v>16978500</v>
      </c>
      <c r="J977" s="133" t="s">
        <v>289</v>
      </c>
      <c r="K977" s="133" t="s">
        <v>392</v>
      </c>
      <c r="L977" s="133" t="s">
        <v>408</v>
      </c>
      <c r="M977" s="133" t="s">
        <v>261</v>
      </c>
      <c r="N977" s="133"/>
      <c r="O977" s="133"/>
    </row>
    <row r="978" spans="1:15">
      <c r="A978" s="124" t="s">
        <v>387</v>
      </c>
      <c r="B978" s="124"/>
      <c r="C978" s="125" t="s">
        <v>406</v>
      </c>
      <c r="D978" s="124" t="s">
        <v>407</v>
      </c>
      <c r="E978" s="126">
        <v>49</v>
      </c>
      <c r="F978" s="124" t="s">
        <v>391</v>
      </c>
      <c r="G978" s="126"/>
      <c r="H978" s="126">
        <v>27946.492059729797</v>
      </c>
      <c r="I978" s="127">
        <v>16978500</v>
      </c>
      <c r="J978" s="128" t="s">
        <v>289</v>
      </c>
      <c r="K978" s="128" t="s">
        <v>392</v>
      </c>
      <c r="L978" s="128" t="s">
        <v>408</v>
      </c>
      <c r="M978" s="128" t="s">
        <v>261</v>
      </c>
      <c r="N978" s="128"/>
      <c r="O978" s="128"/>
    </row>
    <row r="979" spans="1:15">
      <c r="A979" s="129" t="s">
        <v>387</v>
      </c>
      <c r="B979" s="129"/>
      <c r="C979" s="130" t="s">
        <v>406</v>
      </c>
      <c r="D979" s="129" t="s">
        <v>407</v>
      </c>
      <c r="E979" s="131">
        <v>49</v>
      </c>
      <c r="F979" s="129" t="s">
        <v>391</v>
      </c>
      <c r="G979" s="131"/>
      <c r="H979" s="131">
        <v>27946.492059729797</v>
      </c>
      <c r="I979" s="132">
        <v>16978500</v>
      </c>
      <c r="J979" s="133" t="s">
        <v>289</v>
      </c>
      <c r="K979" s="133" t="s">
        <v>392</v>
      </c>
      <c r="L979" s="133" t="s">
        <v>408</v>
      </c>
      <c r="M979" s="133" t="s">
        <v>261</v>
      </c>
      <c r="N979" s="133"/>
      <c r="O979" s="133"/>
    </row>
    <row r="980" spans="1:15">
      <c r="A980" s="124" t="s">
        <v>387</v>
      </c>
      <c r="B980" s="124"/>
      <c r="C980" s="125" t="s">
        <v>406</v>
      </c>
      <c r="D980" s="124" t="s">
        <v>407</v>
      </c>
      <c r="E980" s="126">
        <v>49</v>
      </c>
      <c r="F980" s="124" t="s">
        <v>391</v>
      </c>
      <c r="G980" s="126"/>
      <c r="H980" s="126">
        <v>27946.492059729797</v>
      </c>
      <c r="I980" s="127">
        <v>16978500</v>
      </c>
      <c r="J980" s="128" t="s">
        <v>289</v>
      </c>
      <c r="K980" s="128" t="s">
        <v>392</v>
      </c>
      <c r="L980" s="128" t="s">
        <v>408</v>
      </c>
      <c r="M980" s="128" t="s">
        <v>261</v>
      </c>
      <c r="N980" s="128"/>
      <c r="O980" s="128"/>
    </row>
    <row r="981" spans="1:15">
      <c r="A981" s="129" t="s">
        <v>387</v>
      </c>
      <c r="B981" s="129"/>
      <c r="C981" s="130" t="s">
        <v>406</v>
      </c>
      <c r="D981" s="129" t="s">
        <v>407</v>
      </c>
      <c r="E981" s="131">
        <v>49</v>
      </c>
      <c r="F981" s="129" t="s">
        <v>391</v>
      </c>
      <c r="G981" s="131"/>
      <c r="H981" s="131">
        <v>27946.492059729797</v>
      </c>
      <c r="I981" s="132">
        <v>16978500</v>
      </c>
      <c r="J981" s="133" t="s">
        <v>289</v>
      </c>
      <c r="K981" s="133" t="s">
        <v>392</v>
      </c>
      <c r="L981" s="133" t="s">
        <v>408</v>
      </c>
      <c r="M981" s="133" t="s">
        <v>261</v>
      </c>
      <c r="N981" s="133"/>
      <c r="O981" s="133"/>
    </row>
    <row r="982" spans="1:15">
      <c r="A982" s="124" t="s">
        <v>387</v>
      </c>
      <c r="B982" s="124"/>
      <c r="C982" s="125" t="s">
        <v>406</v>
      </c>
      <c r="D982" s="124" t="s">
        <v>407</v>
      </c>
      <c r="E982" s="126">
        <v>49</v>
      </c>
      <c r="F982" s="124" t="s">
        <v>391</v>
      </c>
      <c r="G982" s="126"/>
      <c r="H982" s="126">
        <v>27946.492059729797</v>
      </c>
      <c r="I982" s="127">
        <v>16978500</v>
      </c>
      <c r="J982" s="128" t="s">
        <v>289</v>
      </c>
      <c r="K982" s="128" t="s">
        <v>392</v>
      </c>
      <c r="L982" s="128" t="s">
        <v>408</v>
      </c>
      <c r="M982" s="128" t="s">
        <v>261</v>
      </c>
      <c r="N982" s="128"/>
      <c r="O982" s="128"/>
    </row>
    <row r="983" spans="1:15">
      <c r="A983" s="129" t="s">
        <v>387</v>
      </c>
      <c r="B983" s="129"/>
      <c r="C983" s="130" t="s">
        <v>406</v>
      </c>
      <c r="D983" s="129" t="s">
        <v>407</v>
      </c>
      <c r="E983" s="131">
        <v>49</v>
      </c>
      <c r="F983" s="129" t="s">
        <v>391</v>
      </c>
      <c r="G983" s="131"/>
      <c r="H983" s="131">
        <v>27946.492059729797</v>
      </c>
      <c r="I983" s="132">
        <v>16978500</v>
      </c>
      <c r="J983" s="133" t="s">
        <v>289</v>
      </c>
      <c r="K983" s="133" t="s">
        <v>392</v>
      </c>
      <c r="L983" s="133" t="s">
        <v>408</v>
      </c>
      <c r="M983" s="133" t="s">
        <v>261</v>
      </c>
      <c r="N983" s="133"/>
      <c r="O983" s="133"/>
    </row>
    <row r="984" spans="1:15">
      <c r="A984" s="124" t="s">
        <v>387</v>
      </c>
      <c r="B984" s="124"/>
      <c r="C984" s="125" t="s">
        <v>406</v>
      </c>
      <c r="D984" s="124" t="s">
        <v>407</v>
      </c>
      <c r="E984" s="126">
        <v>49</v>
      </c>
      <c r="F984" s="124" t="s">
        <v>391</v>
      </c>
      <c r="G984" s="126"/>
      <c r="H984" s="126">
        <v>27946.492059729797</v>
      </c>
      <c r="I984" s="127">
        <v>16978500</v>
      </c>
      <c r="J984" s="128" t="s">
        <v>289</v>
      </c>
      <c r="K984" s="128" t="s">
        <v>392</v>
      </c>
      <c r="L984" s="128" t="s">
        <v>408</v>
      </c>
      <c r="M984" s="128" t="s">
        <v>261</v>
      </c>
      <c r="N984" s="128"/>
      <c r="O984" s="128"/>
    </row>
    <row r="985" spans="1:15">
      <c r="A985" s="129" t="s">
        <v>387</v>
      </c>
      <c r="B985" s="129"/>
      <c r="C985" s="130" t="s">
        <v>406</v>
      </c>
      <c r="D985" s="129" t="s">
        <v>407</v>
      </c>
      <c r="E985" s="131">
        <v>49</v>
      </c>
      <c r="F985" s="129" t="s">
        <v>391</v>
      </c>
      <c r="G985" s="131"/>
      <c r="H985" s="131">
        <v>27946.492059729797</v>
      </c>
      <c r="I985" s="132">
        <v>16978500</v>
      </c>
      <c r="J985" s="133" t="s">
        <v>289</v>
      </c>
      <c r="K985" s="133" t="s">
        <v>392</v>
      </c>
      <c r="L985" s="133" t="s">
        <v>408</v>
      </c>
      <c r="M985" s="133" t="s">
        <v>261</v>
      </c>
      <c r="N985" s="133"/>
      <c r="O985" s="133"/>
    </row>
    <row r="986" spans="1:15">
      <c r="A986" s="124" t="s">
        <v>387</v>
      </c>
      <c r="B986" s="124"/>
      <c r="C986" s="125" t="s">
        <v>406</v>
      </c>
      <c r="D986" s="124" t="s">
        <v>407</v>
      </c>
      <c r="E986" s="126">
        <v>49</v>
      </c>
      <c r="F986" s="124" t="s">
        <v>391</v>
      </c>
      <c r="G986" s="126"/>
      <c r="H986" s="126">
        <v>27946.492059729797</v>
      </c>
      <c r="I986" s="127">
        <v>16978500</v>
      </c>
      <c r="J986" s="128" t="s">
        <v>289</v>
      </c>
      <c r="K986" s="128" t="s">
        <v>392</v>
      </c>
      <c r="L986" s="128" t="s">
        <v>408</v>
      </c>
      <c r="M986" s="128" t="s">
        <v>261</v>
      </c>
      <c r="N986" s="128"/>
      <c r="O986" s="128"/>
    </row>
    <row r="987" spans="1:15">
      <c r="A987" s="129" t="s">
        <v>387</v>
      </c>
      <c r="B987" s="129"/>
      <c r="C987" s="130" t="s">
        <v>406</v>
      </c>
      <c r="D987" s="129" t="s">
        <v>407</v>
      </c>
      <c r="E987" s="131">
        <v>49</v>
      </c>
      <c r="F987" s="129" t="s">
        <v>391</v>
      </c>
      <c r="G987" s="131"/>
      <c r="H987" s="131">
        <v>27946.492059729797</v>
      </c>
      <c r="I987" s="132">
        <v>16978500</v>
      </c>
      <c r="J987" s="133" t="s">
        <v>289</v>
      </c>
      <c r="K987" s="133" t="s">
        <v>392</v>
      </c>
      <c r="L987" s="133" t="s">
        <v>408</v>
      </c>
      <c r="M987" s="133" t="s">
        <v>261</v>
      </c>
      <c r="N987" s="133"/>
      <c r="O987" s="133"/>
    </row>
    <row r="988" spans="1:15">
      <c r="A988" s="124" t="s">
        <v>387</v>
      </c>
      <c r="B988" s="124"/>
      <c r="C988" s="125" t="s">
        <v>409</v>
      </c>
      <c r="D988" s="124" t="s">
        <v>390</v>
      </c>
      <c r="E988" s="126">
        <v>17441.637999999999</v>
      </c>
      <c r="F988" s="124" t="s">
        <v>391</v>
      </c>
      <c r="G988" s="126"/>
      <c r="H988" s="126">
        <v>16883505.579998553</v>
      </c>
      <c r="I988" s="127">
        <v>10257337446.049999</v>
      </c>
      <c r="J988" s="128" t="s">
        <v>366</v>
      </c>
      <c r="K988" s="128" t="s">
        <v>392</v>
      </c>
      <c r="L988" s="128" t="s">
        <v>393</v>
      </c>
      <c r="M988" s="128" t="s">
        <v>394</v>
      </c>
      <c r="N988" s="128"/>
      <c r="O988" s="128"/>
    </row>
    <row r="989" spans="1:15">
      <c r="A989" s="129" t="s">
        <v>387</v>
      </c>
      <c r="B989" s="129"/>
      <c r="C989" s="130" t="s">
        <v>410</v>
      </c>
      <c r="D989" s="129" t="s">
        <v>390</v>
      </c>
      <c r="E989" s="131">
        <v>10790.59</v>
      </c>
      <c r="F989" s="129" t="s">
        <v>391</v>
      </c>
      <c r="G989" s="131"/>
      <c r="H989" s="131">
        <v>10836989.539994339</v>
      </c>
      <c r="I989" s="132">
        <v>6583861277.1700001</v>
      </c>
      <c r="J989" s="133" t="s">
        <v>366</v>
      </c>
      <c r="K989" s="133" t="s">
        <v>392</v>
      </c>
      <c r="L989" s="133" t="s">
        <v>397</v>
      </c>
      <c r="M989" s="133" t="s">
        <v>394</v>
      </c>
      <c r="N989" s="133"/>
      <c r="O989" s="133"/>
    </row>
    <row r="990" spans="1:15">
      <c r="A990" s="124" t="s">
        <v>387</v>
      </c>
      <c r="B990" s="124"/>
      <c r="C990" s="125" t="s">
        <v>410</v>
      </c>
      <c r="D990" s="124" t="s">
        <v>398</v>
      </c>
      <c r="E990" s="126"/>
      <c r="F990" s="124" t="s">
        <v>391</v>
      </c>
      <c r="G990" s="126"/>
      <c r="H990" s="126">
        <v>-147384.19000684735</v>
      </c>
      <c r="I990" s="127">
        <v>-89541201.260000005</v>
      </c>
      <c r="J990" s="128" t="s">
        <v>366</v>
      </c>
      <c r="K990" s="128" t="s">
        <v>392</v>
      </c>
      <c r="L990" s="128" t="s">
        <v>393</v>
      </c>
      <c r="M990" s="128" t="s">
        <v>394</v>
      </c>
      <c r="N990" s="128"/>
      <c r="O990" s="128"/>
    </row>
    <row r="991" spans="1:15">
      <c r="A991" s="129" t="s">
        <v>387</v>
      </c>
      <c r="B991" s="129"/>
      <c r="C991" s="130" t="s">
        <v>410</v>
      </c>
      <c r="D991" s="129" t="s">
        <v>398</v>
      </c>
      <c r="E991" s="131"/>
      <c r="F991" s="129" t="s">
        <v>391</v>
      </c>
      <c r="G991" s="131"/>
      <c r="H991" s="131">
        <v>-149823.67000474047</v>
      </c>
      <c r="I991" s="132">
        <v>-91023273.180000007</v>
      </c>
      <c r="J991" s="133" t="s">
        <v>366</v>
      </c>
      <c r="K991" s="133" t="s">
        <v>392</v>
      </c>
      <c r="L991" s="133" t="s">
        <v>393</v>
      </c>
      <c r="M991" s="133" t="s">
        <v>394</v>
      </c>
      <c r="N991" s="133"/>
      <c r="O991" s="133"/>
    </row>
    <row r="992" spans="1:15">
      <c r="A992" s="124" t="s">
        <v>387</v>
      </c>
      <c r="B992" s="124"/>
      <c r="C992" s="125" t="s">
        <v>411</v>
      </c>
      <c r="D992" s="124" t="s">
        <v>407</v>
      </c>
      <c r="E992" s="126">
        <v>49</v>
      </c>
      <c r="F992" s="124" t="s">
        <v>391</v>
      </c>
      <c r="G992" s="126"/>
      <c r="H992" s="126">
        <v>27956.845833518575</v>
      </c>
      <c r="I992" s="127">
        <v>16978500</v>
      </c>
      <c r="J992" s="128" t="s">
        <v>289</v>
      </c>
      <c r="K992" s="128" t="s">
        <v>392</v>
      </c>
      <c r="L992" s="128" t="s">
        <v>408</v>
      </c>
      <c r="M992" s="128" t="s">
        <v>261</v>
      </c>
      <c r="N992" s="128"/>
      <c r="O992" s="128"/>
    </row>
    <row r="993" spans="1:15">
      <c r="A993" s="129" t="s">
        <v>387</v>
      </c>
      <c r="B993" s="129"/>
      <c r="C993" s="130" t="s">
        <v>411</v>
      </c>
      <c r="D993" s="129" t="s">
        <v>407</v>
      </c>
      <c r="E993" s="131">
        <v>49</v>
      </c>
      <c r="F993" s="129" t="s">
        <v>391</v>
      </c>
      <c r="G993" s="131"/>
      <c r="H993" s="131">
        <v>27956.845833518575</v>
      </c>
      <c r="I993" s="132">
        <v>16978500</v>
      </c>
      <c r="J993" s="133" t="s">
        <v>289</v>
      </c>
      <c r="K993" s="133" t="s">
        <v>392</v>
      </c>
      <c r="L993" s="133" t="s">
        <v>408</v>
      </c>
      <c r="M993" s="133" t="s">
        <v>261</v>
      </c>
      <c r="N993" s="133"/>
      <c r="O993" s="133"/>
    </row>
    <row r="994" spans="1:15">
      <c r="A994" s="124" t="s">
        <v>387</v>
      </c>
      <c r="B994" s="124"/>
      <c r="C994" s="125" t="s">
        <v>411</v>
      </c>
      <c r="D994" s="124" t="s">
        <v>407</v>
      </c>
      <c r="E994" s="126">
        <v>49</v>
      </c>
      <c r="F994" s="124" t="s">
        <v>391</v>
      </c>
      <c r="G994" s="126"/>
      <c r="H994" s="126">
        <v>27956.845833518575</v>
      </c>
      <c r="I994" s="127">
        <v>16978500</v>
      </c>
      <c r="J994" s="128" t="s">
        <v>289</v>
      </c>
      <c r="K994" s="128" t="s">
        <v>392</v>
      </c>
      <c r="L994" s="128" t="s">
        <v>408</v>
      </c>
      <c r="M994" s="128" t="s">
        <v>261</v>
      </c>
      <c r="N994" s="128"/>
      <c r="O994" s="128"/>
    </row>
    <row r="995" spans="1:15">
      <c r="A995" s="129" t="s">
        <v>387</v>
      </c>
      <c r="B995" s="129"/>
      <c r="C995" s="130" t="s">
        <v>411</v>
      </c>
      <c r="D995" s="129" t="s">
        <v>407</v>
      </c>
      <c r="E995" s="131">
        <v>49</v>
      </c>
      <c r="F995" s="129" t="s">
        <v>391</v>
      </c>
      <c r="G995" s="131"/>
      <c r="H995" s="131">
        <v>27956.845833518575</v>
      </c>
      <c r="I995" s="132">
        <v>16978500</v>
      </c>
      <c r="J995" s="133" t="s">
        <v>289</v>
      </c>
      <c r="K995" s="133" t="s">
        <v>392</v>
      </c>
      <c r="L995" s="133" t="s">
        <v>408</v>
      </c>
      <c r="M995" s="133" t="s">
        <v>261</v>
      </c>
      <c r="N995" s="133"/>
      <c r="O995" s="133"/>
    </row>
    <row r="996" spans="1:15">
      <c r="A996" s="124" t="s">
        <v>387</v>
      </c>
      <c r="B996" s="124"/>
      <c r="C996" s="125" t="s">
        <v>411</v>
      </c>
      <c r="D996" s="124" t="s">
        <v>407</v>
      </c>
      <c r="E996" s="126">
        <v>49</v>
      </c>
      <c r="F996" s="124" t="s">
        <v>391</v>
      </c>
      <c r="G996" s="126"/>
      <c r="H996" s="126">
        <v>27956.845833518575</v>
      </c>
      <c r="I996" s="127">
        <v>16978500</v>
      </c>
      <c r="J996" s="128" t="s">
        <v>289</v>
      </c>
      <c r="K996" s="128" t="s">
        <v>392</v>
      </c>
      <c r="L996" s="128" t="s">
        <v>408</v>
      </c>
      <c r="M996" s="128" t="s">
        <v>261</v>
      </c>
      <c r="N996" s="128"/>
      <c r="O996" s="128"/>
    </row>
    <row r="997" spans="1:15">
      <c r="A997" s="129" t="s">
        <v>387</v>
      </c>
      <c r="B997" s="129"/>
      <c r="C997" s="130" t="s">
        <v>411</v>
      </c>
      <c r="D997" s="129" t="s">
        <v>407</v>
      </c>
      <c r="E997" s="131">
        <v>49</v>
      </c>
      <c r="F997" s="129" t="s">
        <v>391</v>
      </c>
      <c r="G997" s="131"/>
      <c r="H997" s="131">
        <v>27956.845833518575</v>
      </c>
      <c r="I997" s="132">
        <v>16978500</v>
      </c>
      <c r="J997" s="133" t="s">
        <v>289</v>
      </c>
      <c r="K997" s="133" t="s">
        <v>392</v>
      </c>
      <c r="L997" s="133" t="s">
        <v>408</v>
      </c>
      <c r="M997" s="133" t="s">
        <v>261</v>
      </c>
      <c r="N997" s="133"/>
      <c r="O997" s="133"/>
    </row>
    <row r="998" spans="1:15">
      <c r="A998" s="124" t="s">
        <v>387</v>
      </c>
      <c r="B998" s="124"/>
      <c r="C998" s="125" t="s">
        <v>411</v>
      </c>
      <c r="D998" s="124" t="s">
        <v>407</v>
      </c>
      <c r="E998" s="126">
        <v>49</v>
      </c>
      <c r="F998" s="124" t="s">
        <v>391</v>
      </c>
      <c r="G998" s="126"/>
      <c r="H998" s="126">
        <v>27956.845833518575</v>
      </c>
      <c r="I998" s="127">
        <v>16978500</v>
      </c>
      <c r="J998" s="128" t="s">
        <v>289</v>
      </c>
      <c r="K998" s="128" t="s">
        <v>392</v>
      </c>
      <c r="L998" s="128" t="s">
        <v>408</v>
      </c>
      <c r="M998" s="128" t="s">
        <v>261</v>
      </c>
      <c r="N998" s="128"/>
      <c r="O998" s="128"/>
    </row>
    <row r="999" spans="1:15">
      <c r="A999" s="129" t="s">
        <v>387</v>
      </c>
      <c r="B999" s="129"/>
      <c r="C999" s="130" t="s">
        <v>411</v>
      </c>
      <c r="D999" s="129" t="s">
        <v>407</v>
      </c>
      <c r="E999" s="131">
        <v>49</v>
      </c>
      <c r="F999" s="129" t="s">
        <v>391</v>
      </c>
      <c r="G999" s="131"/>
      <c r="H999" s="131">
        <v>27956.845833518575</v>
      </c>
      <c r="I999" s="132">
        <v>16978500</v>
      </c>
      <c r="J999" s="133" t="s">
        <v>289</v>
      </c>
      <c r="K999" s="133" t="s">
        <v>392</v>
      </c>
      <c r="L999" s="133" t="s">
        <v>408</v>
      </c>
      <c r="M999" s="133" t="s">
        <v>261</v>
      </c>
      <c r="N999" s="133"/>
      <c r="O999" s="133"/>
    </row>
    <row r="1000" spans="1:15">
      <c r="A1000" s="124" t="s">
        <v>387</v>
      </c>
      <c r="B1000" s="124"/>
      <c r="C1000" s="125" t="s">
        <v>411</v>
      </c>
      <c r="D1000" s="124" t="s">
        <v>407</v>
      </c>
      <c r="E1000" s="126">
        <v>49</v>
      </c>
      <c r="F1000" s="124" t="s">
        <v>391</v>
      </c>
      <c r="G1000" s="126"/>
      <c r="H1000" s="126">
        <v>27956.845833518575</v>
      </c>
      <c r="I1000" s="127">
        <v>16978500</v>
      </c>
      <c r="J1000" s="128" t="s">
        <v>289</v>
      </c>
      <c r="K1000" s="128" t="s">
        <v>392</v>
      </c>
      <c r="L1000" s="128" t="s">
        <v>408</v>
      </c>
      <c r="M1000" s="128" t="s">
        <v>261</v>
      </c>
      <c r="N1000" s="128"/>
      <c r="O1000" s="128"/>
    </row>
    <row r="1001" spans="1:15">
      <c r="A1001" s="129" t="s">
        <v>387</v>
      </c>
      <c r="B1001" s="129"/>
      <c r="C1001" s="130" t="s">
        <v>411</v>
      </c>
      <c r="D1001" s="129" t="s">
        <v>407</v>
      </c>
      <c r="E1001" s="131">
        <v>49</v>
      </c>
      <c r="F1001" s="129" t="s">
        <v>391</v>
      </c>
      <c r="G1001" s="131"/>
      <c r="H1001" s="131">
        <v>27956.845833518575</v>
      </c>
      <c r="I1001" s="132">
        <v>16978500</v>
      </c>
      <c r="J1001" s="133" t="s">
        <v>289</v>
      </c>
      <c r="K1001" s="133" t="s">
        <v>392</v>
      </c>
      <c r="L1001" s="133" t="s">
        <v>408</v>
      </c>
      <c r="M1001" s="133" t="s">
        <v>261</v>
      </c>
      <c r="N1001" s="133"/>
      <c r="O1001" s="133"/>
    </row>
    <row r="1002" spans="1:15">
      <c r="A1002" s="124" t="s">
        <v>387</v>
      </c>
      <c r="B1002" s="124"/>
      <c r="C1002" s="125" t="s">
        <v>412</v>
      </c>
      <c r="D1002" s="124" t="s">
        <v>407</v>
      </c>
      <c r="E1002" s="126">
        <v>49</v>
      </c>
      <c r="F1002" s="124" t="s">
        <v>391</v>
      </c>
      <c r="G1002" s="126"/>
      <c r="H1002" s="126">
        <v>27956.845833518575</v>
      </c>
      <c r="I1002" s="127">
        <v>16978500</v>
      </c>
      <c r="J1002" s="128" t="s">
        <v>289</v>
      </c>
      <c r="K1002" s="128" t="s">
        <v>392</v>
      </c>
      <c r="L1002" s="128" t="s">
        <v>408</v>
      </c>
      <c r="M1002" s="128" t="s">
        <v>261</v>
      </c>
      <c r="N1002" s="128"/>
      <c r="O1002" s="128"/>
    </row>
    <row r="1003" spans="1:15">
      <c r="A1003" s="129" t="s">
        <v>387</v>
      </c>
      <c r="B1003" s="129"/>
      <c r="C1003" s="130" t="s">
        <v>412</v>
      </c>
      <c r="D1003" s="129" t="s">
        <v>407</v>
      </c>
      <c r="E1003" s="131">
        <v>49</v>
      </c>
      <c r="F1003" s="129" t="s">
        <v>391</v>
      </c>
      <c r="G1003" s="131"/>
      <c r="H1003" s="131">
        <v>27956.845833518575</v>
      </c>
      <c r="I1003" s="132">
        <v>16978500</v>
      </c>
      <c r="J1003" s="133" t="s">
        <v>289</v>
      </c>
      <c r="K1003" s="133" t="s">
        <v>392</v>
      </c>
      <c r="L1003" s="133" t="s">
        <v>408</v>
      </c>
      <c r="M1003" s="133" t="s">
        <v>261</v>
      </c>
      <c r="N1003" s="133"/>
      <c r="O1003" s="133"/>
    </row>
    <row r="1004" spans="1:15">
      <c r="A1004" s="124" t="s">
        <v>387</v>
      </c>
      <c r="B1004" s="124"/>
      <c r="C1004" s="125" t="s">
        <v>413</v>
      </c>
      <c r="D1004" s="124" t="s">
        <v>407</v>
      </c>
      <c r="E1004" s="126">
        <v>49</v>
      </c>
      <c r="F1004" s="124" t="s">
        <v>391</v>
      </c>
      <c r="G1004" s="126"/>
      <c r="H1004" s="126">
        <v>27956.845833518575</v>
      </c>
      <c r="I1004" s="127">
        <v>16978500</v>
      </c>
      <c r="J1004" s="128" t="s">
        <v>289</v>
      </c>
      <c r="K1004" s="128" t="s">
        <v>392</v>
      </c>
      <c r="L1004" s="128" t="s">
        <v>408</v>
      </c>
      <c r="M1004" s="128" t="s">
        <v>261</v>
      </c>
      <c r="N1004" s="128"/>
      <c r="O1004" s="128"/>
    </row>
    <row r="1005" spans="1:15">
      <c r="A1005" s="129" t="s">
        <v>387</v>
      </c>
      <c r="B1005" s="129"/>
      <c r="C1005" s="130" t="s">
        <v>412</v>
      </c>
      <c r="D1005" s="129" t="s">
        <v>407</v>
      </c>
      <c r="E1005" s="131">
        <v>49</v>
      </c>
      <c r="F1005" s="129" t="s">
        <v>391</v>
      </c>
      <c r="G1005" s="131"/>
      <c r="H1005" s="131">
        <v>27956.845833518575</v>
      </c>
      <c r="I1005" s="132">
        <v>16978500</v>
      </c>
      <c r="J1005" s="133" t="s">
        <v>289</v>
      </c>
      <c r="K1005" s="133" t="s">
        <v>392</v>
      </c>
      <c r="L1005" s="133" t="s">
        <v>408</v>
      </c>
      <c r="M1005" s="133" t="s">
        <v>261</v>
      </c>
      <c r="N1005" s="133"/>
      <c r="O1005" s="133"/>
    </row>
    <row r="1006" spans="1:15">
      <c r="A1006" s="124" t="s">
        <v>387</v>
      </c>
      <c r="B1006" s="124"/>
      <c r="C1006" s="125" t="s">
        <v>414</v>
      </c>
      <c r="D1006" s="124" t="s">
        <v>415</v>
      </c>
      <c r="E1006" s="126">
        <v>49</v>
      </c>
      <c r="F1006" s="124" t="s">
        <v>391</v>
      </c>
      <c r="G1006" s="126"/>
      <c r="H1006" s="126">
        <v>26504.542153855273</v>
      </c>
      <c r="I1006" s="127">
        <v>16096500</v>
      </c>
      <c r="J1006" s="128" t="s">
        <v>289</v>
      </c>
      <c r="K1006" s="128" t="s">
        <v>392</v>
      </c>
      <c r="L1006" s="128" t="s">
        <v>408</v>
      </c>
      <c r="M1006" s="128" t="s">
        <v>261</v>
      </c>
      <c r="N1006" s="128"/>
      <c r="O1006" s="128"/>
    </row>
    <row r="1007" spans="1:15">
      <c r="A1007" s="129" t="s">
        <v>387</v>
      </c>
      <c r="B1007" s="129"/>
      <c r="C1007" s="130" t="s">
        <v>416</v>
      </c>
      <c r="D1007" s="129" t="s">
        <v>407</v>
      </c>
      <c r="E1007" s="131">
        <v>30</v>
      </c>
      <c r="F1007" s="129" t="s">
        <v>391</v>
      </c>
      <c r="G1007" s="131"/>
      <c r="H1007" s="131">
        <v>17116.436224603211</v>
      </c>
      <c r="I1007" s="132">
        <v>10395000</v>
      </c>
      <c r="J1007" s="133" t="s">
        <v>289</v>
      </c>
      <c r="K1007" s="133" t="s">
        <v>392</v>
      </c>
      <c r="L1007" s="133" t="s">
        <v>408</v>
      </c>
      <c r="M1007" s="133" t="s">
        <v>261</v>
      </c>
      <c r="N1007" s="133"/>
      <c r="O1007" s="133"/>
    </row>
    <row r="1008" spans="1:15">
      <c r="A1008" s="124" t="s">
        <v>387</v>
      </c>
      <c r="B1008" s="124"/>
      <c r="C1008" s="125" t="s">
        <v>417</v>
      </c>
      <c r="D1008" s="124" t="s">
        <v>415</v>
      </c>
      <c r="E1008" s="126">
        <v>49</v>
      </c>
      <c r="F1008" s="124" t="s">
        <v>391</v>
      </c>
      <c r="G1008" s="126"/>
      <c r="H1008" s="126">
        <v>26504.542153855273</v>
      </c>
      <c r="I1008" s="127">
        <v>16096500</v>
      </c>
      <c r="J1008" s="128" t="s">
        <v>289</v>
      </c>
      <c r="K1008" s="128" t="s">
        <v>392</v>
      </c>
      <c r="L1008" s="128" t="s">
        <v>408</v>
      </c>
      <c r="M1008" s="128" t="s">
        <v>261</v>
      </c>
      <c r="N1008" s="128"/>
      <c r="O1008" s="128"/>
    </row>
    <row r="1009" spans="1:15">
      <c r="A1009" s="129" t="s">
        <v>387</v>
      </c>
      <c r="B1009" s="129"/>
      <c r="C1009" s="130" t="s">
        <v>417</v>
      </c>
      <c r="D1009" s="129" t="s">
        <v>415</v>
      </c>
      <c r="E1009" s="131">
        <v>19</v>
      </c>
      <c r="F1009" s="129" t="s">
        <v>391</v>
      </c>
      <c r="G1009" s="131"/>
      <c r="H1009" s="131">
        <v>10277.271447413268</v>
      </c>
      <c r="I1009" s="132">
        <v>6241500</v>
      </c>
      <c r="J1009" s="133" t="s">
        <v>289</v>
      </c>
      <c r="K1009" s="133" t="s">
        <v>392</v>
      </c>
      <c r="L1009" s="133" t="s">
        <v>408</v>
      </c>
      <c r="M1009" s="133" t="s">
        <v>261</v>
      </c>
      <c r="N1009" s="133"/>
      <c r="O1009" s="133"/>
    </row>
    <row r="1010" spans="1:15">
      <c r="A1010" s="124" t="s">
        <v>387</v>
      </c>
      <c r="B1010" s="124"/>
      <c r="C1010" s="125" t="s">
        <v>417</v>
      </c>
      <c r="D1010" s="124" t="s">
        <v>415</v>
      </c>
      <c r="E1010" s="126">
        <v>49</v>
      </c>
      <c r="F1010" s="124" t="s">
        <v>391</v>
      </c>
      <c r="G1010" s="126"/>
      <c r="H1010" s="126">
        <v>26504.542153855273</v>
      </c>
      <c r="I1010" s="127">
        <v>16096500</v>
      </c>
      <c r="J1010" s="128" t="s">
        <v>289</v>
      </c>
      <c r="K1010" s="128" t="s">
        <v>392</v>
      </c>
      <c r="L1010" s="128" t="s">
        <v>408</v>
      </c>
      <c r="M1010" s="128" t="s">
        <v>261</v>
      </c>
      <c r="N1010" s="128"/>
      <c r="O1010" s="128"/>
    </row>
    <row r="1011" spans="1:15">
      <c r="A1011" s="129" t="s">
        <v>387</v>
      </c>
      <c r="B1011" s="129"/>
      <c r="C1011" s="130" t="s">
        <v>417</v>
      </c>
      <c r="D1011" s="129" t="s">
        <v>415</v>
      </c>
      <c r="E1011" s="131">
        <v>49</v>
      </c>
      <c r="F1011" s="129" t="s">
        <v>391</v>
      </c>
      <c r="G1011" s="131"/>
      <c r="H1011" s="131">
        <v>26504.542153855273</v>
      </c>
      <c r="I1011" s="132">
        <v>16096500</v>
      </c>
      <c r="J1011" s="133" t="s">
        <v>289</v>
      </c>
      <c r="K1011" s="133" t="s">
        <v>392</v>
      </c>
      <c r="L1011" s="133" t="s">
        <v>408</v>
      </c>
      <c r="M1011" s="133" t="s">
        <v>261</v>
      </c>
      <c r="N1011" s="133"/>
      <c r="O1011" s="133"/>
    </row>
    <row r="1012" spans="1:15">
      <c r="A1012" s="124" t="s">
        <v>387</v>
      </c>
      <c r="B1012" s="124"/>
      <c r="C1012" s="125" t="s">
        <v>417</v>
      </c>
      <c r="D1012" s="124" t="s">
        <v>415</v>
      </c>
      <c r="E1012" s="126">
        <v>49</v>
      </c>
      <c r="F1012" s="124" t="s">
        <v>391</v>
      </c>
      <c r="G1012" s="126"/>
      <c r="H1012" s="126">
        <v>26504.542153855273</v>
      </c>
      <c r="I1012" s="127">
        <v>16096500</v>
      </c>
      <c r="J1012" s="128" t="s">
        <v>289</v>
      </c>
      <c r="K1012" s="128" t="s">
        <v>392</v>
      </c>
      <c r="L1012" s="128" t="s">
        <v>408</v>
      </c>
      <c r="M1012" s="128" t="s">
        <v>261</v>
      </c>
      <c r="N1012" s="128"/>
      <c r="O1012" s="128"/>
    </row>
    <row r="1013" spans="1:15">
      <c r="A1013" s="129" t="s">
        <v>387</v>
      </c>
      <c r="B1013" s="129"/>
      <c r="C1013" s="130" t="s">
        <v>417</v>
      </c>
      <c r="D1013" s="129" t="s">
        <v>415</v>
      </c>
      <c r="E1013" s="131">
        <v>49</v>
      </c>
      <c r="F1013" s="129" t="s">
        <v>391</v>
      </c>
      <c r="G1013" s="131"/>
      <c r="H1013" s="131">
        <v>26504.542153855273</v>
      </c>
      <c r="I1013" s="132">
        <v>16096500</v>
      </c>
      <c r="J1013" s="133" t="s">
        <v>289</v>
      </c>
      <c r="K1013" s="133" t="s">
        <v>392</v>
      </c>
      <c r="L1013" s="133" t="s">
        <v>408</v>
      </c>
      <c r="M1013" s="133" t="s">
        <v>261</v>
      </c>
      <c r="N1013" s="133"/>
      <c r="O1013" s="133"/>
    </row>
    <row r="1014" spans="1:15">
      <c r="A1014" s="124" t="s">
        <v>387</v>
      </c>
      <c r="B1014" s="124"/>
      <c r="C1014" s="125" t="s">
        <v>417</v>
      </c>
      <c r="D1014" s="124" t="s">
        <v>415</v>
      </c>
      <c r="E1014" s="126">
        <v>49</v>
      </c>
      <c r="F1014" s="124" t="s">
        <v>391</v>
      </c>
      <c r="G1014" s="126"/>
      <c r="H1014" s="126">
        <v>26504.542153855273</v>
      </c>
      <c r="I1014" s="127">
        <v>16096500</v>
      </c>
      <c r="J1014" s="128" t="s">
        <v>289</v>
      </c>
      <c r="K1014" s="128" t="s">
        <v>392</v>
      </c>
      <c r="L1014" s="128" t="s">
        <v>408</v>
      </c>
      <c r="M1014" s="128" t="s">
        <v>261</v>
      </c>
      <c r="N1014" s="128"/>
      <c r="O1014" s="128"/>
    </row>
    <row r="1015" spans="1:15">
      <c r="A1015" s="129" t="s">
        <v>387</v>
      </c>
      <c r="B1015" s="129"/>
      <c r="C1015" s="130" t="s">
        <v>417</v>
      </c>
      <c r="D1015" s="129" t="s">
        <v>415</v>
      </c>
      <c r="E1015" s="131">
        <v>49</v>
      </c>
      <c r="F1015" s="129" t="s">
        <v>391</v>
      </c>
      <c r="G1015" s="131"/>
      <c r="H1015" s="131">
        <v>26504.542153855273</v>
      </c>
      <c r="I1015" s="132">
        <v>16096500</v>
      </c>
      <c r="J1015" s="133" t="s">
        <v>289</v>
      </c>
      <c r="K1015" s="133" t="s">
        <v>392</v>
      </c>
      <c r="L1015" s="133" t="s">
        <v>408</v>
      </c>
      <c r="M1015" s="133" t="s">
        <v>261</v>
      </c>
      <c r="N1015" s="133"/>
      <c r="O1015" s="133"/>
    </row>
    <row r="1016" spans="1:15">
      <c r="A1016" s="124" t="s">
        <v>387</v>
      </c>
      <c r="B1016" s="124"/>
      <c r="C1016" s="125" t="s">
        <v>417</v>
      </c>
      <c r="D1016" s="124" t="s">
        <v>415</v>
      </c>
      <c r="E1016" s="126">
        <v>49</v>
      </c>
      <c r="F1016" s="124" t="s">
        <v>391</v>
      </c>
      <c r="G1016" s="126"/>
      <c r="H1016" s="126">
        <v>26504.542153855273</v>
      </c>
      <c r="I1016" s="127">
        <v>16096500</v>
      </c>
      <c r="J1016" s="128" t="s">
        <v>289</v>
      </c>
      <c r="K1016" s="128" t="s">
        <v>392</v>
      </c>
      <c r="L1016" s="128" t="s">
        <v>408</v>
      </c>
      <c r="M1016" s="128" t="s">
        <v>261</v>
      </c>
      <c r="N1016" s="128"/>
      <c r="O1016" s="128"/>
    </row>
    <row r="1017" spans="1:15">
      <c r="A1017" s="129" t="s">
        <v>387</v>
      </c>
      <c r="B1017" s="129"/>
      <c r="C1017" s="130" t="s">
        <v>417</v>
      </c>
      <c r="D1017" s="129" t="s">
        <v>415</v>
      </c>
      <c r="E1017" s="131">
        <v>49</v>
      </c>
      <c r="F1017" s="129" t="s">
        <v>391</v>
      </c>
      <c r="G1017" s="131"/>
      <c r="H1017" s="131">
        <v>26504.542153855273</v>
      </c>
      <c r="I1017" s="132">
        <v>16096500</v>
      </c>
      <c r="J1017" s="133" t="s">
        <v>289</v>
      </c>
      <c r="K1017" s="133" t="s">
        <v>392</v>
      </c>
      <c r="L1017" s="133" t="s">
        <v>408</v>
      </c>
      <c r="M1017" s="133" t="s">
        <v>261</v>
      </c>
      <c r="N1017" s="133"/>
      <c r="O1017" s="133"/>
    </row>
    <row r="1018" spans="1:15">
      <c r="A1018" s="124" t="s">
        <v>387</v>
      </c>
      <c r="B1018" s="124"/>
      <c r="C1018" s="125" t="s">
        <v>417</v>
      </c>
      <c r="D1018" s="124" t="s">
        <v>415</v>
      </c>
      <c r="E1018" s="126">
        <v>49</v>
      </c>
      <c r="F1018" s="124" t="s">
        <v>391</v>
      </c>
      <c r="G1018" s="126"/>
      <c r="H1018" s="126">
        <v>26504.542153855273</v>
      </c>
      <c r="I1018" s="127">
        <v>16096500</v>
      </c>
      <c r="J1018" s="128" t="s">
        <v>289</v>
      </c>
      <c r="K1018" s="128" t="s">
        <v>392</v>
      </c>
      <c r="L1018" s="128" t="s">
        <v>408</v>
      </c>
      <c r="M1018" s="128" t="s">
        <v>261</v>
      </c>
      <c r="N1018" s="128"/>
      <c r="O1018" s="128"/>
    </row>
    <row r="1019" spans="1:15">
      <c r="A1019" s="129" t="s">
        <v>387</v>
      </c>
      <c r="B1019" s="129"/>
      <c r="C1019" s="130" t="s">
        <v>418</v>
      </c>
      <c r="D1019" s="129" t="s">
        <v>415</v>
      </c>
      <c r="E1019" s="131">
        <v>49</v>
      </c>
      <c r="F1019" s="129" t="s">
        <v>391</v>
      </c>
      <c r="G1019" s="131"/>
      <c r="H1019" s="131">
        <v>26504.542153855273</v>
      </c>
      <c r="I1019" s="132">
        <v>16096500</v>
      </c>
      <c r="J1019" s="133" t="s">
        <v>289</v>
      </c>
      <c r="K1019" s="133" t="s">
        <v>392</v>
      </c>
      <c r="L1019" s="133" t="s">
        <v>408</v>
      </c>
      <c r="M1019" s="133" t="s">
        <v>261</v>
      </c>
      <c r="N1019" s="133"/>
      <c r="O1019" s="133"/>
    </row>
    <row r="1020" spans="1:15">
      <c r="A1020" s="124" t="s">
        <v>387</v>
      </c>
      <c r="B1020" s="124"/>
      <c r="C1020" s="125" t="s">
        <v>418</v>
      </c>
      <c r="D1020" s="124" t="s">
        <v>415</v>
      </c>
      <c r="E1020" s="126">
        <v>49</v>
      </c>
      <c r="F1020" s="124" t="s">
        <v>391</v>
      </c>
      <c r="G1020" s="126"/>
      <c r="H1020" s="126">
        <v>26504.542153855273</v>
      </c>
      <c r="I1020" s="127">
        <v>16096500</v>
      </c>
      <c r="J1020" s="128" t="s">
        <v>289</v>
      </c>
      <c r="K1020" s="128" t="s">
        <v>392</v>
      </c>
      <c r="L1020" s="128" t="s">
        <v>408</v>
      </c>
      <c r="M1020" s="128" t="s">
        <v>261</v>
      </c>
      <c r="N1020" s="128"/>
      <c r="O1020" s="128"/>
    </row>
    <row r="1021" spans="1:15">
      <c r="A1021" s="129" t="s">
        <v>387</v>
      </c>
      <c r="B1021" s="129"/>
      <c r="C1021" s="130" t="s">
        <v>418</v>
      </c>
      <c r="D1021" s="129" t="s">
        <v>415</v>
      </c>
      <c r="E1021" s="131">
        <v>49</v>
      </c>
      <c r="F1021" s="129" t="s">
        <v>391</v>
      </c>
      <c r="G1021" s="131"/>
      <c r="H1021" s="131">
        <v>26504.542153855273</v>
      </c>
      <c r="I1021" s="132">
        <v>16096500</v>
      </c>
      <c r="J1021" s="133" t="s">
        <v>289</v>
      </c>
      <c r="K1021" s="133" t="s">
        <v>392</v>
      </c>
      <c r="L1021" s="133" t="s">
        <v>408</v>
      </c>
      <c r="M1021" s="133" t="s">
        <v>261</v>
      </c>
      <c r="N1021" s="133"/>
      <c r="O1021" s="133"/>
    </row>
    <row r="1022" spans="1:15">
      <c r="A1022" s="124" t="s">
        <v>387</v>
      </c>
      <c r="B1022" s="124"/>
      <c r="C1022" s="125" t="s">
        <v>418</v>
      </c>
      <c r="D1022" s="124" t="s">
        <v>415</v>
      </c>
      <c r="E1022" s="126">
        <v>49</v>
      </c>
      <c r="F1022" s="124" t="s">
        <v>391</v>
      </c>
      <c r="G1022" s="126"/>
      <c r="H1022" s="126">
        <v>26504.542153855273</v>
      </c>
      <c r="I1022" s="127">
        <v>16096500</v>
      </c>
      <c r="J1022" s="128" t="s">
        <v>289</v>
      </c>
      <c r="K1022" s="128" t="s">
        <v>392</v>
      </c>
      <c r="L1022" s="128" t="s">
        <v>408</v>
      </c>
      <c r="M1022" s="128" t="s">
        <v>261</v>
      </c>
      <c r="N1022" s="128"/>
      <c r="O1022" s="128"/>
    </row>
    <row r="1023" spans="1:15">
      <c r="A1023" s="129" t="s">
        <v>387</v>
      </c>
      <c r="B1023" s="129"/>
      <c r="C1023" s="130" t="s">
        <v>418</v>
      </c>
      <c r="D1023" s="129" t="s">
        <v>415</v>
      </c>
      <c r="E1023" s="131">
        <v>49</v>
      </c>
      <c r="F1023" s="129" t="s">
        <v>391</v>
      </c>
      <c r="G1023" s="131"/>
      <c r="H1023" s="131">
        <v>26504.542153855273</v>
      </c>
      <c r="I1023" s="132">
        <v>16096500</v>
      </c>
      <c r="J1023" s="133" t="s">
        <v>289</v>
      </c>
      <c r="K1023" s="133" t="s">
        <v>392</v>
      </c>
      <c r="L1023" s="133" t="s">
        <v>408</v>
      </c>
      <c r="M1023" s="133" t="s">
        <v>261</v>
      </c>
      <c r="N1023" s="133"/>
      <c r="O1023" s="133"/>
    </row>
    <row r="1024" spans="1:15">
      <c r="A1024" s="124" t="s">
        <v>387</v>
      </c>
      <c r="B1024" s="124"/>
      <c r="C1024" s="125" t="s">
        <v>418</v>
      </c>
      <c r="D1024" s="124" t="s">
        <v>415</v>
      </c>
      <c r="E1024" s="126">
        <v>49</v>
      </c>
      <c r="F1024" s="124" t="s">
        <v>391</v>
      </c>
      <c r="G1024" s="126"/>
      <c r="H1024" s="126">
        <v>26504.542153855273</v>
      </c>
      <c r="I1024" s="127">
        <v>16096500</v>
      </c>
      <c r="J1024" s="128" t="s">
        <v>289</v>
      </c>
      <c r="K1024" s="128" t="s">
        <v>392</v>
      </c>
      <c r="L1024" s="128" t="s">
        <v>408</v>
      </c>
      <c r="M1024" s="128" t="s">
        <v>261</v>
      </c>
      <c r="N1024" s="128"/>
      <c r="O1024" s="128"/>
    </row>
    <row r="1025" spans="1:15">
      <c r="A1025" s="129" t="s">
        <v>387</v>
      </c>
      <c r="B1025" s="129"/>
      <c r="C1025" s="130" t="s">
        <v>418</v>
      </c>
      <c r="D1025" s="129" t="s">
        <v>415</v>
      </c>
      <c r="E1025" s="131">
        <v>49</v>
      </c>
      <c r="F1025" s="129" t="s">
        <v>391</v>
      </c>
      <c r="G1025" s="131"/>
      <c r="H1025" s="131">
        <v>26504.542153855273</v>
      </c>
      <c r="I1025" s="132">
        <v>16096500</v>
      </c>
      <c r="J1025" s="133" t="s">
        <v>289</v>
      </c>
      <c r="K1025" s="133" t="s">
        <v>392</v>
      </c>
      <c r="L1025" s="133" t="s">
        <v>408</v>
      </c>
      <c r="M1025" s="133" t="s">
        <v>261</v>
      </c>
      <c r="N1025" s="133"/>
      <c r="O1025" s="133"/>
    </row>
    <row r="1026" spans="1:15">
      <c r="A1026" s="124" t="s">
        <v>387</v>
      </c>
      <c r="B1026" s="124"/>
      <c r="C1026" s="125" t="s">
        <v>419</v>
      </c>
      <c r="D1026" s="124" t="s">
        <v>415</v>
      </c>
      <c r="E1026" s="126">
        <v>49</v>
      </c>
      <c r="F1026" s="124" t="s">
        <v>391</v>
      </c>
      <c r="G1026" s="126"/>
      <c r="H1026" s="126">
        <v>26504.542153855273</v>
      </c>
      <c r="I1026" s="127">
        <v>16096500</v>
      </c>
      <c r="J1026" s="128" t="s">
        <v>289</v>
      </c>
      <c r="K1026" s="128" t="s">
        <v>392</v>
      </c>
      <c r="L1026" s="128" t="s">
        <v>408</v>
      </c>
      <c r="M1026" s="128" t="s">
        <v>261</v>
      </c>
      <c r="N1026" s="128"/>
      <c r="O1026" s="128"/>
    </row>
    <row r="1027" spans="1:15">
      <c r="A1027" s="129" t="s">
        <v>387</v>
      </c>
      <c r="B1027" s="129"/>
      <c r="C1027" s="130" t="s">
        <v>419</v>
      </c>
      <c r="D1027" s="129" t="s">
        <v>415</v>
      </c>
      <c r="E1027" s="131">
        <v>49</v>
      </c>
      <c r="F1027" s="129" t="s">
        <v>391</v>
      </c>
      <c r="G1027" s="131"/>
      <c r="H1027" s="131">
        <v>26504.542153855273</v>
      </c>
      <c r="I1027" s="132">
        <v>16096500</v>
      </c>
      <c r="J1027" s="133" t="s">
        <v>289</v>
      </c>
      <c r="K1027" s="133" t="s">
        <v>392</v>
      </c>
      <c r="L1027" s="133" t="s">
        <v>408</v>
      </c>
      <c r="M1027" s="133" t="s">
        <v>261</v>
      </c>
      <c r="N1027" s="133"/>
      <c r="O1027" s="133"/>
    </row>
    <row r="1028" spans="1:15">
      <c r="A1028" s="124" t="s">
        <v>387</v>
      </c>
      <c r="B1028" s="124"/>
      <c r="C1028" s="125" t="s">
        <v>420</v>
      </c>
      <c r="D1028" s="124" t="s">
        <v>415</v>
      </c>
      <c r="E1028" s="126">
        <v>49</v>
      </c>
      <c r="F1028" s="124" t="s">
        <v>391</v>
      </c>
      <c r="G1028" s="126"/>
      <c r="H1028" s="126">
        <v>26504.542153855273</v>
      </c>
      <c r="I1028" s="127">
        <v>16096500</v>
      </c>
      <c r="J1028" s="128" t="s">
        <v>289</v>
      </c>
      <c r="K1028" s="128" t="s">
        <v>392</v>
      </c>
      <c r="L1028" s="128" t="s">
        <v>408</v>
      </c>
      <c r="M1028" s="128" t="s">
        <v>261</v>
      </c>
      <c r="N1028" s="128"/>
      <c r="O1028" s="128"/>
    </row>
    <row r="1029" spans="1:15">
      <c r="A1029" s="129" t="s">
        <v>387</v>
      </c>
      <c r="B1029" s="129"/>
      <c r="C1029" s="130" t="s">
        <v>420</v>
      </c>
      <c r="D1029" s="129" t="s">
        <v>415</v>
      </c>
      <c r="E1029" s="131">
        <v>49</v>
      </c>
      <c r="F1029" s="129" t="s">
        <v>391</v>
      </c>
      <c r="G1029" s="131"/>
      <c r="H1029" s="131">
        <v>26504.542153855273</v>
      </c>
      <c r="I1029" s="132">
        <v>16096500</v>
      </c>
      <c r="J1029" s="133" t="s">
        <v>289</v>
      </c>
      <c r="K1029" s="133" t="s">
        <v>392</v>
      </c>
      <c r="L1029" s="133" t="s">
        <v>408</v>
      </c>
      <c r="M1029" s="133" t="s">
        <v>261</v>
      </c>
      <c r="N1029" s="133"/>
      <c r="O1029" s="133"/>
    </row>
    <row r="1030" spans="1:15">
      <c r="A1030" s="124" t="s">
        <v>387</v>
      </c>
      <c r="B1030" s="124"/>
      <c r="C1030" s="125" t="s">
        <v>420</v>
      </c>
      <c r="D1030" s="124" t="s">
        <v>415</v>
      </c>
      <c r="E1030" s="126">
        <v>49</v>
      </c>
      <c r="F1030" s="124" t="s">
        <v>391</v>
      </c>
      <c r="G1030" s="126"/>
      <c r="H1030" s="126">
        <v>26504.542153855273</v>
      </c>
      <c r="I1030" s="127">
        <v>16096500</v>
      </c>
      <c r="J1030" s="128" t="s">
        <v>289</v>
      </c>
      <c r="K1030" s="128" t="s">
        <v>392</v>
      </c>
      <c r="L1030" s="128" t="s">
        <v>408</v>
      </c>
      <c r="M1030" s="128" t="s">
        <v>261</v>
      </c>
      <c r="N1030" s="128"/>
      <c r="O1030" s="128"/>
    </row>
    <row r="1031" spans="1:15">
      <c r="A1031" s="129" t="s">
        <v>387</v>
      </c>
      <c r="B1031" s="129"/>
      <c r="C1031" s="130" t="s">
        <v>420</v>
      </c>
      <c r="D1031" s="129" t="s">
        <v>415</v>
      </c>
      <c r="E1031" s="131">
        <v>49</v>
      </c>
      <c r="F1031" s="129" t="s">
        <v>391</v>
      </c>
      <c r="G1031" s="131"/>
      <c r="H1031" s="131">
        <v>26504.542153855273</v>
      </c>
      <c r="I1031" s="132">
        <v>16096500</v>
      </c>
      <c r="J1031" s="133" t="s">
        <v>289</v>
      </c>
      <c r="K1031" s="133" t="s">
        <v>392</v>
      </c>
      <c r="L1031" s="133" t="s">
        <v>408</v>
      </c>
      <c r="M1031" s="133" t="s">
        <v>261</v>
      </c>
      <c r="N1031" s="133"/>
      <c r="O1031" s="133"/>
    </row>
    <row r="1032" spans="1:15">
      <c r="A1032" s="124" t="s">
        <v>387</v>
      </c>
      <c r="B1032" s="124"/>
      <c r="C1032" s="125" t="s">
        <v>420</v>
      </c>
      <c r="D1032" s="124" t="s">
        <v>415</v>
      </c>
      <c r="E1032" s="126">
        <v>49</v>
      </c>
      <c r="F1032" s="124" t="s">
        <v>391</v>
      </c>
      <c r="G1032" s="126"/>
      <c r="H1032" s="126">
        <v>26504.542153855273</v>
      </c>
      <c r="I1032" s="127">
        <v>16096500</v>
      </c>
      <c r="J1032" s="128" t="s">
        <v>289</v>
      </c>
      <c r="K1032" s="128" t="s">
        <v>392</v>
      </c>
      <c r="L1032" s="128" t="s">
        <v>408</v>
      </c>
      <c r="M1032" s="128" t="s">
        <v>261</v>
      </c>
      <c r="N1032" s="128"/>
      <c r="O1032" s="128"/>
    </row>
    <row r="1033" spans="1:15">
      <c r="A1033" s="129" t="s">
        <v>387</v>
      </c>
      <c r="B1033" s="129"/>
      <c r="C1033" s="130" t="s">
        <v>421</v>
      </c>
      <c r="D1033" s="129" t="s">
        <v>415</v>
      </c>
      <c r="E1033" s="131">
        <v>49</v>
      </c>
      <c r="F1033" s="129" t="s">
        <v>391</v>
      </c>
      <c r="G1033" s="131"/>
      <c r="H1033" s="131">
        <v>26504.542153855273</v>
      </c>
      <c r="I1033" s="132">
        <v>16096500</v>
      </c>
      <c r="J1033" s="133" t="s">
        <v>289</v>
      </c>
      <c r="K1033" s="133" t="s">
        <v>392</v>
      </c>
      <c r="L1033" s="133" t="s">
        <v>408</v>
      </c>
      <c r="M1033" s="133" t="s">
        <v>261</v>
      </c>
      <c r="N1033" s="133"/>
      <c r="O1033" s="133"/>
    </row>
    <row r="1034" spans="1:15">
      <c r="A1034" s="124" t="s">
        <v>387</v>
      </c>
      <c r="B1034" s="124"/>
      <c r="C1034" s="125" t="s">
        <v>421</v>
      </c>
      <c r="D1034" s="124" t="s">
        <v>415</v>
      </c>
      <c r="E1034" s="126">
        <v>49</v>
      </c>
      <c r="F1034" s="124" t="s">
        <v>391</v>
      </c>
      <c r="G1034" s="126"/>
      <c r="H1034" s="126">
        <v>26504.542153855273</v>
      </c>
      <c r="I1034" s="127">
        <v>16096500</v>
      </c>
      <c r="J1034" s="128" t="s">
        <v>289</v>
      </c>
      <c r="K1034" s="128" t="s">
        <v>392</v>
      </c>
      <c r="L1034" s="128" t="s">
        <v>408</v>
      </c>
      <c r="M1034" s="128" t="s">
        <v>261</v>
      </c>
      <c r="N1034" s="128"/>
      <c r="O1034" s="128"/>
    </row>
    <row r="1035" spans="1:15">
      <c r="A1035" s="129" t="s">
        <v>387</v>
      </c>
      <c r="B1035" s="129"/>
      <c r="C1035" s="130" t="s">
        <v>421</v>
      </c>
      <c r="D1035" s="129" t="s">
        <v>390</v>
      </c>
      <c r="E1035" s="131">
        <v>15233.913</v>
      </c>
      <c r="F1035" s="129" t="s">
        <v>391</v>
      </c>
      <c r="G1035" s="131"/>
      <c r="H1035" s="131">
        <v>14746427.78000069</v>
      </c>
      <c r="I1035" s="132">
        <v>8955667801.5</v>
      </c>
      <c r="J1035" s="133" t="s">
        <v>366</v>
      </c>
      <c r="K1035" s="133" t="s">
        <v>392</v>
      </c>
      <c r="L1035" s="133" t="s">
        <v>393</v>
      </c>
      <c r="M1035" s="133" t="s">
        <v>394</v>
      </c>
      <c r="N1035" s="133"/>
      <c r="O1035" s="133"/>
    </row>
    <row r="1036" spans="1:15">
      <c r="A1036" s="124" t="s">
        <v>387</v>
      </c>
      <c r="B1036" s="124"/>
      <c r="C1036" s="125" t="s">
        <v>422</v>
      </c>
      <c r="D1036" s="124" t="s">
        <v>415</v>
      </c>
      <c r="E1036" s="126">
        <v>49</v>
      </c>
      <c r="F1036" s="124" t="s">
        <v>391</v>
      </c>
      <c r="G1036" s="126"/>
      <c r="H1036" s="126">
        <v>26504.542153855273</v>
      </c>
      <c r="I1036" s="127">
        <v>16096500</v>
      </c>
      <c r="J1036" s="128" t="s">
        <v>289</v>
      </c>
      <c r="K1036" s="128" t="s">
        <v>392</v>
      </c>
      <c r="L1036" s="128" t="s">
        <v>408</v>
      </c>
      <c r="M1036" s="128" t="s">
        <v>261</v>
      </c>
      <c r="N1036" s="128"/>
      <c r="O1036" s="128"/>
    </row>
    <row r="1037" spans="1:15">
      <c r="A1037" s="129" t="s">
        <v>387</v>
      </c>
      <c r="B1037" s="129"/>
      <c r="C1037" s="130" t="s">
        <v>423</v>
      </c>
      <c r="D1037" s="129" t="s">
        <v>415</v>
      </c>
      <c r="E1037" s="131">
        <v>49</v>
      </c>
      <c r="F1037" s="129" t="s">
        <v>391</v>
      </c>
      <c r="G1037" s="131"/>
      <c r="H1037" s="131">
        <v>26504.542153855273</v>
      </c>
      <c r="I1037" s="132">
        <v>16096500</v>
      </c>
      <c r="J1037" s="133" t="s">
        <v>289</v>
      </c>
      <c r="K1037" s="133" t="s">
        <v>392</v>
      </c>
      <c r="L1037" s="133" t="s">
        <v>408</v>
      </c>
      <c r="M1037" s="133" t="s">
        <v>261</v>
      </c>
      <c r="N1037" s="133"/>
      <c r="O1037" s="133"/>
    </row>
    <row r="1038" spans="1:15">
      <c r="A1038" s="124" t="s">
        <v>387</v>
      </c>
      <c r="B1038" s="124"/>
      <c r="C1038" s="125" t="s">
        <v>423</v>
      </c>
      <c r="D1038" s="124" t="s">
        <v>415</v>
      </c>
      <c r="E1038" s="126">
        <v>49</v>
      </c>
      <c r="F1038" s="124" t="s">
        <v>391</v>
      </c>
      <c r="G1038" s="126"/>
      <c r="H1038" s="126">
        <v>26504.542153855273</v>
      </c>
      <c r="I1038" s="127">
        <v>16096500</v>
      </c>
      <c r="J1038" s="128" t="s">
        <v>289</v>
      </c>
      <c r="K1038" s="128" t="s">
        <v>392</v>
      </c>
      <c r="L1038" s="128" t="s">
        <v>408</v>
      </c>
      <c r="M1038" s="128" t="s">
        <v>261</v>
      </c>
      <c r="N1038" s="128"/>
      <c r="O1038" s="128"/>
    </row>
    <row r="1039" spans="1:15">
      <c r="A1039" s="129" t="s">
        <v>387</v>
      </c>
      <c r="B1039" s="129"/>
      <c r="C1039" s="130" t="s">
        <v>423</v>
      </c>
      <c r="D1039" s="129" t="s">
        <v>415</v>
      </c>
      <c r="E1039" s="131">
        <v>49</v>
      </c>
      <c r="F1039" s="129" t="s">
        <v>391</v>
      </c>
      <c r="G1039" s="131"/>
      <c r="H1039" s="131">
        <v>26504.542153855273</v>
      </c>
      <c r="I1039" s="132">
        <v>16096500</v>
      </c>
      <c r="J1039" s="133" t="s">
        <v>289</v>
      </c>
      <c r="K1039" s="133" t="s">
        <v>392</v>
      </c>
      <c r="L1039" s="133" t="s">
        <v>408</v>
      </c>
      <c r="M1039" s="133" t="s">
        <v>261</v>
      </c>
      <c r="N1039" s="133"/>
      <c r="O1039" s="133"/>
    </row>
    <row r="1040" spans="1:15">
      <c r="A1040" s="124" t="s">
        <v>387</v>
      </c>
      <c r="B1040" s="124"/>
      <c r="C1040" s="125" t="s">
        <v>424</v>
      </c>
      <c r="D1040" s="124" t="s">
        <v>415</v>
      </c>
      <c r="E1040" s="126">
        <v>49</v>
      </c>
      <c r="F1040" s="124" t="s">
        <v>391</v>
      </c>
      <c r="G1040" s="126"/>
      <c r="H1040" s="126">
        <v>26504.542153855273</v>
      </c>
      <c r="I1040" s="127">
        <v>16096500</v>
      </c>
      <c r="J1040" s="128" t="s">
        <v>289</v>
      </c>
      <c r="K1040" s="128" t="s">
        <v>392</v>
      </c>
      <c r="L1040" s="128" t="s">
        <v>408</v>
      </c>
      <c r="M1040" s="128" t="s">
        <v>261</v>
      </c>
      <c r="N1040" s="128"/>
      <c r="O1040" s="128"/>
    </row>
    <row r="1041" spans="1:15">
      <c r="A1041" s="129" t="s">
        <v>387</v>
      </c>
      <c r="B1041" s="129"/>
      <c r="C1041" s="130" t="s">
        <v>425</v>
      </c>
      <c r="D1041" s="129" t="s">
        <v>415</v>
      </c>
      <c r="E1041" s="131">
        <v>49</v>
      </c>
      <c r="F1041" s="129" t="s">
        <v>391</v>
      </c>
      <c r="G1041" s="131"/>
      <c r="H1041" s="131">
        <v>26504.542153855273</v>
      </c>
      <c r="I1041" s="132">
        <v>16096500</v>
      </c>
      <c r="J1041" s="133" t="s">
        <v>289</v>
      </c>
      <c r="K1041" s="133" t="s">
        <v>392</v>
      </c>
      <c r="L1041" s="133" t="s">
        <v>408</v>
      </c>
      <c r="M1041" s="133" t="s">
        <v>261</v>
      </c>
      <c r="N1041" s="133"/>
      <c r="O1041" s="133"/>
    </row>
    <row r="1042" spans="1:15">
      <c r="A1042" s="124" t="s">
        <v>387</v>
      </c>
      <c r="B1042" s="124"/>
      <c r="C1042" s="125" t="s">
        <v>425</v>
      </c>
      <c r="D1042" s="124" t="s">
        <v>415</v>
      </c>
      <c r="E1042" s="126">
        <v>49</v>
      </c>
      <c r="F1042" s="124" t="s">
        <v>391</v>
      </c>
      <c r="G1042" s="126"/>
      <c r="H1042" s="126">
        <v>26504.542153855273</v>
      </c>
      <c r="I1042" s="127">
        <v>16096500</v>
      </c>
      <c r="J1042" s="128" t="s">
        <v>289</v>
      </c>
      <c r="K1042" s="128" t="s">
        <v>392</v>
      </c>
      <c r="L1042" s="128" t="s">
        <v>408</v>
      </c>
      <c r="M1042" s="128" t="s">
        <v>261</v>
      </c>
      <c r="N1042" s="128"/>
      <c r="O1042" s="128"/>
    </row>
    <row r="1043" spans="1:15">
      <c r="A1043" s="129" t="s">
        <v>387</v>
      </c>
      <c r="B1043" s="129"/>
      <c r="C1043" s="130" t="s">
        <v>425</v>
      </c>
      <c r="D1043" s="129" t="s">
        <v>415</v>
      </c>
      <c r="E1043" s="131">
        <v>49</v>
      </c>
      <c r="F1043" s="129" t="s">
        <v>391</v>
      </c>
      <c r="G1043" s="131"/>
      <c r="H1043" s="131">
        <v>26504.542153855273</v>
      </c>
      <c r="I1043" s="132">
        <v>16096500</v>
      </c>
      <c r="J1043" s="133" t="s">
        <v>289</v>
      </c>
      <c r="K1043" s="133" t="s">
        <v>392</v>
      </c>
      <c r="L1043" s="133" t="s">
        <v>408</v>
      </c>
      <c r="M1043" s="133" t="s">
        <v>261</v>
      </c>
      <c r="N1043" s="133"/>
      <c r="O1043" s="133"/>
    </row>
    <row r="1044" spans="1:15">
      <c r="A1044" s="124" t="s">
        <v>387</v>
      </c>
      <c r="B1044" s="124"/>
      <c r="C1044" s="125" t="s">
        <v>425</v>
      </c>
      <c r="D1044" s="124" t="s">
        <v>415</v>
      </c>
      <c r="E1044" s="126">
        <v>49</v>
      </c>
      <c r="F1044" s="124" t="s">
        <v>391</v>
      </c>
      <c r="G1044" s="126"/>
      <c r="H1044" s="126">
        <v>26504.542153855273</v>
      </c>
      <c r="I1044" s="127">
        <v>16096500</v>
      </c>
      <c r="J1044" s="128" t="s">
        <v>289</v>
      </c>
      <c r="K1044" s="128" t="s">
        <v>392</v>
      </c>
      <c r="L1044" s="128" t="s">
        <v>408</v>
      </c>
      <c r="M1044" s="128" t="s">
        <v>261</v>
      </c>
      <c r="N1044" s="128"/>
      <c r="O1044" s="128"/>
    </row>
    <row r="1045" spans="1:15">
      <c r="A1045" s="129" t="s">
        <v>387</v>
      </c>
      <c r="B1045" s="129"/>
      <c r="C1045" s="130" t="s">
        <v>425</v>
      </c>
      <c r="D1045" s="129" t="s">
        <v>415</v>
      </c>
      <c r="E1045" s="131">
        <v>49</v>
      </c>
      <c r="F1045" s="129" t="s">
        <v>391</v>
      </c>
      <c r="G1045" s="131"/>
      <c r="H1045" s="131">
        <v>26504.542153855273</v>
      </c>
      <c r="I1045" s="132">
        <v>16096500</v>
      </c>
      <c r="J1045" s="133" t="s">
        <v>289</v>
      </c>
      <c r="K1045" s="133" t="s">
        <v>392</v>
      </c>
      <c r="L1045" s="133" t="s">
        <v>408</v>
      </c>
      <c r="M1045" s="133" t="s">
        <v>261</v>
      </c>
      <c r="N1045" s="133"/>
      <c r="O1045" s="133"/>
    </row>
    <row r="1046" spans="1:15">
      <c r="A1046" s="124" t="s">
        <v>387</v>
      </c>
      <c r="B1046" s="124"/>
      <c r="C1046" s="125" t="s">
        <v>425</v>
      </c>
      <c r="D1046" s="124" t="s">
        <v>415</v>
      </c>
      <c r="E1046" s="126">
        <v>49</v>
      </c>
      <c r="F1046" s="124" t="s">
        <v>391</v>
      </c>
      <c r="G1046" s="126"/>
      <c r="H1046" s="126">
        <v>26504.542153855273</v>
      </c>
      <c r="I1046" s="127">
        <v>16096500</v>
      </c>
      <c r="J1046" s="128" t="s">
        <v>289</v>
      </c>
      <c r="K1046" s="128" t="s">
        <v>392</v>
      </c>
      <c r="L1046" s="128" t="s">
        <v>408</v>
      </c>
      <c r="M1046" s="128" t="s">
        <v>261</v>
      </c>
      <c r="N1046" s="128"/>
      <c r="O1046" s="128"/>
    </row>
    <row r="1047" spans="1:15">
      <c r="A1047" s="129" t="s">
        <v>387</v>
      </c>
      <c r="B1047" s="129"/>
      <c r="C1047" s="130" t="s">
        <v>425</v>
      </c>
      <c r="D1047" s="129" t="s">
        <v>415</v>
      </c>
      <c r="E1047" s="131">
        <v>49</v>
      </c>
      <c r="F1047" s="129" t="s">
        <v>391</v>
      </c>
      <c r="G1047" s="131"/>
      <c r="H1047" s="131">
        <v>26504.542153855273</v>
      </c>
      <c r="I1047" s="132">
        <v>16096500</v>
      </c>
      <c r="J1047" s="133" t="s">
        <v>289</v>
      </c>
      <c r="K1047" s="133" t="s">
        <v>392</v>
      </c>
      <c r="L1047" s="133" t="s">
        <v>408</v>
      </c>
      <c r="M1047" s="133" t="s">
        <v>261</v>
      </c>
      <c r="N1047" s="133"/>
      <c r="O1047" s="133"/>
    </row>
    <row r="1048" spans="1:15">
      <c r="A1048" s="124" t="s">
        <v>387</v>
      </c>
      <c r="B1048" s="124"/>
      <c r="C1048" s="125" t="s">
        <v>426</v>
      </c>
      <c r="D1048" s="124" t="s">
        <v>415</v>
      </c>
      <c r="E1048" s="126">
        <v>49</v>
      </c>
      <c r="F1048" s="124" t="s">
        <v>391</v>
      </c>
      <c r="G1048" s="126"/>
      <c r="H1048" s="126">
        <v>26504.542153855273</v>
      </c>
      <c r="I1048" s="127">
        <v>16096500</v>
      </c>
      <c r="J1048" s="128" t="s">
        <v>289</v>
      </c>
      <c r="K1048" s="128" t="s">
        <v>392</v>
      </c>
      <c r="L1048" s="128" t="s">
        <v>408</v>
      </c>
      <c r="M1048" s="128" t="s">
        <v>261</v>
      </c>
      <c r="N1048" s="128"/>
      <c r="O1048" s="128"/>
    </row>
    <row r="1049" spans="1:15">
      <c r="A1049" s="129" t="s">
        <v>387</v>
      </c>
      <c r="B1049" s="129"/>
      <c r="C1049" s="130" t="s">
        <v>426</v>
      </c>
      <c r="D1049" s="129" t="s">
        <v>415</v>
      </c>
      <c r="E1049" s="131">
        <v>49</v>
      </c>
      <c r="F1049" s="129" t="s">
        <v>391</v>
      </c>
      <c r="G1049" s="131"/>
      <c r="H1049" s="131">
        <v>26504.542153855273</v>
      </c>
      <c r="I1049" s="132">
        <v>16096500</v>
      </c>
      <c r="J1049" s="133" t="s">
        <v>289</v>
      </c>
      <c r="K1049" s="133" t="s">
        <v>392</v>
      </c>
      <c r="L1049" s="133" t="s">
        <v>408</v>
      </c>
      <c r="M1049" s="133" t="s">
        <v>261</v>
      </c>
      <c r="N1049" s="133"/>
      <c r="O1049" s="133"/>
    </row>
    <row r="1050" spans="1:15">
      <c r="A1050" s="124" t="s">
        <v>387</v>
      </c>
      <c r="B1050" s="124"/>
      <c r="C1050" s="125" t="s">
        <v>426</v>
      </c>
      <c r="D1050" s="124" t="s">
        <v>415</v>
      </c>
      <c r="E1050" s="126">
        <v>49</v>
      </c>
      <c r="F1050" s="124" t="s">
        <v>391</v>
      </c>
      <c r="G1050" s="126"/>
      <c r="H1050" s="126">
        <v>26504.542153855273</v>
      </c>
      <c r="I1050" s="127">
        <v>16096500</v>
      </c>
      <c r="J1050" s="128" t="s">
        <v>289</v>
      </c>
      <c r="K1050" s="128" t="s">
        <v>392</v>
      </c>
      <c r="L1050" s="128" t="s">
        <v>408</v>
      </c>
      <c r="M1050" s="128" t="s">
        <v>261</v>
      </c>
      <c r="N1050" s="128"/>
      <c r="O1050" s="128"/>
    </row>
    <row r="1051" spans="1:15">
      <c r="A1051" s="129" t="s">
        <v>387</v>
      </c>
      <c r="B1051" s="129"/>
      <c r="C1051" s="130" t="s">
        <v>426</v>
      </c>
      <c r="D1051" s="129" t="s">
        <v>415</v>
      </c>
      <c r="E1051" s="131">
        <v>49</v>
      </c>
      <c r="F1051" s="129" t="s">
        <v>391</v>
      </c>
      <c r="G1051" s="131"/>
      <c r="H1051" s="131">
        <v>26504.542153855273</v>
      </c>
      <c r="I1051" s="132">
        <v>16096500</v>
      </c>
      <c r="J1051" s="133" t="s">
        <v>289</v>
      </c>
      <c r="K1051" s="133" t="s">
        <v>392</v>
      </c>
      <c r="L1051" s="133" t="s">
        <v>408</v>
      </c>
      <c r="M1051" s="133" t="s">
        <v>261</v>
      </c>
      <c r="N1051" s="133"/>
      <c r="O1051" s="133"/>
    </row>
    <row r="1052" spans="1:15">
      <c r="A1052" s="124" t="s">
        <v>387</v>
      </c>
      <c r="B1052" s="124"/>
      <c r="C1052" s="125" t="s">
        <v>426</v>
      </c>
      <c r="D1052" s="124" t="s">
        <v>415</v>
      </c>
      <c r="E1052" s="126">
        <v>49</v>
      </c>
      <c r="F1052" s="124" t="s">
        <v>391</v>
      </c>
      <c r="G1052" s="126"/>
      <c r="H1052" s="126">
        <v>26504.542153855273</v>
      </c>
      <c r="I1052" s="127">
        <v>16096500</v>
      </c>
      <c r="J1052" s="128" t="s">
        <v>289</v>
      </c>
      <c r="K1052" s="128" t="s">
        <v>392</v>
      </c>
      <c r="L1052" s="128" t="s">
        <v>408</v>
      </c>
      <c r="M1052" s="128" t="s">
        <v>261</v>
      </c>
      <c r="N1052" s="128"/>
      <c r="O1052" s="128"/>
    </row>
    <row r="1053" spans="1:15">
      <c r="A1053" s="129" t="s">
        <v>387</v>
      </c>
      <c r="B1053" s="129"/>
      <c r="C1053" s="130" t="s">
        <v>427</v>
      </c>
      <c r="D1053" s="129" t="s">
        <v>415</v>
      </c>
      <c r="E1053" s="131">
        <v>49</v>
      </c>
      <c r="F1053" s="129" t="s">
        <v>391</v>
      </c>
      <c r="G1053" s="131"/>
      <c r="H1053" s="131">
        <v>26504.542153855273</v>
      </c>
      <c r="I1053" s="132">
        <v>16096500</v>
      </c>
      <c r="J1053" s="133" t="s">
        <v>289</v>
      </c>
      <c r="K1053" s="133" t="s">
        <v>392</v>
      </c>
      <c r="L1053" s="133" t="s">
        <v>408</v>
      </c>
      <c r="M1053" s="133" t="s">
        <v>261</v>
      </c>
      <c r="N1053" s="133"/>
      <c r="O1053" s="133"/>
    </row>
    <row r="1054" spans="1:15">
      <c r="A1054" s="124" t="s">
        <v>387</v>
      </c>
      <c r="B1054" s="124"/>
      <c r="C1054" s="125" t="s">
        <v>428</v>
      </c>
      <c r="D1054" s="124" t="s">
        <v>415</v>
      </c>
      <c r="E1054" s="126">
        <v>49</v>
      </c>
      <c r="F1054" s="124" t="s">
        <v>391</v>
      </c>
      <c r="G1054" s="126"/>
      <c r="H1054" s="126">
        <v>26504.542153855273</v>
      </c>
      <c r="I1054" s="127">
        <v>16096500</v>
      </c>
      <c r="J1054" s="128" t="s">
        <v>289</v>
      </c>
      <c r="K1054" s="128" t="s">
        <v>392</v>
      </c>
      <c r="L1054" s="128" t="s">
        <v>408</v>
      </c>
      <c r="M1054" s="128" t="s">
        <v>261</v>
      </c>
      <c r="N1054" s="128"/>
      <c r="O1054" s="128"/>
    </row>
    <row r="1055" spans="1:15">
      <c r="A1055" s="129" t="s">
        <v>387</v>
      </c>
      <c r="B1055" s="129"/>
      <c r="C1055" s="130" t="s">
        <v>428</v>
      </c>
      <c r="D1055" s="129" t="s">
        <v>390</v>
      </c>
      <c r="E1055" s="131">
        <v>15831.034</v>
      </c>
      <c r="F1055" s="129" t="s">
        <v>391</v>
      </c>
      <c r="G1055" s="131"/>
      <c r="H1055" s="131">
        <v>15324440.909995042</v>
      </c>
      <c r="I1055" s="132">
        <v>9306701533.4899998</v>
      </c>
      <c r="J1055" s="133" t="s">
        <v>366</v>
      </c>
      <c r="K1055" s="133" t="s">
        <v>392</v>
      </c>
      <c r="L1055" s="133" t="s">
        <v>393</v>
      </c>
      <c r="M1055" s="133" t="s">
        <v>394</v>
      </c>
      <c r="N1055" s="133"/>
      <c r="O1055" s="133"/>
    </row>
    <row r="1056" spans="1:15">
      <c r="A1056" s="124" t="s">
        <v>387</v>
      </c>
      <c r="B1056" s="124"/>
      <c r="C1056" s="125" t="s">
        <v>429</v>
      </c>
      <c r="D1056" s="124" t="s">
        <v>415</v>
      </c>
      <c r="E1056" s="126">
        <v>49</v>
      </c>
      <c r="F1056" s="124" t="s">
        <v>391</v>
      </c>
      <c r="G1056" s="126"/>
      <c r="H1056" s="126">
        <v>26504.542153855273</v>
      </c>
      <c r="I1056" s="127">
        <v>16096500</v>
      </c>
      <c r="J1056" s="128" t="s">
        <v>289</v>
      </c>
      <c r="K1056" s="128" t="s">
        <v>392</v>
      </c>
      <c r="L1056" s="128" t="s">
        <v>408</v>
      </c>
      <c r="M1056" s="128" t="s">
        <v>261</v>
      </c>
      <c r="N1056" s="128"/>
      <c r="O1056" s="128"/>
    </row>
    <row r="1057" spans="1:15">
      <c r="A1057" s="129" t="s">
        <v>387</v>
      </c>
      <c r="B1057" s="129"/>
      <c r="C1057" s="130" t="s">
        <v>427</v>
      </c>
      <c r="D1057" s="129" t="s">
        <v>398</v>
      </c>
      <c r="E1057" s="131"/>
      <c r="F1057" s="129" t="s">
        <v>391</v>
      </c>
      <c r="G1057" s="131"/>
      <c r="H1057" s="131">
        <v>-129488.26000187712</v>
      </c>
      <c r="I1057" s="132">
        <v>-78639644.670000002</v>
      </c>
      <c r="J1057" s="133" t="s">
        <v>366</v>
      </c>
      <c r="K1057" s="133" t="s">
        <v>392</v>
      </c>
      <c r="L1057" s="133" t="s">
        <v>393</v>
      </c>
      <c r="M1057" s="133" t="s">
        <v>394</v>
      </c>
      <c r="N1057" s="133"/>
      <c r="O1057" s="133"/>
    </row>
    <row r="1058" spans="1:15">
      <c r="A1058" s="124" t="s">
        <v>387</v>
      </c>
      <c r="B1058" s="124"/>
      <c r="C1058" s="125" t="s">
        <v>430</v>
      </c>
      <c r="D1058" s="124" t="s">
        <v>398</v>
      </c>
      <c r="E1058" s="126"/>
      <c r="F1058" s="124" t="s">
        <v>391</v>
      </c>
      <c r="G1058" s="126"/>
      <c r="H1058" s="126">
        <v>-134880.41000410003</v>
      </c>
      <c r="I1058" s="127">
        <v>-81914356.680000007</v>
      </c>
      <c r="J1058" s="128" t="s">
        <v>366</v>
      </c>
      <c r="K1058" s="128" t="s">
        <v>392</v>
      </c>
      <c r="L1058" s="128" t="s">
        <v>393</v>
      </c>
      <c r="M1058" s="128" t="s">
        <v>394</v>
      </c>
      <c r="N1058" s="128"/>
      <c r="O1058" s="128"/>
    </row>
    <row r="1059" spans="1:15">
      <c r="A1059" s="129" t="s">
        <v>387</v>
      </c>
      <c r="B1059" s="129"/>
      <c r="C1059" s="130" t="s">
        <v>430</v>
      </c>
      <c r="D1059" s="129" t="s">
        <v>415</v>
      </c>
      <c r="E1059" s="131">
        <v>49</v>
      </c>
      <c r="F1059" s="129" t="s">
        <v>391</v>
      </c>
      <c r="G1059" s="131"/>
      <c r="H1059" s="131">
        <v>26504.542153855273</v>
      </c>
      <c r="I1059" s="132">
        <v>16096500</v>
      </c>
      <c r="J1059" s="133" t="s">
        <v>289</v>
      </c>
      <c r="K1059" s="133" t="s">
        <v>392</v>
      </c>
      <c r="L1059" s="133" t="s">
        <v>408</v>
      </c>
      <c r="M1059" s="133" t="s">
        <v>261</v>
      </c>
      <c r="N1059" s="133"/>
      <c r="O1059" s="133"/>
    </row>
    <row r="1060" spans="1:15">
      <c r="A1060" s="124" t="s">
        <v>387</v>
      </c>
      <c r="B1060" s="124"/>
      <c r="C1060" s="125" t="s">
        <v>430</v>
      </c>
      <c r="D1060" s="124" t="s">
        <v>415</v>
      </c>
      <c r="E1060" s="126">
        <v>49</v>
      </c>
      <c r="F1060" s="124" t="s">
        <v>391</v>
      </c>
      <c r="G1060" s="126"/>
      <c r="H1060" s="126">
        <v>26504.542153855273</v>
      </c>
      <c r="I1060" s="127">
        <v>16096500</v>
      </c>
      <c r="J1060" s="128" t="s">
        <v>289</v>
      </c>
      <c r="K1060" s="128" t="s">
        <v>392</v>
      </c>
      <c r="L1060" s="128" t="s">
        <v>408</v>
      </c>
      <c r="M1060" s="128" t="s">
        <v>261</v>
      </c>
      <c r="N1060" s="128"/>
      <c r="O1060" s="128"/>
    </row>
    <row r="1061" spans="1:15">
      <c r="A1061" s="129" t="s">
        <v>387</v>
      </c>
      <c r="B1061" s="129"/>
      <c r="C1061" s="130" t="s">
        <v>430</v>
      </c>
      <c r="D1061" s="129" t="s">
        <v>415</v>
      </c>
      <c r="E1061" s="131">
        <v>49</v>
      </c>
      <c r="F1061" s="129" t="s">
        <v>391</v>
      </c>
      <c r="G1061" s="131"/>
      <c r="H1061" s="131">
        <v>26504.542153855273</v>
      </c>
      <c r="I1061" s="132">
        <v>16096500</v>
      </c>
      <c r="J1061" s="133" t="s">
        <v>289</v>
      </c>
      <c r="K1061" s="133" t="s">
        <v>392</v>
      </c>
      <c r="L1061" s="133" t="s">
        <v>408</v>
      </c>
      <c r="M1061" s="133" t="s">
        <v>261</v>
      </c>
      <c r="N1061" s="133"/>
      <c r="O1061" s="133"/>
    </row>
    <row r="1062" spans="1:15">
      <c r="A1062" s="124" t="s">
        <v>387</v>
      </c>
      <c r="B1062" s="124"/>
      <c r="C1062" s="125" t="s">
        <v>430</v>
      </c>
      <c r="D1062" s="124" t="s">
        <v>415</v>
      </c>
      <c r="E1062" s="126">
        <v>49</v>
      </c>
      <c r="F1062" s="124" t="s">
        <v>391</v>
      </c>
      <c r="G1062" s="126"/>
      <c r="H1062" s="126">
        <v>26504.542153855273</v>
      </c>
      <c r="I1062" s="127">
        <v>16096500</v>
      </c>
      <c r="J1062" s="128" t="s">
        <v>289</v>
      </c>
      <c r="K1062" s="128" t="s">
        <v>392</v>
      </c>
      <c r="L1062" s="128" t="s">
        <v>408</v>
      </c>
      <c r="M1062" s="128" t="s">
        <v>261</v>
      </c>
      <c r="N1062" s="128"/>
      <c r="O1062" s="128"/>
    </row>
    <row r="1063" spans="1:15">
      <c r="A1063" s="129" t="s">
        <v>387</v>
      </c>
      <c r="B1063" s="129"/>
      <c r="C1063" s="130" t="s">
        <v>431</v>
      </c>
      <c r="D1063" s="129" t="s">
        <v>390</v>
      </c>
      <c r="E1063" s="131">
        <v>14328.1551</v>
      </c>
      <c r="F1063" s="129" t="s">
        <v>391</v>
      </c>
      <c r="G1063" s="131"/>
      <c r="H1063" s="131">
        <v>13869654.14000405</v>
      </c>
      <c r="I1063" s="132">
        <v>8423193525.4200001</v>
      </c>
      <c r="J1063" s="133" t="s">
        <v>366</v>
      </c>
      <c r="K1063" s="133" t="s">
        <v>392</v>
      </c>
      <c r="L1063" s="133" t="s">
        <v>393</v>
      </c>
      <c r="M1063" s="133" t="s">
        <v>394</v>
      </c>
      <c r="N1063" s="133"/>
      <c r="O1063" s="133"/>
    </row>
    <row r="1064" spans="1:15">
      <c r="A1064" s="124" t="s">
        <v>387</v>
      </c>
      <c r="B1064" s="124"/>
      <c r="C1064" s="125" t="s">
        <v>431</v>
      </c>
      <c r="D1064" s="124" t="s">
        <v>398</v>
      </c>
      <c r="E1064" s="126"/>
      <c r="F1064" s="124" t="s">
        <v>391</v>
      </c>
      <c r="G1064" s="126"/>
      <c r="H1064" s="126">
        <v>-122075.88000217352</v>
      </c>
      <c r="I1064" s="127">
        <v>-74138024.760000005</v>
      </c>
      <c r="J1064" s="128" t="s">
        <v>366</v>
      </c>
      <c r="K1064" s="128" t="s">
        <v>392</v>
      </c>
      <c r="L1064" s="128" t="s">
        <v>393</v>
      </c>
      <c r="M1064" s="128" t="s">
        <v>394</v>
      </c>
      <c r="N1064" s="128"/>
      <c r="O1064" s="128"/>
    </row>
    <row r="1065" spans="1:15">
      <c r="A1065" s="129" t="s">
        <v>387</v>
      </c>
      <c r="B1065" s="129"/>
      <c r="C1065" s="130" t="s">
        <v>431</v>
      </c>
      <c r="D1065" s="129" t="s">
        <v>390</v>
      </c>
      <c r="E1065" s="131">
        <v>1340.5328999999999</v>
      </c>
      <c r="F1065" s="129" t="s">
        <v>391</v>
      </c>
      <c r="G1065" s="131"/>
      <c r="H1065" s="131">
        <v>1297635.8500010702</v>
      </c>
      <c r="I1065" s="132">
        <v>788068525.70000005</v>
      </c>
      <c r="J1065" s="133" t="s">
        <v>366</v>
      </c>
      <c r="K1065" s="133" t="s">
        <v>392</v>
      </c>
      <c r="L1065" s="133" t="s">
        <v>393</v>
      </c>
      <c r="M1065" s="133" t="s">
        <v>394</v>
      </c>
      <c r="N1065" s="133"/>
      <c r="O1065" s="133"/>
    </row>
    <row r="1066" spans="1:15">
      <c r="A1066" s="124" t="s">
        <v>387</v>
      </c>
      <c r="B1066" s="124"/>
      <c r="C1066" s="125" t="s">
        <v>431</v>
      </c>
      <c r="D1066" s="124" t="s">
        <v>398</v>
      </c>
      <c r="E1066" s="126"/>
      <c r="F1066" s="124" t="s">
        <v>391</v>
      </c>
      <c r="G1066" s="126"/>
      <c r="H1066" s="126">
        <v>-11421.340005367925</v>
      </c>
      <c r="I1066" s="127">
        <v>-6936305.4199999999</v>
      </c>
      <c r="J1066" s="128" t="s">
        <v>366</v>
      </c>
      <c r="K1066" s="128" t="s">
        <v>392</v>
      </c>
      <c r="L1066" s="128" t="s">
        <v>393</v>
      </c>
      <c r="M1066" s="128" t="s">
        <v>394</v>
      </c>
      <c r="N1066" s="128"/>
      <c r="O1066" s="128"/>
    </row>
    <row r="1067" spans="1:15">
      <c r="A1067" s="129" t="s">
        <v>387</v>
      </c>
      <c r="B1067" s="129"/>
      <c r="C1067" s="130" t="s">
        <v>432</v>
      </c>
      <c r="D1067" s="129" t="s">
        <v>407</v>
      </c>
      <c r="E1067" s="131">
        <v>55</v>
      </c>
      <c r="F1067" s="129" t="s">
        <v>391</v>
      </c>
      <c r="G1067" s="131"/>
      <c r="H1067" s="131">
        <v>28019.996910405032</v>
      </c>
      <c r="I1067" s="132">
        <v>17050000</v>
      </c>
      <c r="J1067" s="133" t="s">
        <v>289</v>
      </c>
      <c r="K1067" s="133" t="s">
        <v>392</v>
      </c>
      <c r="L1067" s="133" t="s">
        <v>401</v>
      </c>
      <c r="M1067" s="133" t="s">
        <v>261</v>
      </c>
      <c r="N1067" s="133"/>
      <c r="O1067" s="133"/>
    </row>
    <row r="1068" spans="1:15">
      <c r="A1068" s="124" t="s">
        <v>387</v>
      </c>
      <c r="B1068" s="124"/>
      <c r="C1068" s="125" t="s">
        <v>432</v>
      </c>
      <c r="D1068" s="124" t="s">
        <v>407</v>
      </c>
      <c r="E1068" s="126">
        <v>54</v>
      </c>
      <c r="F1068" s="124" t="s">
        <v>391</v>
      </c>
      <c r="G1068" s="126"/>
      <c r="H1068" s="126">
        <v>27510.542421124941</v>
      </c>
      <c r="I1068" s="127">
        <v>16740000</v>
      </c>
      <c r="J1068" s="128" t="s">
        <v>289</v>
      </c>
      <c r="K1068" s="128" t="s">
        <v>392</v>
      </c>
      <c r="L1068" s="128" t="s">
        <v>401</v>
      </c>
      <c r="M1068" s="128" t="s">
        <v>261</v>
      </c>
      <c r="N1068" s="128"/>
      <c r="O1068" s="128"/>
    </row>
    <row r="1069" spans="1:15">
      <c r="A1069" s="129" t="s">
        <v>387</v>
      </c>
      <c r="B1069" s="129"/>
      <c r="C1069" s="130" t="s">
        <v>432</v>
      </c>
      <c r="D1069" s="129" t="s">
        <v>407</v>
      </c>
      <c r="E1069" s="131">
        <v>55</v>
      </c>
      <c r="F1069" s="129" t="s">
        <v>391</v>
      </c>
      <c r="G1069" s="131"/>
      <c r="H1069" s="131">
        <v>28019.996910405032</v>
      </c>
      <c r="I1069" s="132">
        <v>17050000</v>
      </c>
      <c r="J1069" s="133" t="s">
        <v>289</v>
      </c>
      <c r="K1069" s="133" t="s">
        <v>392</v>
      </c>
      <c r="L1069" s="133" t="s">
        <v>401</v>
      </c>
      <c r="M1069" s="133" t="s">
        <v>261</v>
      </c>
      <c r="N1069" s="133"/>
      <c r="O1069" s="133"/>
    </row>
    <row r="1070" spans="1:15">
      <c r="A1070" s="124" t="s">
        <v>387</v>
      </c>
      <c r="B1070" s="124"/>
      <c r="C1070" s="125" t="s">
        <v>432</v>
      </c>
      <c r="D1070" s="124" t="s">
        <v>407</v>
      </c>
      <c r="E1070" s="126">
        <v>55</v>
      </c>
      <c r="F1070" s="124" t="s">
        <v>391</v>
      </c>
      <c r="G1070" s="126"/>
      <c r="H1070" s="126">
        <v>28019.996910405032</v>
      </c>
      <c r="I1070" s="127">
        <v>17050000</v>
      </c>
      <c r="J1070" s="128" t="s">
        <v>289</v>
      </c>
      <c r="K1070" s="128" t="s">
        <v>392</v>
      </c>
      <c r="L1070" s="128" t="s">
        <v>401</v>
      </c>
      <c r="M1070" s="128" t="s">
        <v>261</v>
      </c>
      <c r="N1070" s="128"/>
      <c r="O1070" s="128"/>
    </row>
    <row r="1071" spans="1:15">
      <c r="A1071" s="129" t="s">
        <v>387</v>
      </c>
      <c r="B1071" s="129"/>
      <c r="C1071" s="130" t="s">
        <v>433</v>
      </c>
      <c r="D1071" s="129" t="s">
        <v>407</v>
      </c>
      <c r="E1071" s="131">
        <v>55</v>
      </c>
      <c r="F1071" s="129" t="s">
        <v>391</v>
      </c>
      <c r="G1071" s="131"/>
      <c r="H1071" s="131">
        <v>28019.996910405032</v>
      </c>
      <c r="I1071" s="132">
        <v>17050000</v>
      </c>
      <c r="J1071" s="133" t="s">
        <v>289</v>
      </c>
      <c r="K1071" s="133" t="s">
        <v>392</v>
      </c>
      <c r="L1071" s="133" t="s">
        <v>401</v>
      </c>
      <c r="M1071" s="133" t="s">
        <v>261</v>
      </c>
      <c r="N1071" s="133"/>
      <c r="O1071" s="133"/>
    </row>
    <row r="1072" spans="1:15">
      <c r="A1072" s="124" t="s">
        <v>387</v>
      </c>
      <c r="B1072" s="124"/>
      <c r="C1072" s="125" t="s">
        <v>433</v>
      </c>
      <c r="D1072" s="124" t="s">
        <v>407</v>
      </c>
      <c r="E1072" s="126">
        <v>50</v>
      </c>
      <c r="F1072" s="124" t="s">
        <v>391</v>
      </c>
      <c r="G1072" s="126"/>
      <c r="H1072" s="126">
        <v>25472.724464004576</v>
      </c>
      <c r="I1072" s="127">
        <v>15500000</v>
      </c>
      <c r="J1072" s="128" t="s">
        <v>289</v>
      </c>
      <c r="K1072" s="128" t="s">
        <v>392</v>
      </c>
      <c r="L1072" s="128" t="s">
        <v>401</v>
      </c>
      <c r="M1072" s="128" t="s">
        <v>261</v>
      </c>
      <c r="N1072" s="128"/>
      <c r="O1072" s="128"/>
    </row>
    <row r="1073" spans="1:15">
      <c r="A1073" s="129" t="s">
        <v>387</v>
      </c>
      <c r="B1073" s="129"/>
      <c r="C1073" s="130" t="s">
        <v>434</v>
      </c>
      <c r="D1073" s="129" t="s">
        <v>407</v>
      </c>
      <c r="E1073" s="131">
        <v>1</v>
      </c>
      <c r="F1073" s="129" t="s">
        <v>391</v>
      </c>
      <c r="G1073" s="131"/>
      <c r="H1073" s="131">
        <v>509.45448928009148</v>
      </c>
      <c r="I1073" s="132">
        <v>310000</v>
      </c>
      <c r="J1073" s="133" t="s">
        <v>289</v>
      </c>
      <c r="K1073" s="133" t="s">
        <v>392</v>
      </c>
      <c r="L1073" s="133" t="s">
        <v>401</v>
      </c>
      <c r="M1073" s="133" t="s">
        <v>261</v>
      </c>
      <c r="N1073" s="133"/>
      <c r="O1073" s="133"/>
    </row>
    <row r="1074" spans="1:15">
      <c r="A1074" s="124" t="s">
        <v>387</v>
      </c>
      <c r="B1074" s="124"/>
      <c r="C1074" s="125" t="s">
        <v>434</v>
      </c>
      <c r="D1074" s="124" t="s">
        <v>407</v>
      </c>
      <c r="E1074" s="126">
        <v>47</v>
      </c>
      <c r="F1074" s="124" t="s">
        <v>391</v>
      </c>
      <c r="G1074" s="126"/>
      <c r="H1074" s="126">
        <v>23944.360996164298</v>
      </c>
      <c r="I1074" s="127">
        <v>14570000</v>
      </c>
      <c r="J1074" s="128" t="s">
        <v>289</v>
      </c>
      <c r="K1074" s="128" t="s">
        <v>392</v>
      </c>
      <c r="L1074" s="128" t="s">
        <v>401</v>
      </c>
      <c r="M1074" s="128" t="s">
        <v>261</v>
      </c>
      <c r="N1074" s="128"/>
      <c r="O1074" s="128"/>
    </row>
    <row r="1075" spans="1:15">
      <c r="A1075" s="129" t="s">
        <v>387</v>
      </c>
      <c r="B1075" s="129"/>
      <c r="C1075" s="130" t="s">
        <v>434</v>
      </c>
      <c r="D1075" s="129" t="s">
        <v>407</v>
      </c>
      <c r="E1075" s="131">
        <v>55</v>
      </c>
      <c r="F1075" s="129" t="s">
        <v>391</v>
      </c>
      <c r="G1075" s="131"/>
      <c r="H1075" s="131">
        <v>28019.996910405032</v>
      </c>
      <c r="I1075" s="132">
        <v>17050000</v>
      </c>
      <c r="J1075" s="133" t="s">
        <v>289</v>
      </c>
      <c r="K1075" s="133" t="s">
        <v>392</v>
      </c>
      <c r="L1075" s="133" t="s">
        <v>401</v>
      </c>
      <c r="M1075" s="133" t="s">
        <v>261</v>
      </c>
      <c r="N1075" s="133"/>
      <c r="O1075" s="133"/>
    </row>
    <row r="1076" spans="1:15">
      <c r="A1076" s="124" t="s">
        <v>387</v>
      </c>
      <c r="B1076" s="124"/>
      <c r="C1076" s="125" t="s">
        <v>434</v>
      </c>
      <c r="D1076" s="124" t="s">
        <v>407</v>
      </c>
      <c r="E1076" s="126">
        <v>55</v>
      </c>
      <c r="F1076" s="124" t="s">
        <v>391</v>
      </c>
      <c r="G1076" s="126"/>
      <c r="H1076" s="126">
        <v>28019.996910405032</v>
      </c>
      <c r="I1076" s="127">
        <v>17050000</v>
      </c>
      <c r="J1076" s="128" t="s">
        <v>289</v>
      </c>
      <c r="K1076" s="128" t="s">
        <v>392</v>
      </c>
      <c r="L1076" s="128" t="s">
        <v>401</v>
      </c>
      <c r="M1076" s="128" t="s">
        <v>261</v>
      </c>
      <c r="N1076" s="128"/>
      <c r="O1076" s="128"/>
    </row>
    <row r="1077" spans="1:15">
      <c r="A1077" s="129" t="s">
        <v>387</v>
      </c>
      <c r="B1077" s="129"/>
      <c r="C1077" s="130" t="s">
        <v>435</v>
      </c>
      <c r="D1077" s="129" t="s">
        <v>415</v>
      </c>
      <c r="E1077" s="131">
        <v>49</v>
      </c>
      <c r="F1077" s="129" t="s">
        <v>391</v>
      </c>
      <c r="G1077" s="131"/>
      <c r="H1077" s="131">
        <v>26453.01350547417</v>
      </c>
      <c r="I1077" s="132">
        <v>16096500</v>
      </c>
      <c r="J1077" s="133" t="s">
        <v>289</v>
      </c>
      <c r="K1077" s="133" t="s">
        <v>392</v>
      </c>
      <c r="L1077" s="133" t="s">
        <v>408</v>
      </c>
      <c r="M1077" s="133" t="s">
        <v>261</v>
      </c>
      <c r="N1077" s="133"/>
      <c r="O1077" s="133"/>
    </row>
    <row r="1078" spans="1:15">
      <c r="A1078" s="124" t="s">
        <v>387</v>
      </c>
      <c r="B1078" s="124"/>
      <c r="C1078" s="125" t="s">
        <v>435</v>
      </c>
      <c r="D1078" s="124" t="s">
        <v>415</v>
      </c>
      <c r="E1078" s="126">
        <v>49</v>
      </c>
      <c r="F1078" s="124" t="s">
        <v>391</v>
      </c>
      <c r="G1078" s="126"/>
      <c r="H1078" s="126">
        <v>26453.01350547417</v>
      </c>
      <c r="I1078" s="127">
        <v>16096500</v>
      </c>
      <c r="J1078" s="128" t="s">
        <v>289</v>
      </c>
      <c r="K1078" s="128" t="s">
        <v>392</v>
      </c>
      <c r="L1078" s="128" t="s">
        <v>408</v>
      </c>
      <c r="M1078" s="128" t="s">
        <v>261</v>
      </c>
      <c r="N1078" s="128"/>
      <c r="O1078" s="128"/>
    </row>
    <row r="1079" spans="1:15">
      <c r="A1079" s="129" t="s">
        <v>387</v>
      </c>
      <c r="B1079" s="129"/>
      <c r="C1079" s="130" t="s">
        <v>435</v>
      </c>
      <c r="D1079" s="129" t="s">
        <v>415</v>
      </c>
      <c r="E1079" s="131">
        <v>49</v>
      </c>
      <c r="F1079" s="129" t="s">
        <v>391</v>
      </c>
      <c r="G1079" s="131"/>
      <c r="H1079" s="131">
        <v>26453.01350547417</v>
      </c>
      <c r="I1079" s="132">
        <v>16096500</v>
      </c>
      <c r="J1079" s="133" t="s">
        <v>289</v>
      </c>
      <c r="K1079" s="133" t="s">
        <v>392</v>
      </c>
      <c r="L1079" s="133" t="s">
        <v>408</v>
      </c>
      <c r="M1079" s="133" t="s">
        <v>261</v>
      </c>
      <c r="N1079" s="133"/>
      <c r="O1079" s="133"/>
    </row>
    <row r="1080" spans="1:15">
      <c r="A1080" s="124" t="s">
        <v>387</v>
      </c>
      <c r="B1080" s="124"/>
      <c r="C1080" s="125" t="s">
        <v>435</v>
      </c>
      <c r="D1080" s="124" t="s">
        <v>415</v>
      </c>
      <c r="E1080" s="126">
        <v>49</v>
      </c>
      <c r="F1080" s="124" t="s">
        <v>391</v>
      </c>
      <c r="G1080" s="126"/>
      <c r="H1080" s="126">
        <v>26453.01350547417</v>
      </c>
      <c r="I1080" s="127">
        <v>16096500</v>
      </c>
      <c r="J1080" s="128" t="s">
        <v>289</v>
      </c>
      <c r="K1080" s="128" t="s">
        <v>392</v>
      </c>
      <c r="L1080" s="128" t="s">
        <v>408</v>
      </c>
      <c r="M1080" s="128" t="s">
        <v>261</v>
      </c>
      <c r="N1080" s="128"/>
      <c r="O1080" s="128"/>
    </row>
    <row r="1081" spans="1:15">
      <c r="A1081" s="129" t="s">
        <v>387</v>
      </c>
      <c r="B1081" s="129"/>
      <c r="C1081" s="130" t="s">
        <v>435</v>
      </c>
      <c r="D1081" s="129" t="s">
        <v>415</v>
      </c>
      <c r="E1081" s="131">
        <v>49</v>
      </c>
      <c r="F1081" s="129" t="s">
        <v>391</v>
      </c>
      <c r="G1081" s="131"/>
      <c r="H1081" s="131">
        <v>26453.01350547417</v>
      </c>
      <c r="I1081" s="132">
        <v>16096500</v>
      </c>
      <c r="J1081" s="133" t="s">
        <v>289</v>
      </c>
      <c r="K1081" s="133" t="s">
        <v>392</v>
      </c>
      <c r="L1081" s="133" t="s">
        <v>408</v>
      </c>
      <c r="M1081" s="133" t="s">
        <v>261</v>
      </c>
      <c r="N1081" s="133"/>
      <c r="O1081" s="133"/>
    </row>
    <row r="1082" spans="1:15">
      <c r="A1082" s="124" t="s">
        <v>387</v>
      </c>
      <c r="B1082" s="124"/>
      <c r="C1082" s="125" t="s">
        <v>435</v>
      </c>
      <c r="D1082" s="124" t="s">
        <v>407</v>
      </c>
      <c r="E1082" s="126">
        <v>55</v>
      </c>
      <c r="F1082" s="124" t="s">
        <v>391</v>
      </c>
      <c r="G1082" s="126"/>
      <c r="H1082" s="126">
        <v>28019.996910405032</v>
      </c>
      <c r="I1082" s="127">
        <v>17050000</v>
      </c>
      <c r="J1082" s="128" t="s">
        <v>289</v>
      </c>
      <c r="K1082" s="128" t="s">
        <v>392</v>
      </c>
      <c r="L1082" s="128" t="s">
        <v>401</v>
      </c>
      <c r="M1082" s="128" t="s">
        <v>261</v>
      </c>
      <c r="N1082" s="128"/>
      <c r="O1082" s="128"/>
    </row>
    <row r="1083" spans="1:15">
      <c r="A1083" s="129" t="s">
        <v>387</v>
      </c>
      <c r="B1083" s="129"/>
      <c r="C1083" s="130" t="s">
        <v>436</v>
      </c>
      <c r="D1083" s="129" t="s">
        <v>407</v>
      </c>
      <c r="E1083" s="131">
        <v>50</v>
      </c>
      <c r="F1083" s="129" t="s">
        <v>391</v>
      </c>
      <c r="G1083" s="131"/>
      <c r="H1083" s="131">
        <v>25472.724464004576</v>
      </c>
      <c r="I1083" s="132">
        <v>15500000</v>
      </c>
      <c r="J1083" s="133" t="s">
        <v>289</v>
      </c>
      <c r="K1083" s="133" t="s">
        <v>392</v>
      </c>
      <c r="L1083" s="133" t="s">
        <v>401</v>
      </c>
      <c r="M1083" s="133" t="s">
        <v>261</v>
      </c>
      <c r="N1083" s="133"/>
      <c r="O1083" s="133"/>
    </row>
    <row r="1084" spans="1:15">
      <c r="A1084" s="124" t="s">
        <v>387</v>
      </c>
      <c r="B1084" s="124"/>
      <c r="C1084" s="125" t="s">
        <v>435</v>
      </c>
      <c r="D1084" s="124" t="s">
        <v>415</v>
      </c>
      <c r="E1084" s="126">
        <v>49</v>
      </c>
      <c r="F1084" s="124" t="s">
        <v>391</v>
      </c>
      <c r="G1084" s="126"/>
      <c r="H1084" s="126">
        <v>26453.01350547417</v>
      </c>
      <c r="I1084" s="127">
        <v>16096500</v>
      </c>
      <c r="J1084" s="128" t="s">
        <v>289</v>
      </c>
      <c r="K1084" s="128" t="s">
        <v>392</v>
      </c>
      <c r="L1084" s="128" t="s">
        <v>408</v>
      </c>
      <c r="M1084" s="128" t="s">
        <v>261</v>
      </c>
      <c r="N1084" s="128"/>
      <c r="O1084" s="128"/>
    </row>
    <row r="1085" spans="1:15">
      <c r="A1085" s="129" t="s">
        <v>387</v>
      </c>
      <c r="B1085" s="129"/>
      <c r="C1085" s="130" t="s">
        <v>435</v>
      </c>
      <c r="D1085" s="129" t="s">
        <v>415</v>
      </c>
      <c r="E1085" s="131">
        <v>41</v>
      </c>
      <c r="F1085" s="129" t="s">
        <v>391</v>
      </c>
      <c r="G1085" s="131"/>
      <c r="H1085" s="131">
        <v>22134.154157641653</v>
      </c>
      <c r="I1085" s="132">
        <v>13468500</v>
      </c>
      <c r="J1085" s="133" t="s">
        <v>289</v>
      </c>
      <c r="K1085" s="133" t="s">
        <v>392</v>
      </c>
      <c r="L1085" s="133" t="s">
        <v>408</v>
      </c>
      <c r="M1085" s="133" t="s">
        <v>261</v>
      </c>
      <c r="N1085" s="133"/>
      <c r="O1085" s="133"/>
    </row>
    <row r="1086" spans="1:15">
      <c r="A1086" s="124" t="s">
        <v>387</v>
      </c>
      <c r="B1086" s="124"/>
      <c r="C1086" s="125" t="s">
        <v>435</v>
      </c>
      <c r="D1086" s="124" t="s">
        <v>415</v>
      </c>
      <c r="E1086" s="126">
        <v>49</v>
      </c>
      <c r="F1086" s="124" t="s">
        <v>391</v>
      </c>
      <c r="G1086" s="126"/>
      <c r="H1086" s="126">
        <v>26453.01350547417</v>
      </c>
      <c r="I1086" s="127">
        <v>16096500</v>
      </c>
      <c r="J1086" s="128" t="s">
        <v>289</v>
      </c>
      <c r="K1086" s="128" t="s">
        <v>392</v>
      </c>
      <c r="L1086" s="128" t="s">
        <v>408</v>
      </c>
      <c r="M1086" s="128" t="s">
        <v>261</v>
      </c>
      <c r="N1086" s="128"/>
      <c r="O1086" s="128"/>
    </row>
    <row r="1087" spans="1:15">
      <c r="A1087" s="129" t="s">
        <v>387</v>
      </c>
      <c r="B1087" s="129"/>
      <c r="C1087" s="130" t="s">
        <v>435</v>
      </c>
      <c r="D1087" s="129" t="s">
        <v>415</v>
      </c>
      <c r="E1087" s="131">
        <v>49</v>
      </c>
      <c r="F1087" s="129" t="s">
        <v>391</v>
      </c>
      <c r="G1087" s="131"/>
      <c r="H1087" s="131">
        <v>26453.01350547417</v>
      </c>
      <c r="I1087" s="132">
        <v>16096500</v>
      </c>
      <c r="J1087" s="133" t="s">
        <v>289</v>
      </c>
      <c r="K1087" s="133" t="s">
        <v>392</v>
      </c>
      <c r="L1087" s="133" t="s">
        <v>408</v>
      </c>
      <c r="M1087" s="133" t="s">
        <v>261</v>
      </c>
      <c r="N1087" s="133"/>
      <c r="O1087" s="133"/>
    </row>
    <row r="1088" spans="1:15">
      <c r="A1088" s="124" t="s">
        <v>387</v>
      </c>
      <c r="B1088" s="124"/>
      <c r="C1088" s="125" t="s">
        <v>435</v>
      </c>
      <c r="D1088" s="124" t="s">
        <v>415</v>
      </c>
      <c r="E1088" s="126">
        <v>49</v>
      </c>
      <c r="F1088" s="124" t="s">
        <v>391</v>
      </c>
      <c r="G1088" s="126"/>
      <c r="H1088" s="126">
        <v>26453.01350547417</v>
      </c>
      <c r="I1088" s="127">
        <v>16096500</v>
      </c>
      <c r="J1088" s="128" t="s">
        <v>289</v>
      </c>
      <c r="K1088" s="128" t="s">
        <v>392</v>
      </c>
      <c r="L1088" s="128" t="s">
        <v>408</v>
      </c>
      <c r="M1088" s="128" t="s">
        <v>261</v>
      </c>
      <c r="N1088" s="128"/>
      <c r="O1088" s="128"/>
    </row>
    <row r="1089" spans="1:15">
      <c r="A1089" s="129" t="s">
        <v>387</v>
      </c>
      <c r="B1089" s="129"/>
      <c r="C1089" s="130" t="s">
        <v>437</v>
      </c>
      <c r="D1089" s="129" t="s">
        <v>407</v>
      </c>
      <c r="E1089" s="131">
        <v>55</v>
      </c>
      <c r="F1089" s="129" t="s">
        <v>391</v>
      </c>
      <c r="G1089" s="131"/>
      <c r="H1089" s="131">
        <v>28019.996910405032</v>
      </c>
      <c r="I1089" s="132">
        <v>17050000</v>
      </c>
      <c r="J1089" s="133" t="s">
        <v>289</v>
      </c>
      <c r="K1089" s="133" t="s">
        <v>392</v>
      </c>
      <c r="L1089" s="133" t="s">
        <v>401</v>
      </c>
      <c r="M1089" s="133" t="s">
        <v>261</v>
      </c>
      <c r="N1089" s="133"/>
      <c r="O1089" s="133"/>
    </row>
    <row r="1090" spans="1:15">
      <c r="A1090" s="124" t="s">
        <v>387</v>
      </c>
      <c r="B1090" s="124"/>
      <c r="C1090" s="125" t="s">
        <v>438</v>
      </c>
      <c r="D1090" s="124" t="s">
        <v>390</v>
      </c>
      <c r="E1090" s="126">
        <v>10018.008</v>
      </c>
      <c r="F1090" s="124" t="s">
        <v>391</v>
      </c>
      <c r="G1090" s="126"/>
      <c r="H1090" s="126">
        <v>9697431.7400007229</v>
      </c>
      <c r="I1090" s="127">
        <v>5900829029.1999998</v>
      </c>
      <c r="J1090" s="128" t="s">
        <v>366</v>
      </c>
      <c r="K1090" s="128" t="s">
        <v>392</v>
      </c>
      <c r="L1090" s="128" t="s">
        <v>393</v>
      </c>
      <c r="M1090" s="128" t="s">
        <v>394</v>
      </c>
      <c r="N1090" s="128"/>
      <c r="O1090" s="128"/>
    </row>
    <row r="1091" spans="1:15">
      <c r="A1091" s="129" t="s">
        <v>387</v>
      </c>
      <c r="B1091" s="129"/>
      <c r="C1091" s="130" t="s">
        <v>439</v>
      </c>
      <c r="D1091" s="129" t="s">
        <v>415</v>
      </c>
      <c r="E1091" s="131">
        <v>50</v>
      </c>
      <c r="F1091" s="129" t="s">
        <v>391</v>
      </c>
      <c r="G1091" s="131"/>
      <c r="H1091" s="131">
        <v>24651.023674843134</v>
      </c>
      <c r="I1091" s="132">
        <v>15000000</v>
      </c>
      <c r="J1091" s="133" t="s">
        <v>289</v>
      </c>
      <c r="K1091" s="133" t="s">
        <v>392</v>
      </c>
      <c r="L1091" s="133" t="s">
        <v>401</v>
      </c>
      <c r="M1091" s="133" t="s">
        <v>261</v>
      </c>
      <c r="N1091" s="133"/>
      <c r="O1091" s="133"/>
    </row>
    <row r="1092" spans="1:15">
      <c r="A1092" s="124" t="s">
        <v>387</v>
      </c>
      <c r="B1092" s="124"/>
      <c r="C1092" s="125" t="s">
        <v>439</v>
      </c>
      <c r="D1092" s="124" t="s">
        <v>415</v>
      </c>
      <c r="E1092" s="126">
        <v>50</v>
      </c>
      <c r="F1092" s="124" t="s">
        <v>391</v>
      </c>
      <c r="G1092" s="126"/>
      <c r="H1092" s="126">
        <v>24651.023674843134</v>
      </c>
      <c r="I1092" s="127">
        <v>15000000</v>
      </c>
      <c r="J1092" s="128" t="s">
        <v>289</v>
      </c>
      <c r="K1092" s="128" t="s">
        <v>392</v>
      </c>
      <c r="L1092" s="128" t="s">
        <v>401</v>
      </c>
      <c r="M1092" s="128" t="s">
        <v>261</v>
      </c>
      <c r="N1092" s="128"/>
      <c r="O1092" s="128"/>
    </row>
    <row r="1093" spans="1:15">
      <c r="A1093" s="129" t="s">
        <v>387</v>
      </c>
      <c r="B1093" s="129"/>
      <c r="C1093" s="130" t="s">
        <v>439</v>
      </c>
      <c r="D1093" s="129" t="s">
        <v>415</v>
      </c>
      <c r="E1093" s="131">
        <v>50</v>
      </c>
      <c r="F1093" s="129" t="s">
        <v>391</v>
      </c>
      <c r="G1093" s="131"/>
      <c r="H1093" s="131">
        <v>24651.023674843134</v>
      </c>
      <c r="I1093" s="132">
        <v>15000000</v>
      </c>
      <c r="J1093" s="133" t="s">
        <v>289</v>
      </c>
      <c r="K1093" s="133" t="s">
        <v>392</v>
      </c>
      <c r="L1093" s="133" t="s">
        <v>401</v>
      </c>
      <c r="M1093" s="133" t="s">
        <v>261</v>
      </c>
      <c r="N1093" s="133"/>
      <c r="O1093" s="133"/>
    </row>
    <row r="1094" spans="1:15">
      <c r="A1094" s="124" t="s">
        <v>387</v>
      </c>
      <c r="B1094" s="124"/>
      <c r="C1094" s="125" t="s">
        <v>439</v>
      </c>
      <c r="D1094" s="124" t="s">
        <v>415</v>
      </c>
      <c r="E1094" s="126">
        <v>48</v>
      </c>
      <c r="F1094" s="124" t="s">
        <v>391</v>
      </c>
      <c r="G1094" s="126"/>
      <c r="H1094" s="126">
        <v>23664.982727849412</v>
      </c>
      <c r="I1094" s="127">
        <v>14400000</v>
      </c>
      <c r="J1094" s="128" t="s">
        <v>289</v>
      </c>
      <c r="K1094" s="128" t="s">
        <v>392</v>
      </c>
      <c r="L1094" s="128" t="s">
        <v>401</v>
      </c>
      <c r="M1094" s="128" t="s">
        <v>261</v>
      </c>
      <c r="N1094" s="128"/>
      <c r="O1094" s="128"/>
    </row>
    <row r="1095" spans="1:15">
      <c r="A1095" s="129" t="s">
        <v>387</v>
      </c>
      <c r="B1095" s="129"/>
      <c r="C1095" s="130" t="s">
        <v>439</v>
      </c>
      <c r="D1095" s="129" t="s">
        <v>415</v>
      </c>
      <c r="E1095" s="131">
        <v>50</v>
      </c>
      <c r="F1095" s="129" t="s">
        <v>391</v>
      </c>
      <c r="G1095" s="131"/>
      <c r="H1095" s="131">
        <v>24651.023674843134</v>
      </c>
      <c r="I1095" s="132">
        <v>15000000</v>
      </c>
      <c r="J1095" s="133" t="s">
        <v>289</v>
      </c>
      <c r="K1095" s="133" t="s">
        <v>392</v>
      </c>
      <c r="L1095" s="133" t="s">
        <v>401</v>
      </c>
      <c r="M1095" s="133" t="s">
        <v>261</v>
      </c>
      <c r="N1095" s="133"/>
      <c r="O1095" s="133"/>
    </row>
    <row r="1096" spans="1:15">
      <c r="A1096" s="124" t="s">
        <v>387</v>
      </c>
      <c r="B1096" s="124"/>
      <c r="C1096" s="125" t="s">
        <v>439</v>
      </c>
      <c r="D1096" s="124" t="s">
        <v>415</v>
      </c>
      <c r="E1096" s="126">
        <v>48</v>
      </c>
      <c r="F1096" s="124" t="s">
        <v>391</v>
      </c>
      <c r="G1096" s="126"/>
      <c r="H1096" s="126">
        <v>23664.982727849412</v>
      </c>
      <c r="I1096" s="127">
        <v>14400000</v>
      </c>
      <c r="J1096" s="128" t="s">
        <v>289</v>
      </c>
      <c r="K1096" s="128" t="s">
        <v>392</v>
      </c>
      <c r="L1096" s="128" t="s">
        <v>401</v>
      </c>
      <c r="M1096" s="128" t="s">
        <v>261</v>
      </c>
      <c r="N1096" s="128"/>
      <c r="O1096" s="128"/>
    </row>
    <row r="1097" spans="1:15">
      <c r="A1097" s="129" t="s">
        <v>387</v>
      </c>
      <c r="B1097" s="129"/>
      <c r="C1097" s="130" t="s">
        <v>440</v>
      </c>
      <c r="D1097" s="129" t="s">
        <v>407</v>
      </c>
      <c r="E1097" s="131">
        <v>50</v>
      </c>
      <c r="F1097" s="129" t="s">
        <v>391</v>
      </c>
      <c r="G1097" s="131"/>
      <c r="H1097" s="131">
        <v>25472.724464004576</v>
      </c>
      <c r="I1097" s="132">
        <v>15500000</v>
      </c>
      <c r="J1097" s="133" t="s">
        <v>289</v>
      </c>
      <c r="K1097" s="133" t="s">
        <v>392</v>
      </c>
      <c r="L1097" s="133" t="s">
        <v>401</v>
      </c>
      <c r="M1097" s="133" t="s">
        <v>261</v>
      </c>
      <c r="N1097" s="133"/>
      <c r="O1097" s="133"/>
    </row>
    <row r="1098" spans="1:15">
      <c r="A1098" s="124" t="s">
        <v>387</v>
      </c>
      <c r="B1098" s="124"/>
      <c r="C1098" s="125" t="s">
        <v>440</v>
      </c>
      <c r="D1098" s="124" t="s">
        <v>407</v>
      </c>
      <c r="E1098" s="126">
        <v>44</v>
      </c>
      <c r="F1098" s="124" t="s">
        <v>391</v>
      </c>
      <c r="G1098" s="126"/>
      <c r="H1098" s="126">
        <v>22415.997528324024</v>
      </c>
      <c r="I1098" s="127">
        <v>13640000</v>
      </c>
      <c r="J1098" s="128" t="s">
        <v>289</v>
      </c>
      <c r="K1098" s="128" t="s">
        <v>392</v>
      </c>
      <c r="L1098" s="128" t="s">
        <v>401</v>
      </c>
      <c r="M1098" s="128" t="s">
        <v>261</v>
      </c>
      <c r="N1098" s="128"/>
      <c r="O1098" s="128"/>
    </row>
    <row r="1099" spans="1:15">
      <c r="A1099" s="129" t="s">
        <v>387</v>
      </c>
      <c r="B1099" s="129"/>
      <c r="C1099" s="130" t="s">
        <v>440</v>
      </c>
      <c r="D1099" s="129" t="s">
        <v>407</v>
      </c>
      <c r="E1099" s="131">
        <v>5</v>
      </c>
      <c r="F1099" s="129" t="s">
        <v>391</v>
      </c>
      <c r="G1099" s="131"/>
      <c r="H1099" s="131">
        <v>2547.2724464004573</v>
      </c>
      <c r="I1099" s="132">
        <v>1550000</v>
      </c>
      <c r="J1099" s="133" t="s">
        <v>289</v>
      </c>
      <c r="K1099" s="133" t="s">
        <v>392</v>
      </c>
      <c r="L1099" s="133" t="s">
        <v>401</v>
      </c>
      <c r="M1099" s="133" t="s">
        <v>261</v>
      </c>
      <c r="N1099" s="133"/>
      <c r="O1099" s="133"/>
    </row>
    <row r="1100" spans="1:15">
      <c r="A1100" s="124" t="s">
        <v>387</v>
      </c>
      <c r="B1100" s="124"/>
      <c r="C1100" s="125" t="s">
        <v>440</v>
      </c>
      <c r="D1100" s="124" t="s">
        <v>407</v>
      </c>
      <c r="E1100" s="126">
        <v>50</v>
      </c>
      <c r="F1100" s="124" t="s">
        <v>391</v>
      </c>
      <c r="G1100" s="126"/>
      <c r="H1100" s="126">
        <v>25472.724464004576</v>
      </c>
      <c r="I1100" s="127">
        <v>15500000</v>
      </c>
      <c r="J1100" s="128" t="s">
        <v>289</v>
      </c>
      <c r="K1100" s="128" t="s">
        <v>392</v>
      </c>
      <c r="L1100" s="128" t="s">
        <v>401</v>
      </c>
      <c r="M1100" s="128" t="s">
        <v>261</v>
      </c>
      <c r="N1100" s="128"/>
      <c r="O1100" s="128"/>
    </row>
    <row r="1101" spans="1:15">
      <c r="A1101" s="129" t="s">
        <v>387</v>
      </c>
      <c r="B1101" s="129"/>
      <c r="C1101" s="130" t="s">
        <v>440</v>
      </c>
      <c r="D1101" s="129" t="s">
        <v>407</v>
      </c>
      <c r="E1101" s="131">
        <v>48</v>
      </c>
      <c r="F1101" s="129" t="s">
        <v>391</v>
      </c>
      <c r="G1101" s="131"/>
      <c r="H1101" s="131">
        <v>24453.815485444393</v>
      </c>
      <c r="I1101" s="132">
        <v>14880000</v>
      </c>
      <c r="J1101" s="133" t="s">
        <v>289</v>
      </c>
      <c r="K1101" s="133" t="s">
        <v>392</v>
      </c>
      <c r="L1101" s="133" t="s">
        <v>401</v>
      </c>
      <c r="M1101" s="133" t="s">
        <v>261</v>
      </c>
      <c r="N1101" s="133"/>
      <c r="O1101" s="133"/>
    </row>
    <row r="1102" spans="1:15">
      <c r="A1102" s="124" t="s">
        <v>387</v>
      </c>
      <c r="B1102" s="124"/>
      <c r="C1102" s="125" t="s">
        <v>440</v>
      </c>
      <c r="D1102" s="124" t="s">
        <v>407</v>
      </c>
      <c r="E1102" s="126">
        <v>50</v>
      </c>
      <c r="F1102" s="124" t="s">
        <v>391</v>
      </c>
      <c r="G1102" s="126"/>
      <c r="H1102" s="126">
        <v>25472.724464004576</v>
      </c>
      <c r="I1102" s="127">
        <v>15500000</v>
      </c>
      <c r="J1102" s="128" t="s">
        <v>289</v>
      </c>
      <c r="K1102" s="128" t="s">
        <v>392</v>
      </c>
      <c r="L1102" s="128" t="s">
        <v>401</v>
      </c>
      <c r="M1102" s="128" t="s">
        <v>261</v>
      </c>
      <c r="N1102" s="128"/>
      <c r="O1102" s="128"/>
    </row>
    <row r="1103" spans="1:15">
      <c r="A1103" s="129" t="s">
        <v>387</v>
      </c>
      <c r="B1103" s="129"/>
      <c r="C1103" s="130" t="s">
        <v>440</v>
      </c>
      <c r="D1103" s="129" t="s">
        <v>407</v>
      </c>
      <c r="E1103" s="131">
        <v>55</v>
      </c>
      <c r="F1103" s="129" t="s">
        <v>391</v>
      </c>
      <c r="G1103" s="131"/>
      <c r="H1103" s="131">
        <v>28019.996910405032</v>
      </c>
      <c r="I1103" s="132">
        <v>17050000</v>
      </c>
      <c r="J1103" s="133" t="s">
        <v>289</v>
      </c>
      <c r="K1103" s="133" t="s">
        <v>392</v>
      </c>
      <c r="L1103" s="133" t="s">
        <v>401</v>
      </c>
      <c r="M1103" s="133" t="s">
        <v>261</v>
      </c>
      <c r="N1103" s="133"/>
      <c r="O1103" s="133"/>
    </row>
    <row r="1104" spans="1:15">
      <c r="A1104" s="124" t="s">
        <v>387</v>
      </c>
      <c r="B1104" s="124"/>
      <c r="C1104" s="125" t="s">
        <v>440</v>
      </c>
      <c r="D1104" s="124" t="s">
        <v>407</v>
      </c>
      <c r="E1104" s="126">
        <v>48</v>
      </c>
      <c r="F1104" s="124" t="s">
        <v>391</v>
      </c>
      <c r="G1104" s="126"/>
      <c r="H1104" s="126">
        <v>24453.815485444393</v>
      </c>
      <c r="I1104" s="127">
        <v>14880000</v>
      </c>
      <c r="J1104" s="128" t="s">
        <v>289</v>
      </c>
      <c r="K1104" s="128" t="s">
        <v>392</v>
      </c>
      <c r="L1104" s="128" t="s">
        <v>401</v>
      </c>
      <c r="M1104" s="128" t="s">
        <v>261</v>
      </c>
      <c r="N1104" s="128"/>
      <c r="O1104" s="128"/>
    </row>
    <row r="1105" spans="1:15">
      <c r="A1105" s="129" t="s">
        <v>387</v>
      </c>
      <c r="B1105" s="129"/>
      <c r="C1105" s="130" t="s">
        <v>440</v>
      </c>
      <c r="D1105" s="129" t="s">
        <v>407</v>
      </c>
      <c r="E1105" s="131">
        <v>48</v>
      </c>
      <c r="F1105" s="129" t="s">
        <v>391</v>
      </c>
      <c r="G1105" s="131"/>
      <c r="H1105" s="131">
        <v>24453.815485444393</v>
      </c>
      <c r="I1105" s="132">
        <v>14880000</v>
      </c>
      <c r="J1105" s="133" t="s">
        <v>289</v>
      </c>
      <c r="K1105" s="133" t="s">
        <v>392</v>
      </c>
      <c r="L1105" s="133" t="s">
        <v>401</v>
      </c>
      <c r="M1105" s="133" t="s">
        <v>261</v>
      </c>
      <c r="N1105" s="133"/>
      <c r="O1105" s="133"/>
    </row>
    <row r="1106" spans="1:15">
      <c r="A1106" s="124" t="s">
        <v>387</v>
      </c>
      <c r="B1106" s="124"/>
      <c r="C1106" s="125" t="s">
        <v>440</v>
      </c>
      <c r="D1106" s="124" t="s">
        <v>407</v>
      </c>
      <c r="E1106" s="126">
        <v>50</v>
      </c>
      <c r="F1106" s="124" t="s">
        <v>391</v>
      </c>
      <c r="G1106" s="126"/>
      <c r="H1106" s="126">
        <v>25472.724464004576</v>
      </c>
      <c r="I1106" s="127">
        <v>15500000</v>
      </c>
      <c r="J1106" s="128" t="s">
        <v>289</v>
      </c>
      <c r="K1106" s="128" t="s">
        <v>392</v>
      </c>
      <c r="L1106" s="128" t="s">
        <v>401</v>
      </c>
      <c r="M1106" s="128" t="s">
        <v>261</v>
      </c>
      <c r="N1106" s="128"/>
      <c r="O1106" s="128"/>
    </row>
    <row r="1107" spans="1:15">
      <c r="A1107" s="129" t="s">
        <v>387</v>
      </c>
      <c r="B1107" s="129"/>
      <c r="C1107" s="130" t="s">
        <v>440</v>
      </c>
      <c r="D1107" s="129" t="s">
        <v>407</v>
      </c>
      <c r="E1107" s="131">
        <v>52</v>
      </c>
      <c r="F1107" s="129" t="s">
        <v>391</v>
      </c>
      <c r="G1107" s="131"/>
      <c r="H1107" s="131">
        <v>26491.633442564758</v>
      </c>
      <c r="I1107" s="132">
        <v>16120000</v>
      </c>
      <c r="J1107" s="133" t="s">
        <v>289</v>
      </c>
      <c r="K1107" s="133" t="s">
        <v>392</v>
      </c>
      <c r="L1107" s="133" t="s">
        <v>401</v>
      </c>
      <c r="M1107" s="133" t="s">
        <v>261</v>
      </c>
      <c r="N1107" s="133"/>
      <c r="O1107" s="133"/>
    </row>
    <row r="1108" spans="1:15">
      <c r="A1108" s="124" t="s">
        <v>387</v>
      </c>
      <c r="B1108" s="124"/>
      <c r="C1108" s="125" t="s">
        <v>440</v>
      </c>
      <c r="D1108" s="124" t="s">
        <v>407</v>
      </c>
      <c r="E1108" s="126">
        <v>52</v>
      </c>
      <c r="F1108" s="124" t="s">
        <v>391</v>
      </c>
      <c r="G1108" s="126"/>
      <c r="H1108" s="126">
        <v>26491.633442564758</v>
      </c>
      <c r="I1108" s="127">
        <v>16120000</v>
      </c>
      <c r="J1108" s="128" t="s">
        <v>289</v>
      </c>
      <c r="K1108" s="128" t="s">
        <v>392</v>
      </c>
      <c r="L1108" s="128" t="s">
        <v>401</v>
      </c>
      <c r="M1108" s="128" t="s">
        <v>261</v>
      </c>
      <c r="N1108" s="128"/>
      <c r="O1108" s="128"/>
    </row>
    <row r="1109" spans="1:15">
      <c r="A1109" s="129" t="s">
        <v>387</v>
      </c>
      <c r="B1109" s="129"/>
      <c r="C1109" s="130" t="s">
        <v>440</v>
      </c>
      <c r="D1109" s="129" t="s">
        <v>407</v>
      </c>
      <c r="E1109" s="131">
        <v>52</v>
      </c>
      <c r="F1109" s="129" t="s">
        <v>391</v>
      </c>
      <c r="G1109" s="131"/>
      <c r="H1109" s="131">
        <v>26491.633442564758</v>
      </c>
      <c r="I1109" s="132">
        <v>16120000</v>
      </c>
      <c r="J1109" s="133" t="s">
        <v>289</v>
      </c>
      <c r="K1109" s="133" t="s">
        <v>392</v>
      </c>
      <c r="L1109" s="133" t="s">
        <v>401</v>
      </c>
      <c r="M1109" s="133" t="s">
        <v>261</v>
      </c>
      <c r="N1109" s="133"/>
      <c r="O1109" s="133"/>
    </row>
    <row r="1110" spans="1:15">
      <c r="A1110" s="124" t="s">
        <v>387</v>
      </c>
      <c r="B1110" s="124"/>
      <c r="C1110" s="125" t="s">
        <v>441</v>
      </c>
      <c r="D1110" s="124" t="s">
        <v>407</v>
      </c>
      <c r="E1110" s="126">
        <v>55</v>
      </c>
      <c r="F1110" s="124" t="s">
        <v>391</v>
      </c>
      <c r="G1110" s="126"/>
      <c r="H1110" s="126">
        <v>28019.996910405032</v>
      </c>
      <c r="I1110" s="127">
        <v>17050000</v>
      </c>
      <c r="J1110" s="128" t="s">
        <v>289</v>
      </c>
      <c r="K1110" s="128" t="s">
        <v>392</v>
      </c>
      <c r="L1110" s="128" t="s">
        <v>401</v>
      </c>
      <c r="M1110" s="128" t="s">
        <v>261</v>
      </c>
      <c r="N1110" s="128"/>
      <c r="O1110" s="128"/>
    </row>
    <row r="1111" spans="1:15">
      <c r="A1111" s="129" t="s">
        <v>387</v>
      </c>
      <c r="B1111" s="129"/>
      <c r="C1111" s="130" t="s">
        <v>441</v>
      </c>
      <c r="D1111" s="129" t="s">
        <v>407</v>
      </c>
      <c r="E1111" s="131">
        <v>48</v>
      </c>
      <c r="F1111" s="129" t="s">
        <v>391</v>
      </c>
      <c r="G1111" s="131"/>
      <c r="H1111" s="131">
        <v>24453.815485444393</v>
      </c>
      <c r="I1111" s="132">
        <v>14880000</v>
      </c>
      <c r="J1111" s="133" t="s">
        <v>289</v>
      </c>
      <c r="K1111" s="133" t="s">
        <v>392</v>
      </c>
      <c r="L1111" s="133" t="s">
        <v>401</v>
      </c>
      <c r="M1111" s="133" t="s">
        <v>261</v>
      </c>
      <c r="N1111" s="133"/>
      <c r="O1111" s="133"/>
    </row>
    <row r="1112" spans="1:15">
      <c r="A1112" s="124" t="s">
        <v>387</v>
      </c>
      <c r="B1112" s="124"/>
      <c r="C1112" s="125" t="s">
        <v>441</v>
      </c>
      <c r="D1112" s="124" t="s">
        <v>407</v>
      </c>
      <c r="E1112" s="126">
        <v>50</v>
      </c>
      <c r="F1112" s="124" t="s">
        <v>391</v>
      </c>
      <c r="G1112" s="126"/>
      <c r="H1112" s="126">
        <v>25472.724464004576</v>
      </c>
      <c r="I1112" s="127">
        <v>15500000</v>
      </c>
      <c r="J1112" s="128" t="s">
        <v>289</v>
      </c>
      <c r="K1112" s="128" t="s">
        <v>392</v>
      </c>
      <c r="L1112" s="128" t="s">
        <v>401</v>
      </c>
      <c r="M1112" s="128" t="s">
        <v>261</v>
      </c>
      <c r="N1112" s="128"/>
      <c r="O1112" s="128"/>
    </row>
    <row r="1113" spans="1:15">
      <c r="A1113" s="129" t="s">
        <v>387</v>
      </c>
      <c r="B1113" s="129"/>
      <c r="C1113" s="130" t="s">
        <v>441</v>
      </c>
      <c r="D1113" s="129" t="s">
        <v>407</v>
      </c>
      <c r="E1113" s="131">
        <v>50</v>
      </c>
      <c r="F1113" s="129" t="s">
        <v>391</v>
      </c>
      <c r="G1113" s="131"/>
      <c r="H1113" s="131">
        <v>25472.724464004576</v>
      </c>
      <c r="I1113" s="132">
        <v>15500000</v>
      </c>
      <c r="J1113" s="133" t="s">
        <v>289</v>
      </c>
      <c r="K1113" s="133" t="s">
        <v>392</v>
      </c>
      <c r="L1113" s="133" t="s">
        <v>401</v>
      </c>
      <c r="M1113" s="133" t="s">
        <v>261</v>
      </c>
      <c r="N1113" s="133"/>
      <c r="O1113" s="133"/>
    </row>
    <row r="1114" spans="1:15">
      <c r="A1114" s="124" t="s">
        <v>387</v>
      </c>
      <c r="B1114" s="124"/>
      <c r="C1114" s="125" t="s">
        <v>441</v>
      </c>
      <c r="D1114" s="124" t="s">
        <v>407</v>
      </c>
      <c r="E1114" s="126">
        <v>48</v>
      </c>
      <c r="F1114" s="124" t="s">
        <v>391</v>
      </c>
      <c r="G1114" s="126"/>
      <c r="H1114" s="126">
        <v>24453.815485444393</v>
      </c>
      <c r="I1114" s="127">
        <v>14880000</v>
      </c>
      <c r="J1114" s="128" t="s">
        <v>289</v>
      </c>
      <c r="K1114" s="128" t="s">
        <v>392</v>
      </c>
      <c r="L1114" s="128" t="s">
        <v>401</v>
      </c>
      <c r="M1114" s="128" t="s">
        <v>261</v>
      </c>
      <c r="N1114" s="128"/>
      <c r="O1114" s="128"/>
    </row>
    <row r="1115" spans="1:15">
      <c r="A1115" s="129" t="s">
        <v>387</v>
      </c>
      <c r="B1115" s="129"/>
      <c r="C1115" s="130" t="s">
        <v>441</v>
      </c>
      <c r="D1115" s="129" t="s">
        <v>407</v>
      </c>
      <c r="E1115" s="131">
        <v>48</v>
      </c>
      <c r="F1115" s="129" t="s">
        <v>391</v>
      </c>
      <c r="G1115" s="131"/>
      <c r="H1115" s="131">
        <v>24453.815485444393</v>
      </c>
      <c r="I1115" s="132">
        <v>14880000</v>
      </c>
      <c r="J1115" s="133" t="s">
        <v>289</v>
      </c>
      <c r="K1115" s="133" t="s">
        <v>392</v>
      </c>
      <c r="L1115" s="133" t="s">
        <v>401</v>
      </c>
      <c r="M1115" s="133" t="s">
        <v>261</v>
      </c>
      <c r="N1115" s="133"/>
      <c r="O1115" s="133"/>
    </row>
    <row r="1116" spans="1:15">
      <c r="A1116" s="124" t="s">
        <v>387</v>
      </c>
      <c r="B1116" s="124"/>
      <c r="C1116" s="125" t="s">
        <v>441</v>
      </c>
      <c r="D1116" s="124" t="s">
        <v>407</v>
      </c>
      <c r="E1116" s="126">
        <v>50</v>
      </c>
      <c r="F1116" s="124" t="s">
        <v>391</v>
      </c>
      <c r="G1116" s="126"/>
      <c r="H1116" s="126">
        <v>25472.724464004576</v>
      </c>
      <c r="I1116" s="127">
        <v>15500000</v>
      </c>
      <c r="J1116" s="128" t="s">
        <v>289</v>
      </c>
      <c r="K1116" s="128" t="s">
        <v>392</v>
      </c>
      <c r="L1116" s="128" t="s">
        <v>401</v>
      </c>
      <c r="M1116" s="128" t="s">
        <v>261</v>
      </c>
      <c r="N1116" s="128"/>
      <c r="O1116" s="128"/>
    </row>
    <row r="1117" spans="1:15">
      <c r="A1117" s="129" t="s">
        <v>387</v>
      </c>
      <c r="B1117" s="129"/>
      <c r="C1117" s="130" t="s">
        <v>441</v>
      </c>
      <c r="D1117" s="129" t="s">
        <v>407</v>
      </c>
      <c r="E1117" s="131">
        <v>50</v>
      </c>
      <c r="F1117" s="129" t="s">
        <v>391</v>
      </c>
      <c r="G1117" s="131"/>
      <c r="H1117" s="131">
        <v>25472.724464004576</v>
      </c>
      <c r="I1117" s="132">
        <v>15500000</v>
      </c>
      <c r="J1117" s="133" t="s">
        <v>289</v>
      </c>
      <c r="K1117" s="133" t="s">
        <v>392</v>
      </c>
      <c r="L1117" s="133" t="s">
        <v>401</v>
      </c>
      <c r="M1117" s="133" t="s">
        <v>261</v>
      </c>
      <c r="N1117" s="133"/>
      <c r="O1117" s="133"/>
    </row>
    <row r="1118" spans="1:15">
      <c r="A1118" s="124" t="s">
        <v>387</v>
      </c>
      <c r="B1118" s="124"/>
      <c r="C1118" s="125" t="s">
        <v>441</v>
      </c>
      <c r="D1118" s="124" t="s">
        <v>407</v>
      </c>
      <c r="E1118" s="126">
        <v>3</v>
      </c>
      <c r="F1118" s="124" t="s">
        <v>391</v>
      </c>
      <c r="G1118" s="126"/>
      <c r="H1118" s="126">
        <v>1528.3634678402746</v>
      </c>
      <c r="I1118" s="127">
        <v>930000</v>
      </c>
      <c r="J1118" s="128" t="s">
        <v>289</v>
      </c>
      <c r="K1118" s="128" t="s">
        <v>392</v>
      </c>
      <c r="L1118" s="128" t="s">
        <v>401</v>
      </c>
      <c r="M1118" s="128" t="s">
        <v>261</v>
      </c>
      <c r="N1118" s="128"/>
      <c r="O1118" s="128"/>
    </row>
    <row r="1119" spans="1:15">
      <c r="A1119" s="129" t="s">
        <v>387</v>
      </c>
      <c r="B1119" s="129"/>
      <c r="C1119" s="130" t="s">
        <v>442</v>
      </c>
      <c r="D1119" s="129" t="s">
        <v>403</v>
      </c>
      <c r="E1119" s="131">
        <v>13504.226000000001</v>
      </c>
      <c r="F1119" s="129" t="s">
        <v>391</v>
      </c>
      <c r="G1119" s="131"/>
      <c r="H1119" s="131">
        <v>8345611.6699918164</v>
      </c>
      <c r="I1119" s="132">
        <v>5078254627.5200005</v>
      </c>
      <c r="J1119" s="133" t="s">
        <v>289</v>
      </c>
      <c r="K1119" s="133" t="s">
        <v>392</v>
      </c>
      <c r="L1119" s="133" t="s">
        <v>443</v>
      </c>
      <c r="M1119" s="133" t="s">
        <v>235</v>
      </c>
      <c r="N1119" s="133"/>
      <c r="O1119" s="133"/>
    </row>
    <row r="1120" spans="1:15">
      <c r="A1120" s="124" t="s">
        <v>387</v>
      </c>
      <c r="B1120" s="124"/>
      <c r="C1120" s="125" t="s">
        <v>444</v>
      </c>
      <c r="D1120" s="124" t="s">
        <v>407</v>
      </c>
      <c r="E1120" s="126">
        <v>5</v>
      </c>
      <c r="F1120" s="124" t="s">
        <v>391</v>
      </c>
      <c r="G1120" s="126"/>
      <c r="H1120" s="126">
        <v>2547.2724464004573</v>
      </c>
      <c r="I1120" s="127">
        <v>1550000</v>
      </c>
      <c r="J1120" s="128" t="s">
        <v>289</v>
      </c>
      <c r="K1120" s="128" t="s">
        <v>392</v>
      </c>
      <c r="L1120" s="128" t="s">
        <v>401</v>
      </c>
      <c r="M1120" s="128" t="s">
        <v>261</v>
      </c>
      <c r="N1120" s="128"/>
      <c r="O1120" s="128"/>
    </row>
    <row r="1121" spans="1:15">
      <c r="A1121" s="129" t="s">
        <v>387</v>
      </c>
      <c r="B1121" s="129"/>
      <c r="C1121" s="130" t="s">
        <v>444</v>
      </c>
      <c r="D1121" s="129" t="s">
        <v>407</v>
      </c>
      <c r="E1121" s="131">
        <v>50</v>
      </c>
      <c r="F1121" s="129" t="s">
        <v>391</v>
      </c>
      <c r="G1121" s="131"/>
      <c r="H1121" s="131">
        <v>25472.724464004576</v>
      </c>
      <c r="I1121" s="132">
        <v>15500000</v>
      </c>
      <c r="J1121" s="133" t="s">
        <v>289</v>
      </c>
      <c r="K1121" s="133" t="s">
        <v>392</v>
      </c>
      <c r="L1121" s="133" t="s">
        <v>401</v>
      </c>
      <c r="M1121" s="133" t="s">
        <v>261</v>
      </c>
      <c r="N1121" s="133"/>
      <c r="O1121" s="133"/>
    </row>
    <row r="1122" spans="1:15">
      <c r="A1122" s="124" t="s">
        <v>387</v>
      </c>
      <c r="B1122" s="124"/>
      <c r="C1122" s="125" t="s">
        <v>445</v>
      </c>
      <c r="D1122" s="124" t="s">
        <v>407</v>
      </c>
      <c r="E1122" s="126">
        <v>50</v>
      </c>
      <c r="F1122" s="124" t="s">
        <v>391</v>
      </c>
      <c r="G1122" s="126"/>
      <c r="H1122" s="126">
        <v>25472.724464004576</v>
      </c>
      <c r="I1122" s="127">
        <v>15500000</v>
      </c>
      <c r="J1122" s="128" t="s">
        <v>289</v>
      </c>
      <c r="K1122" s="128" t="s">
        <v>392</v>
      </c>
      <c r="L1122" s="128" t="s">
        <v>401</v>
      </c>
      <c r="M1122" s="128" t="s">
        <v>261</v>
      </c>
      <c r="N1122" s="128"/>
      <c r="O1122" s="128"/>
    </row>
    <row r="1123" spans="1:15">
      <c r="A1123" s="129" t="s">
        <v>387</v>
      </c>
      <c r="B1123" s="129"/>
      <c r="C1123" s="130" t="s">
        <v>445</v>
      </c>
      <c r="D1123" s="129" t="s">
        <v>407</v>
      </c>
      <c r="E1123" s="131">
        <v>50</v>
      </c>
      <c r="F1123" s="129" t="s">
        <v>391</v>
      </c>
      <c r="G1123" s="131"/>
      <c r="H1123" s="131">
        <v>25472.724464004576</v>
      </c>
      <c r="I1123" s="132">
        <v>15500000</v>
      </c>
      <c r="J1123" s="133" t="s">
        <v>289</v>
      </c>
      <c r="K1123" s="133" t="s">
        <v>392</v>
      </c>
      <c r="L1123" s="133" t="s">
        <v>401</v>
      </c>
      <c r="M1123" s="133" t="s">
        <v>261</v>
      </c>
      <c r="N1123" s="133"/>
      <c r="O1123" s="133"/>
    </row>
    <row r="1124" spans="1:15">
      <c r="A1124" s="124" t="s">
        <v>387</v>
      </c>
      <c r="B1124" s="124"/>
      <c r="C1124" s="125" t="s">
        <v>439</v>
      </c>
      <c r="D1124" s="124" t="s">
        <v>415</v>
      </c>
      <c r="E1124" s="126">
        <v>50</v>
      </c>
      <c r="F1124" s="124" t="s">
        <v>391</v>
      </c>
      <c r="G1124" s="126"/>
      <c r="H1124" s="126">
        <v>24651.023674843134</v>
      </c>
      <c r="I1124" s="127">
        <v>15000000</v>
      </c>
      <c r="J1124" s="128" t="s">
        <v>289</v>
      </c>
      <c r="K1124" s="128" t="s">
        <v>392</v>
      </c>
      <c r="L1124" s="128" t="s">
        <v>401</v>
      </c>
      <c r="M1124" s="128" t="s">
        <v>261</v>
      </c>
      <c r="N1124" s="128"/>
      <c r="O1124" s="128"/>
    </row>
    <row r="1125" spans="1:15">
      <c r="A1125" s="129" t="s">
        <v>387</v>
      </c>
      <c r="B1125" s="129"/>
      <c r="C1125" s="130" t="s">
        <v>439</v>
      </c>
      <c r="D1125" s="129" t="s">
        <v>415</v>
      </c>
      <c r="E1125" s="131">
        <v>50</v>
      </c>
      <c r="F1125" s="129" t="s">
        <v>391</v>
      </c>
      <c r="G1125" s="131"/>
      <c r="H1125" s="131">
        <v>24651.023674843134</v>
      </c>
      <c r="I1125" s="132">
        <v>15000000</v>
      </c>
      <c r="J1125" s="133" t="s">
        <v>289</v>
      </c>
      <c r="K1125" s="133" t="s">
        <v>392</v>
      </c>
      <c r="L1125" s="133" t="s">
        <v>401</v>
      </c>
      <c r="M1125" s="133" t="s">
        <v>261</v>
      </c>
      <c r="N1125" s="133"/>
      <c r="O1125" s="133"/>
    </row>
    <row r="1126" spans="1:15">
      <c r="A1126" s="124" t="s">
        <v>387</v>
      </c>
      <c r="B1126" s="124"/>
      <c r="C1126" s="125" t="s">
        <v>439</v>
      </c>
      <c r="D1126" s="124" t="s">
        <v>415</v>
      </c>
      <c r="E1126" s="126">
        <v>50</v>
      </c>
      <c r="F1126" s="124" t="s">
        <v>391</v>
      </c>
      <c r="G1126" s="126"/>
      <c r="H1126" s="126">
        <v>24651.023674843134</v>
      </c>
      <c r="I1126" s="127">
        <v>15000000</v>
      </c>
      <c r="J1126" s="128" t="s">
        <v>289</v>
      </c>
      <c r="K1126" s="128" t="s">
        <v>392</v>
      </c>
      <c r="L1126" s="128" t="s">
        <v>401</v>
      </c>
      <c r="M1126" s="128" t="s">
        <v>261</v>
      </c>
      <c r="N1126" s="128"/>
      <c r="O1126" s="128"/>
    </row>
    <row r="1127" spans="1:15">
      <c r="A1127" s="129" t="s">
        <v>387</v>
      </c>
      <c r="B1127" s="129"/>
      <c r="C1127" s="130" t="s">
        <v>439</v>
      </c>
      <c r="D1127" s="129" t="s">
        <v>415</v>
      </c>
      <c r="E1127" s="131">
        <v>50</v>
      </c>
      <c r="F1127" s="129" t="s">
        <v>391</v>
      </c>
      <c r="G1127" s="131"/>
      <c r="H1127" s="131">
        <v>24651.023674843134</v>
      </c>
      <c r="I1127" s="132">
        <v>15000000</v>
      </c>
      <c r="J1127" s="133" t="s">
        <v>289</v>
      </c>
      <c r="K1127" s="133" t="s">
        <v>392</v>
      </c>
      <c r="L1127" s="133" t="s">
        <v>401</v>
      </c>
      <c r="M1127" s="133" t="s">
        <v>261</v>
      </c>
      <c r="N1127" s="133"/>
      <c r="O1127" s="133"/>
    </row>
    <row r="1128" spans="1:15">
      <c r="A1128" s="124" t="s">
        <v>387</v>
      </c>
      <c r="B1128" s="124"/>
      <c r="C1128" s="125" t="s">
        <v>439</v>
      </c>
      <c r="D1128" s="124" t="s">
        <v>415</v>
      </c>
      <c r="E1128" s="126">
        <v>50</v>
      </c>
      <c r="F1128" s="124" t="s">
        <v>391</v>
      </c>
      <c r="G1128" s="126"/>
      <c r="H1128" s="126">
        <v>24651.023674843134</v>
      </c>
      <c r="I1128" s="127">
        <v>15000000</v>
      </c>
      <c r="J1128" s="128" t="s">
        <v>289</v>
      </c>
      <c r="K1128" s="128" t="s">
        <v>392</v>
      </c>
      <c r="L1128" s="128" t="s">
        <v>401</v>
      </c>
      <c r="M1128" s="128" t="s">
        <v>261</v>
      </c>
      <c r="N1128" s="128"/>
      <c r="O1128" s="128"/>
    </row>
    <row r="1129" spans="1:15">
      <c r="A1129" s="129" t="s">
        <v>387</v>
      </c>
      <c r="B1129" s="129"/>
      <c r="C1129" s="130" t="s">
        <v>439</v>
      </c>
      <c r="D1129" s="129" t="s">
        <v>415</v>
      </c>
      <c r="E1129" s="131">
        <v>50</v>
      </c>
      <c r="F1129" s="129" t="s">
        <v>391</v>
      </c>
      <c r="G1129" s="131"/>
      <c r="H1129" s="131">
        <v>24651.023674843134</v>
      </c>
      <c r="I1129" s="132">
        <v>15000000</v>
      </c>
      <c r="J1129" s="133" t="s">
        <v>289</v>
      </c>
      <c r="K1129" s="133" t="s">
        <v>392</v>
      </c>
      <c r="L1129" s="133" t="s">
        <v>401</v>
      </c>
      <c r="M1129" s="133" t="s">
        <v>261</v>
      </c>
      <c r="N1129" s="133"/>
      <c r="O1129" s="133"/>
    </row>
    <row r="1130" spans="1:15">
      <c r="A1130" s="124" t="s">
        <v>387</v>
      </c>
      <c r="B1130" s="124"/>
      <c r="C1130" s="125" t="s">
        <v>446</v>
      </c>
      <c r="D1130" s="124" t="s">
        <v>407</v>
      </c>
      <c r="E1130" s="126">
        <v>50</v>
      </c>
      <c r="F1130" s="124" t="s">
        <v>391</v>
      </c>
      <c r="G1130" s="126"/>
      <c r="H1130" s="126">
        <v>25472.724464004576</v>
      </c>
      <c r="I1130" s="127">
        <v>15500000</v>
      </c>
      <c r="J1130" s="128" t="s">
        <v>289</v>
      </c>
      <c r="K1130" s="128" t="s">
        <v>392</v>
      </c>
      <c r="L1130" s="128" t="s">
        <v>401</v>
      </c>
      <c r="M1130" s="128" t="s">
        <v>261</v>
      </c>
      <c r="N1130" s="128"/>
      <c r="O1130" s="128"/>
    </row>
    <row r="1131" spans="1:15">
      <c r="A1131" s="129" t="s">
        <v>387</v>
      </c>
      <c r="B1131" s="129"/>
      <c r="C1131" s="130" t="s">
        <v>441</v>
      </c>
      <c r="D1131" s="129" t="s">
        <v>407</v>
      </c>
      <c r="E1131" s="131">
        <v>50</v>
      </c>
      <c r="F1131" s="129" t="s">
        <v>391</v>
      </c>
      <c r="G1131" s="131"/>
      <c r="H1131" s="131">
        <v>25472.724464004576</v>
      </c>
      <c r="I1131" s="132">
        <v>15500000</v>
      </c>
      <c r="J1131" s="133" t="s">
        <v>289</v>
      </c>
      <c r="K1131" s="133" t="s">
        <v>392</v>
      </c>
      <c r="L1131" s="133" t="s">
        <v>401</v>
      </c>
      <c r="M1131" s="133" t="s">
        <v>261</v>
      </c>
      <c r="N1131" s="133"/>
      <c r="O1131" s="133"/>
    </row>
    <row r="1132" spans="1:15">
      <c r="A1132" s="124" t="s">
        <v>387</v>
      </c>
      <c r="B1132" s="124"/>
      <c r="C1132" s="125" t="s">
        <v>441</v>
      </c>
      <c r="D1132" s="124" t="s">
        <v>407</v>
      </c>
      <c r="E1132" s="126">
        <v>50</v>
      </c>
      <c r="F1132" s="124" t="s">
        <v>391</v>
      </c>
      <c r="G1132" s="126"/>
      <c r="H1132" s="126">
        <v>25472.724464004576</v>
      </c>
      <c r="I1132" s="127">
        <v>15500000</v>
      </c>
      <c r="J1132" s="128" t="s">
        <v>289</v>
      </c>
      <c r="K1132" s="128" t="s">
        <v>392</v>
      </c>
      <c r="L1132" s="128" t="s">
        <v>401</v>
      </c>
      <c r="M1132" s="128" t="s">
        <v>261</v>
      </c>
      <c r="N1132" s="128"/>
      <c r="O1132" s="128"/>
    </row>
    <row r="1133" spans="1:15">
      <c r="A1133" s="129" t="s">
        <v>387</v>
      </c>
      <c r="B1133" s="129"/>
      <c r="C1133" s="130" t="s">
        <v>441</v>
      </c>
      <c r="D1133" s="129" t="s">
        <v>407</v>
      </c>
      <c r="E1133" s="131">
        <v>50</v>
      </c>
      <c r="F1133" s="129" t="s">
        <v>391</v>
      </c>
      <c r="G1133" s="131"/>
      <c r="H1133" s="131">
        <v>25472.724464004576</v>
      </c>
      <c r="I1133" s="132">
        <v>15500000</v>
      </c>
      <c r="J1133" s="133" t="s">
        <v>289</v>
      </c>
      <c r="K1133" s="133" t="s">
        <v>392</v>
      </c>
      <c r="L1133" s="133" t="s">
        <v>401</v>
      </c>
      <c r="M1133" s="133" t="s">
        <v>261</v>
      </c>
      <c r="N1133" s="133"/>
      <c r="O1133" s="133"/>
    </row>
    <row r="1134" spans="1:15">
      <c r="A1134" s="124" t="s">
        <v>387</v>
      </c>
      <c r="B1134" s="124"/>
      <c r="C1134" s="125" t="s">
        <v>441</v>
      </c>
      <c r="D1134" s="124" t="s">
        <v>407</v>
      </c>
      <c r="E1134" s="126">
        <v>50</v>
      </c>
      <c r="F1134" s="124" t="s">
        <v>391</v>
      </c>
      <c r="G1134" s="126"/>
      <c r="H1134" s="126">
        <v>25472.724464004576</v>
      </c>
      <c r="I1134" s="127">
        <v>15500000</v>
      </c>
      <c r="J1134" s="128" t="s">
        <v>289</v>
      </c>
      <c r="K1134" s="128" t="s">
        <v>392</v>
      </c>
      <c r="L1134" s="128" t="s">
        <v>401</v>
      </c>
      <c r="M1134" s="128" t="s">
        <v>261</v>
      </c>
      <c r="N1134" s="128"/>
      <c r="O1134" s="128"/>
    </row>
    <row r="1135" spans="1:15">
      <c r="A1135" s="129" t="s">
        <v>387</v>
      </c>
      <c r="B1135" s="129"/>
      <c r="C1135" s="130" t="s">
        <v>441</v>
      </c>
      <c r="D1135" s="129" t="s">
        <v>407</v>
      </c>
      <c r="E1135" s="131">
        <v>50</v>
      </c>
      <c r="F1135" s="129" t="s">
        <v>391</v>
      </c>
      <c r="G1135" s="131"/>
      <c r="H1135" s="131">
        <v>25472.724464004576</v>
      </c>
      <c r="I1135" s="132">
        <v>15500000</v>
      </c>
      <c r="J1135" s="133" t="s">
        <v>289</v>
      </c>
      <c r="K1135" s="133" t="s">
        <v>392</v>
      </c>
      <c r="L1135" s="133" t="s">
        <v>401</v>
      </c>
      <c r="M1135" s="133" t="s">
        <v>261</v>
      </c>
      <c r="N1135" s="133"/>
      <c r="O1135" s="133"/>
    </row>
    <row r="1136" spans="1:15">
      <c r="A1136" s="124" t="s">
        <v>387</v>
      </c>
      <c r="B1136" s="124"/>
      <c r="C1136" s="125" t="s">
        <v>441</v>
      </c>
      <c r="D1136" s="124" t="s">
        <v>407</v>
      </c>
      <c r="E1136" s="126">
        <v>50</v>
      </c>
      <c r="F1136" s="124" t="s">
        <v>391</v>
      </c>
      <c r="G1136" s="126"/>
      <c r="H1136" s="126">
        <v>25472.724464004576</v>
      </c>
      <c r="I1136" s="127">
        <v>15500000</v>
      </c>
      <c r="J1136" s="128" t="s">
        <v>289</v>
      </c>
      <c r="K1136" s="128" t="s">
        <v>392</v>
      </c>
      <c r="L1136" s="128" t="s">
        <v>401</v>
      </c>
      <c r="M1136" s="128" t="s">
        <v>261</v>
      </c>
      <c r="N1136" s="128"/>
      <c r="O1136" s="128"/>
    </row>
    <row r="1137" spans="1:15">
      <c r="A1137" s="129" t="s">
        <v>387</v>
      </c>
      <c r="B1137" s="129"/>
      <c r="C1137" s="130" t="s">
        <v>441</v>
      </c>
      <c r="D1137" s="129" t="s">
        <v>407</v>
      </c>
      <c r="E1137" s="131">
        <v>5</v>
      </c>
      <c r="F1137" s="129" t="s">
        <v>391</v>
      </c>
      <c r="G1137" s="131"/>
      <c r="H1137" s="131">
        <v>2547.2724464004573</v>
      </c>
      <c r="I1137" s="132">
        <v>1550000</v>
      </c>
      <c r="J1137" s="133" t="s">
        <v>289</v>
      </c>
      <c r="K1137" s="133" t="s">
        <v>392</v>
      </c>
      <c r="L1137" s="133" t="s">
        <v>401</v>
      </c>
      <c r="M1137" s="133" t="s">
        <v>261</v>
      </c>
      <c r="N1137" s="133"/>
      <c r="O1137" s="133"/>
    </row>
    <row r="1138" spans="1:15">
      <c r="A1138" s="124" t="s">
        <v>387</v>
      </c>
      <c r="B1138" s="124"/>
      <c r="C1138" s="125" t="s">
        <v>447</v>
      </c>
      <c r="D1138" s="124" t="s">
        <v>398</v>
      </c>
      <c r="E1138" s="126"/>
      <c r="F1138" s="124" t="s">
        <v>391</v>
      </c>
      <c r="G1138" s="126"/>
      <c r="H1138" s="126">
        <v>-149506.33999677893</v>
      </c>
      <c r="I1138" s="127">
        <v>-90973710.849999994</v>
      </c>
      <c r="J1138" s="128" t="s">
        <v>366</v>
      </c>
      <c r="K1138" s="128" t="s">
        <v>392</v>
      </c>
      <c r="L1138" s="128" t="s">
        <v>393</v>
      </c>
      <c r="M1138" s="128" t="s">
        <v>394</v>
      </c>
      <c r="N1138" s="128"/>
      <c r="O1138" s="128"/>
    </row>
    <row r="1139" spans="1:15">
      <c r="A1139" s="129" t="s">
        <v>387</v>
      </c>
      <c r="B1139" s="129"/>
      <c r="C1139" s="130" t="s">
        <v>447</v>
      </c>
      <c r="D1139" s="129" t="s">
        <v>407</v>
      </c>
      <c r="E1139" s="131">
        <v>48</v>
      </c>
      <c r="F1139" s="129" t="s">
        <v>391</v>
      </c>
      <c r="G1139" s="131"/>
      <c r="H1139" s="131">
        <v>24453.815485444393</v>
      </c>
      <c r="I1139" s="132">
        <v>14880000</v>
      </c>
      <c r="J1139" s="133" t="s">
        <v>289</v>
      </c>
      <c r="K1139" s="133" t="s">
        <v>392</v>
      </c>
      <c r="L1139" s="133" t="s">
        <v>401</v>
      </c>
      <c r="M1139" s="133" t="s">
        <v>261</v>
      </c>
      <c r="N1139" s="133"/>
      <c r="O1139" s="133"/>
    </row>
    <row r="1140" spans="1:15">
      <c r="A1140" s="124" t="s">
        <v>387</v>
      </c>
      <c r="B1140" s="124"/>
      <c r="C1140" s="125" t="s">
        <v>448</v>
      </c>
      <c r="D1140" s="124" t="s">
        <v>407</v>
      </c>
      <c r="E1140" s="126">
        <v>48</v>
      </c>
      <c r="F1140" s="124" t="s">
        <v>391</v>
      </c>
      <c r="G1140" s="126"/>
      <c r="H1140" s="126">
        <v>24453.815485444393</v>
      </c>
      <c r="I1140" s="127">
        <v>14880000</v>
      </c>
      <c r="J1140" s="128" t="s">
        <v>289</v>
      </c>
      <c r="K1140" s="128" t="s">
        <v>392</v>
      </c>
      <c r="L1140" s="128" t="s">
        <v>401</v>
      </c>
      <c r="M1140" s="128" t="s">
        <v>261</v>
      </c>
      <c r="N1140" s="128"/>
      <c r="O1140" s="128"/>
    </row>
    <row r="1141" spans="1:15">
      <c r="A1141" s="129" t="s">
        <v>387</v>
      </c>
      <c r="B1141" s="129"/>
      <c r="C1141" s="130" t="s">
        <v>448</v>
      </c>
      <c r="D1141" s="129" t="s">
        <v>407</v>
      </c>
      <c r="E1141" s="131">
        <v>48</v>
      </c>
      <c r="F1141" s="129" t="s">
        <v>391</v>
      </c>
      <c r="G1141" s="131"/>
      <c r="H1141" s="131">
        <v>24453.815485444393</v>
      </c>
      <c r="I1141" s="132">
        <v>14880000</v>
      </c>
      <c r="J1141" s="133" t="s">
        <v>289</v>
      </c>
      <c r="K1141" s="133" t="s">
        <v>392</v>
      </c>
      <c r="L1141" s="133" t="s">
        <v>401</v>
      </c>
      <c r="M1141" s="133" t="s">
        <v>261</v>
      </c>
      <c r="N1141" s="133"/>
      <c r="O1141" s="133"/>
    </row>
    <row r="1142" spans="1:15">
      <c r="A1142" s="124" t="s">
        <v>387</v>
      </c>
      <c r="B1142" s="124"/>
      <c r="C1142" s="125" t="s">
        <v>448</v>
      </c>
      <c r="D1142" s="124" t="s">
        <v>407</v>
      </c>
      <c r="E1142" s="126">
        <v>48</v>
      </c>
      <c r="F1142" s="124" t="s">
        <v>391</v>
      </c>
      <c r="G1142" s="126"/>
      <c r="H1142" s="126">
        <v>24453.815485444393</v>
      </c>
      <c r="I1142" s="127">
        <v>14880000</v>
      </c>
      <c r="J1142" s="128" t="s">
        <v>289</v>
      </c>
      <c r="K1142" s="128" t="s">
        <v>392</v>
      </c>
      <c r="L1142" s="128" t="s">
        <v>401</v>
      </c>
      <c r="M1142" s="128" t="s">
        <v>261</v>
      </c>
      <c r="N1142" s="128"/>
      <c r="O1142" s="128"/>
    </row>
    <row r="1143" spans="1:15">
      <c r="A1143" s="129" t="s">
        <v>387</v>
      </c>
      <c r="B1143" s="129"/>
      <c r="C1143" s="130" t="s">
        <v>448</v>
      </c>
      <c r="D1143" s="129" t="s">
        <v>407</v>
      </c>
      <c r="E1143" s="131">
        <v>50</v>
      </c>
      <c r="F1143" s="129" t="s">
        <v>391</v>
      </c>
      <c r="G1143" s="131"/>
      <c r="H1143" s="131">
        <v>25472.724464004576</v>
      </c>
      <c r="I1143" s="132">
        <v>15500000</v>
      </c>
      <c r="J1143" s="133" t="s">
        <v>289</v>
      </c>
      <c r="K1143" s="133" t="s">
        <v>392</v>
      </c>
      <c r="L1143" s="133" t="s">
        <v>401</v>
      </c>
      <c r="M1143" s="133" t="s">
        <v>261</v>
      </c>
      <c r="N1143" s="133"/>
      <c r="O1143" s="133"/>
    </row>
    <row r="1144" spans="1:15">
      <c r="A1144" s="124" t="s">
        <v>387</v>
      </c>
      <c r="B1144" s="124"/>
      <c r="C1144" s="125" t="s">
        <v>448</v>
      </c>
      <c r="D1144" s="124" t="s">
        <v>407</v>
      </c>
      <c r="E1144" s="126">
        <v>50</v>
      </c>
      <c r="F1144" s="124" t="s">
        <v>391</v>
      </c>
      <c r="G1144" s="126"/>
      <c r="H1144" s="126">
        <v>25472.724464004576</v>
      </c>
      <c r="I1144" s="127">
        <v>15500000</v>
      </c>
      <c r="J1144" s="128" t="s">
        <v>289</v>
      </c>
      <c r="K1144" s="128" t="s">
        <v>392</v>
      </c>
      <c r="L1144" s="128" t="s">
        <v>401</v>
      </c>
      <c r="M1144" s="128" t="s">
        <v>261</v>
      </c>
      <c r="N1144" s="128"/>
      <c r="O1144" s="128"/>
    </row>
    <row r="1145" spans="1:15">
      <c r="A1145" s="129" t="s">
        <v>387</v>
      </c>
      <c r="B1145" s="129"/>
      <c r="C1145" s="130" t="s">
        <v>448</v>
      </c>
      <c r="D1145" s="129" t="s">
        <v>407</v>
      </c>
      <c r="E1145" s="131">
        <v>48</v>
      </c>
      <c r="F1145" s="129" t="s">
        <v>391</v>
      </c>
      <c r="G1145" s="131"/>
      <c r="H1145" s="131">
        <v>24453.815485444393</v>
      </c>
      <c r="I1145" s="132">
        <v>14880000</v>
      </c>
      <c r="J1145" s="133" t="s">
        <v>289</v>
      </c>
      <c r="K1145" s="133" t="s">
        <v>392</v>
      </c>
      <c r="L1145" s="133" t="s">
        <v>401</v>
      </c>
      <c r="M1145" s="133" t="s">
        <v>261</v>
      </c>
      <c r="N1145" s="133"/>
      <c r="O1145" s="133"/>
    </row>
    <row r="1146" spans="1:15">
      <c r="A1146" s="124" t="s">
        <v>387</v>
      </c>
      <c r="B1146" s="124"/>
      <c r="C1146" s="125" t="s">
        <v>448</v>
      </c>
      <c r="D1146" s="124" t="s">
        <v>407</v>
      </c>
      <c r="E1146" s="126">
        <v>50</v>
      </c>
      <c r="F1146" s="124" t="s">
        <v>391</v>
      </c>
      <c r="G1146" s="126"/>
      <c r="H1146" s="126">
        <v>25472.724464004576</v>
      </c>
      <c r="I1146" s="127">
        <v>15500000</v>
      </c>
      <c r="J1146" s="128" t="s">
        <v>289</v>
      </c>
      <c r="K1146" s="128" t="s">
        <v>392</v>
      </c>
      <c r="L1146" s="128" t="s">
        <v>401</v>
      </c>
      <c r="M1146" s="128" t="s">
        <v>261</v>
      </c>
      <c r="N1146" s="128"/>
      <c r="O1146" s="128"/>
    </row>
    <row r="1147" spans="1:15">
      <c r="A1147" s="129" t="s">
        <v>387</v>
      </c>
      <c r="B1147" s="129"/>
      <c r="C1147" s="130" t="s">
        <v>448</v>
      </c>
      <c r="D1147" s="129" t="s">
        <v>407</v>
      </c>
      <c r="E1147" s="131">
        <v>48</v>
      </c>
      <c r="F1147" s="129" t="s">
        <v>391</v>
      </c>
      <c r="G1147" s="131"/>
      <c r="H1147" s="131">
        <v>24453.815485444393</v>
      </c>
      <c r="I1147" s="132">
        <v>14880000</v>
      </c>
      <c r="J1147" s="133" t="s">
        <v>289</v>
      </c>
      <c r="K1147" s="133" t="s">
        <v>392</v>
      </c>
      <c r="L1147" s="133" t="s">
        <v>401</v>
      </c>
      <c r="M1147" s="133" t="s">
        <v>261</v>
      </c>
      <c r="N1147" s="133"/>
      <c r="O1147" s="133"/>
    </row>
    <row r="1148" spans="1:15">
      <c r="A1148" s="124" t="s">
        <v>387</v>
      </c>
      <c r="B1148" s="124"/>
      <c r="C1148" s="125" t="s">
        <v>448</v>
      </c>
      <c r="D1148" s="124" t="s">
        <v>407</v>
      </c>
      <c r="E1148" s="126">
        <v>50</v>
      </c>
      <c r="F1148" s="124" t="s">
        <v>391</v>
      </c>
      <c r="G1148" s="126"/>
      <c r="H1148" s="126">
        <v>25472.724464004576</v>
      </c>
      <c r="I1148" s="127">
        <v>15500000</v>
      </c>
      <c r="J1148" s="128" t="s">
        <v>289</v>
      </c>
      <c r="K1148" s="128" t="s">
        <v>392</v>
      </c>
      <c r="L1148" s="128" t="s">
        <v>401</v>
      </c>
      <c r="M1148" s="128" t="s">
        <v>261</v>
      </c>
      <c r="N1148" s="128"/>
      <c r="O1148" s="128"/>
    </row>
    <row r="1149" spans="1:15">
      <c r="A1149" s="129" t="s">
        <v>387</v>
      </c>
      <c r="B1149" s="129"/>
      <c r="C1149" s="130" t="s">
        <v>448</v>
      </c>
      <c r="D1149" s="129" t="s">
        <v>407</v>
      </c>
      <c r="E1149" s="131">
        <v>48</v>
      </c>
      <c r="F1149" s="129" t="s">
        <v>391</v>
      </c>
      <c r="G1149" s="131"/>
      <c r="H1149" s="131">
        <v>24453.815485444393</v>
      </c>
      <c r="I1149" s="132">
        <v>14880000</v>
      </c>
      <c r="J1149" s="133" t="s">
        <v>289</v>
      </c>
      <c r="K1149" s="133" t="s">
        <v>392</v>
      </c>
      <c r="L1149" s="133" t="s">
        <v>401</v>
      </c>
      <c r="M1149" s="133" t="s">
        <v>261</v>
      </c>
      <c r="N1149" s="133"/>
      <c r="O1149" s="133"/>
    </row>
    <row r="1150" spans="1:15">
      <c r="A1150" s="124" t="s">
        <v>387</v>
      </c>
      <c r="B1150" s="124"/>
      <c r="C1150" s="125" t="s">
        <v>449</v>
      </c>
      <c r="D1150" s="124" t="s">
        <v>398</v>
      </c>
      <c r="E1150" s="126"/>
      <c r="F1150" s="124" t="s">
        <v>391</v>
      </c>
      <c r="G1150" s="126"/>
      <c r="H1150" s="126">
        <v>-282908.54999391938</v>
      </c>
      <c r="I1150" s="127">
        <v>-172148155.22</v>
      </c>
      <c r="J1150" s="128" t="s">
        <v>366</v>
      </c>
      <c r="K1150" s="128" t="s">
        <v>392</v>
      </c>
      <c r="L1150" s="128" t="s">
        <v>393</v>
      </c>
      <c r="M1150" s="128" t="s">
        <v>394</v>
      </c>
      <c r="N1150" s="128"/>
      <c r="O1150" s="128"/>
    </row>
    <row r="1151" spans="1:15">
      <c r="A1151" s="129" t="s">
        <v>387</v>
      </c>
      <c r="B1151" s="129"/>
      <c r="C1151" s="130" t="s">
        <v>449</v>
      </c>
      <c r="D1151" s="129" t="s">
        <v>407</v>
      </c>
      <c r="E1151" s="131">
        <v>50</v>
      </c>
      <c r="F1151" s="129" t="s">
        <v>391</v>
      </c>
      <c r="G1151" s="131"/>
      <c r="H1151" s="131">
        <v>25472.724464004576</v>
      </c>
      <c r="I1151" s="132">
        <v>15500000</v>
      </c>
      <c r="J1151" s="133" t="s">
        <v>289</v>
      </c>
      <c r="K1151" s="133" t="s">
        <v>392</v>
      </c>
      <c r="L1151" s="133" t="s">
        <v>401</v>
      </c>
      <c r="M1151" s="133" t="s">
        <v>261</v>
      </c>
      <c r="N1151" s="133"/>
      <c r="O1151" s="133"/>
    </row>
    <row r="1152" spans="1:15">
      <c r="A1152" s="124" t="s">
        <v>387</v>
      </c>
      <c r="B1152" s="124"/>
      <c r="C1152" s="125" t="s">
        <v>449</v>
      </c>
      <c r="D1152" s="124" t="s">
        <v>407</v>
      </c>
      <c r="E1152" s="126">
        <v>50</v>
      </c>
      <c r="F1152" s="124" t="s">
        <v>391</v>
      </c>
      <c r="G1152" s="126"/>
      <c r="H1152" s="126">
        <v>25472.724464004576</v>
      </c>
      <c r="I1152" s="127">
        <v>15500000</v>
      </c>
      <c r="J1152" s="128" t="s">
        <v>289</v>
      </c>
      <c r="K1152" s="128" t="s">
        <v>392</v>
      </c>
      <c r="L1152" s="128" t="s">
        <v>401</v>
      </c>
      <c r="M1152" s="128" t="s">
        <v>261</v>
      </c>
      <c r="N1152" s="128"/>
      <c r="O1152" s="128"/>
    </row>
    <row r="1153" spans="1:15">
      <c r="A1153" s="129" t="s">
        <v>387</v>
      </c>
      <c r="B1153" s="129"/>
      <c r="C1153" s="130" t="s">
        <v>449</v>
      </c>
      <c r="D1153" s="129" t="s">
        <v>407</v>
      </c>
      <c r="E1153" s="131">
        <v>50</v>
      </c>
      <c r="F1153" s="129" t="s">
        <v>391</v>
      </c>
      <c r="G1153" s="131"/>
      <c r="H1153" s="131">
        <v>25472.724464004576</v>
      </c>
      <c r="I1153" s="132">
        <v>15500000</v>
      </c>
      <c r="J1153" s="133" t="s">
        <v>289</v>
      </c>
      <c r="K1153" s="133" t="s">
        <v>392</v>
      </c>
      <c r="L1153" s="133" t="s">
        <v>401</v>
      </c>
      <c r="M1153" s="133" t="s">
        <v>261</v>
      </c>
      <c r="N1153" s="133"/>
      <c r="O1153" s="133"/>
    </row>
    <row r="1154" spans="1:15">
      <c r="A1154" s="124" t="s">
        <v>387</v>
      </c>
      <c r="B1154" s="124"/>
      <c r="C1154" s="125" t="s">
        <v>449</v>
      </c>
      <c r="D1154" s="124" t="s">
        <v>407</v>
      </c>
      <c r="E1154" s="126">
        <v>50</v>
      </c>
      <c r="F1154" s="124" t="s">
        <v>391</v>
      </c>
      <c r="G1154" s="126"/>
      <c r="H1154" s="126">
        <v>25472.724464004576</v>
      </c>
      <c r="I1154" s="127">
        <v>15500000</v>
      </c>
      <c r="J1154" s="128" t="s">
        <v>289</v>
      </c>
      <c r="K1154" s="128" t="s">
        <v>392</v>
      </c>
      <c r="L1154" s="128" t="s">
        <v>401</v>
      </c>
      <c r="M1154" s="128" t="s">
        <v>261</v>
      </c>
      <c r="N1154" s="128"/>
      <c r="O1154" s="128"/>
    </row>
    <row r="1155" spans="1:15">
      <c r="A1155" s="129" t="s">
        <v>387</v>
      </c>
      <c r="B1155" s="129"/>
      <c r="C1155" s="130" t="s">
        <v>449</v>
      </c>
      <c r="D1155" s="129" t="s">
        <v>407</v>
      </c>
      <c r="E1155" s="131">
        <v>48</v>
      </c>
      <c r="F1155" s="129" t="s">
        <v>391</v>
      </c>
      <c r="G1155" s="131"/>
      <c r="H1155" s="131">
        <v>24453.815485444393</v>
      </c>
      <c r="I1155" s="132">
        <v>14880000</v>
      </c>
      <c r="J1155" s="133" t="s">
        <v>289</v>
      </c>
      <c r="K1155" s="133" t="s">
        <v>392</v>
      </c>
      <c r="L1155" s="133" t="s">
        <v>401</v>
      </c>
      <c r="M1155" s="133" t="s">
        <v>261</v>
      </c>
      <c r="N1155" s="133"/>
      <c r="O1155" s="133"/>
    </row>
    <row r="1156" spans="1:15">
      <c r="A1156" s="124" t="s">
        <v>387</v>
      </c>
      <c r="B1156" s="124"/>
      <c r="C1156" s="125" t="s">
        <v>449</v>
      </c>
      <c r="D1156" s="124" t="s">
        <v>407</v>
      </c>
      <c r="E1156" s="126">
        <v>50</v>
      </c>
      <c r="F1156" s="124" t="s">
        <v>391</v>
      </c>
      <c r="G1156" s="126"/>
      <c r="H1156" s="126">
        <v>25472.724464004576</v>
      </c>
      <c r="I1156" s="127">
        <v>15500000</v>
      </c>
      <c r="J1156" s="128" t="s">
        <v>289</v>
      </c>
      <c r="K1156" s="128" t="s">
        <v>392</v>
      </c>
      <c r="L1156" s="128" t="s">
        <v>401</v>
      </c>
      <c r="M1156" s="128" t="s">
        <v>261</v>
      </c>
      <c r="N1156" s="128"/>
      <c r="O1156" s="128"/>
    </row>
    <row r="1157" spans="1:15">
      <c r="A1157" s="129" t="s">
        <v>387</v>
      </c>
      <c r="B1157" s="129"/>
      <c r="C1157" s="130" t="s">
        <v>449</v>
      </c>
      <c r="D1157" s="129" t="s">
        <v>407</v>
      </c>
      <c r="E1157" s="131">
        <v>48</v>
      </c>
      <c r="F1157" s="129" t="s">
        <v>391</v>
      </c>
      <c r="G1157" s="131"/>
      <c r="H1157" s="131">
        <v>24453.815485444393</v>
      </c>
      <c r="I1157" s="132">
        <v>14880000</v>
      </c>
      <c r="J1157" s="133" t="s">
        <v>289</v>
      </c>
      <c r="K1157" s="133" t="s">
        <v>392</v>
      </c>
      <c r="L1157" s="133" t="s">
        <v>401</v>
      </c>
      <c r="M1157" s="133" t="s">
        <v>261</v>
      </c>
      <c r="N1157" s="133"/>
      <c r="O1157" s="133"/>
    </row>
    <row r="1158" spans="1:15">
      <c r="A1158" s="124" t="s">
        <v>387</v>
      </c>
      <c r="B1158" s="124"/>
      <c r="C1158" s="125" t="s">
        <v>449</v>
      </c>
      <c r="D1158" s="124" t="s">
        <v>407</v>
      </c>
      <c r="E1158" s="126">
        <v>50</v>
      </c>
      <c r="F1158" s="124" t="s">
        <v>391</v>
      </c>
      <c r="G1158" s="126"/>
      <c r="H1158" s="126">
        <v>25472.724464004576</v>
      </c>
      <c r="I1158" s="127">
        <v>15500000</v>
      </c>
      <c r="J1158" s="128" t="s">
        <v>289</v>
      </c>
      <c r="K1158" s="128" t="s">
        <v>392</v>
      </c>
      <c r="L1158" s="128" t="s">
        <v>401</v>
      </c>
      <c r="M1158" s="128" t="s">
        <v>261</v>
      </c>
      <c r="N1158" s="128"/>
      <c r="O1158" s="128"/>
    </row>
    <row r="1159" spans="1:15">
      <c r="A1159" s="129" t="s">
        <v>387</v>
      </c>
      <c r="B1159" s="129"/>
      <c r="C1159" s="130" t="s">
        <v>449</v>
      </c>
      <c r="D1159" s="129" t="s">
        <v>407</v>
      </c>
      <c r="E1159" s="131">
        <v>52</v>
      </c>
      <c r="F1159" s="129" t="s">
        <v>391</v>
      </c>
      <c r="G1159" s="131"/>
      <c r="H1159" s="131">
        <v>26491.633442564758</v>
      </c>
      <c r="I1159" s="132">
        <v>16120000</v>
      </c>
      <c r="J1159" s="133" t="s">
        <v>289</v>
      </c>
      <c r="K1159" s="133" t="s">
        <v>392</v>
      </c>
      <c r="L1159" s="133" t="s">
        <v>401</v>
      </c>
      <c r="M1159" s="133" t="s">
        <v>261</v>
      </c>
      <c r="N1159" s="133"/>
      <c r="O1159" s="133"/>
    </row>
    <row r="1160" spans="1:15">
      <c r="A1160" s="124" t="s">
        <v>387</v>
      </c>
      <c r="B1160" s="124"/>
      <c r="C1160" s="125" t="s">
        <v>450</v>
      </c>
      <c r="D1160" s="124" t="s">
        <v>407</v>
      </c>
      <c r="E1160" s="126">
        <v>48</v>
      </c>
      <c r="F1160" s="124" t="s">
        <v>391</v>
      </c>
      <c r="G1160" s="126"/>
      <c r="H1160" s="126">
        <v>24453.815485444393</v>
      </c>
      <c r="I1160" s="127">
        <v>14880000</v>
      </c>
      <c r="J1160" s="128" t="s">
        <v>289</v>
      </c>
      <c r="K1160" s="128" t="s">
        <v>392</v>
      </c>
      <c r="L1160" s="128" t="s">
        <v>401</v>
      </c>
      <c r="M1160" s="128" t="s">
        <v>261</v>
      </c>
      <c r="N1160" s="128"/>
      <c r="O1160" s="128"/>
    </row>
    <row r="1161" spans="1:15">
      <c r="A1161" s="129" t="s">
        <v>387</v>
      </c>
      <c r="B1161" s="129"/>
      <c r="C1161" s="130" t="s">
        <v>450</v>
      </c>
      <c r="D1161" s="129" t="s">
        <v>407</v>
      </c>
      <c r="E1161" s="131">
        <v>48</v>
      </c>
      <c r="F1161" s="129" t="s">
        <v>391</v>
      </c>
      <c r="G1161" s="131"/>
      <c r="H1161" s="131">
        <v>24453.815485444393</v>
      </c>
      <c r="I1161" s="132">
        <v>14880000</v>
      </c>
      <c r="J1161" s="133" t="s">
        <v>289</v>
      </c>
      <c r="K1161" s="133" t="s">
        <v>392</v>
      </c>
      <c r="L1161" s="133" t="s">
        <v>401</v>
      </c>
      <c r="M1161" s="133" t="s">
        <v>261</v>
      </c>
      <c r="N1161" s="133"/>
      <c r="O1161" s="133"/>
    </row>
    <row r="1162" spans="1:15">
      <c r="A1162" s="124" t="s">
        <v>387</v>
      </c>
      <c r="B1162" s="124"/>
      <c r="C1162" s="125" t="s">
        <v>450</v>
      </c>
      <c r="D1162" s="124" t="s">
        <v>407</v>
      </c>
      <c r="E1162" s="126">
        <v>48</v>
      </c>
      <c r="F1162" s="124" t="s">
        <v>391</v>
      </c>
      <c r="G1162" s="126"/>
      <c r="H1162" s="126">
        <v>24453.815485444393</v>
      </c>
      <c r="I1162" s="127">
        <v>14880000</v>
      </c>
      <c r="J1162" s="128" t="s">
        <v>289</v>
      </c>
      <c r="K1162" s="128" t="s">
        <v>392</v>
      </c>
      <c r="L1162" s="128" t="s">
        <v>401</v>
      </c>
      <c r="M1162" s="128" t="s">
        <v>261</v>
      </c>
      <c r="N1162" s="128"/>
      <c r="O1162" s="128"/>
    </row>
    <row r="1163" spans="1:15">
      <c r="A1163" s="129" t="s">
        <v>387</v>
      </c>
      <c r="B1163" s="129"/>
      <c r="C1163" s="130" t="s">
        <v>450</v>
      </c>
      <c r="D1163" s="129" t="s">
        <v>390</v>
      </c>
      <c r="E1163" s="131">
        <v>17947.939999999999</v>
      </c>
      <c r="F1163" s="129" t="s">
        <v>391</v>
      </c>
      <c r="G1163" s="131"/>
      <c r="H1163" s="131">
        <v>17014647.120004468</v>
      </c>
      <c r="I1163" s="132">
        <v>10353310684.639999</v>
      </c>
      <c r="J1163" s="133" t="s">
        <v>366</v>
      </c>
      <c r="K1163" s="133" t="s">
        <v>392</v>
      </c>
      <c r="L1163" s="133" t="s">
        <v>393</v>
      </c>
      <c r="M1163" s="133" t="s">
        <v>394</v>
      </c>
      <c r="N1163" s="133"/>
      <c r="O1163" s="133"/>
    </row>
    <row r="1164" spans="1:15">
      <c r="A1164" s="124" t="s">
        <v>387</v>
      </c>
      <c r="B1164" s="124"/>
      <c r="C1164" s="125" t="s">
        <v>451</v>
      </c>
      <c r="D1164" s="124" t="s">
        <v>407</v>
      </c>
      <c r="E1164" s="126">
        <v>48</v>
      </c>
      <c r="F1164" s="124" t="s">
        <v>391</v>
      </c>
      <c r="G1164" s="126"/>
      <c r="H1164" s="126">
        <v>24453.815485444393</v>
      </c>
      <c r="I1164" s="127">
        <v>14880000</v>
      </c>
      <c r="J1164" s="128" t="s">
        <v>289</v>
      </c>
      <c r="K1164" s="128" t="s">
        <v>392</v>
      </c>
      <c r="L1164" s="128" t="s">
        <v>401</v>
      </c>
      <c r="M1164" s="128" t="s">
        <v>261</v>
      </c>
      <c r="N1164" s="128"/>
      <c r="O1164" s="128"/>
    </row>
    <row r="1165" spans="1:15">
      <c r="A1165" s="129" t="s">
        <v>387</v>
      </c>
      <c r="B1165" s="129"/>
      <c r="C1165" s="130" t="s">
        <v>451</v>
      </c>
      <c r="D1165" s="129" t="s">
        <v>407</v>
      </c>
      <c r="E1165" s="131">
        <v>50</v>
      </c>
      <c r="F1165" s="129" t="s">
        <v>391</v>
      </c>
      <c r="G1165" s="131"/>
      <c r="H1165" s="131">
        <v>25472.724464004576</v>
      </c>
      <c r="I1165" s="132">
        <v>15500000</v>
      </c>
      <c r="J1165" s="133" t="s">
        <v>289</v>
      </c>
      <c r="K1165" s="133" t="s">
        <v>392</v>
      </c>
      <c r="L1165" s="133" t="s">
        <v>401</v>
      </c>
      <c r="M1165" s="133" t="s">
        <v>261</v>
      </c>
      <c r="N1165" s="133"/>
      <c r="O1165" s="133"/>
    </row>
    <row r="1166" spans="1:15">
      <c r="A1166" s="124" t="s">
        <v>387</v>
      </c>
      <c r="B1166" s="124"/>
      <c r="C1166" s="125" t="s">
        <v>451</v>
      </c>
      <c r="D1166" s="124" t="s">
        <v>407</v>
      </c>
      <c r="E1166" s="126">
        <v>50</v>
      </c>
      <c r="F1166" s="124" t="s">
        <v>391</v>
      </c>
      <c r="G1166" s="126"/>
      <c r="H1166" s="126">
        <v>25472.724464004576</v>
      </c>
      <c r="I1166" s="127">
        <v>15500000</v>
      </c>
      <c r="J1166" s="128" t="s">
        <v>289</v>
      </c>
      <c r="K1166" s="128" t="s">
        <v>392</v>
      </c>
      <c r="L1166" s="128" t="s">
        <v>401</v>
      </c>
      <c r="M1166" s="128" t="s">
        <v>261</v>
      </c>
      <c r="N1166" s="128"/>
      <c r="O1166" s="128"/>
    </row>
    <row r="1167" spans="1:15">
      <c r="A1167" s="129" t="s">
        <v>387</v>
      </c>
      <c r="B1167" s="129"/>
      <c r="C1167" s="130" t="s">
        <v>452</v>
      </c>
      <c r="D1167" s="129" t="s">
        <v>407</v>
      </c>
      <c r="E1167" s="131">
        <v>48</v>
      </c>
      <c r="F1167" s="129" t="s">
        <v>391</v>
      </c>
      <c r="G1167" s="131"/>
      <c r="H1167" s="131">
        <v>24453.815485444393</v>
      </c>
      <c r="I1167" s="132">
        <v>14880000</v>
      </c>
      <c r="J1167" s="133" t="s">
        <v>289</v>
      </c>
      <c r="K1167" s="133" t="s">
        <v>392</v>
      </c>
      <c r="L1167" s="133" t="s">
        <v>401</v>
      </c>
      <c r="M1167" s="133" t="s">
        <v>261</v>
      </c>
      <c r="N1167" s="133"/>
      <c r="O1167" s="133"/>
    </row>
    <row r="1168" spans="1:15">
      <c r="A1168" s="124" t="s">
        <v>387</v>
      </c>
      <c r="B1168" s="124"/>
      <c r="C1168" s="125" t="s">
        <v>452</v>
      </c>
      <c r="D1168" s="124" t="s">
        <v>390</v>
      </c>
      <c r="E1168" s="126">
        <v>9711.9330000000009</v>
      </c>
      <c r="F1168" s="124" t="s">
        <v>391</v>
      </c>
      <c r="G1168" s="126"/>
      <c r="H1168" s="126">
        <v>9552171.7000003289</v>
      </c>
      <c r="I1168" s="127">
        <v>5812439166.4200001</v>
      </c>
      <c r="J1168" s="128" t="s">
        <v>366</v>
      </c>
      <c r="K1168" s="128" t="s">
        <v>392</v>
      </c>
      <c r="L1168" s="128" t="s">
        <v>397</v>
      </c>
      <c r="M1168" s="128" t="s">
        <v>394</v>
      </c>
      <c r="N1168" s="128"/>
      <c r="O1168" s="128"/>
    </row>
    <row r="1169" spans="1:15">
      <c r="A1169" s="129" t="s">
        <v>387</v>
      </c>
      <c r="B1169" s="129"/>
      <c r="C1169" s="130" t="s">
        <v>453</v>
      </c>
      <c r="D1169" s="129" t="s">
        <v>407</v>
      </c>
      <c r="E1169" s="131">
        <v>52</v>
      </c>
      <c r="F1169" s="129" t="s">
        <v>391</v>
      </c>
      <c r="G1169" s="131"/>
      <c r="H1169" s="131">
        <v>26255.696606630379</v>
      </c>
      <c r="I1169" s="132">
        <v>16120000</v>
      </c>
      <c r="J1169" s="133" t="s">
        <v>289</v>
      </c>
      <c r="K1169" s="133" t="s">
        <v>392</v>
      </c>
      <c r="L1169" s="133" t="s">
        <v>401</v>
      </c>
      <c r="M1169" s="133" t="s">
        <v>261</v>
      </c>
      <c r="N1169" s="133"/>
      <c r="O1169" s="133"/>
    </row>
    <row r="1170" spans="1:15">
      <c r="A1170" s="124" t="s">
        <v>387</v>
      </c>
      <c r="B1170" s="124"/>
      <c r="C1170" s="125" t="s">
        <v>453</v>
      </c>
      <c r="D1170" s="124" t="s">
        <v>407</v>
      </c>
      <c r="E1170" s="126">
        <v>50</v>
      </c>
      <c r="F1170" s="124" t="s">
        <v>391</v>
      </c>
      <c r="G1170" s="126"/>
      <c r="H1170" s="126">
        <v>25245.862121759979</v>
      </c>
      <c r="I1170" s="127">
        <v>15500000</v>
      </c>
      <c r="J1170" s="128" t="s">
        <v>289</v>
      </c>
      <c r="K1170" s="128" t="s">
        <v>392</v>
      </c>
      <c r="L1170" s="128" t="s">
        <v>401</v>
      </c>
      <c r="M1170" s="128" t="s">
        <v>261</v>
      </c>
      <c r="N1170" s="128"/>
      <c r="O1170" s="128"/>
    </row>
    <row r="1171" spans="1:15">
      <c r="A1171" s="129" t="s">
        <v>387</v>
      </c>
      <c r="B1171" s="129"/>
      <c r="C1171" s="130" t="s">
        <v>454</v>
      </c>
      <c r="D1171" s="129" t="s">
        <v>407</v>
      </c>
      <c r="E1171" s="131">
        <v>50</v>
      </c>
      <c r="F1171" s="129" t="s">
        <v>391</v>
      </c>
      <c r="G1171" s="131"/>
      <c r="H1171" s="131">
        <v>25245.862121759979</v>
      </c>
      <c r="I1171" s="132">
        <v>15500000</v>
      </c>
      <c r="J1171" s="133" t="s">
        <v>289</v>
      </c>
      <c r="K1171" s="133" t="s">
        <v>392</v>
      </c>
      <c r="L1171" s="133" t="s">
        <v>401</v>
      </c>
      <c r="M1171" s="133" t="s">
        <v>261</v>
      </c>
      <c r="N1171" s="133"/>
      <c r="O1171" s="133"/>
    </row>
    <row r="1172" spans="1:15">
      <c r="A1172" s="124" t="s">
        <v>387</v>
      </c>
      <c r="B1172" s="124"/>
      <c r="C1172" s="125" t="s">
        <v>455</v>
      </c>
      <c r="D1172" s="124" t="s">
        <v>407</v>
      </c>
      <c r="E1172" s="126">
        <v>52</v>
      </c>
      <c r="F1172" s="124" t="s">
        <v>391</v>
      </c>
      <c r="G1172" s="126"/>
      <c r="H1172" s="126">
        <v>26255.696606630379</v>
      </c>
      <c r="I1172" s="127">
        <v>16120000</v>
      </c>
      <c r="J1172" s="128" t="s">
        <v>289</v>
      </c>
      <c r="K1172" s="128" t="s">
        <v>392</v>
      </c>
      <c r="L1172" s="128" t="s">
        <v>401</v>
      </c>
      <c r="M1172" s="128" t="s">
        <v>261</v>
      </c>
      <c r="N1172" s="128"/>
      <c r="O1172" s="128"/>
    </row>
    <row r="1173" spans="1:15">
      <c r="A1173" s="129" t="s">
        <v>387</v>
      </c>
      <c r="B1173" s="129"/>
      <c r="C1173" s="130" t="s">
        <v>456</v>
      </c>
      <c r="D1173" s="129" t="s">
        <v>407</v>
      </c>
      <c r="E1173" s="131">
        <v>50</v>
      </c>
      <c r="F1173" s="129" t="s">
        <v>391</v>
      </c>
      <c r="G1173" s="131"/>
      <c r="H1173" s="131">
        <v>25245.862121759979</v>
      </c>
      <c r="I1173" s="132">
        <v>15500000</v>
      </c>
      <c r="J1173" s="133" t="s">
        <v>289</v>
      </c>
      <c r="K1173" s="133" t="s">
        <v>392</v>
      </c>
      <c r="L1173" s="133" t="s">
        <v>401</v>
      </c>
      <c r="M1173" s="133" t="s">
        <v>261</v>
      </c>
      <c r="N1173" s="133"/>
      <c r="O1173" s="133"/>
    </row>
    <row r="1174" spans="1:15">
      <c r="A1174" s="124" t="s">
        <v>387</v>
      </c>
      <c r="B1174" s="124"/>
      <c r="C1174" s="125" t="s">
        <v>456</v>
      </c>
      <c r="D1174" s="124" t="s">
        <v>407</v>
      </c>
      <c r="E1174" s="126">
        <v>48</v>
      </c>
      <c r="F1174" s="124" t="s">
        <v>391</v>
      </c>
      <c r="G1174" s="126"/>
      <c r="H1174" s="126">
        <v>24236.027636889579</v>
      </c>
      <c r="I1174" s="127">
        <v>14880000</v>
      </c>
      <c r="J1174" s="128" t="s">
        <v>289</v>
      </c>
      <c r="K1174" s="128" t="s">
        <v>392</v>
      </c>
      <c r="L1174" s="128" t="s">
        <v>401</v>
      </c>
      <c r="M1174" s="128" t="s">
        <v>261</v>
      </c>
      <c r="N1174" s="128"/>
      <c r="O1174" s="128"/>
    </row>
    <row r="1175" spans="1:15">
      <c r="A1175" s="129" t="s">
        <v>387</v>
      </c>
      <c r="B1175" s="129"/>
      <c r="C1175" s="130" t="s">
        <v>456</v>
      </c>
      <c r="D1175" s="129" t="s">
        <v>407</v>
      </c>
      <c r="E1175" s="131">
        <v>50</v>
      </c>
      <c r="F1175" s="129" t="s">
        <v>391</v>
      </c>
      <c r="G1175" s="131"/>
      <c r="H1175" s="131">
        <v>25245.862121759979</v>
      </c>
      <c r="I1175" s="132">
        <v>15500000</v>
      </c>
      <c r="J1175" s="133" t="s">
        <v>289</v>
      </c>
      <c r="K1175" s="133" t="s">
        <v>392</v>
      </c>
      <c r="L1175" s="133" t="s">
        <v>401</v>
      </c>
      <c r="M1175" s="133" t="s">
        <v>261</v>
      </c>
      <c r="N1175" s="133"/>
      <c r="O1175" s="133"/>
    </row>
    <row r="1176" spans="1:15">
      <c r="A1176" s="124" t="s">
        <v>387</v>
      </c>
      <c r="B1176" s="124"/>
      <c r="C1176" s="125" t="s">
        <v>456</v>
      </c>
      <c r="D1176" s="124" t="s">
        <v>407</v>
      </c>
      <c r="E1176" s="126">
        <v>48</v>
      </c>
      <c r="F1176" s="124" t="s">
        <v>391</v>
      </c>
      <c r="G1176" s="126"/>
      <c r="H1176" s="126">
        <v>24236.027636889579</v>
      </c>
      <c r="I1176" s="127">
        <v>14880000</v>
      </c>
      <c r="J1176" s="128" t="s">
        <v>289</v>
      </c>
      <c r="K1176" s="128" t="s">
        <v>392</v>
      </c>
      <c r="L1176" s="128" t="s">
        <v>401</v>
      </c>
      <c r="M1176" s="128" t="s">
        <v>261</v>
      </c>
      <c r="N1176" s="128"/>
      <c r="O1176" s="128"/>
    </row>
    <row r="1177" spans="1:15">
      <c r="A1177" s="129" t="s">
        <v>387</v>
      </c>
      <c r="B1177" s="129"/>
      <c r="C1177" s="130" t="s">
        <v>456</v>
      </c>
      <c r="D1177" s="129" t="s">
        <v>407</v>
      </c>
      <c r="E1177" s="131">
        <v>48</v>
      </c>
      <c r="F1177" s="129" t="s">
        <v>391</v>
      </c>
      <c r="G1177" s="131"/>
      <c r="H1177" s="131">
        <v>24236.027636889579</v>
      </c>
      <c r="I1177" s="132">
        <v>14880000</v>
      </c>
      <c r="J1177" s="133" t="s">
        <v>289</v>
      </c>
      <c r="K1177" s="133" t="s">
        <v>392</v>
      </c>
      <c r="L1177" s="133" t="s">
        <v>401</v>
      </c>
      <c r="M1177" s="133" t="s">
        <v>261</v>
      </c>
      <c r="N1177" s="133"/>
      <c r="O1177" s="133"/>
    </row>
    <row r="1178" spans="1:15">
      <c r="A1178" s="124" t="s">
        <v>387</v>
      </c>
      <c r="B1178" s="124"/>
      <c r="C1178" s="125" t="s">
        <v>456</v>
      </c>
      <c r="D1178" s="124" t="s">
        <v>407</v>
      </c>
      <c r="E1178" s="126">
        <v>50</v>
      </c>
      <c r="F1178" s="124" t="s">
        <v>391</v>
      </c>
      <c r="G1178" s="126"/>
      <c r="H1178" s="126">
        <v>25245.862121759979</v>
      </c>
      <c r="I1178" s="127">
        <v>15500000</v>
      </c>
      <c r="J1178" s="128" t="s">
        <v>289</v>
      </c>
      <c r="K1178" s="128" t="s">
        <v>392</v>
      </c>
      <c r="L1178" s="128" t="s">
        <v>401</v>
      </c>
      <c r="M1178" s="128" t="s">
        <v>261</v>
      </c>
      <c r="N1178" s="128"/>
      <c r="O1178" s="128"/>
    </row>
    <row r="1179" spans="1:15">
      <c r="A1179" s="129" t="s">
        <v>387</v>
      </c>
      <c r="B1179" s="129"/>
      <c r="C1179" s="130" t="s">
        <v>457</v>
      </c>
      <c r="D1179" s="129" t="s">
        <v>407</v>
      </c>
      <c r="E1179" s="131">
        <v>48</v>
      </c>
      <c r="F1179" s="129" t="s">
        <v>391</v>
      </c>
      <c r="G1179" s="131"/>
      <c r="H1179" s="131">
        <v>24236.027636889579</v>
      </c>
      <c r="I1179" s="132">
        <v>14880000</v>
      </c>
      <c r="J1179" s="133" t="s">
        <v>289</v>
      </c>
      <c r="K1179" s="133" t="s">
        <v>392</v>
      </c>
      <c r="L1179" s="133" t="s">
        <v>401</v>
      </c>
      <c r="M1179" s="133" t="s">
        <v>261</v>
      </c>
      <c r="N1179" s="133"/>
      <c r="O1179" s="133"/>
    </row>
    <row r="1180" spans="1:15">
      <c r="A1180" s="124" t="s">
        <v>387</v>
      </c>
      <c r="B1180" s="124"/>
      <c r="C1180" s="125" t="s">
        <v>457</v>
      </c>
      <c r="D1180" s="124" t="s">
        <v>407</v>
      </c>
      <c r="E1180" s="126">
        <v>50</v>
      </c>
      <c r="F1180" s="124" t="s">
        <v>391</v>
      </c>
      <c r="G1180" s="126"/>
      <c r="H1180" s="126">
        <v>25245.862121759979</v>
      </c>
      <c r="I1180" s="127">
        <v>15500000</v>
      </c>
      <c r="J1180" s="128" t="s">
        <v>289</v>
      </c>
      <c r="K1180" s="128" t="s">
        <v>392</v>
      </c>
      <c r="L1180" s="128" t="s">
        <v>401</v>
      </c>
      <c r="M1180" s="128" t="s">
        <v>261</v>
      </c>
      <c r="N1180" s="128"/>
      <c r="O1180" s="128"/>
    </row>
    <row r="1181" spans="1:15">
      <c r="A1181" s="129" t="s">
        <v>387</v>
      </c>
      <c r="B1181" s="129"/>
      <c r="C1181" s="130" t="s">
        <v>458</v>
      </c>
      <c r="D1181" s="129" t="s">
        <v>407</v>
      </c>
      <c r="E1181" s="131">
        <v>50</v>
      </c>
      <c r="F1181" s="129" t="s">
        <v>391</v>
      </c>
      <c r="G1181" s="131"/>
      <c r="H1181" s="131">
        <v>25245.862121759979</v>
      </c>
      <c r="I1181" s="132">
        <v>15500000</v>
      </c>
      <c r="J1181" s="133" t="s">
        <v>289</v>
      </c>
      <c r="K1181" s="133" t="s">
        <v>392</v>
      </c>
      <c r="L1181" s="133" t="s">
        <v>401</v>
      </c>
      <c r="M1181" s="133" t="s">
        <v>261</v>
      </c>
      <c r="N1181" s="133"/>
      <c r="O1181" s="133"/>
    </row>
    <row r="1182" spans="1:15">
      <c r="A1182" s="124" t="s">
        <v>387</v>
      </c>
      <c r="B1182" s="124"/>
      <c r="C1182" s="125" t="s">
        <v>458</v>
      </c>
      <c r="D1182" s="124" t="s">
        <v>407</v>
      </c>
      <c r="E1182" s="126">
        <v>53</v>
      </c>
      <c r="F1182" s="124" t="s">
        <v>391</v>
      </c>
      <c r="G1182" s="126"/>
      <c r="H1182" s="126">
        <v>26760.613849065579</v>
      </c>
      <c r="I1182" s="127">
        <v>16430000</v>
      </c>
      <c r="J1182" s="128" t="s">
        <v>289</v>
      </c>
      <c r="K1182" s="128" t="s">
        <v>392</v>
      </c>
      <c r="L1182" s="128" t="s">
        <v>401</v>
      </c>
      <c r="M1182" s="128" t="s">
        <v>261</v>
      </c>
      <c r="N1182" s="128"/>
      <c r="O1182" s="128"/>
    </row>
    <row r="1183" spans="1:15">
      <c r="A1183" s="129" t="s">
        <v>387</v>
      </c>
      <c r="B1183" s="129"/>
      <c r="C1183" s="130" t="s">
        <v>458</v>
      </c>
      <c r="D1183" s="129" t="s">
        <v>407</v>
      </c>
      <c r="E1183" s="131">
        <v>50</v>
      </c>
      <c r="F1183" s="129" t="s">
        <v>391</v>
      </c>
      <c r="G1183" s="131"/>
      <c r="H1183" s="131">
        <v>25245.862121759979</v>
      </c>
      <c r="I1183" s="132">
        <v>15500000</v>
      </c>
      <c r="J1183" s="133" t="s">
        <v>289</v>
      </c>
      <c r="K1183" s="133" t="s">
        <v>392</v>
      </c>
      <c r="L1183" s="133" t="s">
        <v>401</v>
      </c>
      <c r="M1183" s="133" t="s">
        <v>261</v>
      </c>
      <c r="N1183" s="133"/>
      <c r="O1183" s="133"/>
    </row>
    <row r="1184" spans="1:15">
      <c r="A1184" s="124" t="s">
        <v>387</v>
      </c>
      <c r="B1184" s="124"/>
      <c r="C1184" s="125" t="s">
        <v>459</v>
      </c>
      <c r="D1184" s="124" t="s">
        <v>407</v>
      </c>
      <c r="E1184" s="126">
        <v>50</v>
      </c>
      <c r="F1184" s="124" t="s">
        <v>391</v>
      </c>
      <c r="G1184" s="126"/>
      <c r="H1184" s="126">
        <v>25245.862121759979</v>
      </c>
      <c r="I1184" s="127">
        <v>15500000</v>
      </c>
      <c r="J1184" s="128" t="s">
        <v>289</v>
      </c>
      <c r="K1184" s="128" t="s">
        <v>392</v>
      </c>
      <c r="L1184" s="128" t="s">
        <v>401</v>
      </c>
      <c r="M1184" s="128" t="s">
        <v>261</v>
      </c>
      <c r="N1184" s="128"/>
      <c r="O1184" s="128"/>
    </row>
    <row r="1185" spans="1:15">
      <c r="A1185" s="129" t="s">
        <v>387</v>
      </c>
      <c r="B1185" s="129"/>
      <c r="C1185" s="130" t="s">
        <v>459</v>
      </c>
      <c r="D1185" s="129" t="s">
        <v>407</v>
      </c>
      <c r="E1185" s="131">
        <v>5</v>
      </c>
      <c r="F1185" s="129" t="s">
        <v>391</v>
      </c>
      <c r="G1185" s="131"/>
      <c r="H1185" s="131">
        <v>2524.5862121759978</v>
      </c>
      <c r="I1185" s="132">
        <v>1550000</v>
      </c>
      <c r="J1185" s="133" t="s">
        <v>289</v>
      </c>
      <c r="K1185" s="133" t="s">
        <v>392</v>
      </c>
      <c r="L1185" s="133" t="s">
        <v>401</v>
      </c>
      <c r="M1185" s="133" t="s">
        <v>261</v>
      </c>
      <c r="N1185" s="133"/>
      <c r="O1185" s="133"/>
    </row>
    <row r="1186" spans="1:15">
      <c r="A1186" s="124" t="s">
        <v>387</v>
      </c>
      <c r="B1186" s="124"/>
      <c r="C1186" s="125" t="s">
        <v>459</v>
      </c>
      <c r="D1186" s="124" t="s">
        <v>407</v>
      </c>
      <c r="E1186" s="126">
        <v>55</v>
      </c>
      <c r="F1186" s="124" t="s">
        <v>391</v>
      </c>
      <c r="G1186" s="126"/>
      <c r="H1186" s="126">
        <v>27770.448333935976</v>
      </c>
      <c r="I1186" s="127">
        <v>17050000</v>
      </c>
      <c r="J1186" s="128" t="s">
        <v>289</v>
      </c>
      <c r="K1186" s="128" t="s">
        <v>392</v>
      </c>
      <c r="L1186" s="128" t="s">
        <v>401</v>
      </c>
      <c r="M1186" s="128" t="s">
        <v>261</v>
      </c>
      <c r="N1186" s="128"/>
      <c r="O1186" s="128"/>
    </row>
    <row r="1187" spans="1:15">
      <c r="A1187" s="129" t="s">
        <v>387</v>
      </c>
      <c r="B1187" s="129"/>
      <c r="C1187" s="130" t="s">
        <v>459</v>
      </c>
      <c r="D1187" s="129" t="s">
        <v>407</v>
      </c>
      <c r="E1187" s="131">
        <v>50</v>
      </c>
      <c r="F1187" s="129" t="s">
        <v>391</v>
      </c>
      <c r="G1187" s="131"/>
      <c r="H1187" s="131">
        <v>25245.862121759979</v>
      </c>
      <c r="I1187" s="132">
        <v>15500000</v>
      </c>
      <c r="J1187" s="133" t="s">
        <v>289</v>
      </c>
      <c r="K1187" s="133" t="s">
        <v>392</v>
      </c>
      <c r="L1187" s="133" t="s">
        <v>401</v>
      </c>
      <c r="M1187" s="133" t="s">
        <v>261</v>
      </c>
      <c r="N1187" s="133"/>
      <c r="O1187" s="133"/>
    </row>
    <row r="1188" spans="1:15">
      <c r="A1188" s="124" t="s">
        <v>387</v>
      </c>
      <c r="B1188" s="124"/>
      <c r="C1188" s="125" t="s">
        <v>459</v>
      </c>
      <c r="D1188" s="124" t="s">
        <v>407</v>
      </c>
      <c r="E1188" s="126">
        <v>50</v>
      </c>
      <c r="F1188" s="124" t="s">
        <v>391</v>
      </c>
      <c r="G1188" s="126"/>
      <c r="H1188" s="126">
        <v>25245.862121759979</v>
      </c>
      <c r="I1188" s="127">
        <v>15500000</v>
      </c>
      <c r="J1188" s="128" t="s">
        <v>289</v>
      </c>
      <c r="K1188" s="128" t="s">
        <v>392</v>
      </c>
      <c r="L1188" s="128" t="s">
        <v>401</v>
      </c>
      <c r="M1188" s="128" t="s">
        <v>261</v>
      </c>
      <c r="N1188" s="128"/>
      <c r="O1188" s="128"/>
    </row>
    <row r="1189" spans="1:15">
      <c r="A1189" s="129" t="s">
        <v>387</v>
      </c>
      <c r="B1189" s="129"/>
      <c r="C1189" s="130" t="s">
        <v>459</v>
      </c>
      <c r="D1189" s="129" t="s">
        <v>407</v>
      </c>
      <c r="E1189" s="131">
        <v>48</v>
      </c>
      <c r="F1189" s="129" t="s">
        <v>391</v>
      </c>
      <c r="G1189" s="131"/>
      <c r="H1189" s="131">
        <v>24236.027636889579</v>
      </c>
      <c r="I1189" s="132">
        <v>14880000</v>
      </c>
      <c r="J1189" s="133" t="s">
        <v>289</v>
      </c>
      <c r="K1189" s="133" t="s">
        <v>392</v>
      </c>
      <c r="L1189" s="133" t="s">
        <v>401</v>
      </c>
      <c r="M1189" s="133" t="s">
        <v>261</v>
      </c>
      <c r="N1189" s="133"/>
      <c r="O1189" s="133"/>
    </row>
    <row r="1190" spans="1:15">
      <c r="A1190" s="124" t="s">
        <v>387</v>
      </c>
      <c r="B1190" s="124"/>
      <c r="C1190" s="125" t="s">
        <v>459</v>
      </c>
      <c r="D1190" s="124" t="s">
        <v>407</v>
      </c>
      <c r="E1190" s="126">
        <v>50</v>
      </c>
      <c r="F1190" s="124" t="s">
        <v>391</v>
      </c>
      <c r="G1190" s="126"/>
      <c r="H1190" s="126">
        <v>25245.862121759979</v>
      </c>
      <c r="I1190" s="127">
        <v>15500000</v>
      </c>
      <c r="J1190" s="128" t="s">
        <v>289</v>
      </c>
      <c r="K1190" s="128" t="s">
        <v>392</v>
      </c>
      <c r="L1190" s="128" t="s">
        <v>401</v>
      </c>
      <c r="M1190" s="128" t="s">
        <v>261</v>
      </c>
      <c r="N1190" s="128"/>
      <c r="O1190" s="128"/>
    </row>
    <row r="1191" spans="1:15">
      <c r="A1191" s="129" t="s">
        <v>387</v>
      </c>
      <c r="B1191" s="129"/>
      <c r="C1191" s="130" t="s">
        <v>459</v>
      </c>
      <c r="D1191" s="129" t="s">
        <v>407</v>
      </c>
      <c r="E1191" s="131">
        <v>55</v>
      </c>
      <c r="F1191" s="129" t="s">
        <v>391</v>
      </c>
      <c r="G1191" s="131"/>
      <c r="H1191" s="131">
        <v>27770.448333935976</v>
      </c>
      <c r="I1191" s="132">
        <v>17050000</v>
      </c>
      <c r="J1191" s="133" t="s">
        <v>289</v>
      </c>
      <c r="K1191" s="133" t="s">
        <v>392</v>
      </c>
      <c r="L1191" s="133" t="s">
        <v>401</v>
      </c>
      <c r="M1191" s="133" t="s">
        <v>261</v>
      </c>
      <c r="N1191" s="133"/>
      <c r="O1191" s="133"/>
    </row>
    <row r="1192" spans="1:15">
      <c r="A1192" s="124" t="s">
        <v>387</v>
      </c>
      <c r="B1192" s="124"/>
      <c r="C1192" s="125" t="s">
        <v>459</v>
      </c>
      <c r="D1192" s="124" t="s">
        <v>415</v>
      </c>
      <c r="E1192" s="126">
        <v>50</v>
      </c>
      <c r="F1192" s="124" t="s">
        <v>391</v>
      </c>
      <c r="G1192" s="126"/>
      <c r="H1192" s="126">
        <v>24431.479472670948</v>
      </c>
      <c r="I1192" s="127">
        <v>15000000</v>
      </c>
      <c r="J1192" s="128" t="s">
        <v>289</v>
      </c>
      <c r="K1192" s="128" t="s">
        <v>392</v>
      </c>
      <c r="L1192" s="128" t="s">
        <v>401</v>
      </c>
      <c r="M1192" s="128" t="s">
        <v>261</v>
      </c>
      <c r="N1192" s="128"/>
      <c r="O1192" s="128"/>
    </row>
    <row r="1193" spans="1:15">
      <c r="A1193" s="129" t="s">
        <v>387</v>
      </c>
      <c r="B1193" s="129"/>
      <c r="C1193" s="130" t="s">
        <v>459</v>
      </c>
      <c r="D1193" s="129" t="s">
        <v>415</v>
      </c>
      <c r="E1193" s="131">
        <v>50</v>
      </c>
      <c r="F1193" s="129" t="s">
        <v>391</v>
      </c>
      <c r="G1193" s="131"/>
      <c r="H1193" s="131">
        <v>24431.479472670948</v>
      </c>
      <c r="I1193" s="132">
        <v>15000000</v>
      </c>
      <c r="J1193" s="133" t="s">
        <v>289</v>
      </c>
      <c r="K1193" s="133" t="s">
        <v>392</v>
      </c>
      <c r="L1193" s="133" t="s">
        <v>401</v>
      </c>
      <c r="M1193" s="133" t="s">
        <v>261</v>
      </c>
      <c r="N1193" s="133"/>
      <c r="O1193" s="133"/>
    </row>
    <row r="1194" spans="1:15">
      <c r="A1194" s="124" t="s">
        <v>387</v>
      </c>
      <c r="B1194" s="124"/>
      <c r="C1194" s="125" t="s">
        <v>459</v>
      </c>
      <c r="D1194" s="124" t="s">
        <v>415</v>
      </c>
      <c r="E1194" s="126">
        <v>48</v>
      </c>
      <c r="F1194" s="124" t="s">
        <v>391</v>
      </c>
      <c r="G1194" s="126"/>
      <c r="H1194" s="126">
        <v>23454.220293764109</v>
      </c>
      <c r="I1194" s="127">
        <v>14400000</v>
      </c>
      <c r="J1194" s="128" t="s">
        <v>289</v>
      </c>
      <c r="K1194" s="128" t="s">
        <v>392</v>
      </c>
      <c r="L1194" s="128" t="s">
        <v>401</v>
      </c>
      <c r="M1194" s="128" t="s">
        <v>261</v>
      </c>
      <c r="N1194" s="128"/>
      <c r="O1194" s="128"/>
    </row>
    <row r="1195" spans="1:15">
      <c r="A1195" s="129" t="s">
        <v>387</v>
      </c>
      <c r="B1195" s="129"/>
      <c r="C1195" s="130" t="s">
        <v>459</v>
      </c>
      <c r="D1195" s="129" t="s">
        <v>415</v>
      </c>
      <c r="E1195" s="131">
        <v>50</v>
      </c>
      <c r="F1195" s="129" t="s">
        <v>391</v>
      </c>
      <c r="G1195" s="131"/>
      <c r="H1195" s="131">
        <v>24431.479472670948</v>
      </c>
      <c r="I1195" s="132">
        <v>15000000</v>
      </c>
      <c r="J1195" s="133" t="s">
        <v>289</v>
      </c>
      <c r="K1195" s="133" t="s">
        <v>392</v>
      </c>
      <c r="L1195" s="133" t="s">
        <v>401</v>
      </c>
      <c r="M1195" s="133" t="s">
        <v>261</v>
      </c>
      <c r="N1195" s="133"/>
      <c r="O1195" s="133"/>
    </row>
    <row r="1196" spans="1:15">
      <c r="A1196" s="124" t="s">
        <v>387</v>
      </c>
      <c r="B1196" s="124"/>
      <c r="C1196" s="125" t="s">
        <v>459</v>
      </c>
      <c r="D1196" s="124" t="s">
        <v>415</v>
      </c>
      <c r="E1196" s="126">
        <v>50</v>
      </c>
      <c r="F1196" s="124" t="s">
        <v>391</v>
      </c>
      <c r="G1196" s="126"/>
      <c r="H1196" s="126">
        <v>24431.479472670948</v>
      </c>
      <c r="I1196" s="127">
        <v>15000000</v>
      </c>
      <c r="J1196" s="128" t="s">
        <v>289</v>
      </c>
      <c r="K1196" s="128" t="s">
        <v>392</v>
      </c>
      <c r="L1196" s="128" t="s">
        <v>401</v>
      </c>
      <c r="M1196" s="128" t="s">
        <v>261</v>
      </c>
      <c r="N1196" s="128"/>
      <c r="O1196" s="128"/>
    </row>
    <row r="1197" spans="1:15">
      <c r="A1197" s="129" t="s">
        <v>387</v>
      </c>
      <c r="B1197" s="129"/>
      <c r="C1197" s="130" t="s">
        <v>460</v>
      </c>
      <c r="D1197" s="129" t="s">
        <v>407</v>
      </c>
      <c r="E1197" s="131">
        <v>55</v>
      </c>
      <c r="F1197" s="129" t="s">
        <v>391</v>
      </c>
      <c r="G1197" s="131"/>
      <c r="H1197" s="131">
        <v>27770.448333935976</v>
      </c>
      <c r="I1197" s="132">
        <v>17050000</v>
      </c>
      <c r="J1197" s="133" t="s">
        <v>289</v>
      </c>
      <c r="K1197" s="133" t="s">
        <v>392</v>
      </c>
      <c r="L1197" s="133" t="s">
        <v>401</v>
      </c>
      <c r="M1197" s="133" t="s">
        <v>261</v>
      </c>
      <c r="N1197" s="133"/>
      <c r="O1197" s="133"/>
    </row>
    <row r="1198" spans="1:15">
      <c r="A1198" s="124" t="s">
        <v>387</v>
      </c>
      <c r="B1198" s="124"/>
      <c r="C1198" s="125" t="s">
        <v>461</v>
      </c>
      <c r="D1198" s="124" t="s">
        <v>407</v>
      </c>
      <c r="E1198" s="126">
        <v>50</v>
      </c>
      <c r="F1198" s="124" t="s">
        <v>391</v>
      </c>
      <c r="G1198" s="126"/>
      <c r="H1198" s="126">
        <v>25245.862121759979</v>
      </c>
      <c r="I1198" s="127">
        <v>15500000</v>
      </c>
      <c r="J1198" s="128" t="s">
        <v>289</v>
      </c>
      <c r="K1198" s="128" t="s">
        <v>392</v>
      </c>
      <c r="L1198" s="128" t="s">
        <v>401</v>
      </c>
      <c r="M1198" s="128" t="s">
        <v>261</v>
      </c>
      <c r="N1198" s="128"/>
      <c r="O1198" s="128"/>
    </row>
    <row r="1199" spans="1:15">
      <c r="A1199" s="129" t="s">
        <v>387</v>
      </c>
      <c r="B1199" s="129"/>
      <c r="C1199" s="130" t="s">
        <v>461</v>
      </c>
      <c r="D1199" s="129" t="s">
        <v>407</v>
      </c>
      <c r="E1199" s="131">
        <v>50</v>
      </c>
      <c r="F1199" s="129" t="s">
        <v>391</v>
      </c>
      <c r="G1199" s="131"/>
      <c r="H1199" s="131">
        <v>25245.862121759979</v>
      </c>
      <c r="I1199" s="132">
        <v>15500000</v>
      </c>
      <c r="J1199" s="133" t="s">
        <v>289</v>
      </c>
      <c r="K1199" s="133" t="s">
        <v>392</v>
      </c>
      <c r="L1199" s="133" t="s">
        <v>401</v>
      </c>
      <c r="M1199" s="133" t="s">
        <v>261</v>
      </c>
      <c r="N1199" s="133"/>
      <c r="O1199" s="133"/>
    </row>
    <row r="1200" spans="1:15">
      <c r="A1200" s="124" t="s">
        <v>387</v>
      </c>
      <c r="B1200" s="124"/>
      <c r="C1200" s="125" t="s">
        <v>461</v>
      </c>
      <c r="D1200" s="124" t="s">
        <v>407</v>
      </c>
      <c r="E1200" s="126">
        <v>48</v>
      </c>
      <c r="F1200" s="124" t="s">
        <v>391</v>
      </c>
      <c r="G1200" s="126"/>
      <c r="H1200" s="126">
        <v>24236.027636889579</v>
      </c>
      <c r="I1200" s="127">
        <v>14880000</v>
      </c>
      <c r="J1200" s="128" t="s">
        <v>289</v>
      </c>
      <c r="K1200" s="128" t="s">
        <v>392</v>
      </c>
      <c r="L1200" s="128" t="s">
        <v>401</v>
      </c>
      <c r="M1200" s="128" t="s">
        <v>261</v>
      </c>
      <c r="N1200" s="128"/>
      <c r="O1200" s="128"/>
    </row>
    <row r="1201" spans="1:15">
      <c r="A1201" s="129" t="s">
        <v>387</v>
      </c>
      <c r="B1201" s="129"/>
      <c r="C1201" s="130" t="s">
        <v>461</v>
      </c>
      <c r="D1201" s="129" t="s">
        <v>407</v>
      </c>
      <c r="E1201" s="131">
        <v>48</v>
      </c>
      <c r="F1201" s="129" t="s">
        <v>391</v>
      </c>
      <c r="G1201" s="131"/>
      <c r="H1201" s="131">
        <v>24236.027636889579</v>
      </c>
      <c r="I1201" s="132">
        <v>14880000</v>
      </c>
      <c r="J1201" s="133" t="s">
        <v>289</v>
      </c>
      <c r="K1201" s="133" t="s">
        <v>392</v>
      </c>
      <c r="L1201" s="133" t="s">
        <v>401</v>
      </c>
      <c r="M1201" s="133" t="s">
        <v>261</v>
      </c>
      <c r="N1201" s="133"/>
      <c r="O1201" s="133"/>
    </row>
    <row r="1202" spans="1:15">
      <c r="A1202" s="124" t="s">
        <v>387</v>
      </c>
      <c r="B1202" s="124"/>
      <c r="C1202" s="125" t="s">
        <v>461</v>
      </c>
      <c r="D1202" s="124" t="s">
        <v>407</v>
      </c>
      <c r="E1202" s="126">
        <v>48</v>
      </c>
      <c r="F1202" s="124" t="s">
        <v>391</v>
      </c>
      <c r="G1202" s="126"/>
      <c r="H1202" s="126">
        <v>24236.027636889579</v>
      </c>
      <c r="I1202" s="127">
        <v>14880000</v>
      </c>
      <c r="J1202" s="128" t="s">
        <v>289</v>
      </c>
      <c r="K1202" s="128" t="s">
        <v>392</v>
      </c>
      <c r="L1202" s="128" t="s">
        <v>401</v>
      </c>
      <c r="M1202" s="128" t="s">
        <v>261</v>
      </c>
      <c r="N1202" s="128"/>
      <c r="O1202" s="128"/>
    </row>
    <row r="1203" spans="1:15">
      <c r="A1203" s="129" t="s">
        <v>387</v>
      </c>
      <c r="B1203" s="129"/>
      <c r="C1203" s="130" t="s">
        <v>461</v>
      </c>
      <c r="D1203" s="129" t="s">
        <v>407</v>
      </c>
      <c r="E1203" s="131">
        <v>50</v>
      </c>
      <c r="F1203" s="129" t="s">
        <v>391</v>
      </c>
      <c r="G1203" s="131"/>
      <c r="H1203" s="131">
        <v>25245.862121759979</v>
      </c>
      <c r="I1203" s="132">
        <v>15500000</v>
      </c>
      <c r="J1203" s="133" t="s">
        <v>289</v>
      </c>
      <c r="K1203" s="133" t="s">
        <v>392</v>
      </c>
      <c r="L1203" s="133" t="s">
        <v>401</v>
      </c>
      <c r="M1203" s="133" t="s">
        <v>261</v>
      </c>
      <c r="N1203" s="133"/>
      <c r="O1203" s="133"/>
    </row>
    <row r="1204" spans="1:15">
      <c r="A1204" s="124" t="s">
        <v>387</v>
      </c>
      <c r="B1204" s="124"/>
      <c r="C1204" s="125" t="s">
        <v>461</v>
      </c>
      <c r="D1204" s="124" t="s">
        <v>407</v>
      </c>
      <c r="E1204" s="126">
        <v>1</v>
      </c>
      <c r="F1204" s="124" t="s">
        <v>391</v>
      </c>
      <c r="G1204" s="126"/>
      <c r="H1204" s="126">
        <v>504.91724243519957</v>
      </c>
      <c r="I1204" s="127">
        <v>310000</v>
      </c>
      <c r="J1204" s="128" t="s">
        <v>289</v>
      </c>
      <c r="K1204" s="128" t="s">
        <v>392</v>
      </c>
      <c r="L1204" s="128" t="s">
        <v>401</v>
      </c>
      <c r="M1204" s="128" t="s">
        <v>261</v>
      </c>
      <c r="N1204" s="128"/>
      <c r="O1204" s="128"/>
    </row>
    <row r="1205" spans="1:15">
      <c r="A1205" s="129" t="s">
        <v>387</v>
      </c>
      <c r="B1205" s="129"/>
      <c r="C1205" s="130" t="s">
        <v>461</v>
      </c>
      <c r="D1205" s="129" t="s">
        <v>407</v>
      </c>
      <c r="E1205" s="131">
        <v>1</v>
      </c>
      <c r="F1205" s="129" t="s">
        <v>391</v>
      </c>
      <c r="G1205" s="131"/>
      <c r="H1205" s="131">
        <v>504.91724243519957</v>
      </c>
      <c r="I1205" s="132">
        <v>310000</v>
      </c>
      <c r="J1205" s="133" t="s">
        <v>289</v>
      </c>
      <c r="K1205" s="133" t="s">
        <v>392</v>
      </c>
      <c r="L1205" s="133" t="s">
        <v>401</v>
      </c>
      <c r="M1205" s="133" t="s">
        <v>261</v>
      </c>
      <c r="N1205" s="133"/>
      <c r="O1205" s="133"/>
    </row>
    <row r="1206" spans="1:15">
      <c r="A1206" s="124" t="s">
        <v>387</v>
      </c>
      <c r="B1206" s="124"/>
      <c r="C1206" s="125" t="s">
        <v>461</v>
      </c>
      <c r="D1206" s="124" t="s">
        <v>407</v>
      </c>
      <c r="E1206" s="126">
        <v>1</v>
      </c>
      <c r="F1206" s="124" t="s">
        <v>391</v>
      </c>
      <c r="G1206" s="126"/>
      <c r="H1206" s="126">
        <v>504.91724243519957</v>
      </c>
      <c r="I1206" s="127">
        <v>310000</v>
      </c>
      <c r="J1206" s="128" t="s">
        <v>289</v>
      </c>
      <c r="K1206" s="128" t="s">
        <v>392</v>
      </c>
      <c r="L1206" s="128" t="s">
        <v>401</v>
      </c>
      <c r="M1206" s="128" t="s">
        <v>261</v>
      </c>
      <c r="N1206" s="128"/>
      <c r="O1206" s="128"/>
    </row>
    <row r="1207" spans="1:15">
      <c r="A1207" s="129" t="s">
        <v>387</v>
      </c>
      <c r="B1207" s="129"/>
      <c r="C1207" s="130" t="s">
        <v>461</v>
      </c>
      <c r="D1207" s="129" t="s">
        <v>407</v>
      </c>
      <c r="E1207" s="131">
        <v>52</v>
      </c>
      <c r="F1207" s="129" t="s">
        <v>391</v>
      </c>
      <c r="G1207" s="131"/>
      <c r="H1207" s="131">
        <v>26255.696606630379</v>
      </c>
      <c r="I1207" s="132">
        <v>16120000</v>
      </c>
      <c r="J1207" s="133" t="s">
        <v>289</v>
      </c>
      <c r="K1207" s="133" t="s">
        <v>392</v>
      </c>
      <c r="L1207" s="133" t="s">
        <v>401</v>
      </c>
      <c r="M1207" s="133" t="s">
        <v>261</v>
      </c>
      <c r="N1207" s="133"/>
      <c r="O1207" s="133"/>
    </row>
    <row r="1208" spans="1:15">
      <c r="A1208" s="124" t="s">
        <v>387</v>
      </c>
      <c r="B1208" s="124"/>
      <c r="C1208" s="125" t="s">
        <v>461</v>
      </c>
      <c r="D1208" s="124" t="s">
        <v>407</v>
      </c>
      <c r="E1208" s="126">
        <v>48</v>
      </c>
      <c r="F1208" s="124" t="s">
        <v>391</v>
      </c>
      <c r="G1208" s="126"/>
      <c r="H1208" s="126">
        <v>24236.027636889579</v>
      </c>
      <c r="I1208" s="127">
        <v>14880000</v>
      </c>
      <c r="J1208" s="128" t="s">
        <v>289</v>
      </c>
      <c r="K1208" s="128" t="s">
        <v>392</v>
      </c>
      <c r="L1208" s="128" t="s">
        <v>401</v>
      </c>
      <c r="M1208" s="128" t="s">
        <v>261</v>
      </c>
      <c r="N1208" s="128"/>
      <c r="O1208" s="128"/>
    </row>
    <row r="1209" spans="1:15">
      <c r="A1209" s="129" t="s">
        <v>387</v>
      </c>
      <c r="B1209" s="129"/>
      <c r="C1209" s="130" t="s">
        <v>461</v>
      </c>
      <c r="D1209" s="129" t="s">
        <v>407</v>
      </c>
      <c r="E1209" s="131">
        <v>1</v>
      </c>
      <c r="F1209" s="129" t="s">
        <v>391</v>
      </c>
      <c r="G1209" s="131"/>
      <c r="H1209" s="131">
        <v>504.91724243519957</v>
      </c>
      <c r="I1209" s="132">
        <v>310000</v>
      </c>
      <c r="J1209" s="133" t="s">
        <v>289</v>
      </c>
      <c r="K1209" s="133" t="s">
        <v>392</v>
      </c>
      <c r="L1209" s="133" t="s">
        <v>401</v>
      </c>
      <c r="M1209" s="133" t="s">
        <v>261</v>
      </c>
      <c r="N1209" s="133"/>
      <c r="O1209" s="133"/>
    </row>
    <row r="1210" spans="1:15">
      <c r="A1210" s="124" t="s">
        <v>387</v>
      </c>
      <c r="B1210" s="124"/>
      <c r="C1210" s="125" t="s">
        <v>461</v>
      </c>
      <c r="D1210" s="124" t="s">
        <v>407</v>
      </c>
      <c r="E1210" s="126">
        <v>48</v>
      </c>
      <c r="F1210" s="124" t="s">
        <v>391</v>
      </c>
      <c r="G1210" s="126"/>
      <c r="H1210" s="126">
        <v>24236.027636889579</v>
      </c>
      <c r="I1210" s="127">
        <v>14880000</v>
      </c>
      <c r="J1210" s="128" t="s">
        <v>289</v>
      </c>
      <c r="K1210" s="128" t="s">
        <v>392</v>
      </c>
      <c r="L1210" s="128" t="s">
        <v>401</v>
      </c>
      <c r="M1210" s="128" t="s">
        <v>261</v>
      </c>
      <c r="N1210" s="128"/>
      <c r="O1210" s="128"/>
    </row>
    <row r="1211" spans="1:15">
      <c r="A1211" s="129" t="s">
        <v>387</v>
      </c>
      <c r="B1211" s="129"/>
      <c r="C1211" s="130" t="s">
        <v>461</v>
      </c>
      <c r="D1211" s="129" t="s">
        <v>407</v>
      </c>
      <c r="E1211" s="131">
        <v>50</v>
      </c>
      <c r="F1211" s="129" t="s">
        <v>391</v>
      </c>
      <c r="G1211" s="131"/>
      <c r="H1211" s="131">
        <v>25245.862121759979</v>
      </c>
      <c r="I1211" s="132">
        <v>15500000</v>
      </c>
      <c r="J1211" s="133" t="s">
        <v>289</v>
      </c>
      <c r="K1211" s="133" t="s">
        <v>392</v>
      </c>
      <c r="L1211" s="133" t="s">
        <v>401</v>
      </c>
      <c r="M1211" s="133" t="s">
        <v>261</v>
      </c>
      <c r="N1211" s="133"/>
      <c r="O1211" s="133"/>
    </row>
    <row r="1212" spans="1:15">
      <c r="A1212" s="124" t="s">
        <v>387</v>
      </c>
      <c r="B1212" s="124"/>
      <c r="C1212" s="125" t="s">
        <v>461</v>
      </c>
      <c r="D1212" s="124" t="s">
        <v>407</v>
      </c>
      <c r="E1212" s="126">
        <v>5</v>
      </c>
      <c r="F1212" s="124" t="s">
        <v>391</v>
      </c>
      <c r="G1212" s="126"/>
      <c r="H1212" s="126">
        <v>2524.5862121759978</v>
      </c>
      <c r="I1212" s="127">
        <v>1550000</v>
      </c>
      <c r="J1212" s="128" t="s">
        <v>289</v>
      </c>
      <c r="K1212" s="128" t="s">
        <v>392</v>
      </c>
      <c r="L1212" s="128" t="s">
        <v>401</v>
      </c>
      <c r="M1212" s="128" t="s">
        <v>261</v>
      </c>
      <c r="N1212" s="128"/>
      <c r="O1212" s="128"/>
    </row>
    <row r="1213" spans="1:15">
      <c r="A1213" s="129" t="s">
        <v>387</v>
      </c>
      <c r="B1213" s="129"/>
      <c r="C1213" s="130" t="s">
        <v>462</v>
      </c>
      <c r="D1213" s="129" t="s">
        <v>407</v>
      </c>
      <c r="E1213" s="131">
        <v>48</v>
      </c>
      <c r="F1213" s="129" t="s">
        <v>391</v>
      </c>
      <c r="G1213" s="131"/>
      <c r="H1213" s="131">
        <v>24236.027636889579</v>
      </c>
      <c r="I1213" s="132">
        <v>14880000</v>
      </c>
      <c r="J1213" s="133" t="s">
        <v>289</v>
      </c>
      <c r="K1213" s="133" t="s">
        <v>392</v>
      </c>
      <c r="L1213" s="133" t="s">
        <v>401</v>
      </c>
      <c r="M1213" s="133" t="s">
        <v>261</v>
      </c>
      <c r="N1213" s="133"/>
      <c r="O1213" s="133"/>
    </row>
    <row r="1214" spans="1:15">
      <c r="A1214" s="124" t="s">
        <v>387</v>
      </c>
      <c r="B1214" s="124"/>
      <c r="C1214" s="125" t="s">
        <v>462</v>
      </c>
      <c r="D1214" s="124" t="s">
        <v>407</v>
      </c>
      <c r="E1214" s="126">
        <v>5</v>
      </c>
      <c r="F1214" s="124" t="s">
        <v>391</v>
      </c>
      <c r="G1214" s="126"/>
      <c r="H1214" s="126">
        <v>2524.5862121759978</v>
      </c>
      <c r="I1214" s="127">
        <v>1550000</v>
      </c>
      <c r="J1214" s="128" t="s">
        <v>289</v>
      </c>
      <c r="K1214" s="128" t="s">
        <v>392</v>
      </c>
      <c r="L1214" s="128" t="s">
        <v>401</v>
      </c>
      <c r="M1214" s="128" t="s">
        <v>261</v>
      </c>
      <c r="N1214" s="128"/>
      <c r="O1214" s="128"/>
    </row>
    <row r="1215" spans="1:15">
      <c r="A1215" s="129" t="s">
        <v>387</v>
      </c>
      <c r="B1215" s="129"/>
      <c r="C1215" s="130" t="s">
        <v>462</v>
      </c>
      <c r="D1215" s="129" t="s">
        <v>407</v>
      </c>
      <c r="E1215" s="131">
        <v>50</v>
      </c>
      <c r="F1215" s="129" t="s">
        <v>391</v>
      </c>
      <c r="G1215" s="131"/>
      <c r="H1215" s="131">
        <v>25245.862121759979</v>
      </c>
      <c r="I1215" s="132">
        <v>15500000</v>
      </c>
      <c r="J1215" s="133" t="s">
        <v>289</v>
      </c>
      <c r="K1215" s="133" t="s">
        <v>392</v>
      </c>
      <c r="L1215" s="133" t="s">
        <v>401</v>
      </c>
      <c r="M1215" s="133" t="s">
        <v>261</v>
      </c>
      <c r="N1215" s="133"/>
      <c r="O1215" s="133"/>
    </row>
    <row r="1216" spans="1:15">
      <c r="A1216" s="124" t="s">
        <v>387</v>
      </c>
      <c r="B1216" s="124"/>
      <c r="C1216" s="125" t="s">
        <v>463</v>
      </c>
      <c r="D1216" s="124" t="s">
        <v>407</v>
      </c>
      <c r="E1216" s="126">
        <v>55</v>
      </c>
      <c r="F1216" s="124" t="s">
        <v>391</v>
      </c>
      <c r="G1216" s="126"/>
      <c r="H1216" s="126">
        <v>27770.448333935976</v>
      </c>
      <c r="I1216" s="127">
        <v>17050000</v>
      </c>
      <c r="J1216" s="128" t="s">
        <v>289</v>
      </c>
      <c r="K1216" s="128" t="s">
        <v>392</v>
      </c>
      <c r="L1216" s="128" t="s">
        <v>401</v>
      </c>
      <c r="M1216" s="128" t="s">
        <v>261</v>
      </c>
      <c r="N1216" s="128"/>
      <c r="O1216" s="128"/>
    </row>
    <row r="1217" spans="1:15">
      <c r="A1217" s="129" t="s">
        <v>387</v>
      </c>
      <c r="B1217" s="129"/>
      <c r="C1217" s="130" t="s">
        <v>463</v>
      </c>
      <c r="D1217" s="129" t="s">
        <v>407</v>
      </c>
      <c r="E1217" s="131">
        <v>50</v>
      </c>
      <c r="F1217" s="129" t="s">
        <v>391</v>
      </c>
      <c r="G1217" s="131"/>
      <c r="H1217" s="131">
        <v>25245.862121759979</v>
      </c>
      <c r="I1217" s="132">
        <v>15500000</v>
      </c>
      <c r="J1217" s="133" t="s">
        <v>289</v>
      </c>
      <c r="K1217" s="133" t="s">
        <v>392</v>
      </c>
      <c r="L1217" s="133" t="s">
        <v>401</v>
      </c>
      <c r="M1217" s="133" t="s">
        <v>261</v>
      </c>
      <c r="N1217" s="133"/>
      <c r="O1217" s="133"/>
    </row>
    <row r="1218" spans="1:15">
      <c r="A1218" s="124" t="s">
        <v>387</v>
      </c>
      <c r="B1218" s="124"/>
      <c r="C1218" s="125" t="s">
        <v>463</v>
      </c>
      <c r="D1218" s="124" t="s">
        <v>407</v>
      </c>
      <c r="E1218" s="126">
        <v>55</v>
      </c>
      <c r="F1218" s="124" t="s">
        <v>391</v>
      </c>
      <c r="G1218" s="126"/>
      <c r="H1218" s="126">
        <v>27770.448333935976</v>
      </c>
      <c r="I1218" s="127">
        <v>17050000</v>
      </c>
      <c r="J1218" s="128" t="s">
        <v>289</v>
      </c>
      <c r="K1218" s="128" t="s">
        <v>392</v>
      </c>
      <c r="L1218" s="128" t="s">
        <v>401</v>
      </c>
      <c r="M1218" s="128" t="s">
        <v>261</v>
      </c>
      <c r="N1218" s="128"/>
      <c r="O1218" s="128"/>
    </row>
    <row r="1219" spans="1:15">
      <c r="A1219" s="129" t="s">
        <v>387</v>
      </c>
      <c r="B1219" s="129"/>
      <c r="C1219" s="130" t="s">
        <v>463</v>
      </c>
      <c r="D1219" s="129" t="s">
        <v>407</v>
      </c>
      <c r="E1219" s="131">
        <v>50</v>
      </c>
      <c r="F1219" s="129" t="s">
        <v>391</v>
      </c>
      <c r="G1219" s="131"/>
      <c r="H1219" s="131">
        <v>25245.862121759979</v>
      </c>
      <c r="I1219" s="132">
        <v>15500000</v>
      </c>
      <c r="J1219" s="133" t="s">
        <v>289</v>
      </c>
      <c r="K1219" s="133" t="s">
        <v>392</v>
      </c>
      <c r="L1219" s="133" t="s">
        <v>401</v>
      </c>
      <c r="M1219" s="133" t="s">
        <v>261</v>
      </c>
      <c r="N1219" s="133"/>
      <c r="O1219" s="133"/>
    </row>
    <row r="1220" spans="1:15">
      <c r="A1220" s="124" t="s">
        <v>387</v>
      </c>
      <c r="B1220" s="124"/>
      <c r="C1220" s="125" t="s">
        <v>463</v>
      </c>
      <c r="D1220" s="124" t="s">
        <v>407</v>
      </c>
      <c r="E1220" s="126">
        <v>52</v>
      </c>
      <c r="F1220" s="124" t="s">
        <v>391</v>
      </c>
      <c r="G1220" s="126"/>
      <c r="H1220" s="126">
        <v>26255.696606630379</v>
      </c>
      <c r="I1220" s="127">
        <v>16120000</v>
      </c>
      <c r="J1220" s="128" t="s">
        <v>289</v>
      </c>
      <c r="K1220" s="128" t="s">
        <v>392</v>
      </c>
      <c r="L1220" s="128" t="s">
        <v>401</v>
      </c>
      <c r="M1220" s="128" t="s">
        <v>261</v>
      </c>
      <c r="N1220" s="128"/>
      <c r="O1220" s="128"/>
    </row>
    <row r="1221" spans="1:15">
      <c r="A1221" s="129" t="s">
        <v>387</v>
      </c>
      <c r="B1221" s="129"/>
      <c r="C1221" s="130" t="s">
        <v>463</v>
      </c>
      <c r="D1221" s="129" t="s">
        <v>407</v>
      </c>
      <c r="E1221" s="131">
        <v>48</v>
      </c>
      <c r="F1221" s="129" t="s">
        <v>391</v>
      </c>
      <c r="G1221" s="131"/>
      <c r="H1221" s="131">
        <v>24236.027636889579</v>
      </c>
      <c r="I1221" s="132">
        <v>14880000</v>
      </c>
      <c r="J1221" s="133" t="s">
        <v>289</v>
      </c>
      <c r="K1221" s="133" t="s">
        <v>392</v>
      </c>
      <c r="L1221" s="133" t="s">
        <v>401</v>
      </c>
      <c r="M1221" s="133" t="s">
        <v>261</v>
      </c>
      <c r="N1221" s="133"/>
      <c r="O1221" s="133"/>
    </row>
    <row r="1222" spans="1:15">
      <c r="A1222" s="124" t="s">
        <v>387</v>
      </c>
      <c r="B1222" s="124"/>
      <c r="C1222" s="125" t="s">
        <v>464</v>
      </c>
      <c r="D1222" s="124" t="s">
        <v>407</v>
      </c>
      <c r="E1222" s="126">
        <v>55</v>
      </c>
      <c r="F1222" s="124" t="s">
        <v>391</v>
      </c>
      <c r="G1222" s="126"/>
      <c r="H1222" s="126">
        <v>27770.448333935976</v>
      </c>
      <c r="I1222" s="127">
        <v>17050000</v>
      </c>
      <c r="J1222" s="128" t="s">
        <v>289</v>
      </c>
      <c r="K1222" s="128" t="s">
        <v>392</v>
      </c>
      <c r="L1222" s="128" t="s">
        <v>401</v>
      </c>
      <c r="M1222" s="128" t="s">
        <v>261</v>
      </c>
      <c r="N1222" s="128"/>
      <c r="O1222" s="128"/>
    </row>
    <row r="1223" spans="1:15">
      <c r="A1223" s="129" t="s">
        <v>387</v>
      </c>
      <c r="B1223" s="129"/>
      <c r="C1223" s="130" t="s">
        <v>465</v>
      </c>
      <c r="D1223" s="129" t="s">
        <v>407</v>
      </c>
      <c r="E1223" s="131">
        <v>50</v>
      </c>
      <c r="F1223" s="129" t="s">
        <v>391</v>
      </c>
      <c r="G1223" s="131"/>
      <c r="H1223" s="131">
        <v>25245.862121759979</v>
      </c>
      <c r="I1223" s="132">
        <v>15500000</v>
      </c>
      <c r="J1223" s="133" t="s">
        <v>289</v>
      </c>
      <c r="K1223" s="133" t="s">
        <v>392</v>
      </c>
      <c r="L1223" s="133" t="s">
        <v>401</v>
      </c>
      <c r="M1223" s="133" t="s">
        <v>261</v>
      </c>
      <c r="N1223" s="133"/>
      <c r="O1223" s="133"/>
    </row>
    <row r="1224" spans="1:15">
      <c r="A1224" s="124" t="s">
        <v>387</v>
      </c>
      <c r="B1224" s="124"/>
      <c r="C1224" s="125" t="s">
        <v>465</v>
      </c>
      <c r="D1224" s="124" t="s">
        <v>407</v>
      </c>
      <c r="E1224" s="126">
        <v>5</v>
      </c>
      <c r="F1224" s="124" t="s">
        <v>391</v>
      </c>
      <c r="G1224" s="126"/>
      <c r="H1224" s="126">
        <v>2524.5862121759978</v>
      </c>
      <c r="I1224" s="127">
        <v>1550000</v>
      </c>
      <c r="J1224" s="128" t="s">
        <v>289</v>
      </c>
      <c r="K1224" s="128" t="s">
        <v>392</v>
      </c>
      <c r="L1224" s="128" t="s">
        <v>401</v>
      </c>
      <c r="M1224" s="128" t="s">
        <v>261</v>
      </c>
      <c r="N1224" s="128"/>
      <c r="O1224" s="128"/>
    </row>
    <row r="1225" spans="1:15">
      <c r="A1225" s="129" t="s">
        <v>387</v>
      </c>
      <c r="B1225" s="129"/>
      <c r="C1225" s="130" t="s">
        <v>465</v>
      </c>
      <c r="D1225" s="129" t="s">
        <v>407</v>
      </c>
      <c r="E1225" s="131">
        <v>50</v>
      </c>
      <c r="F1225" s="129" t="s">
        <v>391</v>
      </c>
      <c r="G1225" s="131"/>
      <c r="H1225" s="131">
        <v>25245.862121759979</v>
      </c>
      <c r="I1225" s="132">
        <v>15500000</v>
      </c>
      <c r="J1225" s="133" t="s">
        <v>289</v>
      </c>
      <c r="K1225" s="133" t="s">
        <v>392</v>
      </c>
      <c r="L1225" s="133" t="s">
        <v>401</v>
      </c>
      <c r="M1225" s="133" t="s">
        <v>261</v>
      </c>
      <c r="N1225" s="133"/>
      <c r="O1225" s="133"/>
    </row>
    <row r="1226" spans="1:15">
      <c r="A1226" s="124" t="s">
        <v>387</v>
      </c>
      <c r="B1226" s="124"/>
      <c r="C1226" s="125" t="s">
        <v>465</v>
      </c>
      <c r="D1226" s="124" t="s">
        <v>407</v>
      </c>
      <c r="E1226" s="126">
        <v>50</v>
      </c>
      <c r="F1226" s="124" t="s">
        <v>391</v>
      </c>
      <c r="G1226" s="126"/>
      <c r="H1226" s="126">
        <v>25245.862121759979</v>
      </c>
      <c r="I1226" s="127">
        <v>15500000</v>
      </c>
      <c r="J1226" s="128" t="s">
        <v>289</v>
      </c>
      <c r="K1226" s="128" t="s">
        <v>392</v>
      </c>
      <c r="L1226" s="128" t="s">
        <v>401</v>
      </c>
      <c r="M1226" s="128" t="s">
        <v>261</v>
      </c>
      <c r="N1226" s="128"/>
      <c r="O1226" s="128"/>
    </row>
    <row r="1227" spans="1:15">
      <c r="A1227" s="129" t="s">
        <v>387</v>
      </c>
      <c r="B1227" s="129"/>
      <c r="C1227" s="130" t="s">
        <v>465</v>
      </c>
      <c r="D1227" s="129" t="s">
        <v>390</v>
      </c>
      <c r="E1227" s="131">
        <v>15307.128000000001</v>
      </c>
      <c r="F1227" s="129" t="s">
        <v>391</v>
      </c>
      <c r="G1227" s="131"/>
      <c r="H1227" s="131">
        <v>14511157.339998242</v>
      </c>
      <c r="I1227" s="132">
        <v>8909299182.7800007</v>
      </c>
      <c r="J1227" s="133" t="s">
        <v>366</v>
      </c>
      <c r="K1227" s="133" t="s">
        <v>392</v>
      </c>
      <c r="L1227" s="133" t="s">
        <v>393</v>
      </c>
      <c r="M1227" s="133" t="s">
        <v>394</v>
      </c>
      <c r="N1227" s="133"/>
      <c r="O1227" s="133"/>
    </row>
    <row r="1228" spans="1:15">
      <c r="A1228" s="124" t="s">
        <v>387</v>
      </c>
      <c r="B1228" s="124"/>
      <c r="C1228" s="125" t="s">
        <v>466</v>
      </c>
      <c r="D1228" s="124" t="s">
        <v>415</v>
      </c>
      <c r="E1228" s="126">
        <v>52</v>
      </c>
      <c r="F1228" s="124" t="s">
        <v>391</v>
      </c>
      <c r="G1228" s="126"/>
      <c r="H1228" s="126">
        <v>25408.738651577787</v>
      </c>
      <c r="I1228" s="127">
        <v>15600000</v>
      </c>
      <c r="J1228" s="128" t="s">
        <v>289</v>
      </c>
      <c r="K1228" s="128" t="s">
        <v>392</v>
      </c>
      <c r="L1228" s="128" t="s">
        <v>401</v>
      </c>
      <c r="M1228" s="128" t="s">
        <v>261</v>
      </c>
      <c r="N1228" s="128"/>
      <c r="O1228" s="128"/>
    </row>
    <row r="1229" spans="1:15">
      <c r="A1229" s="129" t="s">
        <v>387</v>
      </c>
      <c r="B1229" s="129"/>
      <c r="C1229" s="130" t="s">
        <v>466</v>
      </c>
      <c r="D1229" s="129" t="s">
        <v>415</v>
      </c>
      <c r="E1229" s="131">
        <v>52</v>
      </c>
      <c r="F1229" s="129" t="s">
        <v>391</v>
      </c>
      <c r="G1229" s="131"/>
      <c r="H1229" s="131">
        <v>25408.738651577787</v>
      </c>
      <c r="I1229" s="132">
        <v>15600000</v>
      </c>
      <c r="J1229" s="133" t="s">
        <v>289</v>
      </c>
      <c r="K1229" s="133" t="s">
        <v>392</v>
      </c>
      <c r="L1229" s="133" t="s">
        <v>401</v>
      </c>
      <c r="M1229" s="133" t="s">
        <v>261</v>
      </c>
      <c r="N1229" s="133"/>
      <c r="O1229" s="133"/>
    </row>
    <row r="1230" spans="1:15">
      <c r="A1230" s="124" t="s">
        <v>387</v>
      </c>
      <c r="B1230" s="124"/>
      <c r="C1230" s="125" t="s">
        <v>466</v>
      </c>
      <c r="D1230" s="124" t="s">
        <v>415</v>
      </c>
      <c r="E1230" s="126">
        <v>52</v>
      </c>
      <c r="F1230" s="124" t="s">
        <v>391</v>
      </c>
      <c r="G1230" s="126"/>
      <c r="H1230" s="126">
        <v>25408.738651577787</v>
      </c>
      <c r="I1230" s="127">
        <v>15600000</v>
      </c>
      <c r="J1230" s="128" t="s">
        <v>289</v>
      </c>
      <c r="K1230" s="128" t="s">
        <v>392</v>
      </c>
      <c r="L1230" s="128" t="s">
        <v>401</v>
      </c>
      <c r="M1230" s="128" t="s">
        <v>261</v>
      </c>
      <c r="N1230" s="128"/>
      <c r="O1230" s="128"/>
    </row>
    <row r="1231" spans="1:15">
      <c r="A1231" s="129" t="s">
        <v>387</v>
      </c>
      <c r="B1231" s="129"/>
      <c r="C1231" s="130" t="s">
        <v>467</v>
      </c>
      <c r="D1231" s="129" t="s">
        <v>398</v>
      </c>
      <c r="E1231" s="131"/>
      <c r="F1231" s="129" t="s">
        <v>391</v>
      </c>
      <c r="G1231" s="131"/>
      <c r="H1231" s="131">
        <v>-127355.30000228027</v>
      </c>
      <c r="I1231" s="132">
        <v>-78191314.700000003</v>
      </c>
      <c r="J1231" s="133" t="s">
        <v>366</v>
      </c>
      <c r="K1231" s="133" t="s">
        <v>392</v>
      </c>
      <c r="L1231" s="133" t="s">
        <v>393</v>
      </c>
      <c r="M1231" s="133" t="s">
        <v>394</v>
      </c>
      <c r="N1231" s="133"/>
      <c r="O1231" s="133"/>
    </row>
    <row r="1232" spans="1:15">
      <c r="A1232" s="124" t="s">
        <v>387</v>
      </c>
      <c r="B1232" s="124"/>
      <c r="C1232" s="125" t="s">
        <v>468</v>
      </c>
      <c r="D1232" s="124" t="s">
        <v>407</v>
      </c>
      <c r="E1232" s="126">
        <v>50</v>
      </c>
      <c r="F1232" s="124" t="s">
        <v>391</v>
      </c>
      <c r="G1232" s="126"/>
      <c r="H1232" s="126">
        <v>25245.862121759979</v>
      </c>
      <c r="I1232" s="127">
        <v>15500000</v>
      </c>
      <c r="J1232" s="128" t="s">
        <v>289</v>
      </c>
      <c r="K1232" s="128" t="s">
        <v>392</v>
      </c>
      <c r="L1232" s="128" t="s">
        <v>401</v>
      </c>
      <c r="M1232" s="128" t="s">
        <v>261</v>
      </c>
      <c r="N1232" s="128"/>
      <c r="O1232" s="128"/>
    </row>
    <row r="1233" spans="1:15">
      <c r="A1233" s="129" t="s">
        <v>387</v>
      </c>
      <c r="B1233" s="129"/>
      <c r="C1233" s="130" t="s">
        <v>467</v>
      </c>
      <c r="D1233" s="129" t="s">
        <v>407</v>
      </c>
      <c r="E1233" s="131">
        <v>50</v>
      </c>
      <c r="F1233" s="129" t="s">
        <v>391</v>
      </c>
      <c r="G1233" s="131"/>
      <c r="H1233" s="131">
        <v>25245.862121759979</v>
      </c>
      <c r="I1233" s="132">
        <v>15500000</v>
      </c>
      <c r="J1233" s="133" t="s">
        <v>289</v>
      </c>
      <c r="K1233" s="133" t="s">
        <v>392</v>
      </c>
      <c r="L1233" s="133" t="s">
        <v>401</v>
      </c>
      <c r="M1233" s="133" t="s">
        <v>261</v>
      </c>
      <c r="N1233" s="133"/>
      <c r="O1233" s="133"/>
    </row>
    <row r="1234" spans="1:15">
      <c r="A1234" s="124" t="s">
        <v>387</v>
      </c>
      <c r="B1234" s="124"/>
      <c r="C1234" s="125" t="s">
        <v>469</v>
      </c>
      <c r="D1234" s="124" t="s">
        <v>407</v>
      </c>
      <c r="E1234" s="126">
        <v>52</v>
      </c>
      <c r="F1234" s="124" t="s">
        <v>391</v>
      </c>
      <c r="G1234" s="126"/>
      <c r="H1234" s="126">
        <v>26255.696606630379</v>
      </c>
      <c r="I1234" s="127">
        <v>16120000</v>
      </c>
      <c r="J1234" s="128" t="s">
        <v>289</v>
      </c>
      <c r="K1234" s="128" t="s">
        <v>392</v>
      </c>
      <c r="L1234" s="128" t="s">
        <v>401</v>
      </c>
      <c r="M1234" s="128" t="s">
        <v>261</v>
      </c>
      <c r="N1234" s="128"/>
      <c r="O1234" s="128"/>
    </row>
    <row r="1235" spans="1:15">
      <c r="A1235" s="129" t="s">
        <v>387</v>
      </c>
      <c r="B1235" s="129"/>
      <c r="C1235" s="130" t="s">
        <v>469</v>
      </c>
      <c r="D1235" s="129" t="s">
        <v>407</v>
      </c>
      <c r="E1235" s="131">
        <v>50</v>
      </c>
      <c r="F1235" s="129" t="s">
        <v>391</v>
      </c>
      <c r="G1235" s="131"/>
      <c r="H1235" s="131">
        <v>25245.862121759979</v>
      </c>
      <c r="I1235" s="132">
        <v>15500000</v>
      </c>
      <c r="J1235" s="133" t="s">
        <v>289</v>
      </c>
      <c r="K1235" s="133" t="s">
        <v>392</v>
      </c>
      <c r="L1235" s="133" t="s">
        <v>401</v>
      </c>
      <c r="M1235" s="133" t="s">
        <v>261</v>
      </c>
      <c r="N1235" s="133"/>
      <c r="O1235" s="133"/>
    </row>
    <row r="1236" spans="1:15">
      <c r="A1236" s="124" t="s">
        <v>387</v>
      </c>
      <c r="B1236" s="124"/>
      <c r="C1236" s="125" t="s">
        <v>469</v>
      </c>
      <c r="D1236" s="124" t="s">
        <v>407</v>
      </c>
      <c r="E1236" s="126">
        <v>48</v>
      </c>
      <c r="F1236" s="124" t="s">
        <v>391</v>
      </c>
      <c r="G1236" s="126"/>
      <c r="H1236" s="126">
        <v>24236.027636889579</v>
      </c>
      <c r="I1236" s="127">
        <v>14880000</v>
      </c>
      <c r="J1236" s="128" t="s">
        <v>289</v>
      </c>
      <c r="K1236" s="128" t="s">
        <v>392</v>
      </c>
      <c r="L1236" s="128" t="s">
        <v>401</v>
      </c>
      <c r="M1236" s="128" t="s">
        <v>261</v>
      </c>
      <c r="N1236" s="128"/>
      <c r="O1236" s="128"/>
    </row>
    <row r="1237" spans="1:15">
      <c r="A1237" s="129" t="s">
        <v>387</v>
      </c>
      <c r="B1237" s="129"/>
      <c r="C1237" s="130" t="s">
        <v>469</v>
      </c>
      <c r="D1237" s="129" t="s">
        <v>407</v>
      </c>
      <c r="E1237" s="131">
        <v>50</v>
      </c>
      <c r="F1237" s="129" t="s">
        <v>391</v>
      </c>
      <c r="G1237" s="131"/>
      <c r="H1237" s="131">
        <v>25245.862121759979</v>
      </c>
      <c r="I1237" s="132">
        <v>15500000</v>
      </c>
      <c r="J1237" s="133" t="s">
        <v>289</v>
      </c>
      <c r="K1237" s="133" t="s">
        <v>392</v>
      </c>
      <c r="L1237" s="133" t="s">
        <v>401</v>
      </c>
      <c r="M1237" s="133" t="s">
        <v>261</v>
      </c>
      <c r="N1237" s="133"/>
      <c r="O1237" s="133"/>
    </row>
    <row r="1238" spans="1:15">
      <c r="A1238" s="124" t="s">
        <v>387</v>
      </c>
      <c r="B1238" s="124"/>
      <c r="C1238" s="125" t="s">
        <v>468</v>
      </c>
      <c r="D1238" s="124" t="s">
        <v>407</v>
      </c>
      <c r="E1238" s="126">
        <v>50</v>
      </c>
      <c r="F1238" s="124" t="s">
        <v>391</v>
      </c>
      <c r="G1238" s="126"/>
      <c r="H1238" s="126">
        <v>25245.862121759979</v>
      </c>
      <c r="I1238" s="127">
        <v>15500000</v>
      </c>
      <c r="J1238" s="128" t="s">
        <v>289</v>
      </c>
      <c r="K1238" s="128" t="s">
        <v>392</v>
      </c>
      <c r="L1238" s="128" t="s">
        <v>401</v>
      </c>
      <c r="M1238" s="128" t="s">
        <v>261</v>
      </c>
      <c r="N1238" s="128"/>
      <c r="O1238" s="128"/>
    </row>
    <row r="1239" spans="1:15">
      <c r="A1239" s="129" t="s">
        <v>387</v>
      </c>
      <c r="B1239" s="129"/>
      <c r="C1239" s="130" t="s">
        <v>468</v>
      </c>
      <c r="D1239" s="129" t="s">
        <v>407</v>
      </c>
      <c r="E1239" s="131">
        <v>52</v>
      </c>
      <c r="F1239" s="129" t="s">
        <v>391</v>
      </c>
      <c r="G1239" s="131"/>
      <c r="H1239" s="131">
        <v>26255.696606630379</v>
      </c>
      <c r="I1239" s="132">
        <v>16120000</v>
      </c>
      <c r="J1239" s="133" t="s">
        <v>289</v>
      </c>
      <c r="K1239" s="133" t="s">
        <v>392</v>
      </c>
      <c r="L1239" s="133" t="s">
        <v>401</v>
      </c>
      <c r="M1239" s="133" t="s">
        <v>261</v>
      </c>
      <c r="N1239" s="133"/>
      <c r="O1239" s="133"/>
    </row>
    <row r="1240" spans="1:15">
      <c r="A1240" s="124" t="s">
        <v>387</v>
      </c>
      <c r="B1240" s="124"/>
      <c r="C1240" s="125" t="s">
        <v>470</v>
      </c>
      <c r="D1240" s="124" t="s">
        <v>471</v>
      </c>
      <c r="E1240" s="126">
        <v>50</v>
      </c>
      <c r="F1240" s="124" t="s">
        <v>391</v>
      </c>
      <c r="G1240" s="126"/>
      <c r="H1240" s="126">
        <v>26250</v>
      </c>
      <c r="I1240" s="127">
        <v>16116502.5</v>
      </c>
      <c r="J1240" s="128" t="s">
        <v>289</v>
      </c>
      <c r="K1240" s="128" t="s">
        <v>392</v>
      </c>
      <c r="L1240" s="128" t="s">
        <v>472</v>
      </c>
      <c r="M1240" s="128" t="s">
        <v>473</v>
      </c>
      <c r="N1240" s="128"/>
      <c r="O1240" s="128"/>
    </row>
    <row r="1241" spans="1:15">
      <c r="A1241" s="129" t="s">
        <v>387</v>
      </c>
      <c r="B1241" s="129"/>
      <c r="C1241" s="130" t="s">
        <v>470</v>
      </c>
      <c r="D1241" s="129" t="s">
        <v>471</v>
      </c>
      <c r="E1241" s="131">
        <v>50</v>
      </c>
      <c r="F1241" s="129" t="s">
        <v>391</v>
      </c>
      <c r="G1241" s="131"/>
      <c r="H1241" s="131">
        <v>26250</v>
      </c>
      <c r="I1241" s="132">
        <v>16116502.5</v>
      </c>
      <c r="J1241" s="133" t="s">
        <v>289</v>
      </c>
      <c r="K1241" s="133" t="s">
        <v>392</v>
      </c>
      <c r="L1241" s="133" t="s">
        <v>472</v>
      </c>
      <c r="M1241" s="133" t="s">
        <v>473</v>
      </c>
      <c r="N1241" s="133"/>
      <c r="O1241" s="133"/>
    </row>
    <row r="1242" spans="1:15">
      <c r="A1242" s="124" t="s">
        <v>387</v>
      </c>
      <c r="B1242" s="124"/>
      <c r="C1242" s="125" t="s">
        <v>470</v>
      </c>
      <c r="D1242" s="124" t="s">
        <v>471</v>
      </c>
      <c r="E1242" s="126">
        <v>50</v>
      </c>
      <c r="F1242" s="124" t="s">
        <v>391</v>
      </c>
      <c r="G1242" s="126"/>
      <c r="H1242" s="126">
        <v>26250</v>
      </c>
      <c r="I1242" s="127">
        <v>16116502.5</v>
      </c>
      <c r="J1242" s="128" t="s">
        <v>289</v>
      </c>
      <c r="K1242" s="128" t="s">
        <v>392</v>
      </c>
      <c r="L1242" s="128" t="s">
        <v>472</v>
      </c>
      <c r="M1242" s="128" t="s">
        <v>473</v>
      </c>
      <c r="N1242" s="128"/>
      <c r="O1242" s="128"/>
    </row>
    <row r="1243" spans="1:15">
      <c r="A1243" s="129" t="s">
        <v>387</v>
      </c>
      <c r="B1243" s="129"/>
      <c r="C1243" s="130" t="s">
        <v>470</v>
      </c>
      <c r="D1243" s="129" t="s">
        <v>471</v>
      </c>
      <c r="E1243" s="131">
        <v>50</v>
      </c>
      <c r="F1243" s="129" t="s">
        <v>391</v>
      </c>
      <c r="G1243" s="131"/>
      <c r="H1243" s="131">
        <v>26250</v>
      </c>
      <c r="I1243" s="132">
        <v>16116502.5</v>
      </c>
      <c r="J1243" s="133" t="s">
        <v>289</v>
      </c>
      <c r="K1243" s="133" t="s">
        <v>392</v>
      </c>
      <c r="L1243" s="133" t="s">
        <v>472</v>
      </c>
      <c r="M1243" s="133" t="s">
        <v>473</v>
      </c>
      <c r="N1243" s="133"/>
      <c r="O1243" s="133"/>
    </row>
    <row r="1244" spans="1:15">
      <c r="A1244" s="124" t="s">
        <v>387</v>
      </c>
      <c r="B1244" s="124"/>
      <c r="C1244" s="125" t="s">
        <v>470</v>
      </c>
      <c r="D1244" s="124" t="s">
        <v>471</v>
      </c>
      <c r="E1244" s="126">
        <v>55</v>
      </c>
      <c r="F1244" s="124" t="s">
        <v>391</v>
      </c>
      <c r="G1244" s="126"/>
      <c r="H1244" s="126">
        <v>28875</v>
      </c>
      <c r="I1244" s="127">
        <v>17728152.75</v>
      </c>
      <c r="J1244" s="128" t="s">
        <v>289</v>
      </c>
      <c r="K1244" s="128" t="s">
        <v>392</v>
      </c>
      <c r="L1244" s="128" t="s">
        <v>472</v>
      </c>
      <c r="M1244" s="128" t="s">
        <v>473</v>
      </c>
      <c r="N1244" s="128"/>
      <c r="O1244" s="128"/>
    </row>
    <row r="1245" spans="1:15">
      <c r="A1245" s="129" t="s">
        <v>387</v>
      </c>
      <c r="B1245" s="129"/>
      <c r="C1245" s="130" t="s">
        <v>470</v>
      </c>
      <c r="D1245" s="129" t="s">
        <v>471</v>
      </c>
      <c r="E1245" s="131">
        <v>50</v>
      </c>
      <c r="F1245" s="129" t="s">
        <v>391</v>
      </c>
      <c r="G1245" s="131"/>
      <c r="H1245" s="131">
        <v>26250</v>
      </c>
      <c r="I1245" s="132">
        <v>16116502.5</v>
      </c>
      <c r="J1245" s="133" t="s">
        <v>289</v>
      </c>
      <c r="K1245" s="133" t="s">
        <v>392</v>
      </c>
      <c r="L1245" s="133" t="s">
        <v>472</v>
      </c>
      <c r="M1245" s="133" t="s">
        <v>473</v>
      </c>
      <c r="N1245" s="133"/>
      <c r="O1245" s="133"/>
    </row>
    <row r="1246" spans="1:15">
      <c r="A1246" s="124" t="s">
        <v>387</v>
      </c>
      <c r="B1246" s="124"/>
      <c r="C1246" s="125" t="s">
        <v>470</v>
      </c>
      <c r="D1246" s="124" t="s">
        <v>471</v>
      </c>
      <c r="E1246" s="126">
        <v>50</v>
      </c>
      <c r="F1246" s="124" t="s">
        <v>391</v>
      </c>
      <c r="G1246" s="126"/>
      <c r="H1246" s="126">
        <v>26250</v>
      </c>
      <c r="I1246" s="127">
        <v>16116502.5</v>
      </c>
      <c r="J1246" s="128" t="s">
        <v>289</v>
      </c>
      <c r="K1246" s="128" t="s">
        <v>392</v>
      </c>
      <c r="L1246" s="128" t="s">
        <v>472</v>
      </c>
      <c r="M1246" s="128" t="s">
        <v>473</v>
      </c>
      <c r="N1246" s="128"/>
      <c r="O1246" s="128"/>
    </row>
    <row r="1247" spans="1:15">
      <c r="A1247" s="129" t="s">
        <v>387</v>
      </c>
      <c r="B1247" s="129"/>
      <c r="C1247" s="130" t="s">
        <v>470</v>
      </c>
      <c r="D1247" s="129" t="s">
        <v>471</v>
      </c>
      <c r="E1247" s="131">
        <v>50</v>
      </c>
      <c r="F1247" s="129" t="s">
        <v>391</v>
      </c>
      <c r="G1247" s="131"/>
      <c r="H1247" s="131">
        <v>26250</v>
      </c>
      <c r="I1247" s="132">
        <v>16116502.5</v>
      </c>
      <c r="J1247" s="133" t="s">
        <v>289</v>
      </c>
      <c r="K1247" s="133" t="s">
        <v>392</v>
      </c>
      <c r="L1247" s="133" t="s">
        <v>472</v>
      </c>
      <c r="M1247" s="133" t="s">
        <v>473</v>
      </c>
      <c r="N1247" s="133"/>
      <c r="O1247" s="133"/>
    </row>
    <row r="1248" spans="1:15">
      <c r="A1248" s="124" t="s">
        <v>387</v>
      </c>
      <c r="B1248" s="124"/>
      <c r="C1248" s="125" t="s">
        <v>470</v>
      </c>
      <c r="D1248" s="124" t="s">
        <v>471</v>
      </c>
      <c r="E1248" s="126">
        <v>55</v>
      </c>
      <c r="F1248" s="124" t="s">
        <v>391</v>
      </c>
      <c r="G1248" s="126"/>
      <c r="H1248" s="126">
        <v>28875</v>
      </c>
      <c r="I1248" s="127">
        <v>17728152.75</v>
      </c>
      <c r="J1248" s="128" t="s">
        <v>289</v>
      </c>
      <c r="K1248" s="128" t="s">
        <v>392</v>
      </c>
      <c r="L1248" s="128" t="s">
        <v>472</v>
      </c>
      <c r="M1248" s="128" t="s">
        <v>473</v>
      </c>
      <c r="N1248" s="128"/>
      <c r="O1248" s="128"/>
    </row>
    <row r="1249" spans="1:15">
      <c r="A1249" s="129" t="s">
        <v>387</v>
      </c>
      <c r="B1249" s="129"/>
      <c r="C1249" s="130" t="s">
        <v>470</v>
      </c>
      <c r="D1249" s="129" t="s">
        <v>471</v>
      </c>
      <c r="E1249" s="131">
        <v>50</v>
      </c>
      <c r="F1249" s="129" t="s">
        <v>391</v>
      </c>
      <c r="G1249" s="131"/>
      <c r="H1249" s="131">
        <v>26250</v>
      </c>
      <c r="I1249" s="132">
        <v>16116502.5</v>
      </c>
      <c r="J1249" s="133" t="s">
        <v>289</v>
      </c>
      <c r="K1249" s="133" t="s">
        <v>392</v>
      </c>
      <c r="L1249" s="133" t="s">
        <v>472</v>
      </c>
      <c r="M1249" s="133" t="s">
        <v>473</v>
      </c>
      <c r="N1249" s="133"/>
      <c r="O1249" s="133"/>
    </row>
    <row r="1250" spans="1:15">
      <c r="A1250" s="124" t="s">
        <v>387</v>
      </c>
      <c r="B1250" s="124"/>
      <c r="C1250" s="125" t="s">
        <v>470</v>
      </c>
      <c r="D1250" s="124" t="s">
        <v>471</v>
      </c>
      <c r="E1250" s="126">
        <v>50</v>
      </c>
      <c r="F1250" s="124" t="s">
        <v>391</v>
      </c>
      <c r="G1250" s="126"/>
      <c r="H1250" s="126">
        <v>26250</v>
      </c>
      <c r="I1250" s="127">
        <v>16116502.5</v>
      </c>
      <c r="J1250" s="128" t="s">
        <v>289</v>
      </c>
      <c r="K1250" s="128" t="s">
        <v>392</v>
      </c>
      <c r="L1250" s="128" t="s">
        <v>472</v>
      </c>
      <c r="M1250" s="128" t="s">
        <v>473</v>
      </c>
      <c r="N1250" s="128"/>
      <c r="O1250" s="128"/>
    </row>
    <row r="1251" spans="1:15">
      <c r="A1251" s="129" t="s">
        <v>387</v>
      </c>
      <c r="B1251" s="129"/>
      <c r="C1251" s="130" t="s">
        <v>470</v>
      </c>
      <c r="D1251" s="129" t="s">
        <v>471</v>
      </c>
      <c r="E1251" s="131">
        <v>50</v>
      </c>
      <c r="F1251" s="129" t="s">
        <v>391</v>
      </c>
      <c r="G1251" s="131"/>
      <c r="H1251" s="131">
        <v>26250</v>
      </c>
      <c r="I1251" s="132">
        <v>16116502.5</v>
      </c>
      <c r="J1251" s="133" t="s">
        <v>289</v>
      </c>
      <c r="K1251" s="133" t="s">
        <v>392</v>
      </c>
      <c r="L1251" s="133" t="s">
        <v>472</v>
      </c>
      <c r="M1251" s="133" t="s">
        <v>473</v>
      </c>
      <c r="N1251" s="133"/>
      <c r="O1251" s="133"/>
    </row>
    <row r="1252" spans="1:15">
      <c r="A1252" s="124" t="s">
        <v>387</v>
      </c>
      <c r="B1252" s="124"/>
      <c r="C1252" s="125" t="s">
        <v>470</v>
      </c>
      <c r="D1252" s="124" t="s">
        <v>471</v>
      </c>
      <c r="E1252" s="126">
        <v>50</v>
      </c>
      <c r="F1252" s="124" t="s">
        <v>391</v>
      </c>
      <c r="G1252" s="126"/>
      <c r="H1252" s="126">
        <v>26250</v>
      </c>
      <c r="I1252" s="127">
        <v>16116502.5</v>
      </c>
      <c r="J1252" s="128" t="s">
        <v>289</v>
      </c>
      <c r="K1252" s="128" t="s">
        <v>392</v>
      </c>
      <c r="L1252" s="128" t="s">
        <v>472</v>
      </c>
      <c r="M1252" s="128" t="s">
        <v>473</v>
      </c>
      <c r="N1252" s="128"/>
      <c r="O1252" s="128"/>
    </row>
    <row r="1253" spans="1:15">
      <c r="A1253" s="129" t="s">
        <v>387</v>
      </c>
      <c r="B1253" s="129"/>
      <c r="C1253" s="130" t="s">
        <v>470</v>
      </c>
      <c r="D1253" s="129" t="s">
        <v>471</v>
      </c>
      <c r="E1253" s="131">
        <v>50</v>
      </c>
      <c r="F1253" s="129" t="s">
        <v>391</v>
      </c>
      <c r="G1253" s="131"/>
      <c r="H1253" s="131">
        <v>26250</v>
      </c>
      <c r="I1253" s="132">
        <v>16116502.5</v>
      </c>
      <c r="J1253" s="133" t="s">
        <v>289</v>
      </c>
      <c r="K1253" s="133" t="s">
        <v>392</v>
      </c>
      <c r="L1253" s="133" t="s">
        <v>472</v>
      </c>
      <c r="M1253" s="133" t="s">
        <v>473</v>
      </c>
      <c r="N1253" s="133"/>
      <c r="O1253" s="133"/>
    </row>
    <row r="1254" spans="1:15">
      <c r="A1254" s="124" t="s">
        <v>387</v>
      </c>
      <c r="B1254" s="124"/>
      <c r="C1254" s="125" t="s">
        <v>470</v>
      </c>
      <c r="D1254" s="124" t="s">
        <v>471</v>
      </c>
      <c r="E1254" s="126">
        <v>50</v>
      </c>
      <c r="F1254" s="124" t="s">
        <v>391</v>
      </c>
      <c r="G1254" s="126"/>
      <c r="H1254" s="126">
        <v>26250</v>
      </c>
      <c r="I1254" s="127">
        <v>16116502.5</v>
      </c>
      <c r="J1254" s="128" t="s">
        <v>289</v>
      </c>
      <c r="K1254" s="128" t="s">
        <v>392</v>
      </c>
      <c r="L1254" s="128" t="s">
        <v>472</v>
      </c>
      <c r="M1254" s="128" t="s">
        <v>473</v>
      </c>
      <c r="N1254" s="128"/>
      <c r="O1254" s="128"/>
    </row>
    <row r="1255" spans="1:15">
      <c r="A1255" s="129" t="s">
        <v>387</v>
      </c>
      <c r="B1255" s="129"/>
      <c r="C1255" s="130" t="s">
        <v>470</v>
      </c>
      <c r="D1255" s="129" t="s">
        <v>471</v>
      </c>
      <c r="E1255" s="131">
        <v>50</v>
      </c>
      <c r="F1255" s="129" t="s">
        <v>391</v>
      </c>
      <c r="G1255" s="131"/>
      <c r="H1255" s="131">
        <v>26250</v>
      </c>
      <c r="I1255" s="132">
        <v>16116502.5</v>
      </c>
      <c r="J1255" s="133" t="s">
        <v>289</v>
      </c>
      <c r="K1255" s="133" t="s">
        <v>392</v>
      </c>
      <c r="L1255" s="133" t="s">
        <v>472</v>
      </c>
      <c r="M1255" s="133" t="s">
        <v>473</v>
      </c>
      <c r="N1255" s="133"/>
      <c r="O1255" s="133"/>
    </row>
    <row r="1256" spans="1:15">
      <c r="A1256" s="124" t="s">
        <v>387</v>
      </c>
      <c r="B1256" s="124"/>
      <c r="C1256" s="125" t="s">
        <v>474</v>
      </c>
      <c r="D1256" s="124" t="s">
        <v>471</v>
      </c>
      <c r="E1256" s="126">
        <v>55</v>
      </c>
      <c r="F1256" s="124" t="s">
        <v>391</v>
      </c>
      <c r="G1256" s="126"/>
      <c r="H1256" s="126">
        <v>28875</v>
      </c>
      <c r="I1256" s="127">
        <v>17728152.75</v>
      </c>
      <c r="J1256" s="128" t="s">
        <v>289</v>
      </c>
      <c r="K1256" s="128" t="s">
        <v>392</v>
      </c>
      <c r="L1256" s="128" t="s">
        <v>472</v>
      </c>
      <c r="M1256" s="128" t="s">
        <v>473</v>
      </c>
      <c r="N1256" s="128"/>
      <c r="O1256" s="128"/>
    </row>
    <row r="1257" spans="1:15">
      <c r="A1257" s="129" t="s">
        <v>387</v>
      </c>
      <c r="B1257" s="129"/>
      <c r="C1257" s="130" t="s">
        <v>474</v>
      </c>
      <c r="D1257" s="129" t="s">
        <v>471</v>
      </c>
      <c r="E1257" s="131">
        <v>55</v>
      </c>
      <c r="F1257" s="129" t="s">
        <v>391</v>
      </c>
      <c r="G1257" s="131"/>
      <c r="H1257" s="131">
        <v>28875</v>
      </c>
      <c r="I1257" s="132">
        <v>17728152.75</v>
      </c>
      <c r="J1257" s="133" t="s">
        <v>289</v>
      </c>
      <c r="K1257" s="133" t="s">
        <v>392</v>
      </c>
      <c r="L1257" s="133" t="s">
        <v>472</v>
      </c>
      <c r="M1257" s="133" t="s">
        <v>473</v>
      </c>
      <c r="N1257" s="133"/>
      <c r="O1257" s="133"/>
    </row>
    <row r="1258" spans="1:15">
      <c r="A1258" s="124" t="s">
        <v>387</v>
      </c>
      <c r="B1258" s="124"/>
      <c r="C1258" s="125" t="s">
        <v>475</v>
      </c>
      <c r="D1258" s="124" t="s">
        <v>407</v>
      </c>
      <c r="E1258" s="126">
        <v>48</v>
      </c>
      <c r="F1258" s="124" t="s">
        <v>391</v>
      </c>
      <c r="G1258" s="126"/>
      <c r="H1258" s="126">
        <v>24236.027636889579</v>
      </c>
      <c r="I1258" s="127">
        <v>14880000</v>
      </c>
      <c r="J1258" s="128" t="s">
        <v>289</v>
      </c>
      <c r="K1258" s="128" t="s">
        <v>392</v>
      </c>
      <c r="L1258" s="128" t="s">
        <v>401</v>
      </c>
      <c r="M1258" s="128" t="s">
        <v>261</v>
      </c>
      <c r="N1258" s="128"/>
      <c r="O1258" s="128"/>
    </row>
    <row r="1259" spans="1:15">
      <c r="A1259" s="129" t="s">
        <v>387</v>
      </c>
      <c r="B1259" s="129"/>
      <c r="C1259" s="130" t="s">
        <v>476</v>
      </c>
      <c r="D1259" s="129" t="s">
        <v>471</v>
      </c>
      <c r="E1259" s="131">
        <v>50</v>
      </c>
      <c r="F1259" s="129" t="s">
        <v>391</v>
      </c>
      <c r="G1259" s="131"/>
      <c r="H1259" s="131">
        <v>26250</v>
      </c>
      <c r="I1259" s="132">
        <v>16116502.5</v>
      </c>
      <c r="J1259" s="133" t="s">
        <v>289</v>
      </c>
      <c r="K1259" s="133" t="s">
        <v>392</v>
      </c>
      <c r="L1259" s="133" t="s">
        <v>472</v>
      </c>
      <c r="M1259" s="133" t="s">
        <v>473</v>
      </c>
      <c r="N1259" s="133"/>
      <c r="O1259" s="133"/>
    </row>
    <row r="1260" spans="1:15">
      <c r="A1260" s="124" t="s">
        <v>387</v>
      </c>
      <c r="B1260" s="124"/>
      <c r="C1260" s="125" t="s">
        <v>476</v>
      </c>
      <c r="D1260" s="124" t="s">
        <v>471</v>
      </c>
      <c r="E1260" s="126">
        <v>50</v>
      </c>
      <c r="F1260" s="124" t="s">
        <v>391</v>
      </c>
      <c r="G1260" s="126"/>
      <c r="H1260" s="126">
        <v>26250</v>
      </c>
      <c r="I1260" s="127">
        <v>16116502.5</v>
      </c>
      <c r="J1260" s="128" t="s">
        <v>289</v>
      </c>
      <c r="K1260" s="128" t="s">
        <v>392</v>
      </c>
      <c r="L1260" s="128" t="s">
        <v>472</v>
      </c>
      <c r="M1260" s="128" t="s">
        <v>473</v>
      </c>
      <c r="N1260" s="128"/>
      <c r="O1260" s="128"/>
    </row>
    <row r="1261" spans="1:15">
      <c r="A1261" s="129" t="s">
        <v>387</v>
      </c>
      <c r="B1261" s="129"/>
      <c r="C1261" s="130" t="s">
        <v>476</v>
      </c>
      <c r="D1261" s="129" t="s">
        <v>471</v>
      </c>
      <c r="E1261" s="131">
        <v>50</v>
      </c>
      <c r="F1261" s="129" t="s">
        <v>391</v>
      </c>
      <c r="G1261" s="131"/>
      <c r="H1261" s="131">
        <v>26250</v>
      </c>
      <c r="I1261" s="132">
        <v>16116502.5</v>
      </c>
      <c r="J1261" s="133" t="s">
        <v>289</v>
      </c>
      <c r="K1261" s="133" t="s">
        <v>392</v>
      </c>
      <c r="L1261" s="133" t="s">
        <v>472</v>
      </c>
      <c r="M1261" s="133" t="s">
        <v>473</v>
      </c>
      <c r="N1261" s="133"/>
      <c r="O1261" s="133"/>
    </row>
    <row r="1262" spans="1:15">
      <c r="A1262" s="124" t="s">
        <v>387</v>
      </c>
      <c r="B1262" s="124"/>
      <c r="C1262" s="125" t="s">
        <v>476</v>
      </c>
      <c r="D1262" s="124" t="s">
        <v>471</v>
      </c>
      <c r="E1262" s="126">
        <v>55</v>
      </c>
      <c r="F1262" s="124" t="s">
        <v>391</v>
      </c>
      <c r="G1262" s="126"/>
      <c r="H1262" s="126">
        <v>28875</v>
      </c>
      <c r="I1262" s="127">
        <v>17728152.75</v>
      </c>
      <c r="J1262" s="128" t="s">
        <v>289</v>
      </c>
      <c r="K1262" s="128" t="s">
        <v>392</v>
      </c>
      <c r="L1262" s="128" t="s">
        <v>472</v>
      </c>
      <c r="M1262" s="128" t="s">
        <v>473</v>
      </c>
      <c r="N1262" s="128"/>
      <c r="O1262" s="128"/>
    </row>
    <row r="1263" spans="1:15">
      <c r="A1263" s="129" t="s">
        <v>387</v>
      </c>
      <c r="B1263" s="129"/>
      <c r="C1263" s="130" t="s">
        <v>476</v>
      </c>
      <c r="D1263" s="129" t="s">
        <v>471</v>
      </c>
      <c r="E1263" s="131">
        <v>55</v>
      </c>
      <c r="F1263" s="129" t="s">
        <v>391</v>
      </c>
      <c r="G1263" s="131"/>
      <c r="H1263" s="131">
        <v>28875</v>
      </c>
      <c r="I1263" s="132">
        <v>17728152.75</v>
      </c>
      <c r="J1263" s="133" t="s">
        <v>289</v>
      </c>
      <c r="K1263" s="133" t="s">
        <v>392</v>
      </c>
      <c r="L1263" s="133" t="s">
        <v>472</v>
      </c>
      <c r="M1263" s="133" t="s">
        <v>473</v>
      </c>
      <c r="N1263" s="133"/>
      <c r="O1263" s="133"/>
    </row>
    <row r="1264" spans="1:15">
      <c r="A1264" s="124" t="s">
        <v>387</v>
      </c>
      <c r="B1264" s="124"/>
      <c r="C1264" s="125" t="s">
        <v>476</v>
      </c>
      <c r="D1264" s="124" t="s">
        <v>471</v>
      </c>
      <c r="E1264" s="126">
        <v>55</v>
      </c>
      <c r="F1264" s="124" t="s">
        <v>391</v>
      </c>
      <c r="G1264" s="126"/>
      <c r="H1264" s="126">
        <v>28875</v>
      </c>
      <c r="I1264" s="127">
        <v>17728152.75</v>
      </c>
      <c r="J1264" s="128" t="s">
        <v>289</v>
      </c>
      <c r="K1264" s="128" t="s">
        <v>392</v>
      </c>
      <c r="L1264" s="128" t="s">
        <v>472</v>
      </c>
      <c r="M1264" s="128" t="s">
        <v>473</v>
      </c>
      <c r="N1264" s="128"/>
      <c r="O1264" s="128"/>
    </row>
    <row r="1265" spans="1:15">
      <c r="A1265" s="129" t="s">
        <v>387</v>
      </c>
      <c r="B1265" s="129"/>
      <c r="C1265" s="130" t="s">
        <v>476</v>
      </c>
      <c r="D1265" s="129" t="s">
        <v>471</v>
      </c>
      <c r="E1265" s="131">
        <v>55</v>
      </c>
      <c r="F1265" s="129" t="s">
        <v>391</v>
      </c>
      <c r="G1265" s="131"/>
      <c r="H1265" s="131">
        <v>28875</v>
      </c>
      <c r="I1265" s="132">
        <v>17728152.75</v>
      </c>
      <c r="J1265" s="133" t="s">
        <v>289</v>
      </c>
      <c r="K1265" s="133" t="s">
        <v>392</v>
      </c>
      <c r="L1265" s="133" t="s">
        <v>472</v>
      </c>
      <c r="M1265" s="133" t="s">
        <v>473</v>
      </c>
      <c r="N1265" s="133"/>
      <c r="O1265" s="133"/>
    </row>
    <row r="1266" spans="1:15">
      <c r="A1266" s="124" t="s">
        <v>387</v>
      </c>
      <c r="B1266" s="124"/>
      <c r="C1266" s="125" t="s">
        <v>476</v>
      </c>
      <c r="D1266" s="124" t="s">
        <v>471</v>
      </c>
      <c r="E1266" s="126">
        <v>50</v>
      </c>
      <c r="F1266" s="124" t="s">
        <v>391</v>
      </c>
      <c r="G1266" s="126"/>
      <c r="H1266" s="126">
        <v>26250</v>
      </c>
      <c r="I1266" s="127">
        <v>16116502.5</v>
      </c>
      <c r="J1266" s="128" t="s">
        <v>289</v>
      </c>
      <c r="K1266" s="128" t="s">
        <v>392</v>
      </c>
      <c r="L1266" s="128" t="s">
        <v>472</v>
      </c>
      <c r="M1266" s="128" t="s">
        <v>473</v>
      </c>
      <c r="N1266" s="128"/>
      <c r="O1266" s="128"/>
    </row>
    <row r="1267" spans="1:15">
      <c r="A1267" s="129" t="s">
        <v>387</v>
      </c>
      <c r="B1267" s="129"/>
      <c r="C1267" s="130" t="s">
        <v>476</v>
      </c>
      <c r="D1267" s="129" t="s">
        <v>471</v>
      </c>
      <c r="E1267" s="131">
        <v>50</v>
      </c>
      <c r="F1267" s="129" t="s">
        <v>391</v>
      </c>
      <c r="G1267" s="131"/>
      <c r="H1267" s="131">
        <v>26250</v>
      </c>
      <c r="I1267" s="132">
        <v>16116502.5</v>
      </c>
      <c r="J1267" s="133" t="s">
        <v>289</v>
      </c>
      <c r="K1267" s="133" t="s">
        <v>392</v>
      </c>
      <c r="L1267" s="133" t="s">
        <v>472</v>
      </c>
      <c r="M1267" s="133" t="s">
        <v>473</v>
      </c>
      <c r="N1267" s="133"/>
      <c r="O1267" s="133"/>
    </row>
    <row r="1268" spans="1:15">
      <c r="A1268" s="124" t="s">
        <v>387</v>
      </c>
      <c r="B1268" s="124"/>
      <c r="C1268" s="125" t="s">
        <v>476</v>
      </c>
      <c r="D1268" s="124" t="s">
        <v>471</v>
      </c>
      <c r="E1268" s="126">
        <v>45</v>
      </c>
      <c r="F1268" s="124" t="s">
        <v>391</v>
      </c>
      <c r="G1268" s="126"/>
      <c r="H1268" s="126">
        <v>23625</v>
      </c>
      <c r="I1268" s="127">
        <v>14504852.25</v>
      </c>
      <c r="J1268" s="128" t="s">
        <v>289</v>
      </c>
      <c r="K1268" s="128" t="s">
        <v>392</v>
      </c>
      <c r="L1268" s="128" t="s">
        <v>472</v>
      </c>
      <c r="M1268" s="128" t="s">
        <v>473</v>
      </c>
      <c r="N1268" s="128"/>
      <c r="O1268" s="128"/>
    </row>
    <row r="1269" spans="1:15">
      <c r="A1269" s="129" t="s">
        <v>387</v>
      </c>
      <c r="B1269" s="129"/>
      <c r="C1269" s="130" t="s">
        <v>476</v>
      </c>
      <c r="D1269" s="129" t="s">
        <v>471</v>
      </c>
      <c r="E1269" s="131">
        <v>50</v>
      </c>
      <c r="F1269" s="129" t="s">
        <v>391</v>
      </c>
      <c r="G1269" s="131"/>
      <c r="H1269" s="131">
        <v>26250</v>
      </c>
      <c r="I1269" s="132">
        <v>16116502.5</v>
      </c>
      <c r="J1269" s="133" t="s">
        <v>289</v>
      </c>
      <c r="K1269" s="133" t="s">
        <v>392</v>
      </c>
      <c r="L1269" s="133" t="s">
        <v>472</v>
      </c>
      <c r="M1269" s="133" t="s">
        <v>473</v>
      </c>
      <c r="N1269" s="133"/>
      <c r="O1269" s="133"/>
    </row>
    <row r="1270" spans="1:15">
      <c r="A1270" s="124" t="s">
        <v>387</v>
      </c>
      <c r="B1270" s="124"/>
      <c r="C1270" s="125" t="s">
        <v>476</v>
      </c>
      <c r="D1270" s="124" t="s">
        <v>471</v>
      </c>
      <c r="E1270" s="126">
        <v>55</v>
      </c>
      <c r="F1270" s="124" t="s">
        <v>391</v>
      </c>
      <c r="G1270" s="126"/>
      <c r="H1270" s="126">
        <v>28875</v>
      </c>
      <c r="I1270" s="127">
        <v>17728152.75</v>
      </c>
      <c r="J1270" s="128" t="s">
        <v>289</v>
      </c>
      <c r="K1270" s="128" t="s">
        <v>392</v>
      </c>
      <c r="L1270" s="128" t="s">
        <v>472</v>
      </c>
      <c r="M1270" s="128" t="s">
        <v>473</v>
      </c>
      <c r="N1270" s="128"/>
      <c r="O1270" s="128"/>
    </row>
    <row r="1271" spans="1:15">
      <c r="A1271" s="129" t="s">
        <v>387</v>
      </c>
      <c r="B1271" s="129"/>
      <c r="C1271" s="130" t="s">
        <v>476</v>
      </c>
      <c r="D1271" s="129" t="s">
        <v>471</v>
      </c>
      <c r="E1271" s="131">
        <v>50</v>
      </c>
      <c r="F1271" s="129" t="s">
        <v>391</v>
      </c>
      <c r="G1271" s="131"/>
      <c r="H1271" s="131">
        <v>26250</v>
      </c>
      <c r="I1271" s="132">
        <v>16116502.5</v>
      </c>
      <c r="J1271" s="133" t="s">
        <v>289</v>
      </c>
      <c r="K1271" s="133" t="s">
        <v>392</v>
      </c>
      <c r="L1271" s="133" t="s">
        <v>472</v>
      </c>
      <c r="M1271" s="133" t="s">
        <v>473</v>
      </c>
      <c r="N1271" s="133"/>
      <c r="O1271" s="133"/>
    </row>
    <row r="1272" spans="1:15">
      <c r="A1272" s="124" t="s">
        <v>387</v>
      </c>
      <c r="B1272" s="124"/>
      <c r="C1272" s="125" t="s">
        <v>476</v>
      </c>
      <c r="D1272" s="124" t="s">
        <v>471</v>
      </c>
      <c r="E1272" s="126">
        <v>55</v>
      </c>
      <c r="F1272" s="124" t="s">
        <v>391</v>
      </c>
      <c r="G1272" s="126"/>
      <c r="H1272" s="126">
        <v>28875</v>
      </c>
      <c r="I1272" s="127">
        <v>17728152.75</v>
      </c>
      <c r="J1272" s="128" t="s">
        <v>289</v>
      </c>
      <c r="K1272" s="128" t="s">
        <v>392</v>
      </c>
      <c r="L1272" s="128" t="s">
        <v>472</v>
      </c>
      <c r="M1272" s="128" t="s">
        <v>473</v>
      </c>
      <c r="N1272" s="128"/>
      <c r="O1272" s="128"/>
    </row>
    <row r="1273" spans="1:15">
      <c r="A1273" s="129" t="s">
        <v>387</v>
      </c>
      <c r="B1273" s="129"/>
      <c r="C1273" s="130" t="s">
        <v>476</v>
      </c>
      <c r="D1273" s="129" t="s">
        <v>471</v>
      </c>
      <c r="E1273" s="131">
        <v>55</v>
      </c>
      <c r="F1273" s="129" t="s">
        <v>391</v>
      </c>
      <c r="G1273" s="131"/>
      <c r="H1273" s="131">
        <v>28875</v>
      </c>
      <c r="I1273" s="132">
        <v>17728152.75</v>
      </c>
      <c r="J1273" s="133" t="s">
        <v>289</v>
      </c>
      <c r="K1273" s="133" t="s">
        <v>392</v>
      </c>
      <c r="L1273" s="133" t="s">
        <v>472</v>
      </c>
      <c r="M1273" s="133" t="s">
        <v>473</v>
      </c>
      <c r="N1273" s="133"/>
      <c r="O1273" s="133"/>
    </row>
    <row r="1274" spans="1:15">
      <c r="A1274" s="124" t="s">
        <v>387</v>
      </c>
      <c r="B1274" s="124"/>
      <c r="C1274" s="125" t="s">
        <v>477</v>
      </c>
      <c r="D1274" s="124" t="s">
        <v>471</v>
      </c>
      <c r="E1274" s="126">
        <v>55</v>
      </c>
      <c r="F1274" s="124" t="s">
        <v>391</v>
      </c>
      <c r="G1274" s="126"/>
      <c r="H1274" s="126">
        <v>28875</v>
      </c>
      <c r="I1274" s="127">
        <v>17728152.75</v>
      </c>
      <c r="J1274" s="128" t="s">
        <v>289</v>
      </c>
      <c r="K1274" s="128" t="s">
        <v>392</v>
      </c>
      <c r="L1274" s="128" t="s">
        <v>472</v>
      </c>
      <c r="M1274" s="128" t="s">
        <v>473</v>
      </c>
      <c r="N1274" s="128"/>
      <c r="O1274" s="128"/>
    </row>
    <row r="1275" spans="1:15">
      <c r="A1275" s="129" t="s">
        <v>387</v>
      </c>
      <c r="B1275" s="129"/>
      <c r="C1275" s="130" t="s">
        <v>477</v>
      </c>
      <c r="D1275" s="129" t="s">
        <v>471</v>
      </c>
      <c r="E1275" s="131">
        <v>50</v>
      </c>
      <c r="F1275" s="129" t="s">
        <v>391</v>
      </c>
      <c r="G1275" s="131"/>
      <c r="H1275" s="131">
        <v>26250</v>
      </c>
      <c r="I1275" s="132">
        <v>16116502.5</v>
      </c>
      <c r="J1275" s="133" t="s">
        <v>289</v>
      </c>
      <c r="K1275" s="133" t="s">
        <v>392</v>
      </c>
      <c r="L1275" s="133" t="s">
        <v>472</v>
      </c>
      <c r="M1275" s="133" t="s">
        <v>473</v>
      </c>
      <c r="N1275" s="133"/>
      <c r="O1275" s="133"/>
    </row>
    <row r="1276" spans="1:15">
      <c r="A1276" s="124" t="s">
        <v>387</v>
      </c>
      <c r="B1276" s="124"/>
      <c r="C1276" s="125" t="s">
        <v>477</v>
      </c>
      <c r="D1276" s="124" t="s">
        <v>471</v>
      </c>
      <c r="E1276" s="126">
        <v>50</v>
      </c>
      <c r="F1276" s="124" t="s">
        <v>391</v>
      </c>
      <c r="G1276" s="126"/>
      <c r="H1276" s="126">
        <v>26250</v>
      </c>
      <c r="I1276" s="127">
        <v>16116502.5</v>
      </c>
      <c r="J1276" s="128" t="s">
        <v>289</v>
      </c>
      <c r="K1276" s="128" t="s">
        <v>392</v>
      </c>
      <c r="L1276" s="128" t="s">
        <v>472</v>
      </c>
      <c r="M1276" s="128" t="s">
        <v>473</v>
      </c>
      <c r="N1276" s="128"/>
      <c r="O1276" s="128"/>
    </row>
    <row r="1277" spans="1:15">
      <c r="A1277" s="129" t="s">
        <v>387</v>
      </c>
      <c r="B1277" s="129"/>
      <c r="C1277" s="130" t="s">
        <v>477</v>
      </c>
      <c r="D1277" s="129" t="s">
        <v>471</v>
      </c>
      <c r="E1277" s="131">
        <v>55</v>
      </c>
      <c r="F1277" s="129" t="s">
        <v>391</v>
      </c>
      <c r="G1277" s="131"/>
      <c r="H1277" s="131">
        <v>28875</v>
      </c>
      <c r="I1277" s="132">
        <v>17728152.75</v>
      </c>
      <c r="J1277" s="133" t="s">
        <v>289</v>
      </c>
      <c r="K1277" s="133" t="s">
        <v>392</v>
      </c>
      <c r="L1277" s="133" t="s">
        <v>472</v>
      </c>
      <c r="M1277" s="133" t="s">
        <v>473</v>
      </c>
      <c r="N1277" s="133"/>
      <c r="O1277" s="133"/>
    </row>
    <row r="1278" spans="1:15">
      <c r="A1278" s="124" t="s">
        <v>387</v>
      </c>
      <c r="B1278" s="124"/>
      <c r="C1278" s="125" t="s">
        <v>477</v>
      </c>
      <c r="D1278" s="124" t="s">
        <v>471</v>
      </c>
      <c r="E1278" s="126">
        <v>55</v>
      </c>
      <c r="F1278" s="124" t="s">
        <v>391</v>
      </c>
      <c r="G1278" s="126"/>
      <c r="H1278" s="126">
        <v>28875</v>
      </c>
      <c r="I1278" s="127">
        <v>17728152.75</v>
      </c>
      <c r="J1278" s="128" t="s">
        <v>289</v>
      </c>
      <c r="K1278" s="128" t="s">
        <v>392</v>
      </c>
      <c r="L1278" s="128" t="s">
        <v>472</v>
      </c>
      <c r="M1278" s="128" t="s">
        <v>473</v>
      </c>
      <c r="N1278" s="128"/>
      <c r="O1278" s="128"/>
    </row>
    <row r="1279" spans="1:15">
      <c r="A1279" s="129" t="s">
        <v>387</v>
      </c>
      <c r="B1279" s="129"/>
      <c r="C1279" s="130" t="s">
        <v>477</v>
      </c>
      <c r="D1279" s="129" t="s">
        <v>471</v>
      </c>
      <c r="E1279" s="131">
        <v>50</v>
      </c>
      <c r="F1279" s="129" t="s">
        <v>391</v>
      </c>
      <c r="G1279" s="131"/>
      <c r="H1279" s="131">
        <v>26250</v>
      </c>
      <c r="I1279" s="132">
        <v>16116502.5</v>
      </c>
      <c r="J1279" s="133" t="s">
        <v>289</v>
      </c>
      <c r="K1279" s="133" t="s">
        <v>392</v>
      </c>
      <c r="L1279" s="133" t="s">
        <v>472</v>
      </c>
      <c r="M1279" s="133" t="s">
        <v>473</v>
      </c>
      <c r="N1279" s="133"/>
      <c r="O1279" s="133"/>
    </row>
    <row r="1280" spans="1:15">
      <c r="A1280" s="124" t="s">
        <v>387</v>
      </c>
      <c r="B1280" s="124"/>
      <c r="C1280" s="125" t="s">
        <v>477</v>
      </c>
      <c r="D1280" s="124" t="s">
        <v>471</v>
      </c>
      <c r="E1280" s="126">
        <v>50</v>
      </c>
      <c r="F1280" s="124" t="s">
        <v>391</v>
      </c>
      <c r="G1280" s="126"/>
      <c r="H1280" s="126">
        <v>26250</v>
      </c>
      <c r="I1280" s="127">
        <v>16116502.5</v>
      </c>
      <c r="J1280" s="128" t="s">
        <v>289</v>
      </c>
      <c r="K1280" s="128" t="s">
        <v>392</v>
      </c>
      <c r="L1280" s="128" t="s">
        <v>472</v>
      </c>
      <c r="M1280" s="128" t="s">
        <v>473</v>
      </c>
      <c r="N1280" s="128"/>
      <c r="O1280" s="128"/>
    </row>
    <row r="1281" spans="1:15">
      <c r="A1281" s="129" t="s">
        <v>387</v>
      </c>
      <c r="B1281" s="129"/>
      <c r="C1281" s="130" t="s">
        <v>477</v>
      </c>
      <c r="D1281" s="129" t="s">
        <v>471</v>
      </c>
      <c r="E1281" s="131">
        <v>50</v>
      </c>
      <c r="F1281" s="129" t="s">
        <v>391</v>
      </c>
      <c r="G1281" s="131"/>
      <c r="H1281" s="131">
        <v>26250</v>
      </c>
      <c r="I1281" s="132">
        <v>16116502.5</v>
      </c>
      <c r="J1281" s="133" t="s">
        <v>289</v>
      </c>
      <c r="K1281" s="133" t="s">
        <v>392</v>
      </c>
      <c r="L1281" s="133" t="s">
        <v>472</v>
      </c>
      <c r="M1281" s="133" t="s">
        <v>473</v>
      </c>
      <c r="N1281" s="133"/>
      <c r="O1281" s="133"/>
    </row>
    <row r="1282" spans="1:15">
      <c r="A1282" s="124" t="s">
        <v>387</v>
      </c>
      <c r="B1282" s="124"/>
      <c r="C1282" s="125" t="s">
        <v>477</v>
      </c>
      <c r="D1282" s="124" t="s">
        <v>471</v>
      </c>
      <c r="E1282" s="126">
        <v>55</v>
      </c>
      <c r="F1282" s="124" t="s">
        <v>391</v>
      </c>
      <c r="G1282" s="126"/>
      <c r="H1282" s="126">
        <v>28875</v>
      </c>
      <c r="I1282" s="127">
        <v>17728152.75</v>
      </c>
      <c r="J1282" s="128" t="s">
        <v>289</v>
      </c>
      <c r="K1282" s="128" t="s">
        <v>392</v>
      </c>
      <c r="L1282" s="128" t="s">
        <v>472</v>
      </c>
      <c r="M1282" s="128" t="s">
        <v>473</v>
      </c>
      <c r="N1282" s="128"/>
      <c r="O1282" s="128"/>
    </row>
    <row r="1283" spans="1:15">
      <c r="A1283" s="129" t="s">
        <v>387</v>
      </c>
      <c r="B1283" s="129"/>
      <c r="C1283" s="130" t="s">
        <v>477</v>
      </c>
      <c r="D1283" s="129" t="s">
        <v>471</v>
      </c>
      <c r="E1283" s="131">
        <v>55</v>
      </c>
      <c r="F1283" s="129" t="s">
        <v>391</v>
      </c>
      <c r="G1283" s="131"/>
      <c r="H1283" s="131">
        <v>28875</v>
      </c>
      <c r="I1283" s="132">
        <v>17728152.75</v>
      </c>
      <c r="J1283" s="133" t="s">
        <v>289</v>
      </c>
      <c r="K1283" s="133" t="s">
        <v>392</v>
      </c>
      <c r="L1283" s="133" t="s">
        <v>472</v>
      </c>
      <c r="M1283" s="133" t="s">
        <v>473</v>
      </c>
      <c r="N1283" s="133"/>
      <c r="O1283" s="133"/>
    </row>
    <row r="1284" spans="1:15">
      <c r="A1284" s="124" t="s">
        <v>387</v>
      </c>
      <c r="B1284" s="124"/>
      <c r="C1284" s="125" t="s">
        <v>477</v>
      </c>
      <c r="D1284" s="124" t="s">
        <v>471</v>
      </c>
      <c r="E1284" s="126">
        <v>55</v>
      </c>
      <c r="F1284" s="124" t="s">
        <v>391</v>
      </c>
      <c r="G1284" s="126"/>
      <c r="H1284" s="126">
        <v>28875</v>
      </c>
      <c r="I1284" s="127">
        <v>17728152.75</v>
      </c>
      <c r="J1284" s="128" t="s">
        <v>289</v>
      </c>
      <c r="K1284" s="128" t="s">
        <v>392</v>
      </c>
      <c r="L1284" s="128" t="s">
        <v>472</v>
      </c>
      <c r="M1284" s="128" t="s">
        <v>473</v>
      </c>
      <c r="N1284" s="128"/>
      <c r="O1284" s="128"/>
    </row>
    <row r="1285" spans="1:15">
      <c r="A1285" s="129" t="s">
        <v>387</v>
      </c>
      <c r="B1285" s="129"/>
      <c r="C1285" s="130" t="s">
        <v>477</v>
      </c>
      <c r="D1285" s="129" t="s">
        <v>471</v>
      </c>
      <c r="E1285" s="131">
        <v>55</v>
      </c>
      <c r="F1285" s="129" t="s">
        <v>391</v>
      </c>
      <c r="G1285" s="131"/>
      <c r="H1285" s="131">
        <v>28875</v>
      </c>
      <c r="I1285" s="132">
        <v>17728152.75</v>
      </c>
      <c r="J1285" s="133" t="s">
        <v>289</v>
      </c>
      <c r="K1285" s="133" t="s">
        <v>392</v>
      </c>
      <c r="L1285" s="133" t="s">
        <v>472</v>
      </c>
      <c r="M1285" s="133" t="s">
        <v>473</v>
      </c>
      <c r="N1285" s="133"/>
      <c r="O1285" s="133"/>
    </row>
    <row r="1286" spans="1:15">
      <c r="A1286" s="124" t="s">
        <v>387</v>
      </c>
      <c r="B1286" s="124"/>
      <c r="C1286" s="125" t="s">
        <v>478</v>
      </c>
      <c r="D1286" s="124" t="s">
        <v>471</v>
      </c>
      <c r="E1286" s="126">
        <v>57.5</v>
      </c>
      <c r="F1286" s="124" t="s">
        <v>391</v>
      </c>
      <c r="G1286" s="126"/>
      <c r="H1286" s="126">
        <v>30187.500008143827</v>
      </c>
      <c r="I1286" s="127">
        <v>18533977.879999999</v>
      </c>
      <c r="J1286" s="128" t="s">
        <v>289</v>
      </c>
      <c r="K1286" s="128" t="s">
        <v>392</v>
      </c>
      <c r="L1286" s="128" t="s">
        <v>472</v>
      </c>
      <c r="M1286" s="128" t="s">
        <v>473</v>
      </c>
      <c r="N1286" s="128"/>
      <c r="O1286" s="128"/>
    </row>
    <row r="1287" spans="1:15">
      <c r="A1287" s="129" t="s">
        <v>387</v>
      </c>
      <c r="B1287" s="129"/>
      <c r="C1287" s="130" t="s">
        <v>478</v>
      </c>
      <c r="D1287" s="129" t="s">
        <v>471</v>
      </c>
      <c r="E1287" s="131">
        <v>50</v>
      </c>
      <c r="F1287" s="129" t="s">
        <v>391</v>
      </c>
      <c r="G1287" s="131"/>
      <c r="H1287" s="131">
        <v>26250</v>
      </c>
      <c r="I1287" s="132">
        <v>16116502.5</v>
      </c>
      <c r="J1287" s="133" t="s">
        <v>289</v>
      </c>
      <c r="K1287" s="133" t="s">
        <v>392</v>
      </c>
      <c r="L1287" s="133" t="s">
        <v>472</v>
      </c>
      <c r="M1287" s="133" t="s">
        <v>473</v>
      </c>
      <c r="N1287" s="133"/>
      <c r="O1287" s="133"/>
    </row>
    <row r="1288" spans="1:15">
      <c r="A1288" s="124" t="s">
        <v>387</v>
      </c>
      <c r="B1288" s="124"/>
      <c r="C1288" s="125" t="s">
        <v>478</v>
      </c>
      <c r="D1288" s="124" t="s">
        <v>471</v>
      </c>
      <c r="E1288" s="126">
        <v>2.5</v>
      </c>
      <c r="F1288" s="124" t="s">
        <v>391</v>
      </c>
      <c r="G1288" s="126"/>
      <c r="H1288" s="126">
        <v>1312.5000081438266</v>
      </c>
      <c r="I1288" s="127">
        <v>805825.13</v>
      </c>
      <c r="J1288" s="128" t="s">
        <v>289</v>
      </c>
      <c r="K1288" s="128" t="s">
        <v>392</v>
      </c>
      <c r="L1288" s="128" t="s">
        <v>472</v>
      </c>
      <c r="M1288" s="128" t="s">
        <v>473</v>
      </c>
      <c r="N1288" s="128"/>
      <c r="O1288" s="128"/>
    </row>
    <row r="1289" spans="1:15">
      <c r="A1289" s="129" t="s">
        <v>387</v>
      </c>
      <c r="B1289" s="129"/>
      <c r="C1289" s="130" t="s">
        <v>478</v>
      </c>
      <c r="D1289" s="129" t="s">
        <v>471</v>
      </c>
      <c r="E1289" s="131">
        <v>55</v>
      </c>
      <c r="F1289" s="129" t="s">
        <v>391</v>
      </c>
      <c r="G1289" s="131"/>
      <c r="H1289" s="131">
        <v>28875</v>
      </c>
      <c r="I1289" s="132">
        <v>17728152.75</v>
      </c>
      <c r="J1289" s="133" t="s">
        <v>289</v>
      </c>
      <c r="K1289" s="133" t="s">
        <v>392</v>
      </c>
      <c r="L1289" s="133" t="s">
        <v>472</v>
      </c>
      <c r="M1289" s="133" t="s">
        <v>473</v>
      </c>
      <c r="N1289" s="133"/>
      <c r="O1289" s="133"/>
    </row>
    <row r="1290" spans="1:15">
      <c r="A1290" s="124" t="s">
        <v>387</v>
      </c>
      <c r="B1290" s="124"/>
      <c r="C1290" s="125" t="s">
        <v>478</v>
      </c>
      <c r="D1290" s="124" t="s">
        <v>471</v>
      </c>
      <c r="E1290" s="126">
        <v>55</v>
      </c>
      <c r="F1290" s="124" t="s">
        <v>391</v>
      </c>
      <c r="G1290" s="126"/>
      <c r="H1290" s="126">
        <v>28875</v>
      </c>
      <c r="I1290" s="127">
        <v>17728152.75</v>
      </c>
      <c r="J1290" s="128" t="s">
        <v>289</v>
      </c>
      <c r="K1290" s="128" t="s">
        <v>392</v>
      </c>
      <c r="L1290" s="128" t="s">
        <v>472</v>
      </c>
      <c r="M1290" s="128" t="s">
        <v>473</v>
      </c>
      <c r="N1290" s="128"/>
      <c r="O1290" s="128"/>
    </row>
    <row r="1291" spans="1:15">
      <c r="A1291" s="129" t="s">
        <v>387</v>
      </c>
      <c r="B1291" s="129"/>
      <c r="C1291" s="130" t="s">
        <v>478</v>
      </c>
      <c r="D1291" s="129" t="s">
        <v>471</v>
      </c>
      <c r="E1291" s="131">
        <v>55</v>
      </c>
      <c r="F1291" s="129" t="s">
        <v>391</v>
      </c>
      <c r="G1291" s="131"/>
      <c r="H1291" s="131">
        <v>28875</v>
      </c>
      <c r="I1291" s="132">
        <v>17728152.75</v>
      </c>
      <c r="J1291" s="133" t="s">
        <v>289</v>
      </c>
      <c r="K1291" s="133" t="s">
        <v>392</v>
      </c>
      <c r="L1291" s="133" t="s">
        <v>472</v>
      </c>
      <c r="M1291" s="133" t="s">
        <v>473</v>
      </c>
      <c r="N1291" s="133"/>
      <c r="O1291" s="133"/>
    </row>
    <row r="1292" spans="1:15">
      <c r="A1292" s="124" t="s">
        <v>387</v>
      </c>
      <c r="B1292" s="124"/>
      <c r="C1292" s="125" t="s">
        <v>478</v>
      </c>
      <c r="D1292" s="124" t="s">
        <v>471</v>
      </c>
      <c r="E1292" s="126">
        <v>55</v>
      </c>
      <c r="F1292" s="124" t="s">
        <v>391</v>
      </c>
      <c r="G1292" s="126"/>
      <c r="H1292" s="126">
        <v>28875</v>
      </c>
      <c r="I1292" s="127">
        <v>17728152.75</v>
      </c>
      <c r="J1292" s="128" t="s">
        <v>289</v>
      </c>
      <c r="K1292" s="128" t="s">
        <v>392</v>
      </c>
      <c r="L1292" s="128" t="s">
        <v>472</v>
      </c>
      <c r="M1292" s="128" t="s">
        <v>473</v>
      </c>
      <c r="N1292" s="128"/>
      <c r="O1292" s="128"/>
    </row>
    <row r="1293" spans="1:15">
      <c r="A1293" s="129" t="s">
        <v>387</v>
      </c>
      <c r="B1293" s="129"/>
      <c r="C1293" s="130" t="s">
        <v>478</v>
      </c>
      <c r="D1293" s="129" t="s">
        <v>471</v>
      </c>
      <c r="E1293" s="131">
        <v>50</v>
      </c>
      <c r="F1293" s="129" t="s">
        <v>391</v>
      </c>
      <c r="G1293" s="131"/>
      <c r="H1293" s="131">
        <v>26250</v>
      </c>
      <c r="I1293" s="132">
        <v>16116502.5</v>
      </c>
      <c r="J1293" s="133" t="s">
        <v>289</v>
      </c>
      <c r="K1293" s="133" t="s">
        <v>392</v>
      </c>
      <c r="L1293" s="133" t="s">
        <v>472</v>
      </c>
      <c r="M1293" s="133" t="s">
        <v>473</v>
      </c>
      <c r="N1293" s="133"/>
      <c r="O1293" s="133"/>
    </row>
    <row r="1294" spans="1:15">
      <c r="A1294" s="124" t="s">
        <v>387</v>
      </c>
      <c r="B1294" s="124"/>
      <c r="C1294" s="125" t="s">
        <v>478</v>
      </c>
      <c r="D1294" s="124" t="s">
        <v>471</v>
      </c>
      <c r="E1294" s="126">
        <v>55</v>
      </c>
      <c r="F1294" s="124" t="s">
        <v>391</v>
      </c>
      <c r="G1294" s="126"/>
      <c r="H1294" s="126">
        <v>28875</v>
      </c>
      <c r="I1294" s="127">
        <v>17728152.75</v>
      </c>
      <c r="J1294" s="128" t="s">
        <v>289</v>
      </c>
      <c r="K1294" s="128" t="s">
        <v>392</v>
      </c>
      <c r="L1294" s="128" t="s">
        <v>472</v>
      </c>
      <c r="M1294" s="128" t="s">
        <v>473</v>
      </c>
      <c r="N1294" s="128"/>
      <c r="O1294" s="128"/>
    </row>
    <row r="1295" spans="1:15">
      <c r="A1295" s="129" t="s">
        <v>387</v>
      </c>
      <c r="B1295" s="129"/>
      <c r="C1295" s="130" t="s">
        <v>478</v>
      </c>
      <c r="D1295" s="129" t="s">
        <v>471</v>
      </c>
      <c r="E1295" s="131">
        <v>45</v>
      </c>
      <c r="F1295" s="129" t="s">
        <v>391</v>
      </c>
      <c r="G1295" s="131"/>
      <c r="H1295" s="131">
        <v>23625</v>
      </c>
      <c r="I1295" s="132">
        <v>14504852.25</v>
      </c>
      <c r="J1295" s="133" t="s">
        <v>289</v>
      </c>
      <c r="K1295" s="133" t="s">
        <v>392</v>
      </c>
      <c r="L1295" s="133" t="s">
        <v>472</v>
      </c>
      <c r="M1295" s="133" t="s">
        <v>473</v>
      </c>
      <c r="N1295" s="133"/>
      <c r="O1295" s="133"/>
    </row>
    <row r="1296" spans="1:15">
      <c r="A1296" s="124" t="s">
        <v>387</v>
      </c>
      <c r="B1296" s="124"/>
      <c r="C1296" s="125" t="s">
        <v>478</v>
      </c>
      <c r="D1296" s="124" t="s">
        <v>471</v>
      </c>
      <c r="E1296" s="126">
        <v>57.5</v>
      </c>
      <c r="F1296" s="124" t="s">
        <v>391</v>
      </c>
      <c r="G1296" s="126"/>
      <c r="H1296" s="126">
        <v>30187.500008143827</v>
      </c>
      <c r="I1296" s="127">
        <v>18533977.879999999</v>
      </c>
      <c r="J1296" s="128" t="s">
        <v>289</v>
      </c>
      <c r="K1296" s="128" t="s">
        <v>392</v>
      </c>
      <c r="L1296" s="128" t="s">
        <v>472</v>
      </c>
      <c r="M1296" s="128" t="s">
        <v>473</v>
      </c>
      <c r="N1296" s="128"/>
      <c r="O1296" s="128"/>
    </row>
    <row r="1297" spans="1:15">
      <c r="A1297" s="129" t="s">
        <v>387</v>
      </c>
      <c r="B1297" s="129"/>
      <c r="C1297" s="130" t="s">
        <v>478</v>
      </c>
      <c r="D1297" s="129" t="s">
        <v>471</v>
      </c>
      <c r="E1297" s="131">
        <v>55</v>
      </c>
      <c r="F1297" s="129" t="s">
        <v>391</v>
      </c>
      <c r="G1297" s="131"/>
      <c r="H1297" s="131">
        <v>28875</v>
      </c>
      <c r="I1297" s="132">
        <v>17728152.75</v>
      </c>
      <c r="J1297" s="133" t="s">
        <v>289</v>
      </c>
      <c r="K1297" s="133" t="s">
        <v>392</v>
      </c>
      <c r="L1297" s="133" t="s">
        <v>472</v>
      </c>
      <c r="M1297" s="133" t="s">
        <v>473</v>
      </c>
      <c r="N1297" s="133"/>
      <c r="O1297" s="133"/>
    </row>
    <row r="1298" spans="1:15">
      <c r="A1298" s="124" t="s">
        <v>387</v>
      </c>
      <c r="B1298" s="124"/>
      <c r="C1298" s="125" t="s">
        <v>478</v>
      </c>
      <c r="D1298" s="124" t="s">
        <v>471</v>
      </c>
      <c r="E1298" s="126">
        <v>55</v>
      </c>
      <c r="F1298" s="124" t="s">
        <v>391</v>
      </c>
      <c r="G1298" s="126"/>
      <c r="H1298" s="126">
        <v>28875</v>
      </c>
      <c r="I1298" s="127">
        <v>17728152.75</v>
      </c>
      <c r="J1298" s="128" t="s">
        <v>289</v>
      </c>
      <c r="K1298" s="128" t="s">
        <v>392</v>
      </c>
      <c r="L1298" s="128" t="s">
        <v>472</v>
      </c>
      <c r="M1298" s="128" t="s">
        <v>473</v>
      </c>
      <c r="N1298" s="128"/>
      <c r="O1298" s="128"/>
    </row>
    <row r="1299" spans="1:15">
      <c r="A1299" s="129" t="s">
        <v>387</v>
      </c>
      <c r="B1299" s="129"/>
      <c r="C1299" s="130" t="s">
        <v>478</v>
      </c>
      <c r="D1299" s="129" t="s">
        <v>471</v>
      </c>
      <c r="E1299" s="131">
        <v>57.5</v>
      </c>
      <c r="F1299" s="129" t="s">
        <v>391</v>
      </c>
      <c r="G1299" s="131"/>
      <c r="H1299" s="131">
        <v>30187.500008143827</v>
      </c>
      <c r="I1299" s="132">
        <v>18533977.879999999</v>
      </c>
      <c r="J1299" s="133" t="s">
        <v>289</v>
      </c>
      <c r="K1299" s="133" t="s">
        <v>392</v>
      </c>
      <c r="L1299" s="133" t="s">
        <v>472</v>
      </c>
      <c r="M1299" s="133" t="s">
        <v>473</v>
      </c>
      <c r="N1299" s="133"/>
      <c r="O1299" s="133"/>
    </row>
    <row r="1300" spans="1:15">
      <c r="A1300" s="124" t="s">
        <v>387</v>
      </c>
      <c r="B1300" s="124"/>
      <c r="C1300" s="125" t="s">
        <v>478</v>
      </c>
      <c r="D1300" s="124" t="s">
        <v>471</v>
      </c>
      <c r="E1300" s="126">
        <v>55</v>
      </c>
      <c r="F1300" s="124" t="s">
        <v>391</v>
      </c>
      <c r="G1300" s="126"/>
      <c r="H1300" s="126">
        <v>28875</v>
      </c>
      <c r="I1300" s="127">
        <v>17728152.75</v>
      </c>
      <c r="J1300" s="128" t="s">
        <v>289</v>
      </c>
      <c r="K1300" s="128" t="s">
        <v>392</v>
      </c>
      <c r="L1300" s="128" t="s">
        <v>472</v>
      </c>
      <c r="M1300" s="128" t="s">
        <v>473</v>
      </c>
      <c r="N1300" s="128"/>
      <c r="O1300" s="128"/>
    </row>
    <row r="1301" spans="1:15">
      <c r="A1301" s="129" t="s">
        <v>387</v>
      </c>
      <c r="B1301" s="129"/>
      <c r="C1301" s="130" t="s">
        <v>478</v>
      </c>
      <c r="D1301" s="129" t="s">
        <v>471</v>
      </c>
      <c r="E1301" s="131">
        <v>50</v>
      </c>
      <c r="F1301" s="129" t="s">
        <v>391</v>
      </c>
      <c r="G1301" s="131"/>
      <c r="H1301" s="131">
        <v>26250</v>
      </c>
      <c r="I1301" s="132">
        <v>16116502.5</v>
      </c>
      <c r="J1301" s="133" t="s">
        <v>289</v>
      </c>
      <c r="K1301" s="133" t="s">
        <v>392</v>
      </c>
      <c r="L1301" s="133" t="s">
        <v>472</v>
      </c>
      <c r="M1301" s="133" t="s">
        <v>473</v>
      </c>
      <c r="N1301" s="133"/>
      <c r="O1301" s="133"/>
    </row>
    <row r="1302" spans="1:15">
      <c r="A1302" s="124" t="s">
        <v>387</v>
      </c>
      <c r="B1302" s="124"/>
      <c r="C1302" s="125" t="s">
        <v>478</v>
      </c>
      <c r="D1302" s="124" t="s">
        <v>471</v>
      </c>
      <c r="E1302" s="126">
        <v>50</v>
      </c>
      <c r="F1302" s="124" t="s">
        <v>391</v>
      </c>
      <c r="G1302" s="126"/>
      <c r="H1302" s="126">
        <v>26250</v>
      </c>
      <c r="I1302" s="127">
        <v>16116502.5</v>
      </c>
      <c r="J1302" s="128" t="s">
        <v>289</v>
      </c>
      <c r="K1302" s="128" t="s">
        <v>392</v>
      </c>
      <c r="L1302" s="128" t="s">
        <v>472</v>
      </c>
      <c r="M1302" s="128" t="s">
        <v>473</v>
      </c>
      <c r="N1302" s="128"/>
      <c r="O1302" s="128"/>
    </row>
    <row r="1303" spans="1:15">
      <c r="A1303" s="129" t="s">
        <v>387</v>
      </c>
      <c r="B1303" s="129"/>
      <c r="C1303" s="130" t="s">
        <v>478</v>
      </c>
      <c r="D1303" s="129" t="s">
        <v>471</v>
      </c>
      <c r="E1303" s="131">
        <v>55</v>
      </c>
      <c r="F1303" s="129" t="s">
        <v>391</v>
      </c>
      <c r="G1303" s="131"/>
      <c r="H1303" s="131">
        <v>28875</v>
      </c>
      <c r="I1303" s="132">
        <v>17728152.75</v>
      </c>
      <c r="J1303" s="133" t="s">
        <v>289</v>
      </c>
      <c r="K1303" s="133" t="s">
        <v>392</v>
      </c>
      <c r="L1303" s="133" t="s">
        <v>472</v>
      </c>
      <c r="M1303" s="133" t="s">
        <v>473</v>
      </c>
      <c r="N1303" s="133"/>
      <c r="O1303" s="133"/>
    </row>
    <row r="1304" spans="1:15">
      <c r="A1304" s="124" t="s">
        <v>387</v>
      </c>
      <c r="B1304" s="124"/>
      <c r="C1304" s="125" t="s">
        <v>478</v>
      </c>
      <c r="D1304" s="124" t="s">
        <v>471</v>
      </c>
      <c r="E1304" s="126">
        <v>50</v>
      </c>
      <c r="F1304" s="124" t="s">
        <v>391</v>
      </c>
      <c r="G1304" s="126"/>
      <c r="H1304" s="126">
        <v>26250</v>
      </c>
      <c r="I1304" s="127">
        <v>16116502.5</v>
      </c>
      <c r="J1304" s="128" t="s">
        <v>289</v>
      </c>
      <c r="K1304" s="128" t="s">
        <v>392</v>
      </c>
      <c r="L1304" s="128" t="s">
        <v>472</v>
      </c>
      <c r="M1304" s="128" t="s">
        <v>473</v>
      </c>
      <c r="N1304" s="128"/>
      <c r="O1304" s="128"/>
    </row>
    <row r="1305" spans="1:15">
      <c r="A1305" s="129" t="s">
        <v>387</v>
      </c>
      <c r="B1305" s="129"/>
      <c r="C1305" s="130" t="s">
        <v>478</v>
      </c>
      <c r="D1305" s="129" t="s">
        <v>471</v>
      </c>
      <c r="E1305" s="131">
        <v>55</v>
      </c>
      <c r="F1305" s="129" t="s">
        <v>391</v>
      </c>
      <c r="G1305" s="131"/>
      <c r="H1305" s="131">
        <v>28875</v>
      </c>
      <c r="I1305" s="132">
        <v>17728152.75</v>
      </c>
      <c r="J1305" s="133" t="s">
        <v>289</v>
      </c>
      <c r="K1305" s="133" t="s">
        <v>392</v>
      </c>
      <c r="L1305" s="133" t="s">
        <v>472</v>
      </c>
      <c r="M1305" s="133" t="s">
        <v>473</v>
      </c>
      <c r="N1305" s="133"/>
      <c r="O1305" s="133"/>
    </row>
    <row r="1306" spans="1:15">
      <c r="A1306" s="124" t="s">
        <v>387</v>
      </c>
      <c r="B1306" s="124"/>
      <c r="C1306" s="125" t="s">
        <v>478</v>
      </c>
      <c r="D1306" s="124" t="s">
        <v>471</v>
      </c>
      <c r="E1306" s="126">
        <v>55</v>
      </c>
      <c r="F1306" s="124" t="s">
        <v>391</v>
      </c>
      <c r="G1306" s="126"/>
      <c r="H1306" s="126">
        <v>28875</v>
      </c>
      <c r="I1306" s="127">
        <v>17728152.75</v>
      </c>
      <c r="J1306" s="128" t="s">
        <v>289</v>
      </c>
      <c r="K1306" s="128" t="s">
        <v>392</v>
      </c>
      <c r="L1306" s="128" t="s">
        <v>472</v>
      </c>
      <c r="M1306" s="128" t="s">
        <v>473</v>
      </c>
      <c r="N1306" s="128"/>
      <c r="O1306" s="128"/>
    </row>
    <row r="1307" spans="1:15">
      <c r="A1307" s="129" t="s">
        <v>387</v>
      </c>
      <c r="B1307" s="129"/>
      <c r="C1307" s="130" t="s">
        <v>478</v>
      </c>
      <c r="D1307" s="129" t="s">
        <v>471</v>
      </c>
      <c r="E1307" s="131">
        <v>55</v>
      </c>
      <c r="F1307" s="129" t="s">
        <v>391</v>
      </c>
      <c r="G1307" s="131"/>
      <c r="H1307" s="131">
        <v>28875</v>
      </c>
      <c r="I1307" s="132">
        <v>17728152.75</v>
      </c>
      <c r="J1307" s="133" t="s">
        <v>289</v>
      </c>
      <c r="K1307" s="133" t="s">
        <v>392</v>
      </c>
      <c r="L1307" s="133" t="s">
        <v>472</v>
      </c>
      <c r="M1307" s="133" t="s">
        <v>473</v>
      </c>
      <c r="N1307" s="133"/>
      <c r="O1307" s="133"/>
    </row>
    <row r="1308" spans="1:15">
      <c r="A1308" s="124" t="s">
        <v>387</v>
      </c>
      <c r="B1308" s="124"/>
      <c r="C1308" s="125" t="s">
        <v>478</v>
      </c>
      <c r="D1308" s="124" t="s">
        <v>471</v>
      </c>
      <c r="E1308" s="126">
        <v>50</v>
      </c>
      <c r="F1308" s="124" t="s">
        <v>391</v>
      </c>
      <c r="G1308" s="126"/>
      <c r="H1308" s="126">
        <v>26250</v>
      </c>
      <c r="I1308" s="127">
        <v>16116502.5</v>
      </c>
      <c r="J1308" s="128" t="s">
        <v>289</v>
      </c>
      <c r="K1308" s="128" t="s">
        <v>392</v>
      </c>
      <c r="L1308" s="128" t="s">
        <v>472</v>
      </c>
      <c r="M1308" s="128" t="s">
        <v>473</v>
      </c>
      <c r="N1308" s="128"/>
      <c r="O1308" s="128"/>
    </row>
    <row r="1309" spans="1:15">
      <c r="A1309" s="129" t="s">
        <v>387</v>
      </c>
      <c r="B1309" s="129"/>
      <c r="C1309" s="130" t="s">
        <v>478</v>
      </c>
      <c r="D1309" s="129" t="s">
        <v>471</v>
      </c>
      <c r="E1309" s="131">
        <v>55</v>
      </c>
      <c r="F1309" s="129" t="s">
        <v>391</v>
      </c>
      <c r="G1309" s="131"/>
      <c r="H1309" s="131">
        <v>28875</v>
      </c>
      <c r="I1309" s="132">
        <v>17728152.75</v>
      </c>
      <c r="J1309" s="133" t="s">
        <v>289</v>
      </c>
      <c r="K1309" s="133" t="s">
        <v>392</v>
      </c>
      <c r="L1309" s="133" t="s">
        <v>472</v>
      </c>
      <c r="M1309" s="133" t="s">
        <v>473</v>
      </c>
      <c r="N1309" s="133"/>
      <c r="O1309" s="133"/>
    </row>
    <row r="1310" spans="1:15">
      <c r="A1310" s="124" t="s">
        <v>387</v>
      </c>
      <c r="B1310" s="124"/>
      <c r="C1310" s="125" t="s">
        <v>479</v>
      </c>
      <c r="D1310" s="124" t="s">
        <v>471</v>
      </c>
      <c r="E1310" s="126">
        <v>50</v>
      </c>
      <c r="F1310" s="124" t="s">
        <v>391</v>
      </c>
      <c r="G1310" s="126"/>
      <c r="H1310" s="126">
        <v>26250</v>
      </c>
      <c r="I1310" s="127">
        <v>16116502.5</v>
      </c>
      <c r="J1310" s="128" t="s">
        <v>289</v>
      </c>
      <c r="K1310" s="128" t="s">
        <v>392</v>
      </c>
      <c r="L1310" s="128" t="s">
        <v>472</v>
      </c>
      <c r="M1310" s="128" t="s">
        <v>473</v>
      </c>
      <c r="N1310" s="128"/>
      <c r="O1310" s="128"/>
    </row>
    <row r="1311" spans="1:15">
      <c r="A1311" s="129" t="s">
        <v>387</v>
      </c>
      <c r="B1311" s="129"/>
      <c r="C1311" s="130" t="s">
        <v>479</v>
      </c>
      <c r="D1311" s="129" t="s">
        <v>471</v>
      </c>
      <c r="E1311" s="131">
        <v>50</v>
      </c>
      <c r="F1311" s="129" t="s">
        <v>391</v>
      </c>
      <c r="G1311" s="131"/>
      <c r="H1311" s="131">
        <v>26250</v>
      </c>
      <c r="I1311" s="132">
        <v>16116502.5</v>
      </c>
      <c r="J1311" s="133" t="s">
        <v>289</v>
      </c>
      <c r="K1311" s="133" t="s">
        <v>392</v>
      </c>
      <c r="L1311" s="133" t="s">
        <v>472</v>
      </c>
      <c r="M1311" s="133" t="s">
        <v>473</v>
      </c>
      <c r="N1311" s="133"/>
      <c r="O1311" s="133"/>
    </row>
    <row r="1312" spans="1:15">
      <c r="A1312" s="124" t="s">
        <v>387</v>
      </c>
      <c r="B1312" s="124"/>
      <c r="C1312" s="125" t="s">
        <v>479</v>
      </c>
      <c r="D1312" s="124" t="s">
        <v>471</v>
      </c>
      <c r="E1312" s="126">
        <v>50</v>
      </c>
      <c r="F1312" s="124" t="s">
        <v>391</v>
      </c>
      <c r="G1312" s="126"/>
      <c r="H1312" s="126">
        <v>26250</v>
      </c>
      <c r="I1312" s="127">
        <v>16116502.5</v>
      </c>
      <c r="J1312" s="128" t="s">
        <v>289</v>
      </c>
      <c r="K1312" s="128" t="s">
        <v>392</v>
      </c>
      <c r="L1312" s="128" t="s">
        <v>472</v>
      </c>
      <c r="M1312" s="128" t="s">
        <v>473</v>
      </c>
      <c r="N1312" s="128"/>
      <c r="O1312" s="128"/>
    </row>
    <row r="1313" spans="1:15">
      <c r="A1313" s="129" t="s">
        <v>387</v>
      </c>
      <c r="B1313" s="129"/>
      <c r="C1313" s="130" t="s">
        <v>479</v>
      </c>
      <c r="D1313" s="129" t="s">
        <v>471</v>
      </c>
      <c r="E1313" s="131">
        <v>55</v>
      </c>
      <c r="F1313" s="129" t="s">
        <v>391</v>
      </c>
      <c r="G1313" s="131"/>
      <c r="H1313" s="131">
        <v>28875</v>
      </c>
      <c r="I1313" s="132">
        <v>17728152.75</v>
      </c>
      <c r="J1313" s="133" t="s">
        <v>289</v>
      </c>
      <c r="K1313" s="133" t="s">
        <v>392</v>
      </c>
      <c r="L1313" s="133" t="s">
        <v>472</v>
      </c>
      <c r="M1313" s="133" t="s">
        <v>473</v>
      </c>
      <c r="N1313" s="133"/>
      <c r="O1313" s="133"/>
    </row>
    <row r="1314" spans="1:15">
      <c r="A1314" s="124" t="s">
        <v>387</v>
      </c>
      <c r="B1314" s="124"/>
      <c r="C1314" s="125" t="s">
        <v>479</v>
      </c>
      <c r="D1314" s="124" t="s">
        <v>471</v>
      </c>
      <c r="E1314" s="126">
        <v>55</v>
      </c>
      <c r="F1314" s="124" t="s">
        <v>391</v>
      </c>
      <c r="G1314" s="126"/>
      <c r="H1314" s="126">
        <v>28875</v>
      </c>
      <c r="I1314" s="127">
        <v>17728152.75</v>
      </c>
      <c r="J1314" s="128" t="s">
        <v>289</v>
      </c>
      <c r="K1314" s="128" t="s">
        <v>392</v>
      </c>
      <c r="L1314" s="128" t="s">
        <v>472</v>
      </c>
      <c r="M1314" s="128" t="s">
        <v>473</v>
      </c>
      <c r="N1314" s="128"/>
      <c r="O1314" s="128"/>
    </row>
    <row r="1315" spans="1:15">
      <c r="A1315" s="129" t="s">
        <v>387</v>
      </c>
      <c r="B1315" s="129"/>
      <c r="C1315" s="130" t="s">
        <v>479</v>
      </c>
      <c r="D1315" s="129" t="s">
        <v>471</v>
      </c>
      <c r="E1315" s="131">
        <v>50</v>
      </c>
      <c r="F1315" s="129" t="s">
        <v>391</v>
      </c>
      <c r="G1315" s="131"/>
      <c r="H1315" s="131">
        <v>26250</v>
      </c>
      <c r="I1315" s="132">
        <v>16116502.5</v>
      </c>
      <c r="J1315" s="133" t="s">
        <v>289</v>
      </c>
      <c r="K1315" s="133" t="s">
        <v>392</v>
      </c>
      <c r="L1315" s="133" t="s">
        <v>472</v>
      </c>
      <c r="M1315" s="133" t="s">
        <v>473</v>
      </c>
      <c r="N1315" s="133"/>
      <c r="O1315" s="133"/>
    </row>
    <row r="1316" spans="1:15">
      <c r="A1316" s="124" t="s">
        <v>387</v>
      </c>
      <c r="B1316" s="124"/>
      <c r="C1316" s="125" t="s">
        <v>479</v>
      </c>
      <c r="D1316" s="124" t="s">
        <v>471</v>
      </c>
      <c r="E1316" s="126">
        <v>5</v>
      </c>
      <c r="F1316" s="124" t="s">
        <v>391</v>
      </c>
      <c r="G1316" s="126"/>
      <c r="H1316" s="126">
        <v>2625</v>
      </c>
      <c r="I1316" s="127">
        <v>1611650.25</v>
      </c>
      <c r="J1316" s="128" t="s">
        <v>289</v>
      </c>
      <c r="K1316" s="128" t="s">
        <v>392</v>
      </c>
      <c r="L1316" s="128" t="s">
        <v>472</v>
      </c>
      <c r="M1316" s="128" t="s">
        <v>473</v>
      </c>
      <c r="N1316" s="128"/>
      <c r="O1316" s="128"/>
    </row>
    <row r="1317" spans="1:15">
      <c r="A1317" s="129" t="s">
        <v>387</v>
      </c>
      <c r="B1317" s="129"/>
      <c r="C1317" s="130" t="s">
        <v>479</v>
      </c>
      <c r="D1317" s="129" t="s">
        <v>471</v>
      </c>
      <c r="E1317" s="131">
        <v>50</v>
      </c>
      <c r="F1317" s="129" t="s">
        <v>391</v>
      </c>
      <c r="G1317" s="131"/>
      <c r="H1317" s="131">
        <v>26250</v>
      </c>
      <c r="I1317" s="132">
        <v>16116502.5</v>
      </c>
      <c r="J1317" s="133" t="s">
        <v>289</v>
      </c>
      <c r="K1317" s="133" t="s">
        <v>392</v>
      </c>
      <c r="L1317" s="133" t="s">
        <v>472</v>
      </c>
      <c r="M1317" s="133" t="s">
        <v>473</v>
      </c>
      <c r="N1317" s="133"/>
      <c r="O1317" s="133"/>
    </row>
    <row r="1318" spans="1:15">
      <c r="A1318" s="124" t="s">
        <v>387</v>
      </c>
      <c r="B1318" s="124"/>
      <c r="C1318" s="125" t="s">
        <v>479</v>
      </c>
      <c r="D1318" s="124" t="s">
        <v>471</v>
      </c>
      <c r="E1318" s="126">
        <v>5</v>
      </c>
      <c r="F1318" s="124" t="s">
        <v>391</v>
      </c>
      <c r="G1318" s="126"/>
      <c r="H1318" s="126">
        <v>2625</v>
      </c>
      <c r="I1318" s="127">
        <v>1611650.25</v>
      </c>
      <c r="J1318" s="128" t="s">
        <v>289</v>
      </c>
      <c r="K1318" s="128" t="s">
        <v>392</v>
      </c>
      <c r="L1318" s="128" t="s">
        <v>472</v>
      </c>
      <c r="M1318" s="128" t="s">
        <v>473</v>
      </c>
      <c r="N1318" s="128"/>
      <c r="O1318" s="128"/>
    </row>
    <row r="1319" spans="1:15">
      <c r="A1319" s="129" t="s">
        <v>387</v>
      </c>
      <c r="B1319" s="129"/>
      <c r="C1319" s="130" t="s">
        <v>479</v>
      </c>
      <c r="D1319" s="129" t="s">
        <v>471</v>
      </c>
      <c r="E1319" s="131">
        <v>5</v>
      </c>
      <c r="F1319" s="129" t="s">
        <v>391</v>
      </c>
      <c r="G1319" s="131"/>
      <c r="H1319" s="131">
        <v>2625</v>
      </c>
      <c r="I1319" s="132">
        <v>1611650.25</v>
      </c>
      <c r="J1319" s="133" t="s">
        <v>289</v>
      </c>
      <c r="K1319" s="133" t="s">
        <v>392</v>
      </c>
      <c r="L1319" s="133" t="s">
        <v>472</v>
      </c>
      <c r="M1319" s="133" t="s">
        <v>473</v>
      </c>
      <c r="N1319" s="133"/>
      <c r="O1319" s="133"/>
    </row>
    <row r="1320" spans="1:15">
      <c r="A1320" s="124" t="s">
        <v>387</v>
      </c>
      <c r="B1320" s="124"/>
      <c r="C1320" s="125" t="s">
        <v>479</v>
      </c>
      <c r="D1320" s="124" t="s">
        <v>471</v>
      </c>
      <c r="E1320" s="126">
        <v>50</v>
      </c>
      <c r="F1320" s="124" t="s">
        <v>391</v>
      </c>
      <c r="G1320" s="126"/>
      <c r="H1320" s="126">
        <v>26250</v>
      </c>
      <c r="I1320" s="127">
        <v>16116502.5</v>
      </c>
      <c r="J1320" s="128" t="s">
        <v>289</v>
      </c>
      <c r="K1320" s="128" t="s">
        <v>392</v>
      </c>
      <c r="L1320" s="128" t="s">
        <v>472</v>
      </c>
      <c r="M1320" s="128" t="s">
        <v>473</v>
      </c>
      <c r="N1320" s="128"/>
      <c r="O1320" s="128"/>
    </row>
    <row r="1321" spans="1:15">
      <c r="A1321" s="129" t="s">
        <v>387</v>
      </c>
      <c r="B1321" s="129"/>
      <c r="C1321" s="130" t="s">
        <v>479</v>
      </c>
      <c r="D1321" s="129" t="s">
        <v>471</v>
      </c>
      <c r="E1321" s="131">
        <v>50</v>
      </c>
      <c r="F1321" s="129" t="s">
        <v>391</v>
      </c>
      <c r="G1321" s="131"/>
      <c r="H1321" s="131">
        <v>26250</v>
      </c>
      <c r="I1321" s="132">
        <v>16116502.5</v>
      </c>
      <c r="J1321" s="133" t="s">
        <v>289</v>
      </c>
      <c r="K1321" s="133" t="s">
        <v>392</v>
      </c>
      <c r="L1321" s="133" t="s">
        <v>472</v>
      </c>
      <c r="M1321" s="133" t="s">
        <v>473</v>
      </c>
      <c r="N1321" s="133"/>
      <c r="O1321" s="133"/>
    </row>
    <row r="1322" spans="1:15">
      <c r="A1322" s="124" t="s">
        <v>387</v>
      </c>
      <c r="B1322" s="124"/>
      <c r="C1322" s="125" t="s">
        <v>479</v>
      </c>
      <c r="D1322" s="124" t="s">
        <v>471</v>
      </c>
      <c r="E1322" s="126">
        <v>55</v>
      </c>
      <c r="F1322" s="124" t="s">
        <v>391</v>
      </c>
      <c r="G1322" s="126"/>
      <c r="H1322" s="126">
        <v>28875</v>
      </c>
      <c r="I1322" s="127">
        <v>17728152.75</v>
      </c>
      <c r="J1322" s="128" t="s">
        <v>289</v>
      </c>
      <c r="K1322" s="128" t="s">
        <v>392</v>
      </c>
      <c r="L1322" s="128" t="s">
        <v>472</v>
      </c>
      <c r="M1322" s="128" t="s">
        <v>473</v>
      </c>
      <c r="N1322" s="128"/>
      <c r="O1322" s="128"/>
    </row>
    <row r="1323" spans="1:15">
      <c r="A1323" s="129" t="s">
        <v>387</v>
      </c>
      <c r="B1323" s="129"/>
      <c r="C1323" s="130" t="s">
        <v>479</v>
      </c>
      <c r="D1323" s="129" t="s">
        <v>471</v>
      </c>
      <c r="E1323" s="131">
        <v>50</v>
      </c>
      <c r="F1323" s="129" t="s">
        <v>391</v>
      </c>
      <c r="G1323" s="131"/>
      <c r="H1323" s="131">
        <v>26250</v>
      </c>
      <c r="I1323" s="132">
        <v>16116502.5</v>
      </c>
      <c r="J1323" s="133" t="s">
        <v>289</v>
      </c>
      <c r="K1323" s="133" t="s">
        <v>392</v>
      </c>
      <c r="L1323" s="133" t="s">
        <v>472</v>
      </c>
      <c r="M1323" s="133" t="s">
        <v>473</v>
      </c>
      <c r="N1323" s="133"/>
      <c r="O1323" s="133"/>
    </row>
    <row r="1324" spans="1:15">
      <c r="A1324" s="124" t="s">
        <v>387</v>
      </c>
      <c r="B1324" s="124"/>
      <c r="C1324" s="125" t="s">
        <v>479</v>
      </c>
      <c r="D1324" s="124" t="s">
        <v>471</v>
      </c>
      <c r="E1324" s="126">
        <v>50</v>
      </c>
      <c r="F1324" s="124" t="s">
        <v>391</v>
      </c>
      <c r="G1324" s="126"/>
      <c r="H1324" s="126">
        <v>26250</v>
      </c>
      <c r="I1324" s="127">
        <v>16116502.5</v>
      </c>
      <c r="J1324" s="128" t="s">
        <v>289</v>
      </c>
      <c r="K1324" s="128" t="s">
        <v>392</v>
      </c>
      <c r="L1324" s="128" t="s">
        <v>472</v>
      </c>
      <c r="M1324" s="128" t="s">
        <v>473</v>
      </c>
      <c r="N1324" s="128"/>
      <c r="O1324" s="128"/>
    </row>
    <row r="1325" spans="1:15">
      <c r="A1325" s="129" t="s">
        <v>387</v>
      </c>
      <c r="B1325" s="129"/>
      <c r="C1325" s="130" t="s">
        <v>479</v>
      </c>
      <c r="D1325" s="129" t="s">
        <v>471</v>
      </c>
      <c r="E1325" s="131">
        <v>5</v>
      </c>
      <c r="F1325" s="129" t="s">
        <v>391</v>
      </c>
      <c r="G1325" s="131"/>
      <c r="H1325" s="131">
        <v>2625</v>
      </c>
      <c r="I1325" s="132">
        <v>1611650.25</v>
      </c>
      <c r="J1325" s="133" t="s">
        <v>289</v>
      </c>
      <c r="K1325" s="133" t="s">
        <v>392</v>
      </c>
      <c r="L1325" s="133" t="s">
        <v>472</v>
      </c>
      <c r="M1325" s="133" t="s">
        <v>473</v>
      </c>
      <c r="N1325" s="133"/>
      <c r="O1325" s="133"/>
    </row>
    <row r="1326" spans="1:15">
      <c r="A1326" s="124" t="s">
        <v>387</v>
      </c>
      <c r="B1326" s="124"/>
      <c r="C1326" s="125" t="s">
        <v>479</v>
      </c>
      <c r="D1326" s="124" t="s">
        <v>471</v>
      </c>
      <c r="E1326" s="126">
        <v>5</v>
      </c>
      <c r="F1326" s="124" t="s">
        <v>391</v>
      </c>
      <c r="G1326" s="126"/>
      <c r="H1326" s="126">
        <v>2625</v>
      </c>
      <c r="I1326" s="127">
        <v>1611650.25</v>
      </c>
      <c r="J1326" s="128" t="s">
        <v>289</v>
      </c>
      <c r="K1326" s="128" t="s">
        <v>392</v>
      </c>
      <c r="L1326" s="128" t="s">
        <v>472</v>
      </c>
      <c r="M1326" s="128" t="s">
        <v>473</v>
      </c>
      <c r="N1326" s="128"/>
      <c r="O1326" s="128"/>
    </row>
    <row r="1327" spans="1:15">
      <c r="A1327" s="129" t="s">
        <v>387</v>
      </c>
      <c r="B1327" s="129"/>
      <c r="C1327" s="130" t="s">
        <v>479</v>
      </c>
      <c r="D1327" s="129" t="s">
        <v>471</v>
      </c>
      <c r="E1327" s="131">
        <v>55</v>
      </c>
      <c r="F1327" s="129" t="s">
        <v>391</v>
      </c>
      <c r="G1327" s="131"/>
      <c r="H1327" s="131">
        <v>28875</v>
      </c>
      <c r="I1327" s="132">
        <v>17728152.75</v>
      </c>
      <c r="J1327" s="133" t="s">
        <v>289</v>
      </c>
      <c r="K1327" s="133" t="s">
        <v>392</v>
      </c>
      <c r="L1327" s="133" t="s">
        <v>472</v>
      </c>
      <c r="M1327" s="133" t="s">
        <v>473</v>
      </c>
      <c r="N1327" s="133"/>
      <c r="O1327" s="133"/>
    </row>
    <row r="1328" spans="1:15">
      <c r="A1328" s="124" t="s">
        <v>387</v>
      </c>
      <c r="B1328" s="124"/>
      <c r="C1328" s="125" t="s">
        <v>480</v>
      </c>
      <c r="D1328" s="124" t="s">
        <v>471</v>
      </c>
      <c r="E1328" s="126">
        <v>5</v>
      </c>
      <c r="F1328" s="124" t="s">
        <v>391</v>
      </c>
      <c r="G1328" s="126"/>
      <c r="H1328" s="126">
        <v>2625</v>
      </c>
      <c r="I1328" s="127">
        <v>1611650.25</v>
      </c>
      <c r="J1328" s="128" t="s">
        <v>289</v>
      </c>
      <c r="K1328" s="128" t="s">
        <v>392</v>
      </c>
      <c r="L1328" s="128" t="s">
        <v>472</v>
      </c>
      <c r="M1328" s="128" t="s">
        <v>473</v>
      </c>
      <c r="N1328" s="128"/>
      <c r="O1328" s="128"/>
    </row>
    <row r="1329" spans="1:15">
      <c r="A1329" s="129" t="s">
        <v>387</v>
      </c>
      <c r="B1329" s="129"/>
      <c r="C1329" s="130" t="s">
        <v>480</v>
      </c>
      <c r="D1329" s="129" t="s">
        <v>471</v>
      </c>
      <c r="E1329" s="131">
        <v>50</v>
      </c>
      <c r="F1329" s="129" t="s">
        <v>391</v>
      </c>
      <c r="G1329" s="131"/>
      <c r="H1329" s="131">
        <v>26250</v>
      </c>
      <c r="I1329" s="132">
        <v>16116502.5</v>
      </c>
      <c r="J1329" s="133" t="s">
        <v>289</v>
      </c>
      <c r="K1329" s="133" t="s">
        <v>392</v>
      </c>
      <c r="L1329" s="133" t="s">
        <v>472</v>
      </c>
      <c r="M1329" s="133" t="s">
        <v>473</v>
      </c>
      <c r="N1329" s="133"/>
      <c r="O1329" s="133"/>
    </row>
    <row r="1330" spans="1:15">
      <c r="A1330" s="124" t="s">
        <v>387</v>
      </c>
      <c r="B1330" s="124"/>
      <c r="C1330" s="125" t="s">
        <v>480</v>
      </c>
      <c r="D1330" s="124" t="s">
        <v>471</v>
      </c>
      <c r="E1330" s="126">
        <v>50</v>
      </c>
      <c r="F1330" s="124" t="s">
        <v>391</v>
      </c>
      <c r="G1330" s="126"/>
      <c r="H1330" s="126">
        <v>26250</v>
      </c>
      <c r="I1330" s="127">
        <v>16116502.5</v>
      </c>
      <c r="J1330" s="128" t="s">
        <v>289</v>
      </c>
      <c r="K1330" s="128" t="s">
        <v>392</v>
      </c>
      <c r="L1330" s="128" t="s">
        <v>472</v>
      </c>
      <c r="M1330" s="128" t="s">
        <v>473</v>
      </c>
      <c r="N1330" s="128"/>
      <c r="O1330" s="128"/>
    </row>
    <row r="1331" spans="1:15">
      <c r="A1331" s="129" t="s">
        <v>387</v>
      </c>
      <c r="B1331" s="129"/>
      <c r="C1331" s="130" t="s">
        <v>480</v>
      </c>
      <c r="D1331" s="129" t="s">
        <v>471</v>
      </c>
      <c r="E1331" s="131">
        <v>50</v>
      </c>
      <c r="F1331" s="129" t="s">
        <v>391</v>
      </c>
      <c r="G1331" s="131"/>
      <c r="H1331" s="131">
        <v>26250</v>
      </c>
      <c r="I1331" s="132">
        <v>16116502.5</v>
      </c>
      <c r="J1331" s="133" t="s">
        <v>289</v>
      </c>
      <c r="K1331" s="133" t="s">
        <v>392</v>
      </c>
      <c r="L1331" s="133" t="s">
        <v>472</v>
      </c>
      <c r="M1331" s="133" t="s">
        <v>473</v>
      </c>
      <c r="N1331" s="133"/>
      <c r="O1331" s="133"/>
    </row>
    <row r="1332" spans="1:15">
      <c r="A1332" s="124" t="s">
        <v>387</v>
      </c>
      <c r="B1332" s="124"/>
      <c r="C1332" s="125" t="s">
        <v>480</v>
      </c>
      <c r="D1332" s="124" t="s">
        <v>471</v>
      </c>
      <c r="E1332" s="126">
        <v>10</v>
      </c>
      <c r="F1332" s="124" t="s">
        <v>391</v>
      </c>
      <c r="G1332" s="126"/>
      <c r="H1332" s="126">
        <v>5250</v>
      </c>
      <c r="I1332" s="127">
        <v>3223300.5</v>
      </c>
      <c r="J1332" s="128" t="s">
        <v>289</v>
      </c>
      <c r="K1332" s="128" t="s">
        <v>392</v>
      </c>
      <c r="L1332" s="128" t="s">
        <v>472</v>
      </c>
      <c r="M1332" s="128" t="s">
        <v>473</v>
      </c>
      <c r="N1332" s="128"/>
      <c r="O1332" s="128"/>
    </row>
    <row r="1333" spans="1:15">
      <c r="A1333" s="129" t="s">
        <v>387</v>
      </c>
      <c r="B1333" s="129"/>
      <c r="C1333" s="130" t="s">
        <v>480</v>
      </c>
      <c r="D1333" s="129" t="s">
        <v>471</v>
      </c>
      <c r="E1333" s="131">
        <v>50</v>
      </c>
      <c r="F1333" s="129" t="s">
        <v>391</v>
      </c>
      <c r="G1333" s="131"/>
      <c r="H1333" s="131">
        <v>26250</v>
      </c>
      <c r="I1333" s="132">
        <v>16116502.5</v>
      </c>
      <c r="J1333" s="133" t="s">
        <v>289</v>
      </c>
      <c r="K1333" s="133" t="s">
        <v>392</v>
      </c>
      <c r="L1333" s="133" t="s">
        <v>472</v>
      </c>
      <c r="M1333" s="133" t="s">
        <v>473</v>
      </c>
      <c r="N1333" s="133"/>
      <c r="O1333" s="133"/>
    </row>
    <row r="1334" spans="1:15">
      <c r="A1334" s="124" t="s">
        <v>387</v>
      </c>
      <c r="B1334" s="124"/>
      <c r="C1334" s="125" t="s">
        <v>481</v>
      </c>
      <c r="D1334" s="124" t="s">
        <v>407</v>
      </c>
      <c r="E1334" s="126">
        <v>50</v>
      </c>
      <c r="F1334" s="124" t="s">
        <v>391</v>
      </c>
      <c r="G1334" s="126"/>
      <c r="H1334" s="126">
        <v>25245.862121759979</v>
      </c>
      <c r="I1334" s="127">
        <v>15500000</v>
      </c>
      <c r="J1334" s="128" t="s">
        <v>289</v>
      </c>
      <c r="K1334" s="128" t="s">
        <v>392</v>
      </c>
      <c r="L1334" s="128" t="s">
        <v>401</v>
      </c>
      <c r="M1334" s="128" t="s">
        <v>261</v>
      </c>
      <c r="N1334" s="128"/>
      <c r="O1334" s="128"/>
    </row>
    <row r="1335" spans="1:15">
      <c r="A1335" s="129" t="s">
        <v>387</v>
      </c>
      <c r="B1335" s="129"/>
      <c r="C1335" s="130" t="s">
        <v>481</v>
      </c>
      <c r="D1335" s="129" t="s">
        <v>407</v>
      </c>
      <c r="E1335" s="131">
        <v>48</v>
      </c>
      <c r="F1335" s="129" t="s">
        <v>391</v>
      </c>
      <c r="G1335" s="131"/>
      <c r="H1335" s="131">
        <v>24236.027636889579</v>
      </c>
      <c r="I1335" s="132">
        <v>14880000</v>
      </c>
      <c r="J1335" s="133" t="s">
        <v>289</v>
      </c>
      <c r="K1335" s="133" t="s">
        <v>392</v>
      </c>
      <c r="L1335" s="133" t="s">
        <v>401</v>
      </c>
      <c r="M1335" s="133" t="s">
        <v>261</v>
      </c>
      <c r="N1335" s="133"/>
      <c r="O1335" s="133"/>
    </row>
    <row r="1336" spans="1:15">
      <c r="A1336" s="124" t="s">
        <v>387</v>
      </c>
      <c r="B1336" s="124"/>
      <c r="C1336" s="125" t="s">
        <v>481</v>
      </c>
      <c r="D1336" s="124" t="s">
        <v>407</v>
      </c>
      <c r="E1336" s="126">
        <v>48</v>
      </c>
      <c r="F1336" s="124" t="s">
        <v>391</v>
      </c>
      <c r="G1336" s="126"/>
      <c r="H1336" s="126">
        <v>24236.027636889579</v>
      </c>
      <c r="I1336" s="127">
        <v>14880000</v>
      </c>
      <c r="J1336" s="128" t="s">
        <v>289</v>
      </c>
      <c r="K1336" s="128" t="s">
        <v>392</v>
      </c>
      <c r="L1336" s="128" t="s">
        <v>401</v>
      </c>
      <c r="M1336" s="128" t="s">
        <v>261</v>
      </c>
      <c r="N1336" s="128"/>
      <c r="O1336" s="128"/>
    </row>
    <row r="1337" spans="1:15">
      <c r="A1337" s="129" t="s">
        <v>387</v>
      </c>
      <c r="B1337" s="129"/>
      <c r="C1337" s="130" t="s">
        <v>482</v>
      </c>
      <c r="D1337" s="129" t="s">
        <v>471</v>
      </c>
      <c r="E1337" s="131">
        <v>50</v>
      </c>
      <c r="F1337" s="129" t="s">
        <v>391</v>
      </c>
      <c r="G1337" s="131"/>
      <c r="H1337" s="131">
        <v>26250</v>
      </c>
      <c r="I1337" s="132">
        <v>16116502.5</v>
      </c>
      <c r="J1337" s="133" t="s">
        <v>289</v>
      </c>
      <c r="K1337" s="133" t="s">
        <v>392</v>
      </c>
      <c r="L1337" s="133" t="s">
        <v>472</v>
      </c>
      <c r="M1337" s="133" t="s">
        <v>473</v>
      </c>
      <c r="N1337" s="133"/>
      <c r="O1337" s="133"/>
    </row>
    <row r="1338" spans="1:15">
      <c r="A1338" s="124" t="s">
        <v>387</v>
      </c>
      <c r="B1338" s="124"/>
      <c r="C1338" s="125" t="s">
        <v>482</v>
      </c>
      <c r="D1338" s="124" t="s">
        <v>471</v>
      </c>
      <c r="E1338" s="126">
        <v>4</v>
      </c>
      <c r="F1338" s="124" t="s">
        <v>391</v>
      </c>
      <c r="G1338" s="126"/>
      <c r="H1338" s="126">
        <v>2100</v>
      </c>
      <c r="I1338" s="127">
        <v>1289320.2</v>
      </c>
      <c r="J1338" s="128" t="s">
        <v>289</v>
      </c>
      <c r="K1338" s="128" t="s">
        <v>392</v>
      </c>
      <c r="L1338" s="128" t="s">
        <v>472</v>
      </c>
      <c r="M1338" s="128" t="s">
        <v>473</v>
      </c>
      <c r="N1338" s="128"/>
      <c r="O1338" s="128"/>
    </row>
    <row r="1339" spans="1:15">
      <c r="A1339" s="129" t="s">
        <v>387</v>
      </c>
      <c r="B1339" s="129"/>
      <c r="C1339" s="130" t="s">
        <v>482</v>
      </c>
      <c r="D1339" s="129" t="s">
        <v>471</v>
      </c>
      <c r="E1339" s="131">
        <v>52</v>
      </c>
      <c r="F1339" s="129" t="s">
        <v>391</v>
      </c>
      <c r="G1339" s="131"/>
      <c r="H1339" s="131">
        <v>27300</v>
      </c>
      <c r="I1339" s="132">
        <v>16761162.6</v>
      </c>
      <c r="J1339" s="133" t="s">
        <v>289</v>
      </c>
      <c r="K1339" s="133" t="s">
        <v>392</v>
      </c>
      <c r="L1339" s="133" t="s">
        <v>472</v>
      </c>
      <c r="M1339" s="133" t="s">
        <v>473</v>
      </c>
      <c r="N1339" s="133"/>
      <c r="O1339" s="133"/>
    </row>
    <row r="1340" spans="1:15">
      <c r="A1340" s="124" t="s">
        <v>387</v>
      </c>
      <c r="B1340" s="124"/>
      <c r="C1340" s="125" t="s">
        <v>482</v>
      </c>
      <c r="D1340" s="124" t="s">
        <v>471</v>
      </c>
      <c r="E1340" s="126">
        <v>2</v>
      </c>
      <c r="F1340" s="124" t="s">
        <v>391</v>
      </c>
      <c r="G1340" s="126"/>
      <c r="H1340" s="126">
        <v>1050</v>
      </c>
      <c r="I1340" s="127">
        <v>644660.1</v>
      </c>
      <c r="J1340" s="128" t="s">
        <v>289</v>
      </c>
      <c r="K1340" s="128" t="s">
        <v>392</v>
      </c>
      <c r="L1340" s="128" t="s">
        <v>472</v>
      </c>
      <c r="M1340" s="128" t="s">
        <v>473</v>
      </c>
      <c r="N1340" s="128"/>
      <c r="O1340" s="128"/>
    </row>
    <row r="1341" spans="1:15">
      <c r="A1341" s="129" t="s">
        <v>387</v>
      </c>
      <c r="B1341" s="129"/>
      <c r="C1341" s="130" t="s">
        <v>482</v>
      </c>
      <c r="D1341" s="129" t="s">
        <v>471</v>
      </c>
      <c r="E1341" s="131">
        <v>5</v>
      </c>
      <c r="F1341" s="129" t="s">
        <v>391</v>
      </c>
      <c r="G1341" s="131"/>
      <c r="H1341" s="131">
        <v>2625</v>
      </c>
      <c r="I1341" s="132">
        <v>1611650.25</v>
      </c>
      <c r="J1341" s="133" t="s">
        <v>289</v>
      </c>
      <c r="K1341" s="133" t="s">
        <v>392</v>
      </c>
      <c r="L1341" s="133" t="s">
        <v>472</v>
      </c>
      <c r="M1341" s="133" t="s">
        <v>473</v>
      </c>
      <c r="N1341" s="133"/>
      <c r="O1341" s="133"/>
    </row>
    <row r="1342" spans="1:15">
      <c r="A1342" s="124" t="s">
        <v>387</v>
      </c>
      <c r="B1342" s="124"/>
      <c r="C1342" s="125" t="s">
        <v>482</v>
      </c>
      <c r="D1342" s="124" t="s">
        <v>471</v>
      </c>
      <c r="E1342" s="126">
        <v>50</v>
      </c>
      <c r="F1342" s="124" t="s">
        <v>391</v>
      </c>
      <c r="G1342" s="126"/>
      <c r="H1342" s="126">
        <v>26250</v>
      </c>
      <c r="I1342" s="127">
        <v>16116502.5</v>
      </c>
      <c r="J1342" s="128" t="s">
        <v>289</v>
      </c>
      <c r="K1342" s="128" t="s">
        <v>392</v>
      </c>
      <c r="L1342" s="128" t="s">
        <v>472</v>
      </c>
      <c r="M1342" s="128" t="s">
        <v>473</v>
      </c>
      <c r="N1342" s="128"/>
      <c r="O1342" s="128"/>
    </row>
    <row r="1343" spans="1:15">
      <c r="A1343" s="129" t="s">
        <v>387</v>
      </c>
      <c r="B1343" s="129"/>
      <c r="C1343" s="130" t="s">
        <v>482</v>
      </c>
      <c r="D1343" s="129" t="s">
        <v>471</v>
      </c>
      <c r="E1343" s="131">
        <v>52</v>
      </c>
      <c r="F1343" s="129" t="s">
        <v>391</v>
      </c>
      <c r="G1343" s="131"/>
      <c r="H1343" s="131">
        <v>27300</v>
      </c>
      <c r="I1343" s="132">
        <v>16761162.6</v>
      </c>
      <c r="J1343" s="133" t="s">
        <v>289</v>
      </c>
      <c r="K1343" s="133" t="s">
        <v>392</v>
      </c>
      <c r="L1343" s="133" t="s">
        <v>472</v>
      </c>
      <c r="M1343" s="133" t="s">
        <v>473</v>
      </c>
      <c r="N1343" s="133"/>
      <c r="O1343" s="133"/>
    </row>
    <row r="1344" spans="1:15">
      <c r="A1344" s="124" t="s">
        <v>387</v>
      </c>
      <c r="B1344" s="124"/>
      <c r="C1344" s="125" t="s">
        <v>481</v>
      </c>
      <c r="D1344" s="124" t="s">
        <v>390</v>
      </c>
      <c r="E1344" s="126">
        <v>9961.6149999999998</v>
      </c>
      <c r="F1344" s="124" t="s">
        <v>391</v>
      </c>
      <c r="G1344" s="126"/>
      <c r="H1344" s="126">
        <v>9443611.0199979804</v>
      </c>
      <c r="I1344" s="127">
        <v>5798018309.0600004</v>
      </c>
      <c r="J1344" s="128" t="s">
        <v>366</v>
      </c>
      <c r="K1344" s="128" t="s">
        <v>392</v>
      </c>
      <c r="L1344" s="128" t="s">
        <v>393</v>
      </c>
      <c r="M1344" s="128" t="s">
        <v>394</v>
      </c>
      <c r="N1344" s="128"/>
      <c r="O1344" s="128"/>
    </row>
    <row r="1345" spans="1:15">
      <c r="A1345" s="129" t="s">
        <v>387</v>
      </c>
      <c r="B1345" s="129"/>
      <c r="C1345" s="130" t="s">
        <v>481</v>
      </c>
      <c r="D1345" s="129" t="s">
        <v>471</v>
      </c>
      <c r="E1345" s="131">
        <v>2</v>
      </c>
      <c r="F1345" s="129" t="s">
        <v>391</v>
      </c>
      <c r="G1345" s="131"/>
      <c r="H1345" s="131">
        <v>1050</v>
      </c>
      <c r="I1345" s="132">
        <v>644660.1</v>
      </c>
      <c r="J1345" s="133" t="s">
        <v>289</v>
      </c>
      <c r="K1345" s="133" t="s">
        <v>392</v>
      </c>
      <c r="L1345" s="133" t="s">
        <v>472</v>
      </c>
      <c r="M1345" s="133" t="s">
        <v>473</v>
      </c>
      <c r="N1345" s="133"/>
      <c r="O1345" s="133"/>
    </row>
    <row r="1346" spans="1:15">
      <c r="A1346" s="124" t="s">
        <v>387</v>
      </c>
      <c r="B1346" s="124"/>
      <c r="C1346" s="125" t="s">
        <v>481</v>
      </c>
      <c r="D1346" s="124" t="s">
        <v>471</v>
      </c>
      <c r="E1346" s="126">
        <v>50</v>
      </c>
      <c r="F1346" s="124" t="s">
        <v>391</v>
      </c>
      <c r="G1346" s="126"/>
      <c r="H1346" s="126">
        <v>26250</v>
      </c>
      <c r="I1346" s="127">
        <v>16116502.5</v>
      </c>
      <c r="J1346" s="128" t="s">
        <v>289</v>
      </c>
      <c r="K1346" s="128" t="s">
        <v>392</v>
      </c>
      <c r="L1346" s="128" t="s">
        <v>472</v>
      </c>
      <c r="M1346" s="128" t="s">
        <v>473</v>
      </c>
      <c r="N1346" s="128"/>
      <c r="O1346" s="128"/>
    </row>
    <row r="1347" spans="1:15">
      <c r="A1347" s="129" t="s">
        <v>387</v>
      </c>
      <c r="B1347" s="129"/>
      <c r="C1347" s="130" t="s">
        <v>481</v>
      </c>
      <c r="D1347" s="129" t="s">
        <v>471</v>
      </c>
      <c r="E1347" s="131">
        <v>3</v>
      </c>
      <c r="F1347" s="129" t="s">
        <v>391</v>
      </c>
      <c r="G1347" s="131"/>
      <c r="H1347" s="131">
        <v>1575</v>
      </c>
      <c r="I1347" s="132">
        <v>966990.15</v>
      </c>
      <c r="J1347" s="133" t="s">
        <v>289</v>
      </c>
      <c r="K1347" s="133" t="s">
        <v>392</v>
      </c>
      <c r="L1347" s="133" t="s">
        <v>472</v>
      </c>
      <c r="M1347" s="133" t="s">
        <v>473</v>
      </c>
      <c r="N1347" s="133"/>
      <c r="O1347" s="133"/>
    </row>
    <row r="1348" spans="1:15">
      <c r="A1348" s="124" t="s">
        <v>387</v>
      </c>
      <c r="B1348" s="124"/>
      <c r="C1348" s="125" t="s">
        <v>481</v>
      </c>
      <c r="D1348" s="124" t="s">
        <v>471</v>
      </c>
      <c r="E1348" s="126">
        <v>1</v>
      </c>
      <c r="F1348" s="124" t="s">
        <v>391</v>
      </c>
      <c r="G1348" s="126"/>
      <c r="H1348" s="126">
        <v>525</v>
      </c>
      <c r="I1348" s="127">
        <v>322330.05</v>
      </c>
      <c r="J1348" s="128" t="s">
        <v>289</v>
      </c>
      <c r="K1348" s="128" t="s">
        <v>392</v>
      </c>
      <c r="L1348" s="128" t="s">
        <v>472</v>
      </c>
      <c r="M1348" s="128" t="s">
        <v>473</v>
      </c>
      <c r="N1348" s="128"/>
      <c r="O1348" s="128"/>
    </row>
    <row r="1349" spans="1:15">
      <c r="A1349" s="129" t="s">
        <v>387</v>
      </c>
      <c r="B1349" s="129"/>
      <c r="C1349" s="130" t="s">
        <v>481</v>
      </c>
      <c r="D1349" s="129" t="s">
        <v>471</v>
      </c>
      <c r="E1349" s="131">
        <v>1</v>
      </c>
      <c r="F1349" s="129" t="s">
        <v>391</v>
      </c>
      <c r="G1349" s="131"/>
      <c r="H1349" s="131">
        <v>525</v>
      </c>
      <c r="I1349" s="132">
        <v>322330.05</v>
      </c>
      <c r="J1349" s="133" t="s">
        <v>289</v>
      </c>
      <c r="K1349" s="133" t="s">
        <v>392</v>
      </c>
      <c r="L1349" s="133" t="s">
        <v>472</v>
      </c>
      <c r="M1349" s="133" t="s">
        <v>473</v>
      </c>
      <c r="N1349" s="133"/>
      <c r="O1349" s="133"/>
    </row>
    <row r="1350" spans="1:15">
      <c r="A1350" s="124" t="s">
        <v>387</v>
      </c>
      <c r="B1350" s="124"/>
      <c r="C1350" s="125" t="s">
        <v>481</v>
      </c>
      <c r="D1350" s="124" t="s">
        <v>471</v>
      </c>
      <c r="E1350" s="126">
        <v>3</v>
      </c>
      <c r="F1350" s="124" t="s">
        <v>391</v>
      </c>
      <c r="G1350" s="126"/>
      <c r="H1350" s="126">
        <v>1575</v>
      </c>
      <c r="I1350" s="127">
        <v>966990.15</v>
      </c>
      <c r="J1350" s="128" t="s">
        <v>289</v>
      </c>
      <c r="K1350" s="128" t="s">
        <v>392</v>
      </c>
      <c r="L1350" s="128" t="s">
        <v>472</v>
      </c>
      <c r="M1350" s="128" t="s">
        <v>473</v>
      </c>
      <c r="N1350" s="128"/>
      <c r="O1350" s="128"/>
    </row>
    <row r="1351" spans="1:15">
      <c r="A1351" s="129" t="s">
        <v>387</v>
      </c>
      <c r="B1351" s="129"/>
      <c r="C1351" s="130" t="s">
        <v>481</v>
      </c>
      <c r="D1351" s="129" t="s">
        <v>471</v>
      </c>
      <c r="E1351" s="131">
        <v>52</v>
      </c>
      <c r="F1351" s="129" t="s">
        <v>391</v>
      </c>
      <c r="G1351" s="131"/>
      <c r="H1351" s="131">
        <v>27300</v>
      </c>
      <c r="I1351" s="132">
        <v>16761162.6</v>
      </c>
      <c r="J1351" s="133" t="s">
        <v>289</v>
      </c>
      <c r="K1351" s="133" t="s">
        <v>392</v>
      </c>
      <c r="L1351" s="133" t="s">
        <v>472</v>
      </c>
      <c r="M1351" s="133" t="s">
        <v>473</v>
      </c>
      <c r="N1351" s="133"/>
      <c r="O1351" s="133"/>
    </row>
    <row r="1352" spans="1:15">
      <c r="A1352" s="124" t="s">
        <v>387</v>
      </c>
      <c r="B1352" s="124"/>
      <c r="C1352" s="125" t="s">
        <v>481</v>
      </c>
      <c r="D1352" s="124" t="s">
        <v>471</v>
      </c>
      <c r="E1352" s="126">
        <v>50</v>
      </c>
      <c r="F1352" s="124" t="s">
        <v>391</v>
      </c>
      <c r="G1352" s="126"/>
      <c r="H1352" s="126">
        <v>26250</v>
      </c>
      <c r="I1352" s="127">
        <v>16116502.5</v>
      </c>
      <c r="J1352" s="128" t="s">
        <v>289</v>
      </c>
      <c r="K1352" s="128" t="s">
        <v>392</v>
      </c>
      <c r="L1352" s="128" t="s">
        <v>472</v>
      </c>
      <c r="M1352" s="128" t="s">
        <v>473</v>
      </c>
      <c r="N1352" s="128"/>
      <c r="O1352" s="128"/>
    </row>
    <row r="1353" spans="1:15">
      <c r="A1353" s="129" t="s">
        <v>387</v>
      </c>
      <c r="B1353" s="129"/>
      <c r="C1353" s="130" t="s">
        <v>481</v>
      </c>
      <c r="D1353" s="129" t="s">
        <v>471</v>
      </c>
      <c r="E1353" s="131">
        <v>4</v>
      </c>
      <c r="F1353" s="129" t="s">
        <v>391</v>
      </c>
      <c r="G1353" s="131"/>
      <c r="H1353" s="131">
        <v>2100</v>
      </c>
      <c r="I1353" s="132">
        <v>1289320.2</v>
      </c>
      <c r="J1353" s="133" t="s">
        <v>289</v>
      </c>
      <c r="K1353" s="133" t="s">
        <v>392</v>
      </c>
      <c r="L1353" s="133" t="s">
        <v>472</v>
      </c>
      <c r="M1353" s="133" t="s">
        <v>473</v>
      </c>
      <c r="N1353" s="133"/>
      <c r="O1353" s="133"/>
    </row>
    <row r="1354" spans="1:15">
      <c r="A1354" s="124" t="s">
        <v>387</v>
      </c>
      <c r="B1354" s="124"/>
      <c r="C1354" s="125" t="s">
        <v>481</v>
      </c>
      <c r="D1354" s="124" t="s">
        <v>471</v>
      </c>
      <c r="E1354" s="126">
        <v>50</v>
      </c>
      <c r="F1354" s="124" t="s">
        <v>391</v>
      </c>
      <c r="G1354" s="126"/>
      <c r="H1354" s="126">
        <v>26250</v>
      </c>
      <c r="I1354" s="127">
        <v>16116502.5</v>
      </c>
      <c r="J1354" s="128" t="s">
        <v>289</v>
      </c>
      <c r="K1354" s="128" t="s">
        <v>392</v>
      </c>
      <c r="L1354" s="128" t="s">
        <v>472</v>
      </c>
      <c r="M1354" s="128" t="s">
        <v>473</v>
      </c>
      <c r="N1354" s="128"/>
      <c r="O1354" s="128"/>
    </row>
    <row r="1355" spans="1:15">
      <c r="A1355" s="129" t="s">
        <v>387</v>
      </c>
      <c r="B1355" s="129"/>
      <c r="C1355" s="130" t="s">
        <v>481</v>
      </c>
      <c r="D1355" s="129" t="s">
        <v>471</v>
      </c>
      <c r="E1355" s="131">
        <v>52</v>
      </c>
      <c r="F1355" s="129" t="s">
        <v>391</v>
      </c>
      <c r="G1355" s="131"/>
      <c r="H1355" s="131">
        <v>27300</v>
      </c>
      <c r="I1355" s="132">
        <v>16761162.6</v>
      </c>
      <c r="J1355" s="133" t="s">
        <v>289</v>
      </c>
      <c r="K1355" s="133" t="s">
        <v>392</v>
      </c>
      <c r="L1355" s="133" t="s">
        <v>472</v>
      </c>
      <c r="M1355" s="133" t="s">
        <v>473</v>
      </c>
      <c r="N1355" s="133"/>
      <c r="O1355" s="133"/>
    </row>
    <row r="1356" spans="1:15">
      <c r="A1356" s="124" t="s">
        <v>387</v>
      </c>
      <c r="B1356" s="124"/>
      <c r="C1356" s="125" t="s">
        <v>481</v>
      </c>
      <c r="D1356" s="124" t="s">
        <v>407</v>
      </c>
      <c r="E1356" s="126">
        <v>50</v>
      </c>
      <c r="F1356" s="124" t="s">
        <v>391</v>
      </c>
      <c r="G1356" s="126"/>
      <c r="H1356" s="126">
        <v>25245.862121759979</v>
      </c>
      <c r="I1356" s="127">
        <v>15500000</v>
      </c>
      <c r="J1356" s="128" t="s">
        <v>289</v>
      </c>
      <c r="K1356" s="128" t="s">
        <v>392</v>
      </c>
      <c r="L1356" s="128" t="s">
        <v>401</v>
      </c>
      <c r="M1356" s="128" t="s">
        <v>261</v>
      </c>
      <c r="N1356" s="128"/>
      <c r="O1356" s="128"/>
    </row>
    <row r="1357" spans="1:15">
      <c r="A1357" s="129" t="s">
        <v>387</v>
      </c>
      <c r="B1357" s="129"/>
      <c r="C1357" s="130" t="s">
        <v>481</v>
      </c>
      <c r="D1357" s="129" t="s">
        <v>407</v>
      </c>
      <c r="E1357" s="131">
        <v>50</v>
      </c>
      <c r="F1357" s="129" t="s">
        <v>391</v>
      </c>
      <c r="G1357" s="131"/>
      <c r="H1357" s="131">
        <v>25245.862121759979</v>
      </c>
      <c r="I1357" s="132">
        <v>15500000</v>
      </c>
      <c r="J1357" s="133" t="s">
        <v>289</v>
      </c>
      <c r="K1357" s="133" t="s">
        <v>392</v>
      </c>
      <c r="L1357" s="133" t="s">
        <v>401</v>
      </c>
      <c r="M1357" s="133" t="s">
        <v>261</v>
      </c>
      <c r="N1357" s="133"/>
      <c r="O1357" s="133"/>
    </row>
    <row r="1358" spans="1:15">
      <c r="A1358" s="124" t="s">
        <v>387</v>
      </c>
      <c r="B1358" s="124"/>
      <c r="C1358" s="125" t="s">
        <v>481</v>
      </c>
      <c r="D1358" s="124" t="s">
        <v>407</v>
      </c>
      <c r="E1358" s="126">
        <v>50</v>
      </c>
      <c r="F1358" s="124" t="s">
        <v>391</v>
      </c>
      <c r="G1358" s="126"/>
      <c r="H1358" s="126">
        <v>25245.862121759979</v>
      </c>
      <c r="I1358" s="127">
        <v>15500000</v>
      </c>
      <c r="J1358" s="128" t="s">
        <v>289</v>
      </c>
      <c r="K1358" s="128" t="s">
        <v>392</v>
      </c>
      <c r="L1358" s="128" t="s">
        <v>401</v>
      </c>
      <c r="M1358" s="128" t="s">
        <v>261</v>
      </c>
      <c r="N1358" s="128"/>
      <c r="O1358" s="128"/>
    </row>
    <row r="1359" spans="1:15">
      <c r="A1359" s="129" t="s">
        <v>387</v>
      </c>
      <c r="B1359" s="129"/>
      <c r="C1359" s="130" t="s">
        <v>481</v>
      </c>
      <c r="D1359" s="129" t="s">
        <v>407</v>
      </c>
      <c r="E1359" s="131">
        <v>50</v>
      </c>
      <c r="F1359" s="129" t="s">
        <v>391</v>
      </c>
      <c r="G1359" s="131"/>
      <c r="H1359" s="131">
        <v>25245.862121759979</v>
      </c>
      <c r="I1359" s="132">
        <v>15500000</v>
      </c>
      <c r="J1359" s="133" t="s">
        <v>289</v>
      </c>
      <c r="K1359" s="133" t="s">
        <v>392</v>
      </c>
      <c r="L1359" s="133" t="s">
        <v>401</v>
      </c>
      <c r="M1359" s="133" t="s">
        <v>261</v>
      </c>
      <c r="N1359" s="133"/>
      <c r="O1359" s="133"/>
    </row>
    <row r="1360" spans="1:15">
      <c r="A1360" s="124" t="s">
        <v>387</v>
      </c>
      <c r="B1360" s="124"/>
      <c r="C1360" s="125" t="s">
        <v>481</v>
      </c>
      <c r="D1360" s="124" t="s">
        <v>398</v>
      </c>
      <c r="E1360" s="126"/>
      <c r="F1360" s="124" t="s">
        <v>391</v>
      </c>
      <c r="G1360" s="126"/>
      <c r="H1360" s="126">
        <v>-82781.019997980329</v>
      </c>
      <c r="I1360" s="127">
        <v>-50824400.600000001</v>
      </c>
      <c r="J1360" s="128" t="s">
        <v>366</v>
      </c>
      <c r="K1360" s="128" t="s">
        <v>392</v>
      </c>
      <c r="L1360" s="128" t="s">
        <v>393</v>
      </c>
      <c r="M1360" s="128" t="s">
        <v>394</v>
      </c>
      <c r="N1360" s="128"/>
      <c r="O1360" s="128"/>
    </row>
    <row r="1361" spans="1:15">
      <c r="A1361" s="129" t="s">
        <v>387</v>
      </c>
      <c r="B1361" s="129"/>
      <c r="C1361" s="130" t="s">
        <v>483</v>
      </c>
      <c r="D1361" s="129" t="s">
        <v>407</v>
      </c>
      <c r="E1361" s="131">
        <v>48</v>
      </c>
      <c r="F1361" s="129" t="s">
        <v>391</v>
      </c>
      <c r="G1361" s="131"/>
      <c r="H1361" s="131">
        <v>24608.057154197264</v>
      </c>
      <c r="I1361" s="132">
        <v>14880000</v>
      </c>
      <c r="J1361" s="133" t="s">
        <v>289</v>
      </c>
      <c r="K1361" s="133" t="s">
        <v>392</v>
      </c>
      <c r="L1361" s="133" t="s">
        <v>401</v>
      </c>
      <c r="M1361" s="133" t="s">
        <v>261</v>
      </c>
      <c r="N1361" s="133"/>
      <c r="O1361" s="133"/>
    </row>
    <row r="1362" spans="1:15">
      <c r="A1362" s="124" t="s">
        <v>387</v>
      </c>
      <c r="B1362" s="124"/>
      <c r="C1362" s="125" t="s">
        <v>483</v>
      </c>
      <c r="D1362" s="124" t="s">
        <v>407</v>
      </c>
      <c r="E1362" s="126">
        <v>48</v>
      </c>
      <c r="F1362" s="124" t="s">
        <v>391</v>
      </c>
      <c r="G1362" s="126"/>
      <c r="H1362" s="126">
        <v>24608.057154197264</v>
      </c>
      <c r="I1362" s="127">
        <v>14880000</v>
      </c>
      <c r="J1362" s="128" t="s">
        <v>289</v>
      </c>
      <c r="K1362" s="128" t="s">
        <v>392</v>
      </c>
      <c r="L1362" s="128" t="s">
        <v>401</v>
      </c>
      <c r="M1362" s="128" t="s">
        <v>261</v>
      </c>
      <c r="N1362" s="128"/>
      <c r="O1362" s="128"/>
    </row>
    <row r="1363" spans="1:15">
      <c r="A1363" s="129" t="s">
        <v>387</v>
      </c>
      <c r="B1363" s="129"/>
      <c r="C1363" s="130" t="s">
        <v>483</v>
      </c>
      <c r="D1363" s="129" t="s">
        <v>407</v>
      </c>
      <c r="E1363" s="131">
        <v>48</v>
      </c>
      <c r="F1363" s="129" t="s">
        <v>391</v>
      </c>
      <c r="G1363" s="131"/>
      <c r="H1363" s="131">
        <v>24608.057154197264</v>
      </c>
      <c r="I1363" s="132">
        <v>14880000</v>
      </c>
      <c r="J1363" s="133" t="s">
        <v>289</v>
      </c>
      <c r="K1363" s="133" t="s">
        <v>392</v>
      </c>
      <c r="L1363" s="133" t="s">
        <v>401</v>
      </c>
      <c r="M1363" s="133" t="s">
        <v>261</v>
      </c>
      <c r="N1363" s="133"/>
      <c r="O1363" s="133"/>
    </row>
    <row r="1364" spans="1:15">
      <c r="A1364" s="124" t="s">
        <v>387</v>
      </c>
      <c r="B1364" s="124"/>
      <c r="C1364" s="125" t="s">
        <v>483</v>
      </c>
      <c r="D1364" s="124" t="s">
        <v>407</v>
      </c>
      <c r="E1364" s="126">
        <v>48</v>
      </c>
      <c r="F1364" s="124" t="s">
        <v>391</v>
      </c>
      <c r="G1364" s="126"/>
      <c r="H1364" s="126">
        <v>24608.057154197264</v>
      </c>
      <c r="I1364" s="127">
        <v>14880000</v>
      </c>
      <c r="J1364" s="128" t="s">
        <v>289</v>
      </c>
      <c r="K1364" s="128" t="s">
        <v>392</v>
      </c>
      <c r="L1364" s="128" t="s">
        <v>401</v>
      </c>
      <c r="M1364" s="128" t="s">
        <v>261</v>
      </c>
      <c r="N1364" s="128"/>
      <c r="O1364" s="128"/>
    </row>
    <row r="1365" spans="1:15">
      <c r="A1365" s="129" t="s">
        <v>387</v>
      </c>
      <c r="B1365" s="129"/>
      <c r="C1365" s="130" t="s">
        <v>483</v>
      </c>
      <c r="D1365" s="129" t="s">
        <v>407</v>
      </c>
      <c r="E1365" s="131">
        <v>48</v>
      </c>
      <c r="F1365" s="129" t="s">
        <v>391</v>
      </c>
      <c r="G1365" s="131"/>
      <c r="H1365" s="131">
        <v>24608.057154197264</v>
      </c>
      <c r="I1365" s="132">
        <v>14880000</v>
      </c>
      <c r="J1365" s="133" t="s">
        <v>289</v>
      </c>
      <c r="K1365" s="133" t="s">
        <v>392</v>
      </c>
      <c r="L1365" s="133" t="s">
        <v>401</v>
      </c>
      <c r="M1365" s="133" t="s">
        <v>261</v>
      </c>
      <c r="N1365" s="133"/>
      <c r="O1365" s="133"/>
    </row>
    <row r="1366" spans="1:15">
      <c r="A1366" s="124" t="s">
        <v>387</v>
      </c>
      <c r="B1366" s="124"/>
      <c r="C1366" s="125" t="s">
        <v>483</v>
      </c>
      <c r="D1366" s="124" t="s">
        <v>407</v>
      </c>
      <c r="E1366" s="126">
        <v>48</v>
      </c>
      <c r="F1366" s="124" t="s">
        <v>391</v>
      </c>
      <c r="G1366" s="126"/>
      <c r="H1366" s="126">
        <v>24608.057154197264</v>
      </c>
      <c r="I1366" s="127">
        <v>14880000</v>
      </c>
      <c r="J1366" s="128" t="s">
        <v>289</v>
      </c>
      <c r="K1366" s="128" t="s">
        <v>392</v>
      </c>
      <c r="L1366" s="128" t="s">
        <v>401</v>
      </c>
      <c r="M1366" s="128" t="s">
        <v>261</v>
      </c>
      <c r="N1366" s="128"/>
      <c r="O1366" s="128"/>
    </row>
    <row r="1367" spans="1:15">
      <c r="A1367" s="129" t="s">
        <v>387</v>
      </c>
      <c r="B1367" s="129"/>
      <c r="C1367" s="130" t="s">
        <v>483</v>
      </c>
      <c r="D1367" s="129" t="s">
        <v>407</v>
      </c>
      <c r="E1367" s="131">
        <v>50</v>
      </c>
      <c r="F1367" s="129" t="s">
        <v>391</v>
      </c>
      <c r="G1367" s="131"/>
      <c r="H1367" s="131">
        <v>25633.392868955481</v>
      </c>
      <c r="I1367" s="132">
        <v>15500000</v>
      </c>
      <c r="J1367" s="133" t="s">
        <v>289</v>
      </c>
      <c r="K1367" s="133" t="s">
        <v>392</v>
      </c>
      <c r="L1367" s="133" t="s">
        <v>401</v>
      </c>
      <c r="M1367" s="133" t="s">
        <v>261</v>
      </c>
      <c r="N1367" s="133"/>
      <c r="O1367" s="133"/>
    </row>
    <row r="1368" spans="1:15">
      <c r="A1368" s="124" t="s">
        <v>387</v>
      </c>
      <c r="B1368" s="124"/>
      <c r="C1368" s="125" t="s">
        <v>483</v>
      </c>
      <c r="D1368" s="124" t="s">
        <v>407</v>
      </c>
      <c r="E1368" s="126">
        <v>50</v>
      </c>
      <c r="F1368" s="124" t="s">
        <v>391</v>
      </c>
      <c r="G1368" s="126"/>
      <c r="H1368" s="126">
        <v>25633.392868955481</v>
      </c>
      <c r="I1368" s="127">
        <v>15500000</v>
      </c>
      <c r="J1368" s="128" t="s">
        <v>289</v>
      </c>
      <c r="K1368" s="128" t="s">
        <v>392</v>
      </c>
      <c r="L1368" s="128" t="s">
        <v>401</v>
      </c>
      <c r="M1368" s="128" t="s">
        <v>261</v>
      </c>
      <c r="N1368" s="128"/>
      <c r="O1368" s="128"/>
    </row>
    <row r="1369" spans="1:15">
      <c r="A1369" s="129" t="s">
        <v>387</v>
      </c>
      <c r="B1369" s="129"/>
      <c r="C1369" s="130" t="s">
        <v>483</v>
      </c>
      <c r="D1369" s="129" t="s">
        <v>407</v>
      </c>
      <c r="E1369" s="131">
        <v>48</v>
      </c>
      <c r="F1369" s="129" t="s">
        <v>391</v>
      </c>
      <c r="G1369" s="131"/>
      <c r="H1369" s="131">
        <v>24608.057154197264</v>
      </c>
      <c r="I1369" s="132">
        <v>14880000</v>
      </c>
      <c r="J1369" s="133" t="s">
        <v>289</v>
      </c>
      <c r="K1369" s="133" t="s">
        <v>392</v>
      </c>
      <c r="L1369" s="133" t="s">
        <v>401</v>
      </c>
      <c r="M1369" s="133" t="s">
        <v>261</v>
      </c>
      <c r="N1369" s="133"/>
      <c r="O1369" s="133"/>
    </row>
    <row r="1370" spans="1:15">
      <c r="A1370" s="124" t="s">
        <v>387</v>
      </c>
      <c r="B1370" s="124"/>
      <c r="C1370" s="125" t="s">
        <v>484</v>
      </c>
      <c r="D1370" s="124" t="s">
        <v>471</v>
      </c>
      <c r="E1370" s="126">
        <v>5</v>
      </c>
      <c r="F1370" s="124" t="s">
        <v>391</v>
      </c>
      <c r="G1370" s="126"/>
      <c r="H1370" s="126">
        <v>2625</v>
      </c>
      <c r="I1370" s="127">
        <v>1587285</v>
      </c>
      <c r="J1370" s="128" t="s">
        <v>289</v>
      </c>
      <c r="K1370" s="128" t="s">
        <v>392</v>
      </c>
      <c r="L1370" s="128" t="s">
        <v>472</v>
      </c>
      <c r="M1370" s="128" t="s">
        <v>473</v>
      </c>
      <c r="N1370" s="128"/>
      <c r="O1370" s="128"/>
    </row>
    <row r="1371" spans="1:15">
      <c r="A1371" s="129" t="s">
        <v>387</v>
      </c>
      <c r="B1371" s="129"/>
      <c r="C1371" s="130" t="s">
        <v>484</v>
      </c>
      <c r="D1371" s="129" t="s">
        <v>471</v>
      </c>
      <c r="E1371" s="131">
        <v>27</v>
      </c>
      <c r="F1371" s="129" t="s">
        <v>391</v>
      </c>
      <c r="G1371" s="131"/>
      <c r="H1371" s="131">
        <v>14175.000000000002</v>
      </c>
      <c r="I1371" s="132">
        <v>8571339</v>
      </c>
      <c r="J1371" s="133" t="s">
        <v>289</v>
      </c>
      <c r="K1371" s="133" t="s">
        <v>392</v>
      </c>
      <c r="L1371" s="133" t="s">
        <v>472</v>
      </c>
      <c r="M1371" s="133" t="s">
        <v>473</v>
      </c>
      <c r="N1371" s="133"/>
      <c r="O1371" s="133"/>
    </row>
    <row r="1372" spans="1:15">
      <c r="A1372" s="124" t="s">
        <v>387</v>
      </c>
      <c r="B1372" s="124"/>
      <c r="C1372" s="125" t="s">
        <v>484</v>
      </c>
      <c r="D1372" s="124" t="s">
        <v>471</v>
      </c>
      <c r="E1372" s="126">
        <v>5</v>
      </c>
      <c r="F1372" s="124" t="s">
        <v>391</v>
      </c>
      <c r="G1372" s="126"/>
      <c r="H1372" s="126">
        <v>2625</v>
      </c>
      <c r="I1372" s="127">
        <v>1587285</v>
      </c>
      <c r="J1372" s="128" t="s">
        <v>289</v>
      </c>
      <c r="K1372" s="128" t="s">
        <v>392</v>
      </c>
      <c r="L1372" s="128" t="s">
        <v>472</v>
      </c>
      <c r="M1372" s="128" t="s">
        <v>473</v>
      </c>
      <c r="N1372" s="128"/>
      <c r="O1372" s="128"/>
    </row>
    <row r="1373" spans="1:15">
      <c r="A1373" s="129" t="s">
        <v>387</v>
      </c>
      <c r="B1373" s="129"/>
      <c r="C1373" s="130" t="s">
        <v>484</v>
      </c>
      <c r="D1373" s="129" t="s">
        <v>471</v>
      </c>
      <c r="E1373" s="131">
        <v>5</v>
      </c>
      <c r="F1373" s="129" t="s">
        <v>391</v>
      </c>
      <c r="G1373" s="131"/>
      <c r="H1373" s="131">
        <v>2625</v>
      </c>
      <c r="I1373" s="132">
        <v>1587285</v>
      </c>
      <c r="J1373" s="133" t="s">
        <v>289</v>
      </c>
      <c r="K1373" s="133" t="s">
        <v>392</v>
      </c>
      <c r="L1373" s="133" t="s">
        <v>472</v>
      </c>
      <c r="M1373" s="133" t="s">
        <v>473</v>
      </c>
      <c r="N1373" s="133"/>
      <c r="O1373" s="133"/>
    </row>
    <row r="1374" spans="1:15">
      <c r="A1374" s="124" t="s">
        <v>387</v>
      </c>
      <c r="B1374" s="124"/>
      <c r="C1374" s="125" t="s">
        <v>484</v>
      </c>
      <c r="D1374" s="124" t="s">
        <v>407</v>
      </c>
      <c r="E1374" s="126">
        <v>50</v>
      </c>
      <c r="F1374" s="124" t="s">
        <v>391</v>
      </c>
      <c r="G1374" s="126"/>
      <c r="H1374" s="126">
        <v>25633.392868955481</v>
      </c>
      <c r="I1374" s="127">
        <v>15500000</v>
      </c>
      <c r="J1374" s="128" t="s">
        <v>289</v>
      </c>
      <c r="K1374" s="128" t="s">
        <v>392</v>
      </c>
      <c r="L1374" s="128" t="s">
        <v>401</v>
      </c>
      <c r="M1374" s="128" t="s">
        <v>261</v>
      </c>
      <c r="N1374" s="128"/>
      <c r="O1374" s="128"/>
    </row>
    <row r="1375" spans="1:15">
      <c r="A1375" s="129" t="s">
        <v>387</v>
      </c>
      <c r="B1375" s="129"/>
      <c r="C1375" s="130" t="s">
        <v>484</v>
      </c>
      <c r="D1375" s="129" t="s">
        <v>407</v>
      </c>
      <c r="E1375" s="131">
        <v>48</v>
      </c>
      <c r="F1375" s="129" t="s">
        <v>391</v>
      </c>
      <c r="G1375" s="131"/>
      <c r="H1375" s="131">
        <v>24608.057154197264</v>
      </c>
      <c r="I1375" s="132">
        <v>14880000</v>
      </c>
      <c r="J1375" s="133" t="s">
        <v>289</v>
      </c>
      <c r="K1375" s="133" t="s">
        <v>392</v>
      </c>
      <c r="L1375" s="133" t="s">
        <v>401</v>
      </c>
      <c r="M1375" s="133" t="s">
        <v>261</v>
      </c>
      <c r="N1375" s="133"/>
      <c r="O1375" s="133"/>
    </row>
    <row r="1376" spans="1:15">
      <c r="A1376" s="124" t="s">
        <v>387</v>
      </c>
      <c r="B1376" s="124"/>
      <c r="C1376" s="125" t="s">
        <v>485</v>
      </c>
      <c r="D1376" s="124" t="s">
        <v>407</v>
      </c>
      <c r="E1376" s="126">
        <v>50</v>
      </c>
      <c r="F1376" s="124" t="s">
        <v>391</v>
      </c>
      <c r="G1376" s="126"/>
      <c r="H1376" s="126">
        <v>25633.392868955481</v>
      </c>
      <c r="I1376" s="127">
        <v>15500000</v>
      </c>
      <c r="J1376" s="128" t="s">
        <v>289</v>
      </c>
      <c r="K1376" s="128" t="s">
        <v>392</v>
      </c>
      <c r="L1376" s="128" t="s">
        <v>401</v>
      </c>
      <c r="M1376" s="128" t="s">
        <v>261</v>
      </c>
      <c r="N1376" s="128"/>
      <c r="O1376" s="128"/>
    </row>
    <row r="1377" spans="1:15">
      <c r="A1377" s="129" t="s">
        <v>387</v>
      </c>
      <c r="B1377" s="129"/>
      <c r="C1377" s="130" t="s">
        <v>485</v>
      </c>
      <c r="D1377" s="129" t="s">
        <v>407</v>
      </c>
      <c r="E1377" s="131">
        <v>52</v>
      </c>
      <c r="F1377" s="129" t="s">
        <v>391</v>
      </c>
      <c r="G1377" s="131"/>
      <c r="H1377" s="131">
        <v>26658.728583713702</v>
      </c>
      <c r="I1377" s="132">
        <v>16120000</v>
      </c>
      <c r="J1377" s="133" t="s">
        <v>289</v>
      </c>
      <c r="K1377" s="133" t="s">
        <v>392</v>
      </c>
      <c r="L1377" s="133" t="s">
        <v>401</v>
      </c>
      <c r="M1377" s="133" t="s">
        <v>261</v>
      </c>
      <c r="N1377" s="133"/>
      <c r="O1377" s="133"/>
    </row>
    <row r="1378" spans="1:15">
      <c r="A1378" s="124" t="s">
        <v>387</v>
      </c>
      <c r="B1378" s="124"/>
      <c r="C1378" s="125" t="s">
        <v>485</v>
      </c>
      <c r="D1378" s="124" t="s">
        <v>407</v>
      </c>
      <c r="E1378" s="126">
        <v>50</v>
      </c>
      <c r="F1378" s="124" t="s">
        <v>391</v>
      </c>
      <c r="G1378" s="126"/>
      <c r="H1378" s="126">
        <v>25633.392868955481</v>
      </c>
      <c r="I1378" s="127">
        <v>15500000</v>
      </c>
      <c r="J1378" s="128" t="s">
        <v>289</v>
      </c>
      <c r="K1378" s="128" t="s">
        <v>392</v>
      </c>
      <c r="L1378" s="128" t="s">
        <v>401</v>
      </c>
      <c r="M1378" s="128" t="s">
        <v>261</v>
      </c>
      <c r="N1378" s="128"/>
      <c r="O1378" s="128"/>
    </row>
    <row r="1379" spans="1:15">
      <c r="A1379" s="129" t="s">
        <v>387</v>
      </c>
      <c r="B1379" s="129"/>
      <c r="C1379" s="130" t="s">
        <v>486</v>
      </c>
      <c r="D1379" s="129" t="s">
        <v>407</v>
      </c>
      <c r="E1379" s="131">
        <v>50</v>
      </c>
      <c r="F1379" s="129" t="s">
        <v>391</v>
      </c>
      <c r="G1379" s="131"/>
      <c r="H1379" s="131">
        <v>25633.392868955481</v>
      </c>
      <c r="I1379" s="132">
        <v>15500000</v>
      </c>
      <c r="J1379" s="133" t="s">
        <v>289</v>
      </c>
      <c r="K1379" s="133" t="s">
        <v>392</v>
      </c>
      <c r="L1379" s="133" t="s">
        <v>401</v>
      </c>
      <c r="M1379" s="133" t="s">
        <v>261</v>
      </c>
      <c r="N1379" s="133"/>
      <c r="O1379" s="133"/>
    </row>
    <row r="1380" spans="1:15">
      <c r="A1380" s="124" t="s">
        <v>387</v>
      </c>
      <c r="B1380" s="124"/>
      <c r="C1380" s="125" t="s">
        <v>486</v>
      </c>
      <c r="D1380" s="124" t="s">
        <v>407</v>
      </c>
      <c r="E1380" s="126">
        <v>52</v>
      </c>
      <c r="F1380" s="124" t="s">
        <v>391</v>
      </c>
      <c r="G1380" s="126"/>
      <c r="H1380" s="126">
        <v>26658.728583713702</v>
      </c>
      <c r="I1380" s="127">
        <v>16120000</v>
      </c>
      <c r="J1380" s="128" t="s">
        <v>289</v>
      </c>
      <c r="K1380" s="128" t="s">
        <v>392</v>
      </c>
      <c r="L1380" s="128" t="s">
        <v>401</v>
      </c>
      <c r="M1380" s="128" t="s">
        <v>261</v>
      </c>
      <c r="N1380" s="128"/>
      <c r="O1380" s="128"/>
    </row>
    <row r="1381" spans="1:15">
      <c r="A1381" s="129" t="s">
        <v>387</v>
      </c>
      <c r="B1381" s="129"/>
      <c r="C1381" s="130" t="s">
        <v>486</v>
      </c>
      <c r="D1381" s="129" t="s">
        <v>407</v>
      </c>
      <c r="E1381" s="131">
        <v>50</v>
      </c>
      <c r="F1381" s="129" t="s">
        <v>391</v>
      </c>
      <c r="G1381" s="131"/>
      <c r="H1381" s="131">
        <v>25633.392868955481</v>
      </c>
      <c r="I1381" s="132">
        <v>15500000</v>
      </c>
      <c r="J1381" s="133" t="s">
        <v>289</v>
      </c>
      <c r="K1381" s="133" t="s">
        <v>392</v>
      </c>
      <c r="L1381" s="133" t="s">
        <v>401</v>
      </c>
      <c r="M1381" s="133" t="s">
        <v>261</v>
      </c>
      <c r="N1381" s="133"/>
      <c r="O1381" s="133"/>
    </row>
    <row r="1382" spans="1:15">
      <c r="A1382" s="124" t="s">
        <v>387</v>
      </c>
      <c r="B1382" s="124"/>
      <c r="C1382" s="125" t="s">
        <v>486</v>
      </c>
      <c r="D1382" s="124" t="s">
        <v>407</v>
      </c>
      <c r="E1382" s="126">
        <v>52</v>
      </c>
      <c r="F1382" s="124" t="s">
        <v>391</v>
      </c>
      <c r="G1382" s="126"/>
      <c r="H1382" s="126">
        <v>26658.728583713702</v>
      </c>
      <c r="I1382" s="127">
        <v>16120000</v>
      </c>
      <c r="J1382" s="128" t="s">
        <v>289</v>
      </c>
      <c r="K1382" s="128" t="s">
        <v>392</v>
      </c>
      <c r="L1382" s="128" t="s">
        <v>401</v>
      </c>
      <c r="M1382" s="128" t="s">
        <v>261</v>
      </c>
      <c r="N1382" s="128"/>
      <c r="O1382" s="128"/>
    </row>
    <row r="1383" spans="1:15">
      <c r="A1383" s="129" t="s">
        <v>387</v>
      </c>
      <c r="B1383" s="129"/>
      <c r="C1383" s="130" t="s">
        <v>486</v>
      </c>
      <c r="D1383" s="129" t="s">
        <v>407</v>
      </c>
      <c r="E1383" s="131">
        <v>48</v>
      </c>
      <c r="F1383" s="129" t="s">
        <v>391</v>
      </c>
      <c r="G1383" s="131"/>
      <c r="H1383" s="131">
        <v>24608.057154197264</v>
      </c>
      <c r="I1383" s="132">
        <v>14880000</v>
      </c>
      <c r="J1383" s="133" t="s">
        <v>289</v>
      </c>
      <c r="K1383" s="133" t="s">
        <v>392</v>
      </c>
      <c r="L1383" s="133" t="s">
        <v>401</v>
      </c>
      <c r="M1383" s="133" t="s">
        <v>261</v>
      </c>
      <c r="N1383" s="133"/>
      <c r="O1383" s="133"/>
    </row>
    <row r="1384" spans="1:15">
      <c r="A1384" s="124" t="s">
        <v>387</v>
      </c>
      <c r="B1384" s="124"/>
      <c r="C1384" s="125" t="s">
        <v>486</v>
      </c>
      <c r="D1384" s="124" t="s">
        <v>407</v>
      </c>
      <c r="E1384" s="126">
        <v>50</v>
      </c>
      <c r="F1384" s="124" t="s">
        <v>391</v>
      </c>
      <c r="G1384" s="126"/>
      <c r="H1384" s="126">
        <v>25633.392868955481</v>
      </c>
      <c r="I1384" s="127">
        <v>15500000</v>
      </c>
      <c r="J1384" s="128" t="s">
        <v>289</v>
      </c>
      <c r="K1384" s="128" t="s">
        <v>392</v>
      </c>
      <c r="L1384" s="128" t="s">
        <v>401</v>
      </c>
      <c r="M1384" s="128" t="s">
        <v>261</v>
      </c>
      <c r="N1384" s="128"/>
      <c r="O1384" s="128"/>
    </row>
    <row r="1385" spans="1:15">
      <c r="A1385" s="129" t="s">
        <v>387</v>
      </c>
      <c r="B1385" s="129"/>
      <c r="C1385" s="130" t="s">
        <v>486</v>
      </c>
      <c r="D1385" s="129" t="s">
        <v>407</v>
      </c>
      <c r="E1385" s="131">
        <v>50</v>
      </c>
      <c r="F1385" s="129" t="s">
        <v>391</v>
      </c>
      <c r="G1385" s="131"/>
      <c r="H1385" s="131">
        <v>25633.392868955481</v>
      </c>
      <c r="I1385" s="132">
        <v>15500000</v>
      </c>
      <c r="J1385" s="133" t="s">
        <v>289</v>
      </c>
      <c r="K1385" s="133" t="s">
        <v>392</v>
      </c>
      <c r="L1385" s="133" t="s">
        <v>401</v>
      </c>
      <c r="M1385" s="133" t="s">
        <v>261</v>
      </c>
      <c r="N1385" s="133"/>
      <c r="O1385" s="133"/>
    </row>
    <row r="1386" spans="1:15">
      <c r="A1386" s="124" t="s">
        <v>387</v>
      </c>
      <c r="B1386" s="124"/>
      <c r="C1386" s="125" t="s">
        <v>486</v>
      </c>
      <c r="D1386" s="124" t="s">
        <v>407</v>
      </c>
      <c r="E1386" s="126">
        <v>50</v>
      </c>
      <c r="F1386" s="124" t="s">
        <v>391</v>
      </c>
      <c r="G1386" s="126"/>
      <c r="H1386" s="126">
        <v>25633.392868955481</v>
      </c>
      <c r="I1386" s="127">
        <v>15500000</v>
      </c>
      <c r="J1386" s="128" t="s">
        <v>289</v>
      </c>
      <c r="K1386" s="128" t="s">
        <v>392</v>
      </c>
      <c r="L1386" s="128" t="s">
        <v>401</v>
      </c>
      <c r="M1386" s="128" t="s">
        <v>261</v>
      </c>
      <c r="N1386" s="128"/>
      <c r="O1386" s="128"/>
    </row>
    <row r="1387" spans="1:15">
      <c r="A1387" s="129" t="s">
        <v>387</v>
      </c>
      <c r="B1387" s="129"/>
      <c r="C1387" s="130" t="s">
        <v>486</v>
      </c>
      <c r="D1387" s="129" t="s">
        <v>407</v>
      </c>
      <c r="E1387" s="131">
        <v>50</v>
      </c>
      <c r="F1387" s="129" t="s">
        <v>391</v>
      </c>
      <c r="G1387" s="131"/>
      <c r="H1387" s="131">
        <v>25633.392868955481</v>
      </c>
      <c r="I1387" s="132">
        <v>15500000</v>
      </c>
      <c r="J1387" s="133" t="s">
        <v>289</v>
      </c>
      <c r="K1387" s="133" t="s">
        <v>392</v>
      </c>
      <c r="L1387" s="133" t="s">
        <v>401</v>
      </c>
      <c r="M1387" s="133" t="s">
        <v>261</v>
      </c>
      <c r="N1387" s="133"/>
      <c r="O1387" s="133"/>
    </row>
    <row r="1388" spans="1:15">
      <c r="A1388" s="124" t="s">
        <v>387</v>
      </c>
      <c r="B1388" s="124"/>
      <c r="C1388" s="125" t="s">
        <v>486</v>
      </c>
      <c r="D1388" s="124" t="s">
        <v>407</v>
      </c>
      <c r="E1388" s="126">
        <v>50</v>
      </c>
      <c r="F1388" s="124" t="s">
        <v>391</v>
      </c>
      <c r="G1388" s="126"/>
      <c r="H1388" s="126">
        <v>25633.392868955481</v>
      </c>
      <c r="I1388" s="127">
        <v>15500000</v>
      </c>
      <c r="J1388" s="128" t="s">
        <v>289</v>
      </c>
      <c r="K1388" s="128" t="s">
        <v>392</v>
      </c>
      <c r="L1388" s="128" t="s">
        <v>401</v>
      </c>
      <c r="M1388" s="128" t="s">
        <v>261</v>
      </c>
      <c r="N1388" s="128"/>
      <c r="O1388" s="128"/>
    </row>
    <row r="1389" spans="1:15">
      <c r="A1389" s="129" t="s">
        <v>387</v>
      </c>
      <c r="B1389" s="129"/>
      <c r="C1389" s="130" t="s">
        <v>486</v>
      </c>
      <c r="D1389" s="129" t="s">
        <v>407</v>
      </c>
      <c r="E1389" s="131">
        <v>50</v>
      </c>
      <c r="F1389" s="129" t="s">
        <v>391</v>
      </c>
      <c r="G1389" s="131"/>
      <c r="H1389" s="131">
        <v>25633.392868955481</v>
      </c>
      <c r="I1389" s="132">
        <v>15500000</v>
      </c>
      <c r="J1389" s="133" t="s">
        <v>289</v>
      </c>
      <c r="K1389" s="133" t="s">
        <v>392</v>
      </c>
      <c r="L1389" s="133" t="s">
        <v>401</v>
      </c>
      <c r="M1389" s="133" t="s">
        <v>261</v>
      </c>
      <c r="N1389" s="133"/>
      <c r="O1389" s="133"/>
    </row>
    <row r="1390" spans="1:15">
      <c r="A1390" s="124" t="s">
        <v>387</v>
      </c>
      <c r="B1390" s="124"/>
      <c r="C1390" s="125" t="s">
        <v>486</v>
      </c>
      <c r="D1390" s="124" t="s">
        <v>407</v>
      </c>
      <c r="E1390" s="126">
        <v>48</v>
      </c>
      <c r="F1390" s="124" t="s">
        <v>391</v>
      </c>
      <c r="G1390" s="126"/>
      <c r="H1390" s="126">
        <v>24608.057154197264</v>
      </c>
      <c r="I1390" s="127">
        <v>14880000</v>
      </c>
      <c r="J1390" s="128" t="s">
        <v>289</v>
      </c>
      <c r="K1390" s="128" t="s">
        <v>392</v>
      </c>
      <c r="L1390" s="128" t="s">
        <v>401</v>
      </c>
      <c r="M1390" s="128" t="s">
        <v>261</v>
      </c>
      <c r="N1390" s="128"/>
      <c r="O1390" s="128"/>
    </row>
    <row r="1391" spans="1:15">
      <c r="A1391" s="129" t="s">
        <v>387</v>
      </c>
      <c r="B1391" s="129"/>
      <c r="C1391" s="130" t="s">
        <v>486</v>
      </c>
      <c r="D1391" s="129" t="s">
        <v>407</v>
      </c>
      <c r="E1391" s="131">
        <v>50</v>
      </c>
      <c r="F1391" s="129" t="s">
        <v>391</v>
      </c>
      <c r="G1391" s="131"/>
      <c r="H1391" s="131">
        <v>25633.392868955481</v>
      </c>
      <c r="I1391" s="132">
        <v>15500000</v>
      </c>
      <c r="J1391" s="133" t="s">
        <v>289</v>
      </c>
      <c r="K1391" s="133" t="s">
        <v>392</v>
      </c>
      <c r="L1391" s="133" t="s">
        <v>401</v>
      </c>
      <c r="M1391" s="133" t="s">
        <v>261</v>
      </c>
      <c r="N1391" s="133"/>
      <c r="O1391" s="133"/>
    </row>
    <row r="1392" spans="1:15">
      <c r="A1392" s="124" t="s">
        <v>387</v>
      </c>
      <c r="B1392" s="124"/>
      <c r="C1392" s="125" t="s">
        <v>487</v>
      </c>
      <c r="D1392" s="124" t="s">
        <v>407</v>
      </c>
      <c r="E1392" s="126">
        <v>52</v>
      </c>
      <c r="F1392" s="124" t="s">
        <v>391</v>
      </c>
      <c r="G1392" s="126"/>
      <c r="H1392" s="126">
        <v>26658.728583713702</v>
      </c>
      <c r="I1392" s="127">
        <v>16120000</v>
      </c>
      <c r="J1392" s="128" t="s">
        <v>289</v>
      </c>
      <c r="K1392" s="128" t="s">
        <v>392</v>
      </c>
      <c r="L1392" s="128" t="s">
        <v>401</v>
      </c>
      <c r="M1392" s="128" t="s">
        <v>261</v>
      </c>
      <c r="N1392" s="128"/>
      <c r="O1392" s="128"/>
    </row>
    <row r="1393" spans="1:15">
      <c r="A1393" s="129" t="s">
        <v>387</v>
      </c>
      <c r="B1393" s="129"/>
      <c r="C1393" s="130" t="s">
        <v>487</v>
      </c>
      <c r="D1393" s="129" t="s">
        <v>407</v>
      </c>
      <c r="E1393" s="131">
        <v>50</v>
      </c>
      <c r="F1393" s="129" t="s">
        <v>391</v>
      </c>
      <c r="G1393" s="131"/>
      <c r="H1393" s="131">
        <v>25633.392868955481</v>
      </c>
      <c r="I1393" s="132">
        <v>15500000</v>
      </c>
      <c r="J1393" s="133" t="s">
        <v>289</v>
      </c>
      <c r="K1393" s="133" t="s">
        <v>392</v>
      </c>
      <c r="L1393" s="133" t="s">
        <v>401</v>
      </c>
      <c r="M1393" s="133" t="s">
        <v>261</v>
      </c>
      <c r="N1393" s="133"/>
      <c r="O1393" s="133"/>
    </row>
    <row r="1394" spans="1:15">
      <c r="A1394" s="124" t="s">
        <v>387</v>
      </c>
      <c r="B1394" s="124"/>
      <c r="C1394" s="125" t="s">
        <v>488</v>
      </c>
      <c r="D1394" s="124" t="s">
        <v>407</v>
      </c>
      <c r="E1394" s="126">
        <v>48</v>
      </c>
      <c r="F1394" s="124" t="s">
        <v>391</v>
      </c>
      <c r="G1394" s="126"/>
      <c r="H1394" s="126">
        <v>24608.057154197264</v>
      </c>
      <c r="I1394" s="127">
        <v>14880000</v>
      </c>
      <c r="J1394" s="128" t="s">
        <v>289</v>
      </c>
      <c r="K1394" s="128" t="s">
        <v>392</v>
      </c>
      <c r="L1394" s="128" t="s">
        <v>401</v>
      </c>
      <c r="M1394" s="128" t="s">
        <v>261</v>
      </c>
      <c r="N1394" s="128"/>
      <c r="O1394" s="128"/>
    </row>
    <row r="1395" spans="1:15">
      <c r="A1395" s="129" t="s">
        <v>387</v>
      </c>
      <c r="B1395" s="129"/>
      <c r="C1395" s="130" t="s">
        <v>488</v>
      </c>
      <c r="D1395" s="129" t="s">
        <v>407</v>
      </c>
      <c r="E1395" s="131">
        <v>50</v>
      </c>
      <c r="F1395" s="129" t="s">
        <v>391</v>
      </c>
      <c r="G1395" s="131"/>
      <c r="H1395" s="131">
        <v>25633.392868955481</v>
      </c>
      <c r="I1395" s="132">
        <v>15500000</v>
      </c>
      <c r="J1395" s="133" t="s">
        <v>289</v>
      </c>
      <c r="K1395" s="133" t="s">
        <v>392</v>
      </c>
      <c r="L1395" s="133" t="s">
        <v>401</v>
      </c>
      <c r="M1395" s="133" t="s">
        <v>261</v>
      </c>
      <c r="N1395" s="133"/>
      <c r="O1395" s="133"/>
    </row>
    <row r="1396" spans="1:15">
      <c r="A1396" s="124" t="s">
        <v>387</v>
      </c>
      <c r="B1396" s="124"/>
      <c r="C1396" s="125" t="s">
        <v>488</v>
      </c>
      <c r="D1396" s="124" t="s">
        <v>407</v>
      </c>
      <c r="E1396" s="126">
        <v>50</v>
      </c>
      <c r="F1396" s="124" t="s">
        <v>391</v>
      </c>
      <c r="G1396" s="126"/>
      <c r="H1396" s="126">
        <v>25633.392868955481</v>
      </c>
      <c r="I1396" s="127">
        <v>15500000</v>
      </c>
      <c r="J1396" s="128" t="s">
        <v>289</v>
      </c>
      <c r="K1396" s="128" t="s">
        <v>392</v>
      </c>
      <c r="L1396" s="128" t="s">
        <v>401</v>
      </c>
      <c r="M1396" s="128" t="s">
        <v>261</v>
      </c>
      <c r="N1396" s="128"/>
      <c r="O1396" s="128"/>
    </row>
    <row r="1397" spans="1:15">
      <c r="A1397" s="129" t="s">
        <v>387</v>
      </c>
      <c r="B1397" s="129"/>
      <c r="C1397" s="130" t="s">
        <v>488</v>
      </c>
      <c r="D1397" s="129" t="s">
        <v>407</v>
      </c>
      <c r="E1397" s="131">
        <v>50</v>
      </c>
      <c r="F1397" s="129" t="s">
        <v>391</v>
      </c>
      <c r="G1397" s="131"/>
      <c r="H1397" s="131">
        <v>25633.392868955481</v>
      </c>
      <c r="I1397" s="132">
        <v>15500000</v>
      </c>
      <c r="J1397" s="133" t="s">
        <v>289</v>
      </c>
      <c r="K1397" s="133" t="s">
        <v>392</v>
      </c>
      <c r="L1397" s="133" t="s">
        <v>401</v>
      </c>
      <c r="M1397" s="133" t="s">
        <v>261</v>
      </c>
      <c r="N1397" s="133"/>
      <c r="O1397" s="133"/>
    </row>
    <row r="1398" spans="1:15">
      <c r="A1398" s="124" t="s">
        <v>387</v>
      </c>
      <c r="B1398" s="124"/>
      <c r="C1398" s="125" t="s">
        <v>488</v>
      </c>
      <c r="D1398" s="124" t="s">
        <v>407</v>
      </c>
      <c r="E1398" s="126">
        <v>50</v>
      </c>
      <c r="F1398" s="124" t="s">
        <v>391</v>
      </c>
      <c r="G1398" s="126"/>
      <c r="H1398" s="126">
        <v>25633.392868955481</v>
      </c>
      <c r="I1398" s="127">
        <v>15500000</v>
      </c>
      <c r="J1398" s="128" t="s">
        <v>289</v>
      </c>
      <c r="K1398" s="128" t="s">
        <v>392</v>
      </c>
      <c r="L1398" s="128" t="s">
        <v>401</v>
      </c>
      <c r="M1398" s="128" t="s">
        <v>261</v>
      </c>
      <c r="N1398" s="128"/>
      <c r="O1398" s="128"/>
    </row>
    <row r="1399" spans="1:15">
      <c r="A1399" s="129" t="s">
        <v>387</v>
      </c>
      <c r="B1399" s="129"/>
      <c r="C1399" s="130" t="s">
        <v>488</v>
      </c>
      <c r="D1399" s="129" t="s">
        <v>407</v>
      </c>
      <c r="E1399" s="131">
        <v>50</v>
      </c>
      <c r="F1399" s="129" t="s">
        <v>391</v>
      </c>
      <c r="G1399" s="131"/>
      <c r="H1399" s="131">
        <v>25633.392868955481</v>
      </c>
      <c r="I1399" s="132">
        <v>15500000</v>
      </c>
      <c r="J1399" s="133" t="s">
        <v>289</v>
      </c>
      <c r="K1399" s="133" t="s">
        <v>392</v>
      </c>
      <c r="L1399" s="133" t="s">
        <v>401</v>
      </c>
      <c r="M1399" s="133" t="s">
        <v>261</v>
      </c>
      <c r="N1399" s="133"/>
      <c r="O1399" s="133"/>
    </row>
    <row r="1400" spans="1:15">
      <c r="A1400" s="124" t="s">
        <v>387</v>
      </c>
      <c r="B1400" s="124"/>
      <c r="C1400" s="125" t="s">
        <v>488</v>
      </c>
      <c r="D1400" s="124" t="s">
        <v>407</v>
      </c>
      <c r="E1400" s="126">
        <v>50</v>
      </c>
      <c r="F1400" s="124" t="s">
        <v>391</v>
      </c>
      <c r="G1400" s="126"/>
      <c r="H1400" s="126">
        <v>25633.392868955481</v>
      </c>
      <c r="I1400" s="127">
        <v>15500000</v>
      </c>
      <c r="J1400" s="128" t="s">
        <v>289</v>
      </c>
      <c r="K1400" s="128" t="s">
        <v>392</v>
      </c>
      <c r="L1400" s="128" t="s">
        <v>401</v>
      </c>
      <c r="M1400" s="128" t="s">
        <v>261</v>
      </c>
      <c r="N1400" s="128"/>
      <c r="O1400" s="128"/>
    </row>
    <row r="1401" spans="1:15">
      <c r="A1401" s="129" t="s">
        <v>387</v>
      </c>
      <c r="B1401" s="129"/>
      <c r="C1401" s="130" t="s">
        <v>488</v>
      </c>
      <c r="D1401" s="129" t="s">
        <v>407</v>
      </c>
      <c r="E1401" s="131">
        <v>48</v>
      </c>
      <c r="F1401" s="129" t="s">
        <v>391</v>
      </c>
      <c r="G1401" s="131"/>
      <c r="H1401" s="131">
        <v>24608.057154197264</v>
      </c>
      <c r="I1401" s="132">
        <v>14880000</v>
      </c>
      <c r="J1401" s="133" t="s">
        <v>289</v>
      </c>
      <c r="K1401" s="133" t="s">
        <v>392</v>
      </c>
      <c r="L1401" s="133" t="s">
        <v>401</v>
      </c>
      <c r="M1401" s="133" t="s">
        <v>261</v>
      </c>
      <c r="N1401" s="133"/>
      <c r="O1401" s="133"/>
    </row>
    <row r="1402" spans="1:15">
      <c r="A1402" s="124" t="s">
        <v>387</v>
      </c>
      <c r="B1402" s="124"/>
      <c r="C1402" s="125" t="s">
        <v>489</v>
      </c>
      <c r="D1402" s="124" t="s">
        <v>407</v>
      </c>
      <c r="E1402" s="126">
        <v>48</v>
      </c>
      <c r="F1402" s="124" t="s">
        <v>391</v>
      </c>
      <c r="G1402" s="126"/>
      <c r="H1402" s="126">
        <v>24608.057154197264</v>
      </c>
      <c r="I1402" s="127">
        <v>14880000</v>
      </c>
      <c r="J1402" s="128" t="s">
        <v>289</v>
      </c>
      <c r="K1402" s="128" t="s">
        <v>392</v>
      </c>
      <c r="L1402" s="128" t="s">
        <v>401</v>
      </c>
      <c r="M1402" s="128" t="s">
        <v>261</v>
      </c>
      <c r="N1402" s="128"/>
      <c r="O1402" s="128"/>
    </row>
    <row r="1403" spans="1:15">
      <c r="A1403" s="129" t="s">
        <v>387</v>
      </c>
      <c r="B1403" s="129"/>
      <c r="C1403" s="130" t="s">
        <v>489</v>
      </c>
      <c r="D1403" s="129" t="s">
        <v>407</v>
      </c>
      <c r="E1403" s="131">
        <v>5</v>
      </c>
      <c r="F1403" s="129" t="s">
        <v>391</v>
      </c>
      <c r="G1403" s="131"/>
      <c r="H1403" s="131">
        <v>2563.3392868955484</v>
      </c>
      <c r="I1403" s="132">
        <v>1550000</v>
      </c>
      <c r="J1403" s="133" t="s">
        <v>289</v>
      </c>
      <c r="K1403" s="133" t="s">
        <v>392</v>
      </c>
      <c r="L1403" s="133" t="s">
        <v>401</v>
      </c>
      <c r="M1403" s="133" t="s">
        <v>261</v>
      </c>
      <c r="N1403" s="133"/>
      <c r="O1403" s="133"/>
    </row>
    <row r="1404" spans="1:15">
      <c r="A1404" s="124" t="s">
        <v>387</v>
      </c>
      <c r="B1404" s="124"/>
      <c r="C1404" s="125" t="s">
        <v>489</v>
      </c>
      <c r="D1404" s="124" t="s">
        <v>407</v>
      </c>
      <c r="E1404" s="126">
        <v>50</v>
      </c>
      <c r="F1404" s="124" t="s">
        <v>391</v>
      </c>
      <c r="G1404" s="126"/>
      <c r="H1404" s="126">
        <v>25633.392868955481</v>
      </c>
      <c r="I1404" s="127">
        <v>15500000</v>
      </c>
      <c r="J1404" s="128" t="s">
        <v>289</v>
      </c>
      <c r="K1404" s="128" t="s">
        <v>392</v>
      </c>
      <c r="L1404" s="128" t="s">
        <v>401</v>
      </c>
      <c r="M1404" s="128" t="s">
        <v>261</v>
      </c>
      <c r="N1404" s="128"/>
      <c r="O1404" s="128"/>
    </row>
    <row r="1405" spans="1:15">
      <c r="A1405" s="129" t="s">
        <v>387</v>
      </c>
      <c r="B1405" s="129"/>
      <c r="C1405" s="130" t="s">
        <v>489</v>
      </c>
      <c r="D1405" s="129" t="s">
        <v>407</v>
      </c>
      <c r="E1405" s="131">
        <v>50</v>
      </c>
      <c r="F1405" s="129" t="s">
        <v>391</v>
      </c>
      <c r="G1405" s="131"/>
      <c r="H1405" s="131">
        <v>25633.392868955481</v>
      </c>
      <c r="I1405" s="132">
        <v>15500000</v>
      </c>
      <c r="J1405" s="133" t="s">
        <v>289</v>
      </c>
      <c r="K1405" s="133" t="s">
        <v>392</v>
      </c>
      <c r="L1405" s="133" t="s">
        <v>401</v>
      </c>
      <c r="M1405" s="133" t="s">
        <v>261</v>
      </c>
      <c r="N1405" s="133"/>
      <c r="O1405" s="133"/>
    </row>
    <row r="1406" spans="1:15">
      <c r="A1406" s="124" t="s">
        <v>387</v>
      </c>
      <c r="B1406" s="124"/>
      <c r="C1406" s="125" t="s">
        <v>489</v>
      </c>
      <c r="D1406" s="124" t="s">
        <v>407</v>
      </c>
      <c r="E1406" s="126">
        <v>32</v>
      </c>
      <c r="F1406" s="124" t="s">
        <v>391</v>
      </c>
      <c r="G1406" s="126"/>
      <c r="H1406" s="126">
        <v>16405.371436131511</v>
      </c>
      <c r="I1406" s="127">
        <v>9920000</v>
      </c>
      <c r="J1406" s="128" t="s">
        <v>289</v>
      </c>
      <c r="K1406" s="128" t="s">
        <v>392</v>
      </c>
      <c r="L1406" s="128" t="s">
        <v>401</v>
      </c>
      <c r="M1406" s="128" t="s">
        <v>261</v>
      </c>
      <c r="N1406" s="128"/>
      <c r="O1406" s="128"/>
    </row>
    <row r="1407" spans="1:15">
      <c r="A1407" s="129" t="s">
        <v>387</v>
      </c>
      <c r="B1407" s="129"/>
      <c r="C1407" s="130" t="s">
        <v>489</v>
      </c>
      <c r="D1407" s="129" t="s">
        <v>407</v>
      </c>
      <c r="E1407" s="131">
        <v>5</v>
      </c>
      <c r="F1407" s="129" t="s">
        <v>391</v>
      </c>
      <c r="G1407" s="131"/>
      <c r="H1407" s="131">
        <v>2563.3392868955484</v>
      </c>
      <c r="I1407" s="132">
        <v>1550000</v>
      </c>
      <c r="J1407" s="133" t="s">
        <v>289</v>
      </c>
      <c r="K1407" s="133" t="s">
        <v>392</v>
      </c>
      <c r="L1407" s="133" t="s">
        <v>401</v>
      </c>
      <c r="M1407" s="133" t="s">
        <v>261</v>
      </c>
      <c r="N1407" s="133"/>
      <c r="O1407" s="133"/>
    </row>
    <row r="1408" spans="1:15">
      <c r="A1408" s="124" t="s">
        <v>387</v>
      </c>
      <c r="B1408" s="124"/>
      <c r="C1408" s="125" t="s">
        <v>489</v>
      </c>
      <c r="D1408" s="124" t="s">
        <v>407</v>
      </c>
      <c r="E1408" s="126">
        <v>50</v>
      </c>
      <c r="F1408" s="124" t="s">
        <v>391</v>
      </c>
      <c r="G1408" s="126"/>
      <c r="H1408" s="126">
        <v>25633.392868955481</v>
      </c>
      <c r="I1408" s="127">
        <v>15500000</v>
      </c>
      <c r="J1408" s="128" t="s">
        <v>289</v>
      </c>
      <c r="K1408" s="128" t="s">
        <v>392</v>
      </c>
      <c r="L1408" s="128" t="s">
        <v>401</v>
      </c>
      <c r="M1408" s="128" t="s">
        <v>261</v>
      </c>
      <c r="N1408" s="128"/>
      <c r="O1408" s="128"/>
    </row>
    <row r="1409" spans="1:15">
      <c r="A1409" s="129" t="s">
        <v>387</v>
      </c>
      <c r="B1409" s="129"/>
      <c r="C1409" s="130" t="s">
        <v>489</v>
      </c>
      <c r="D1409" s="129" t="s">
        <v>407</v>
      </c>
      <c r="E1409" s="131">
        <v>50</v>
      </c>
      <c r="F1409" s="129" t="s">
        <v>391</v>
      </c>
      <c r="G1409" s="131"/>
      <c r="H1409" s="131">
        <v>25633.392868955481</v>
      </c>
      <c r="I1409" s="132">
        <v>15500000</v>
      </c>
      <c r="J1409" s="133" t="s">
        <v>289</v>
      </c>
      <c r="K1409" s="133" t="s">
        <v>392</v>
      </c>
      <c r="L1409" s="133" t="s">
        <v>401</v>
      </c>
      <c r="M1409" s="133" t="s">
        <v>261</v>
      </c>
      <c r="N1409" s="133"/>
      <c r="O1409" s="133"/>
    </row>
    <row r="1410" spans="1:15">
      <c r="A1410" s="124" t="s">
        <v>387</v>
      </c>
      <c r="B1410" s="124"/>
      <c r="C1410" s="125" t="s">
        <v>490</v>
      </c>
      <c r="D1410" s="124" t="s">
        <v>407</v>
      </c>
      <c r="E1410" s="126">
        <v>50</v>
      </c>
      <c r="F1410" s="124" t="s">
        <v>391</v>
      </c>
      <c r="G1410" s="126"/>
      <c r="H1410" s="126">
        <v>25633.392868955481</v>
      </c>
      <c r="I1410" s="127">
        <v>15500000</v>
      </c>
      <c r="J1410" s="128" t="s">
        <v>289</v>
      </c>
      <c r="K1410" s="128" t="s">
        <v>392</v>
      </c>
      <c r="L1410" s="128" t="s">
        <v>401</v>
      </c>
      <c r="M1410" s="128" t="s">
        <v>261</v>
      </c>
      <c r="N1410" s="128"/>
      <c r="O1410" s="128"/>
    </row>
    <row r="1411" spans="1:15">
      <c r="A1411" s="129" t="s">
        <v>387</v>
      </c>
      <c r="B1411" s="129"/>
      <c r="C1411" s="130" t="s">
        <v>490</v>
      </c>
      <c r="D1411" s="129" t="s">
        <v>407</v>
      </c>
      <c r="E1411" s="131">
        <v>50</v>
      </c>
      <c r="F1411" s="129" t="s">
        <v>391</v>
      </c>
      <c r="G1411" s="131"/>
      <c r="H1411" s="131">
        <v>25633.392868955481</v>
      </c>
      <c r="I1411" s="132">
        <v>15500000</v>
      </c>
      <c r="J1411" s="133" t="s">
        <v>289</v>
      </c>
      <c r="K1411" s="133" t="s">
        <v>392</v>
      </c>
      <c r="L1411" s="133" t="s">
        <v>401</v>
      </c>
      <c r="M1411" s="133" t="s">
        <v>261</v>
      </c>
      <c r="N1411" s="133"/>
      <c r="O1411" s="133"/>
    </row>
    <row r="1412" spans="1:15">
      <c r="A1412" s="124" t="s">
        <v>387</v>
      </c>
      <c r="B1412" s="124"/>
      <c r="C1412" s="125" t="s">
        <v>490</v>
      </c>
      <c r="D1412" s="124" t="s">
        <v>407</v>
      </c>
      <c r="E1412" s="126">
        <v>5</v>
      </c>
      <c r="F1412" s="124" t="s">
        <v>391</v>
      </c>
      <c r="G1412" s="126"/>
      <c r="H1412" s="126">
        <v>2563.3392868955484</v>
      </c>
      <c r="I1412" s="127">
        <v>1550000</v>
      </c>
      <c r="J1412" s="128" t="s">
        <v>289</v>
      </c>
      <c r="K1412" s="128" t="s">
        <v>392</v>
      </c>
      <c r="L1412" s="128" t="s">
        <v>401</v>
      </c>
      <c r="M1412" s="128" t="s">
        <v>261</v>
      </c>
      <c r="N1412" s="128"/>
      <c r="O1412" s="128"/>
    </row>
    <row r="1413" spans="1:15">
      <c r="A1413" s="129" t="s">
        <v>387</v>
      </c>
      <c r="B1413" s="129"/>
      <c r="C1413" s="130" t="s">
        <v>490</v>
      </c>
      <c r="D1413" s="129" t="s">
        <v>407</v>
      </c>
      <c r="E1413" s="131">
        <v>5</v>
      </c>
      <c r="F1413" s="129" t="s">
        <v>391</v>
      </c>
      <c r="G1413" s="131"/>
      <c r="H1413" s="131">
        <v>2563.3392868955484</v>
      </c>
      <c r="I1413" s="132">
        <v>1550000</v>
      </c>
      <c r="J1413" s="133" t="s">
        <v>289</v>
      </c>
      <c r="K1413" s="133" t="s">
        <v>392</v>
      </c>
      <c r="L1413" s="133" t="s">
        <v>401</v>
      </c>
      <c r="M1413" s="133" t="s">
        <v>261</v>
      </c>
      <c r="N1413" s="133"/>
      <c r="O1413" s="133"/>
    </row>
    <row r="1414" spans="1:15">
      <c r="A1414" s="124" t="s">
        <v>387</v>
      </c>
      <c r="B1414" s="124"/>
      <c r="C1414" s="125" t="s">
        <v>490</v>
      </c>
      <c r="D1414" s="124" t="s">
        <v>407</v>
      </c>
      <c r="E1414" s="126">
        <v>50</v>
      </c>
      <c r="F1414" s="124" t="s">
        <v>391</v>
      </c>
      <c r="G1414" s="126"/>
      <c r="H1414" s="126">
        <v>25633.392868955481</v>
      </c>
      <c r="I1414" s="127">
        <v>15500000</v>
      </c>
      <c r="J1414" s="128" t="s">
        <v>289</v>
      </c>
      <c r="K1414" s="128" t="s">
        <v>392</v>
      </c>
      <c r="L1414" s="128" t="s">
        <v>401</v>
      </c>
      <c r="M1414" s="128" t="s">
        <v>261</v>
      </c>
      <c r="N1414" s="128"/>
      <c r="O1414" s="128"/>
    </row>
    <row r="1415" spans="1:15">
      <c r="A1415" s="129" t="s">
        <v>387</v>
      </c>
      <c r="B1415" s="129"/>
      <c r="C1415" s="130" t="s">
        <v>490</v>
      </c>
      <c r="D1415" s="129" t="s">
        <v>407</v>
      </c>
      <c r="E1415" s="131">
        <v>48</v>
      </c>
      <c r="F1415" s="129" t="s">
        <v>391</v>
      </c>
      <c r="G1415" s="131"/>
      <c r="H1415" s="131">
        <v>24608.057154197264</v>
      </c>
      <c r="I1415" s="132">
        <v>14880000</v>
      </c>
      <c r="J1415" s="133" t="s">
        <v>289</v>
      </c>
      <c r="K1415" s="133" t="s">
        <v>392</v>
      </c>
      <c r="L1415" s="133" t="s">
        <v>401</v>
      </c>
      <c r="M1415" s="133" t="s">
        <v>261</v>
      </c>
      <c r="N1415" s="133"/>
      <c r="O1415" s="133"/>
    </row>
    <row r="1416" spans="1:15">
      <c r="A1416" s="124" t="s">
        <v>387</v>
      </c>
      <c r="B1416" s="124"/>
      <c r="C1416" s="125" t="s">
        <v>490</v>
      </c>
      <c r="D1416" s="124" t="s">
        <v>407</v>
      </c>
      <c r="E1416" s="126">
        <v>49</v>
      </c>
      <c r="F1416" s="124" t="s">
        <v>391</v>
      </c>
      <c r="G1416" s="126"/>
      <c r="H1416" s="126">
        <v>25120.725011576375</v>
      </c>
      <c r="I1416" s="127">
        <v>15190000</v>
      </c>
      <c r="J1416" s="128" t="s">
        <v>289</v>
      </c>
      <c r="K1416" s="128" t="s">
        <v>392</v>
      </c>
      <c r="L1416" s="128" t="s">
        <v>401</v>
      </c>
      <c r="M1416" s="128" t="s">
        <v>261</v>
      </c>
      <c r="N1416" s="128"/>
      <c r="O1416" s="128"/>
    </row>
    <row r="1417" spans="1:15">
      <c r="A1417" s="129" t="s">
        <v>387</v>
      </c>
      <c r="B1417" s="129"/>
      <c r="C1417" s="130" t="s">
        <v>490</v>
      </c>
      <c r="D1417" s="129" t="s">
        <v>407</v>
      </c>
      <c r="E1417" s="131">
        <v>50</v>
      </c>
      <c r="F1417" s="129" t="s">
        <v>391</v>
      </c>
      <c r="G1417" s="131"/>
      <c r="H1417" s="131">
        <v>25633.392868955481</v>
      </c>
      <c r="I1417" s="132">
        <v>15500000</v>
      </c>
      <c r="J1417" s="133" t="s">
        <v>289</v>
      </c>
      <c r="K1417" s="133" t="s">
        <v>392</v>
      </c>
      <c r="L1417" s="133" t="s">
        <v>401</v>
      </c>
      <c r="M1417" s="133" t="s">
        <v>261</v>
      </c>
      <c r="N1417" s="133"/>
      <c r="O1417" s="133"/>
    </row>
    <row r="1418" spans="1:15">
      <c r="A1418" s="124" t="s">
        <v>387</v>
      </c>
      <c r="B1418" s="124"/>
      <c r="C1418" s="125" t="s">
        <v>491</v>
      </c>
      <c r="D1418" s="124" t="s">
        <v>400</v>
      </c>
      <c r="E1418" s="126">
        <v>50</v>
      </c>
      <c r="F1418" s="124" t="s">
        <v>391</v>
      </c>
      <c r="G1418" s="126"/>
      <c r="H1418" s="126">
        <v>7028.5109479394068</v>
      </c>
      <c r="I1418" s="127">
        <v>4250000</v>
      </c>
      <c r="J1418" s="128" t="s">
        <v>289</v>
      </c>
      <c r="K1418" s="128" t="s">
        <v>392</v>
      </c>
      <c r="L1418" s="128" t="s">
        <v>401</v>
      </c>
      <c r="M1418" s="128" t="s">
        <v>261</v>
      </c>
      <c r="N1418" s="128"/>
      <c r="O1418" s="128"/>
    </row>
    <row r="1419" spans="1:15">
      <c r="A1419" s="129" t="s">
        <v>387</v>
      </c>
      <c r="B1419" s="129"/>
      <c r="C1419" s="130" t="s">
        <v>492</v>
      </c>
      <c r="D1419" s="129" t="s">
        <v>390</v>
      </c>
      <c r="E1419" s="131">
        <v>17662.384999999998</v>
      </c>
      <c r="F1419" s="129" t="s">
        <v>391</v>
      </c>
      <c r="G1419" s="131"/>
      <c r="H1419" s="131">
        <v>16743940.980005957</v>
      </c>
      <c r="I1419" s="132">
        <v>10124726231.790001</v>
      </c>
      <c r="J1419" s="133" t="s">
        <v>366</v>
      </c>
      <c r="K1419" s="133" t="s">
        <v>392</v>
      </c>
      <c r="L1419" s="133" t="s">
        <v>393</v>
      </c>
      <c r="M1419" s="133" t="s">
        <v>394</v>
      </c>
      <c r="N1419" s="133"/>
      <c r="O1419" s="133"/>
    </row>
    <row r="1420" spans="1:15">
      <c r="A1420" s="124" t="s">
        <v>387</v>
      </c>
      <c r="B1420" s="124"/>
      <c r="C1420" s="125" t="s">
        <v>493</v>
      </c>
      <c r="D1420" s="124" t="s">
        <v>390</v>
      </c>
      <c r="E1420" s="126">
        <v>12246.819</v>
      </c>
      <c r="F1420" s="124" t="s">
        <v>391</v>
      </c>
      <c r="G1420" s="126"/>
      <c r="H1420" s="126">
        <v>11609984.410001986</v>
      </c>
      <c r="I1420" s="127">
        <v>7020325373.04</v>
      </c>
      <c r="J1420" s="128" t="s">
        <v>366</v>
      </c>
      <c r="K1420" s="128" t="s">
        <v>392</v>
      </c>
      <c r="L1420" s="128" t="s">
        <v>393</v>
      </c>
      <c r="M1420" s="128" t="s">
        <v>394</v>
      </c>
      <c r="N1420" s="128"/>
      <c r="O1420" s="128"/>
    </row>
    <row r="1421" spans="1:15">
      <c r="A1421" s="129" t="s">
        <v>387</v>
      </c>
      <c r="B1421" s="129"/>
      <c r="C1421" s="130" t="s">
        <v>493</v>
      </c>
      <c r="D1421" s="129" t="s">
        <v>390</v>
      </c>
      <c r="E1421" s="131">
        <v>3830</v>
      </c>
      <c r="F1421" s="129" t="s">
        <v>391</v>
      </c>
      <c r="G1421" s="131"/>
      <c r="H1421" s="131">
        <v>3630840</v>
      </c>
      <c r="I1421" s="132">
        <v>2195496331.1999998</v>
      </c>
      <c r="J1421" s="133" t="s">
        <v>366</v>
      </c>
      <c r="K1421" s="133" t="s">
        <v>392</v>
      </c>
      <c r="L1421" s="133" t="s">
        <v>393</v>
      </c>
      <c r="M1421" s="133" t="s">
        <v>394</v>
      </c>
      <c r="N1421" s="133"/>
      <c r="O1421" s="133"/>
    </row>
    <row r="1422" spans="1:15">
      <c r="A1422" s="124" t="s">
        <v>387</v>
      </c>
      <c r="B1422" s="124"/>
      <c r="C1422" s="125" t="s">
        <v>493</v>
      </c>
      <c r="D1422" s="124" t="s">
        <v>390</v>
      </c>
      <c r="E1422" s="126">
        <v>10268.433000000001</v>
      </c>
      <c r="F1422" s="124" t="s">
        <v>391</v>
      </c>
      <c r="G1422" s="126"/>
      <c r="H1422" s="126">
        <v>10099517.269994047</v>
      </c>
      <c r="I1422" s="127">
        <v>6106976102.8199997</v>
      </c>
      <c r="J1422" s="128" t="s">
        <v>366</v>
      </c>
      <c r="K1422" s="128" t="s">
        <v>392</v>
      </c>
      <c r="L1422" s="128" t="s">
        <v>397</v>
      </c>
      <c r="M1422" s="128" t="s">
        <v>394</v>
      </c>
      <c r="N1422" s="128"/>
      <c r="O1422" s="128"/>
    </row>
    <row r="1423" spans="1:15">
      <c r="A1423" s="129" t="s">
        <v>387</v>
      </c>
      <c r="B1423" s="129"/>
      <c r="C1423" s="130" t="s">
        <v>492</v>
      </c>
      <c r="D1423" s="129" t="s">
        <v>398</v>
      </c>
      <c r="E1423" s="131"/>
      <c r="F1423" s="129" t="s">
        <v>391</v>
      </c>
      <c r="G1423" s="131"/>
      <c r="H1423" s="131">
        <v>-147657.54000463057</v>
      </c>
      <c r="I1423" s="132">
        <v>-89285561.290000007</v>
      </c>
      <c r="J1423" s="133" t="s">
        <v>366</v>
      </c>
      <c r="K1423" s="133" t="s">
        <v>392</v>
      </c>
      <c r="L1423" s="133" t="s">
        <v>393</v>
      </c>
      <c r="M1423" s="133" t="s">
        <v>394</v>
      </c>
      <c r="N1423" s="133"/>
      <c r="O1423" s="133"/>
    </row>
    <row r="1424" spans="1:15">
      <c r="A1424" s="124" t="s">
        <v>387</v>
      </c>
      <c r="B1424" s="124"/>
      <c r="C1424" s="125" t="s">
        <v>493</v>
      </c>
      <c r="D1424" s="124" t="s">
        <v>398</v>
      </c>
      <c r="E1424" s="126"/>
      <c r="F1424" s="124" t="s">
        <v>391</v>
      </c>
      <c r="G1424" s="126"/>
      <c r="H1424" s="126">
        <v>-102505.88000264604</v>
      </c>
      <c r="I1424" s="127">
        <v>-61983255.520000003</v>
      </c>
      <c r="J1424" s="128" t="s">
        <v>366</v>
      </c>
      <c r="K1424" s="128" t="s">
        <v>392</v>
      </c>
      <c r="L1424" s="128" t="s">
        <v>393</v>
      </c>
      <c r="M1424" s="128" t="s">
        <v>394</v>
      </c>
      <c r="N1424" s="128"/>
      <c r="O1424" s="128"/>
    </row>
    <row r="1425" spans="1:15">
      <c r="A1425" s="129" t="s">
        <v>387</v>
      </c>
      <c r="B1425" s="129"/>
      <c r="C1425" s="130" t="s">
        <v>493</v>
      </c>
      <c r="D1425" s="129" t="s">
        <v>398</v>
      </c>
      <c r="E1425" s="131"/>
      <c r="F1425" s="129" t="s">
        <v>391</v>
      </c>
      <c r="G1425" s="131"/>
      <c r="H1425" s="131">
        <v>-32057.10000330754</v>
      </c>
      <c r="I1425" s="132">
        <v>-19384287.23</v>
      </c>
      <c r="J1425" s="133" t="s">
        <v>366</v>
      </c>
      <c r="K1425" s="133" t="s">
        <v>392</v>
      </c>
      <c r="L1425" s="133" t="s">
        <v>393</v>
      </c>
      <c r="M1425" s="133" t="s">
        <v>394</v>
      </c>
      <c r="N1425" s="133"/>
      <c r="O1425" s="133"/>
    </row>
    <row r="1426" spans="1:15">
      <c r="A1426" s="124" t="s">
        <v>387</v>
      </c>
      <c r="B1426" s="124"/>
      <c r="C1426" s="125" t="s">
        <v>494</v>
      </c>
      <c r="D1426" s="124" t="s">
        <v>390</v>
      </c>
      <c r="E1426" s="126">
        <v>15732.334000000001</v>
      </c>
      <c r="F1426" s="124" t="s">
        <v>391</v>
      </c>
      <c r="G1426" s="126"/>
      <c r="H1426" s="126">
        <v>14945717.299999017</v>
      </c>
      <c r="I1426" s="127">
        <v>9117216358.7800007</v>
      </c>
      <c r="J1426" s="128" t="s">
        <v>366</v>
      </c>
      <c r="K1426" s="128" t="s">
        <v>392</v>
      </c>
      <c r="L1426" s="128" t="s">
        <v>393</v>
      </c>
      <c r="M1426" s="128" t="s">
        <v>394</v>
      </c>
      <c r="N1426" s="128"/>
      <c r="O1426" s="128"/>
    </row>
    <row r="1427" spans="1:15">
      <c r="A1427" s="129" t="s">
        <v>387</v>
      </c>
      <c r="B1427" s="129"/>
      <c r="C1427" s="130" t="s">
        <v>495</v>
      </c>
      <c r="D1427" s="129" t="s">
        <v>390</v>
      </c>
      <c r="E1427" s="131">
        <v>3700.9209999999998</v>
      </c>
      <c r="F1427" s="129" t="s">
        <v>391</v>
      </c>
      <c r="G1427" s="131"/>
      <c r="H1427" s="131">
        <v>3603771.8199999337</v>
      </c>
      <c r="I1427" s="132">
        <v>2198380093.1799998</v>
      </c>
      <c r="J1427" s="133" t="s">
        <v>366</v>
      </c>
      <c r="K1427" s="133" t="s">
        <v>392</v>
      </c>
      <c r="L1427" s="133" t="s">
        <v>443</v>
      </c>
      <c r="M1427" s="133" t="s">
        <v>235</v>
      </c>
      <c r="N1427" s="133"/>
      <c r="O1427" s="133"/>
    </row>
    <row r="1428" spans="1:15">
      <c r="A1428" s="124" t="s">
        <v>387</v>
      </c>
      <c r="B1428" s="124"/>
      <c r="C1428" s="125" t="s">
        <v>495</v>
      </c>
      <c r="D1428" s="124" t="s">
        <v>390</v>
      </c>
      <c r="E1428" s="126">
        <v>1666</v>
      </c>
      <c r="F1428" s="124" t="s">
        <v>391</v>
      </c>
      <c r="G1428" s="126"/>
      <c r="H1428" s="126">
        <v>1622267.5000081963</v>
      </c>
      <c r="I1428" s="127">
        <v>989618864.88999999</v>
      </c>
      <c r="J1428" s="128" t="s">
        <v>366</v>
      </c>
      <c r="K1428" s="128" t="s">
        <v>392</v>
      </c>
      <c r="L1428" s="128" t="s">
        <v>443</v>
      </c>
      <c r="M1428" s="128" t="s">
        <v>235</v>
      </c>
      <c r="N1428" s="128"/>
      <c r="O1428" s="128"/>
    </row>
    <row r="1429" spans="1:15">
      <c r="A1429" s="129" t="s">
        <v>387</v>
      </c>
      <c r="B1429" s="129"/>
      <c r="C1429" s="130" t="s">
        <v>496</v>
      </c>
      <c r="D1429" s="129" t="s">
        <v>390</v>
      </c>
      <c r="E1429" s="131">
        <v>15938.040999999999</v>
      </c>
      <c r="F1429" s="129" t="s">
        <v>391</v>
      </c>
      <c r="G1429" s="131"/>
      <c r="H1429" s="131">
        <v>15141138.950005081</v>
      </c>
      <c r="I1429" s="132">
        <v>9236427864.5599995</v>
      </c>
      <c r="J1429" s="133" t="s">
        <v>366</v>
      </c>
      <c r="K1429" s="133" t="s">
        <v>392</v>
      </c>
      <c r="L1429" s="133" t="s">
        <v>393</v>
      </c>
      <c r="M1429" s="133" t="s">
        <v>394</v>
      </c>
      <c r="N1429" s="133"/>
      <c r="O1429" s="133"/>
    </row>
    <row r="1430" spans="1:15">
      <c r="A1430" s="124" t="s">
        <v>387</v>
      </c>
      <c r="B1430" s="124"/>
      <c r="C1430" s="125" t="s">
        <v>494</v>
      </c>
      <c r="D1430" s="124" t="s">
        <v>398</v>
      </c>
      <c r="E1430" s="126"/>
      <c r="F1430" s="124" t="s">
        <v>391</v>
      </c>
      <c r="G1430" s="126"/>
      <c r="H1430" s="126">
        <v>-131522.30999865578</v>
      </c>
      <c r="I1430" s="127">
        <v>-80231502.590000004</v>
      </c>
      <c r="J1430" s="128" t="s">
        <v>366</v>
      </c>
      <c r="K1430" s="128" t="s">
        <v>392</v>
      </c>
      <c r="L1430" s="128" t="s">
        <v>393</v>
      </c>
      <c r="M1430" s="128" t="s">
        <v>394</v>
      </c>
      <c r="N1430" s="128"/>
      <c r="O1430" s="128"/>
    </row>
    <row r="1431" spans="1:15">
      <c r="A1431" s="129" t="s">
        <v>387</v>
      </c>
      <c r="B1431" s="129"/>
      <c r="C1431" s="130" t="s">
        <v>496</v>
      </c>
      <c r="D1431" s="129" t="s">
        <v>398</v>
      </c>
      <c r="E1431" s="131"/>
      <c r="F1431" s="129" t="s">
        <v>391</v>
      </c>
      <c r="G1431" s="131"/>
      <c r="H1431" s="131">
        <v>-133401.39999868855</v>
      </c>
      <c r="I1431" s="132">
        <v>-81377788.829999998</v>
      </c>
      <c r="J1431" s="133" t="s">
        <v>366</v>
      </c>
      <c r="K1431" s="133" t="s">
        <v>392</v>
      </c>
      <c r="L1431" s="133" t="s">
        <v>393</v>
      </c>
      <c r="M1431" s="133" t="s">
        <v>394</v>
      </c>
      <c r="N1431" s="133"/>
      <c r="O1431" s="133"/>
    </row>
    <row r="1432" spans="1:15">
      <c r="A1432" s="124" t="s">
        <v>387</v>
      </c>
      <c r="B1432" s="124"/>
      <c r="C1432" s="125" t="s">
        <v>497</v>
      </c>
      <c r="D1432" s="124" t="s">
        <v>390</v>
      </c>
      <c r="E1432" s="126">
        <v>8720.2469999999994</v>
      </c>
      <c r="F1432" s="124" t="s">
        <v>391</v>
      </c>
      <c r="G1432" s="126"/>
      <c r="H1432" s="126">
        <v>8284234.6500075655</v>
      </c>
      <c r="I1432" s="127">
        <v>5038107007.8100004</v>
      </c>
      <c r="J1432" s="128" t="s">
        <v>366</v>
      </c>
      <c r="K1432" s="128" t="s">
        <v>392</v>
      </c>
      <c r="L1432" s="128" t="s">
        <v>397</v>
      </c>
      <c r="M1432" s="128" t="s">
        <v>394</v>
      </c>
      <c r="N1432" s="128"/>
      <c r="O1432" s="128"/>
    </row>
    <row r="1433" spans="1:15">
      <c r="A1433" s="129" t="s">
        <v>387</v>
      </c>
      <c r="B1433" s="129"/>
      <c r="C1433" s="130" t="s">
        <v>498</v>
      </c>
      <c r="D1433" s="129" t="s">
        <v>390</v>
      </c>
      <c r="E1433" s="131">
        <v>15594.197</v>
      </c>
      <c r="F1433" s="129" t="s">
        <v>391</v>
      </c>
      <c r="G1433" s="131"/>
      <c r="H1433" s="131">
        <v>14814487.150007566</v>
      </c>
      <c r="I1433" s="132">
        <v>9009519247.2000008</v>
      </c>
      <c r="J1433" s="133" t="s">
        <v>366</v>
      </c>
      <c r="K1433" s="133" t="s">
        <v>392</v>
      </c>
      <c r="L1433" s="133" t="s">
        <v>393</v>
      </c>
      <c r="M1433" s="133" t="s">
        <v>394</v>
      </c>
      <c r="N1433" s="133"/>
      <c r="O1433" s="133"/>
    </row>
    <row r="1434" spans="1:15">
      <c r="A1434" s="124" t="s">
        <v>387</v>
      </c>
      <c r="B1434" s="124"/>
      <c r="C1434" s="125" t="s">
        <v>499</v>
      </c>
      <c r="D1434" s="124" t="s">
        <v>390</v>
      </c>
      <c r="E1434" s="126">
        <v>13671.545</v>
      </c>
      <c r="F1434" s="124" t="s">
        <v>391</v>
      </c>
      <c r="G1434" s="126"/>
      <c r="H1434" s="126">
        <v>12987967.750001647</v>
      </c>
      <c r="I1434" s="127">
        <v>7898710514.9700003</v>
      </c>
      <c r="J1434" s="128" t="s">
        <v>366</v>
      </c>
      <c r="K1434" s="128" t="s">
        <v>392</v>
      </c>
      <c r="L1434" s="128" t="s">
        <v>393</v>
      </c>
      <c r="M1434" s="128" t="s">
        <v>394</v>
      </c>
      <c r="N1434" s="128"/>
      <c r="O1434" s="128"/>
    </row>
    <row r="1435" spans="1:15">
      <c r="A1435" s="129" t="s">
        <v>387</v>
      </c>
      <c r="B1435" s="129"/>
      <c r="C1435" s="130" t="s">
        <v>500</v>
      </c>
      <c r="D1435" s="129" t="s">
        <v>407</v>
      </c>
      <c r="E1435" s="131">
        <v>31.919</v>
      </c>
      <c r="F1435" s="129" t="s">
        <v>391</v>
      </c>
      <c r="G1435" s="131"/>
      <c r="H1435" s="131">
        <v>16270.315511151744</v>
      </c>
      <c r="I1435" s="132">
        <v>9894890</v>
      </c>
      <c r="J1435" s="133" t="s">
        <v>289</v>
      </c>
      <c r="K1435" s="133" t="s">
        <v>392</v>
      </c>
      <c r="L1435" s="133" t="s">
        <v>401</v>
      </c>
      <c r="M1435" s="133" t="s">
        <v>261</v>
      </c>
      <c r="N1435" s="133"/>
      <c r="O1435" s="133"/>
    </row>
    <row r="1436" spans="1:15">
      <c r="A1436" s="124" t="s">
        <v>387</v>
      </c>
      <c r="B1436" s="124"/>
      <c r="C1436" s="125" t="s">
        <v>501</v>
      </c>
      <c r="D1436" s="124" t="s">
        <v>390</v>
      </c>
      <c r="E1436" s="126">
        <v>9699.67</v>
      </c>
      <c r="F1436" s="124" t="s">
        <v>391</v>
      </c>
      <c r="G1436" s="126"/>
      <c r="H1436" s="126">
        <v>9560285.7400074992</v>
      </c>
      <c r="I1436" s="127">
        <v>5814145134.5</v>
      </c>
      <c r="J1436" s="128" t="s">
        <v>366</v>
      </c>
      <c r="K1436" s="128" t="s">
        <v>392</v>
      </c>
      <c r="L1436" s="128" t="s">
        <v>397</v>
      </c>
      <c r="M1436" s="128" t="s">
        <v>394</v>
      </c>
      <c r="N1436" s="128"/>
      <c r="O1436" s="128"/>
    </row>
    <row r="1437" spans="1:15">
      <c r="A1437" s="129" t="s">
        <v>387</v>
      </c>
      <c r="B1437" s="129"/>
      <c r="C1437" s="130" t="s">
        <v>501</v>
      </c>
      <c r="D1437" s="129" t="s">
        <v>398</v>
      </c>
      <c r="E1437" s="131"/>
      <c r="F1437" s="129" t="s">
        <v>391</v>
      </c>
      <c r="G1437" s="131"/>
      <c r="H1437" s="131">
        <v>-130835.3100026967</v>
      </c>
      <c r="I1437" s="132">
        <v>-79568278.790000007</v>
      </c>
      <c r="J1437" s="133" t="s">
        <v>366</v>
      </c>
      <c r="K1437" s="133" t="s">
        <v>392</v>
      </c>
      <c r="L1437" s="133" t="s">
        <v>393</v>
      </c>
      <c r="M1437" s="133" t="s">
        <v>394</v>
      </c>
      <c r="N1437" s="133"/>
      <c r="O1437" s="133"/>
    </row>
    <row r="1438" spans="1:15">
      <c r="A1438" s="124" t="s">
        <v>387</v>
      </c>
      <c r="B1438" s="124"/>
      <c r="C1438" s="125" t="s">
        <v>501</v>
      </c>
      <c r="D1438" s="124" t="s">
        <v>398</v>
      </c>
      <c r="E1438" s="126"/>
      <c r="F1438" s="124" t="s">
        <v>391</v>
      </c>
      <c r="G1438" s="126"/>
      <c r="H1438" s="126">
        <v>-114977.69000059197</v>
      </c>
      <c r="I1438" s="127">
        <v>-69924372.040000007</v>
      </c>
      <c r="J1438" s="128" t="s">
        <v>366</v>
      </c>
      <c r="K1438" s="128" t="s">
        <v>392</v>
      </c>
      <c r="L1438" s="128" t="s">
        <v>393</v>
      </c>
      <c r="M1438" s="128" t="s">
        <v>394</v>
      </c>
      <c r="N1438" s="128"/>
      <c r="O1438" s="128"/>
    </row>
    <row r="1439" spans="1:15">
      <c r="A1439" s="129" t="s">
        <v>387</v>
      </c>
      <c r="B1439" s="129"/>
      <c r="C1439" s="130" t="s">
        <v>502</v>
      </c>
      <c r="D1439" s="129" t="s">
        <v>390</v>
      </c>
      <c r="E1439" s="131"/>
      <c r="F1439" s="129" t="s">
        <v>391</v>
      </c>
      <c r="G1439" s="131"/>
      <c r="H1439" s="131">
        <v>310702.39999276504</v>
      </c>
      <c r="I1439" s="132">
        <v>188955528.77000001</v>
      </c>
      <c r="J1439" s="133" t="s">
        <v>366</v>
      </c>
      <c r="K1439" s="133" t="s">
        <v>392</v>
      </c>
      <c r="L1439" s="133" t="s">
        <v>397</v>
      </c>
      <c r="M1439" s="133" t="s">
        <v>394</v>
      </c>
      <c r="N1439" s="133"/>
      <c r="O1439" s="133"/>
    </row>
    <row r="1440" spans="1:15">
      <c r="A1440" s="124" t="s">
        <v>387</v>
      </c>
      <c r="B1440" s="124"/>
      <c r="C1440" s="125" t="s">
        <v>503</v>
      </c>
      <c r="D1440" s="124" t="s">
        <v>407</v>
      </c>
      <c r="E1440" s="126">
        <v>53</v>
      </c>
      <c r="F1440" s="124" t="s">
        <v>391</v>
      </c>
      <c r="G1440" s="126"/>
      <c r="H1440" s="126">
        <v>27727.430748927523</v>
      </c>
      <c r="I1440" s="127">
        <v>16430000</v>
      </c>
      <c r="J1440" s="128" t="s">
        <v>289</v>
      </c>
      <c r="K1440" s="128" t="s">
        <v>392</v>
      </c>
      <c r="L1440" s="128" t="s">
        <v>401</v>
      </c>
      <c r="M1440" s="128" t="s">
        <v>261</v>
      </c>
      <c r="N1440" s="128"/>
      <c r="O1440" s="128"/>
    </row>
    <row r="1441" spans="1:15">
      <c r="A1441" s="129" t="s">
        <v>387</v>
      </c>
      <c r="B1441" s="129"/>
      <c r="C1441" s="130" t="s">
        <v>504</v>
      </c>
      <c r="D1441" s="129" t="s">
        <v>407</v>
      </c>
      <c r="E1441" s="131">
        <v>53</v>
      </c>
      <c r="F1441" s="129" t="s">
        <v>391</v>
      </c>
      <c r="G1441" s="131"/>
      <c r="H1441" s="131">
        <v>27727.430748927523</v>
      </c>
      <c r="I1441" s="132">
        <v>16430000</v>
      </c>
      <c r="J1441" s="133" t="s">
        <v>289</v>
      </c>
      <c r="K1441" s="133" t="s">
        <v>392</v>
      </c>
      <c r="L1441" s="133" t="s">
        <v>401</v>
      </c>
      <c r="M1441" s="133" t="s">
        <v>261</v>
      </c>
      <c r="N1441" s="133"/>
      <c r="O1441" s="133"/>
    </row>
    <row r="1442" spans="1:15">
      <c r="A1442" s="124" t="s">
        <v>387</v>
      </c>
      <c r="B1442" s="124"/>
      <c r="C1442" s="125" t="s">
        <v>505</v>
      </c>
      <c r="D1442" s="124" t="s">
        <v>390</v>
      </c>
      <c r="E1442" s="126">
        <v>15520.886</v>
      </c>
      <c r="F1442" s="124" t="s">
        <v>391</v>
      </c>
      <c r="G1442" s="126"/>
      <c r="H1442" s="126">
        <v>14744841.699996965</v>
      </c>
      <c r="I1442" s="127">
        <v>8737114928.7000008</v>
      </c>
      <c r="J1442" s="128" t="s">
        <v>366</v>
      </c>
      <c r="K1442" s="128" t="s">
        <v>392</v>
      </c>
      <c r="L1442" s="128" t="s">
        <v>393</v>
      </c>
      <c r="M1442" s="128" t="s">
        <v>394</v>
      </c>
      <c r="N1442" s="128"/>
      <c r="O1442" s="128"/>
    </row>
    <row r="1443" spans="1:15">
      <c r="A1443" s="129" t="s">
        <v>387</v>
      </c>
      <c r="B1443" s="129"/>
      <c r="C1443" s="130" t="s">
        <v>506</v>
      </c>
      <c r="D1443" s="129" t="s">
        <v>390</v>
      </c>
      <c r="E1443" s="131">
        <v>7810.4340000000002</v>
      </c>
      <c r="F1443" s="129" t="s">
        <v>391</v>
      </c>
      <c r="G1443" s="131"/>
      <c r="H1443" s="131">
        <v>7642509.670004759</v>
      </c>
      <c r="I1443" s="132">
        <v>4528599675</v>
      </c>
      <c r="J1443" s="133" t="s">
        <v>366</v>
      </c>
      <c r="K1443" s="133" t="s">
        <v>392</v>
      </c>
      <c r="L1443" s="133" t="s">
        <v>443</v>
      </c>
      <c r="M1443" s="133" t="s">
        <v>235</v>
      </c>
      <c r="N1443" s="133"/>
      <c r="O1443" s="133"/>
    </row>
    <row r="1444" spans="1:15">
      <c r="A1444" s="124" t="s">
        <v>387</v>
      </c>
      <c r="B1444" s="124"/>
      <c r="C1444" s="125" t="s">
        <v>506</v>
      </c>
      <c r="D1444" s="124" t="s">
        <v>390</v>
      </c>
      <c r="E1444" s="126">
        <v>10066</v>
      </c>
      <c r="F1444" s="124" t="s">
        <v>391</v>
      </c>
      <c r="G1444" s="126"/>
      <c r="H1444" s="126">
        <v>9921351.5800078996</v>
      </c>
      <c r="I1444" s="127">
        <v>5878936564.1400003</v>
      </c>
      <c r="J1444" s="128" t="s">
        <v>366</v>
      </c>
      <c r="K1444" s="128" t="s">
        <v>392</v>
      </c>
      <c r="L1444" s="128" t="s">
        <v>507</v>
      </c>
      <c r="M1444" s="128" t="s">
        <v>394</v>
      </c>
      <c r="N1444" s="128"/>
      <c r="O1444" s="128"/>
    </row>
    <row r="1445" spans="1:15">
      <c r="A1445" s="129" t="s">
        <v>387</v>
      </c>
      <c r="B1445" s="129"/>
      <c r="C1445" s="130" t="s">
        <v>505</v>
      </c>
      <c r="D1445" s="129" t="s">
        <v>398</v>
      </c>
      <c r="E1445" s="131"/>
      <c r="F1445" s="129" t="s">
        <v>391</v>
      </c>
      <c r="G1445" s="131"/>
      <c r="H1445" s="131">
        <v>-130530.64999983125</v>
      </c>
      <c r="I1445" s="132">
        <v>-77346458.780000001</v>
      </c>
      <c r="J1445" s="133" t="s">
        <v>366</v>
      </c>
      <c r="K1445" s="133" t="s">
        <v>392</v>
      </c>
      <c r="L1445" s="133" t="s">
        <v>393</v>
      </c>
      <c r="M1445" s="133" t="s">
        <v>394</v>
      </c>
      <c r="N1445" s="133"/>
      <c r="O1445" s="133"/>
    </row>
    <row r="1446" spans="1:15">
      <c r="A1446" s="124" t="s">
        <v>387</v>
      </c>
      <c r="B1446" s="124"/>
      <c r="C1446" s="125" t="s">
        <v>508</v>
      </c>
      <c r="D1446" s="124" t="s">
        <v>471</v>
      </c>
      <c r="E1446" s="126">
        <v>0</v>
      </c>
      <c r="F1446" s="124"/>
      <c r="G1446" s="126"/>
      <c r="H1446" s="126">
        <v>-2625</v>
      </c>
      <c r="I1446" s="127">
        <v>-1555454.25</v>
      </c>
      <c r="J1446" s="128" t="s">
        <v>289</v>
      </c>
      <c r="K1446" s="128" t="s">
        <v>392</v>
      </c>
      <c r="L1446" s="128" t="s">
        <v>472</v>
      </c>
      <c r="M1446" s="128" t="s">
        <v>473</v>
      </c>
      <c r="N1446" s="128"/>
      <c r="O1446" s="128"/>
    </row>
    <row r="1447" spans="1:15">
      <c r="A1447" s="129" t="s">
        <v>387</v>
      </c>
      <c r="B1447" s="129"/>
      <c r="C1447" s="130" t="s">
        <v>509</v>
      </c>
      <c r="D1447" s="129" t="s">
        <v>510</v>
      </c>
      <c r="E1447" s="131">
        <v>50</v>
      </c>
      <c r="F1447" s="129" t="s">
        <v>391</v>
      </c>
      <c r="G1447" s="131"/>
      <c r="H1447" s="131">
        <v>33816.229084662307</v>
      </c>
      <c r="I1447" s="132">
        <v>20000000</v>
      </c>
      <c r="J1447" s="133" t="s">
        <v>289</v>
      </c>
      <c r="K1447" s="133" t="s">
        <v>392</v>
      </c>
      <c r="L1447" s="133" t="s">
        <v>401</v>
      </c>
      <c r="M1447" s="133" t="s">
        <v>261</v>
      </c>
      <c r="N1447" s="133"/>
      <c r="O1447" s="133"/>
    </row>
    <row r="1448" spans="1:15">
      <c r="A1448" s="124" t="s">
        <v>387</v>
      </c>
      <c r="B1448" s="124"/>
      <c r="C1448" s="125" t="s">
        <v>509</v>
      </c>
      <c r="D1448" s="124" t="s">
        <v>510</v>
      </c>
      <c r="E1448" s="126">
        <v>48</v>
      </c>
      <c r="F1448" s="124" t="s">
        <v>391</v>
      </c>
      <c r="G1448" s="126"/>
      <c r="H1448" s="126">
        <v>32463.579921275817</v>
      </c>
      <c r="I1448" s="127">
        <v>19200000</v>
      </c>
      <c r="J1448" s="128" t="s">
        <v>289</v>
      </c>
      <c r="K1448" s="128" t="s">
        <v>392</v>
      </c>
      <c r="L1448" s="128" t="s">
        <v>401</v>
      </c>
      <c r="M1448" s="128" t="s">
        <v>261</v>
      </c>
      <c r="N1448" s="128"/>
      <c r="O1448" s="128"/>
    </row>
    <row r="1449" spans="1:15">
      <c r="A1449" s="129" t="s">
        <v>387</v>
      </c>
      <c r="B1449" s="129"/>
      <c r="C1449" s="130" t="s">
        <v>509</v>
      </c>
      <c r="D1449" s="129" t="s">
        <v>510</v>
      </c>
      <c r="E1449" s="131">
        <v>48</v>
      </c>
      <c r="F1449" s="129" t="s">
        <v>391</v>
      </c>
      <c r="G1449" s="131"/>
      <c r="H1449" s="131">
        <v>32463.579921275817</v>
      </c>
      <c r="I1449" s="132">
        <v>19200000</v>
      </c>
      <c r="J1449" s="133" t="s">
        <v>289</v>
      </c>
      <c r="K1449" s="133" t="s">
        <v>392</v>
      </c>
      <c r="L1449" s="133" t="s">
        <v>401</v>
      </c>
      <c r="M1449" s="133" t="s">
        <v>261</v>
      </c>
      <c r="N1449" s="133"/>
      <c r="O1449" s="133"/>
    </row>
    <row r="1450" spans="1:15">
      <c r="A1450" s="124" t="s">
        <v>387</v>
      </c>
      <c r="B1450" s="124"/>
      <c r="C1450" s="125" t="s">
        <v>509</v>
      </c>
      <c r="D1450" s="124" t="s">
        <v>510</v>
      </c>
      <c r="E1450" s="126">
        <v>50</v>
      </c>
      <c r="F1450" s="124" t="s">
        <v>391</v>
      </c>
      <c r="G1450" s="126"/>
      <c r="H1450" s="126">
        <v>33816.229084662307</v>
      </c>
      <c r="I1450" s="127">
        <v>20000000</v>
      </c>
      <c r="J1450" s="128" t="s">
        <v>289</v>
      </c>
      <c r="K1450" s="128" t="s">
        <v>392</v>
      </c>
      <c r="L1450" s="128" t="s">
        <v>401</v>
      </c>
      <c r="M1450" s="128" t="s">
        <v>261</v>
      </c>
      <c r="N1450" s="128"/>
      <c r="O1450" s="128"/>
    </row>
    <row r="1451" spans="1:15">
      <c r="A1451" s="129" t="s">
        <v>387</v>
      </c>
      <c r="B1451" s="129"/>
      <c r="C1451" s="130" t="s">
        <v>509</v>
      </c>
      <c r="D1451" s="129" t="s">
        <v>510</v>
      </c>
      <c r="E1451" s="131">
        <v>48</v>
      </c>
      <c r="F1451" s="129" t="s">
        <v>391</v>
      </c>
      <c r="G1451" s="131"/>
      <c r="H1451" s="131">
        <v>32463.579921275817</v>
      </c>
      <c r="I1451" s="132">
        <v>19200000</v>
      </c>
      <c r="J1451" s="133" t="s">
        <v>289</v>
      </c>
      <c r="K1451" s="133" t="s">
        <v>392</v>
      </c>
      <c r="L1451" s="133" t="s">
        <v>401</v>
      </c>
      <c r="M1451" s="133" t="s">
        <v>261</v>
      </c>
      <c r="N1451" s="133"/>
      <c r="O1451" s="133"/>
    </row>
    <row r="1452" spans="1:15">
      <c r="A1452" s="124" t="s">
        <v>387</v>
      </c>
      <c r="B1452" s="124"/>
      <c r="C1452" s="125" t="s">
        <v>509</v>
      </c>
      <c r="D1452" s="124" t="s">
        <v>510</v>
      </c>
      <c r="E1452" s="126">
        <v>48</v>
      </c>
      <c r="F1452" s="124" t="s">
        <v>391</v>
      </c>
      <c r="G1452" s="126"/>
      <c r="H1452" s="126">
        <v>32463.579921275817</v>
      </c>
      <c r="I1452" s="127">
        <v>19200000</v>
      </c>
      <c r="J1452" s="128" t="s">
        <v>289</v>
      </c>
      <c r="K1452" s="128" t="s">
        <v>392</v>
      </c>
      <c r="L1452" s="128" t="s">
        <v>401</v>
      </c>
      <c r="M1452" s="128" t="s">
        <v>261</v>
      </c>
      <c r="N1452" s="128"/>
      <c r="O1452" s="128"/>
    </row>
    <row r="1453" spans="1:15">
      <c r="A1453" s="129" t="s">
        <v>387</v>
      </c>
      <c r="B1453" s="129"/>
      <c r="C1453" s="130" t="s">
        <v>511</v>
      </c>
      <c r="D1453" s="129" t="s">
        <v>510</v>
      </c>
      <c r="E1453" s="131">
        <v>50</v>
      </c>
      <c r="F1453" s="129" t="s">
        <v>391</v>
      </c>
      <c r="G1453" s="131"/>
      <c r="H1453" s="131">
        <v>33816.229084662307</v>
      </c>
      <c r="I1453" s="132">
        <v>20000000</v>
      </c>
      <c r="J1453" s="133" t="s">
        <v>289</v>
      </c>
      <c r="K1453" s="133" t="s">
        <v>392</v>
      </c>
      <c r="L1453" s="133" t="s">
        <v>401</v>
      </c>
      <c r="M1453" s="133" t="s">
        <v>261</v>
      </c>
      <c r="N1453" s="133"/>
      <c r="O1453" s="133"/>
    </row>
    <row r="1454" spans="1:15">
      <c r="A1454" s="124" t="s">
        <v>387</v>
      </c>
      <c r="B1454" s="124"/>
      <c r="C1454" s="125" t="s">
        <v>511</v>
      </c>
      <c r="D1454" s="124" t="s">
        <v>510</v>
      </c>
      <c r="E1454" s="126">
        <v>50</v>
      </c>
      <c r="F1454" s="124" t="s">
        <v>391</v>
      </c>
      <c r="G1454" s="126"/>
      <c r="H1454" s="126">
        <v>33816.229084662307</v>
      </c>
      <c r="I1454" s="127">
        <v>20000000</v>
      </c>
      <c r="J1454" s="128" t="s">
        <v>289</v>
      </c>
      <c r="K1454" s="128" t="s">
        <v>392</v>
      </c>
      <c r="L1454" s="128" t="s">
        <v>401</v>
      </c>
      <c r="M1454" s="128" t="s">
        <v>261</v>
      </c>
      <c r="N1454" s="128"/>
      <c r="O1454" s="128"/>
    </row>
    <row r="1455" spans="1:15">
      <c r="A1455" s="129" t="s">
        <v>387</v>
      </c>
      <c r="B1455" s="129"/>
      <c r="C1455" s="130" t="s">
        <v>511</v>
      </c>
      <c r="D1455" s="129" t="s">
        <v>510</v>
      </c>
      <c r="E1455" s="131">
        <v>52</v>
      </c>
      <c r="F1455" s="129" t="s">
        <v>391</v>
      </c>
      <c r="G1455" s="131"/>
      <c r="H1455" s="131">
        <v>35168.878248048801</v>
      </c>
      <c r="I1455" s="132">
        <v>20800000</v>
      </c>
      <c r="J1455" s="133" t="s">
        <v>289</v>
      </c>
      <c r="K1455" s="133" t="s">
        <v>392</v>
      </c>
      <c r="L1455" s="133" t="s">
        <v>401</v>
      </c>
      <c r="M1455" s="133" t="s">
        <v>261</v>
      </c>
      <c r="N1455" s="133"/>
      <c r="O1455" s="133"/>
    </row>
    <row r="1456" spans="1:15">
      <c r="A1456" s="124" t="s">
        <v>387</v>
      </c>
      <c r="B1456" s="124"/>
      <c r="C1456" s="125" t="s">
        <v>511</v>
      </c>
      <c r="D1456" s="124" t="s">
        <v>510</v>
      </c>
      <c r="E1456" s="126">
        <v>50</v>
      </c>
      <c r="F1456" s="124" t="s">
        <v>391</v>
      </c>
      <c r="G1456" s="126"/>
      <c r="H1456" s="126">
        <v>33816.229084662307</v>
      </c>
      <c r="I1456" s="127">
        <v>20000000</v>
      </c>
      <c r="J1456" s="128" t="s">
        <v>289</v>
      </c>
      <c r="K1456" s="128" t="s">
        <v>392</v>
      </c>
      <c r="L1456" s="128" t="s">
        <v>401</v>
      </c>
      <c r="M1456" s="128" t="s">
        <v>261</v>
      </c>
      <c r="N1456" s="128"/>
      <c r="O1456" s="128"/>
    </row>
    <row r="1457" spans="1:15">
      <c r="A1457" s="129" t="s">
        <v>387</v>
      </c>
      <c r="B1457" s="129"/>
      <c r="C1457" s="130" t="s">
        <v>511</v>
      </c>
      <c r="D1457" s="129" t="s">
        <v>510</v>
      </c>
      <c r="E1457" s="131">
        <v>52</v>
      </c>
      <c r="F1457" s="129" t="s">
        <v>391</v>
      </c>
      <c r="G1457" s="131"/>
      <c r="H1457" s="131">
        <v>35168.878248048801</v>
      </c>
      <c r="I1457" s="132">
        <v>20800000</v>
      </c>
      <c r="J1457" s="133" t="s">
        <v>289</v>
      </c>
      <c r="K1457" s="133" t="s">
        <v>392</v>
      </c>
      <c r="L1457" s="133" t="s">
        <v>401</v>
      </c>
      <c r="M1457" s="133" t="s">
        <v>261</v>
      </c>
      <c r="N1457" s="133"/>
      <c r="O1457" s="133"/>
    </row>
    <row r="1458" spans="1:15">
      <c r="A1458" s="124" t="s">
        <v>387</v>
      </c>
      <c r="B1458" s="124"/>
      <c r="C1458" s="125" t="s">
        <v>511</v>
      </c>
      <c r="D1458" s="124" t="s">
        <v>510</v>
      </c>
      <c r="E1458" s="126">
        <v>50</v>
      </c>
      <c r="F1458" s="124" t="s">
        <v>391</v>
      </c>
      <c r="G1458" s="126"/>
      <c r="H1458" s="126">
        <v>33816.229084662307</v>
      </c>
      <c r="I1458" s="127">
        <v>20000000</v>
      </c>
      <c r="J1458" s="128" t="s">
        <v>289</v>
      </c>
      <c r="K1458" s="128" t="s">
        <v>392</v>
      </c>
      <c r="L1458" s="128" t="s">
        <v>401</v>
      </c>
      <c r="M1458" s="128" t="s">
        <v>261</v>
      </c>
      <c r="N1458" s="128"/>
      <c r="O1458" s="128"/>
    </row>
    <row r="1459" spans="1:15">
      <c r="A1459" s="129" t="s">
        <v>387</v>
      </c>
      <c r="B1459" s="129"/>
      <c r="C1459" s="130" t="s">
        <v>511</v>
      </c>
      <c r="D1459" s="129" t="s">
        <v>510</v>
      </c>
      <c r="E1459" s="131">
        <v>52</v>
      </c>
      <c r="F1459" s="129" t="s">
        <v>391</v>
      </c>
      <c r="G1459" s="131"/>
      <c r="H1459" s="131">
        <v>35168.878248048801</v>
      </c>
      <c r="I1459" s="132">
        <v>20800000</v>
      </c>
      <c r="J1459" s="133" t="s">
        <v>289</v>
      </c>
      <c r="K1459" s="133" t="s">
        <v>392</v>
      </c>
      <c r="L1459" s="133" t="s">
        <v>401</v>
      </c>
      <c r="M1459" s="133" t="s">
        <v>261</v>
      </c>
      <c r="N1459" s="133"/>
      <c r="O1459" s="133"/>
    </row>
    <row r="1460" spans="1:15">
      <c r="A1460" s="124" t="s">
        <v>387</v>
      </c>
      <c r="B1460" s="124"/>
      <c r="C1460" s="125" t="s">
        <v>511</v>
      </c>
      <c r="D1460" s="124" t="s">
        <v>510</v>
      </c>
      <c r="E1460" s="126">
        <v>50</v>
      </c>
      <c r="F1460" s="124" t="s">
        <v>391</v>
      </c>
      <c r="G1460" s="126"/>
      <c r="H1460" s="126">
        <v>33816.229084662307</v>
      </c>
      <c r="I1460" s="127">
        <v>20000000</v>
      </c>
      <c r="J1460" s="128" t="s">
        <v>289</v>
      </c>
      <c r="K1460" s="128" t="s">
        <v>392</v>
      </c>
      <c r="L1460" s="128" t="s">
        <v>401</v>
      </c>
      <c r="M1460" s="128" t="s">
        <v>261</v>
      </c>
      <c r="N1460" s="128"/>
      <c r="O1460" s="128"/>
    </row>
    <row r="1461" spans="1:15">
      <c r="A1461" s="129" t="s">
        <v>387</v>
      </c>
      <c r="B1461" s="129"/>
      <c r="C1461" s="130" t="s">
        <v>511</v>
      </c>
      <c r="D1461" s="129" t="s">
        <v>510</v>
      </c>
      <c r="E1461" s="131">
        <v>52</v>
      </c>
      <c r="F1461" s="129" t="s">
        <v>391</v>
      </c>
      <c r="G1461" s="131"/>
      <c r="H1461" s="131">
        <v>35168.878248048801</v>
      </c>
      <c r="I1461" s="132">
        <v>20800000</v>
      </c>
      <c r="J1461" s="133" t="s">
        <v>289</v>
      </c>
      <c r="K1461" s="133" t="s">
        <v>392</v>
      </c>
      <c r="L1461" s="133" t="s">
        <v>401</v>
      </c>
      <c r="M1461" s="133" t="s">
        <v>261</v>
      </c>
      <c r="N1461" s="133"/>
      <c r="O1461" s="133"/>
    </row>
    <row r="1462" spans="1:15">
      <c r="A1462" s="124" t="s">
        <v>387</v>
      </c>
      <c r="B1462" s="124"/>
      <c r="C1462" s="125" t="s">
        <v>511</v>
      </c>
      <c r="D1462" s="124" t="s">
        <v>510</v>
      </c>
      <c r="E1462" s="126">
        <v>50</v>
      </c>
      <c r="F1462" s="124" t="s">
        <v>391</v>
      </c>
      <c r="G1462" s="126"/>
      <c r="H1462" s="126">
        <v>33816.229084662307</v>
      </c>
      <c r="I1462" s="127">
        <v>20000000</v>
      </c>
      <c r="J1462" s="128" t="s">
        <v>289</v>
      </c>
      <c r="K1462" s="128" t="s">
        <v>392</v>
      </c>
      <c r="L1462" s="128" t="s">
        <v>401</v>
      </c>
      <c r="M1462" s="128" t="s">
        <v>261</v>
      </c>
      <c r="N1462" s="128"/>
      <c r="O1462" s="128"/>
    </row>
    <row r="1463" spans="1:15">
      <c r="A1463" s="129" t="s">
        <v>387</v>
      </c>
      <c r="B1463" s="129"/>
      <c r="C1463" s="130" t="s">
        <v>512</v>
      </c>
      <c r="D1463" s="129" t="s">
        <v>510</v>
      </c>
      <c r="E1463" s="131">
        <v>48</v>
      </c>
      <c r="F1463" s="129" t="s">
        <v>391</v>
      </c>
      <c r="G1463" s="131"/>
      <c r="H1463" s="131">
        <v>32463.579921275817</v>
      </c>
      <c r="I1463" s="132">
        <v>19200000</v>
      </c>
      <c r="J1463" s="133" t="s">
        <v>289</v>
      </c>
      <c r="K1463" s="133" t="s">
        <v>392</v>
      </c>
      <c r="L1463" s="133" t="s">
        <v>401</v>
      </c>
      <c r="M1463" s="133" t="s">
        <v>261</v>
      </c>
      <c r="N1463" s="133"/>
      <c r="O1463" s="133"/>
    </row>
    <row r="1464" spans="1:15">
      <c r="A1464" s="124" t="s">
        <v>387</v>
      </c>
      <c r="B1464" s="124"/>
      <c r="C1464" s="125" t="s">
        <v>512</v>
      </c>
      <c r="D1464" s="124" t="s">
        <v>510</v>
      </c>
      <c r="E1464" s="126">
        <v>44.35</v>
      </c>
      <c r="F1464" s="124" t="s">
        <v>391</v>
      </c>
      <c r="G1464" s="126"/>
      <c r="H1464" s="126">
        <v>29994.995198095468</v>
      </c>
      <c r="I1464" s="127">
        <v>17740000</v>
      </c>
      <c r="J1464" s="128" t="s">
        <v>289</v>
      </c>
      <c r="K1464" s="128" t="s">
        <v>392</v>
      </c>
      <c r="L1464" s="128" t="s">
        <v>401</v>
      </c>
      <c r="M1464" s="128" t="s">
        <v>261</v>
      </c>
      <c r="N1464" s="128"/>
      <c r="O1464" s="128"/>
    </row>
    <row r="1465" spans="1:15">
      <c r="A1465" s="129" t="s">
        <v>387</v>
      </c>
      <c r="B1465" s="129"/>
      <c r="C1465" s="130" t="s">
        <v>512</v>
      </c>
      <c r="D1465" s="129" t="s">
        <v>510</v>
      </c>
      <c r="E1465" s="131">
        <v>50</v>
      </c>
      <c r="F1465" s="129" t="s">
        <v>391</v>
      </c>
      <c r="G1465" s="131"/>
      <c r="H1465" s="131">
        <v>33816.229084662307</v>
      </c>
      <c r="I1465" s="132">
        <v>20000000</v>
      </c>
      <c r="J1465" s="133" t="s">
        <v>289</v>
      </c>
      <c r="K1465" s="133" t="s">
        <v>392</v>
      </c>
      <c r="L1465" s="133" t="s">
        <v>401</v>
      </c>
      <c r="M1465" s="133" t="s">
        <v>261</v>
      </c>
      <c r="N1465" s="133"/>
      <c r="O1465" s="133"/>
    </row>
    <row r="1466" spans="1:15">
      <c r="A1466" s="124" t="s">
        <v>387</v>
      </c>
      <c r="B1466" s="124"/>
      <c r="C1466" s="125" t="s">
        <v>512</v>
      </c>
      <c r="D1466" s="124" t="s">
        <v>510</v>
      </c>
      <c r="E1466" s="126">
        <v>50</v>
      </c>
      <c r="F1466" s="124" t="s">
        <v>391</v>
      </c>
      <c r="G1466" s="126"/>
      <c r="H1466" s="126">
        <v>33816.229084662307</v>
      </c>
      <c r="I1466" s="127">
        <v>20000000</v>
      </c>
      <c r="J1466" s="128" t="s">
        <v>289</v>
      </c>
      <c r="K1466" s="128" t="s">
        <v>392</v>
      </c>
      <c r="L1466" s="128" t="s">
        <v>401</v>
      </c>
      <c r="M1466" s="128" t="s">
        <v>261</v>
      </c>
      <c r="N1466" s="128"/>
      <c r="O1466" s="128"/>
    </row>
    <row r="1467" spans="1:15">
      <c r="A1467" s="129" t="s">
        <v>387</v>
      </c>
      <c r="B1467" s="129"/>
      <c r="C1467" s="130" t="s">
        <v>512</v>
      </c>
      <c r="D1467" s="129" t="s">
        <v>510</v>
      </c>
      <c r="E1467" s="131">
        <v>48</v>
      </c>
      <c r="F1467" s="129" t="s">
        <v>391</v>
      </c>
      <c r="G1467" s="131"/>
      <c r="H1467" s="131">
        <v>32463.579921275817</v>
      </c>
      <c r="I1467" s="132">
        <v>19200000</v>
      </c>
      <c r="J1467" s="133" t="s">
        <v>289</v>
      </c>
      <c r="K1467" s="133" t="s">
        <v>392</v>
      </c>
      <c r="L1467" s="133" t="s">
        <v>401</v>
      </c>
      <c r="M1467" s="133" t="s">
        <v>261</v>
      </c>
      <c r="N1467" s="133"/>
      <c r="O1467" s="133"/>
    </row>
    <row r="1468" spans="1:15">
      <c r="A1468" s="124" t="s">
        <v>387</v>
      </c>
      <c r="B1468" s="124"/>
      <c r="C1468" s="125" t="s">
        <v>512</v>
      </c>
      <c r="D1468" s="124" t="s">
        <v>510</v>
      </c>
      <c r="E1468" s="126">
        <v>50</v>
      </c>
      <c r="F1468" s="124" t="s">
        <v>391</v>
      </c>
      <c r="G1468" s="126"/>
      <c r="H1468" s="126">
        <v>33816.229084662307</v>
      </c>
      <c r="I1468" s="127">
        <v>20000000</v>
      </c>
      <c r="J1468" s="128" t="s">
        <v>289</v>
      </c>
      <c r="K1468" s="128" t="s">
        <v>392</v>
      </c>
      <c r="L1468" s="128" t="s">
        <v>401</v>
      </c>
      <c r="M1468" s="128" t="s">
        <v>261</v>
      </c>
      <c r="N1468" s="128"/>
      <c r="O1468" s="128"/>
    </row>
    <row r="1469" spans="1:15">
      <c r="A1469" s="129" t="s">
        <v>387</v>
      </c>
      <c r="B1469" s="129"/>
      <c r="C1469" s="130" t="s">
        <v>512</v>
      </c>
      <c r="D1469" s="129" t="s">
        <v>510</v>
      </c>
      <c r="E1469" s="131">
        <v>50</v>
      </c>
      <c r="F1469" s="129" t="s">
        <v>391</v>
      </c>
      <c r="G1469" s="131"/>
      <c r="H1469" s="131">
        <v>33816.229084662307</v>
      </c>
      <c r="I1469" s="132">
        <v>20000000</v>
      </c>
      <c r="J1469" s="133" t="s">
        <v>289</v>
      </c>
      <c r="K1469" s="133" t="s">
        <v>392</v>
      </c>
      <c r="L1469" s="133" t="s">
        <v>401</v>
      </c>
      <c r="M1469" s="133" t="s">
        <v>261</v>
      </c>
      <c r="N1469" s="133"/>
      <c r="O1469" s="133"/>
    </row>
    <row r="1470" spans="1:15">
      <c r="A1470" s="124" t="s">
        <v>387</v>
      </c>
      <c r="B1470" s="124"/>
      <c r="C1470" s="125" t="s">
        <v>512</v>
      </c>
      <c r="D1470" s="124" t="s">
        <v>510</v>
      </c>
      <c r="E1470" s="126">
        <v>5.65</v>
      </c>
      <c r="F1470" s="124" t="s">
        <v>391</v>
      </c>
      <c r="G1470" s="126"/>
      <c r="H1470" s="126">
        <v>3821.2338865668412</v>
      </c>
      <c r="I1470" s="127">
        <v>2260000</v>
      </c>
      <c r="J1470" s="128" t="s">
        <v>289</v>
      </c>
      <c r="K1470" s="128" t="s">
        <v>392</v>
      </c>
      <c r="L1470" s="128" t="s">
        <v>401</v>
      </c>
      <c r="M1470" s="128" t="s">
        <v>261</v>
      </c>
      <c r="N1470" s="128"/>
      <c r="O1470" s="128"/>
    </row>
    <row r="1471" spans="1:15">
      <c r="A1471" s="129" t="s">
        <v>387</v>
      </c>
      <c r="B1471" s="129"/>
      <c r="C1471" s="130" t="s">
        <v>512</v>
      </c>
      <c r="D1471" s="129" t="s">
        <v>510</v>
      </c>
      <c r="E1471" s="131">
        <v>50</v>
      </c>
      <c r="F1471" s="129" t="s">
        <v>391</v>
      </c>
      <c r="G1471" s="131"/>
      <c r="H1471" s="131">
        <v>33816.229084662307</v>
      </c>
      <c r="I1471" s="132">
        <v>20000000</v>
      </c>
      <c r="J1471" s="133" t="s">
        <v>289</v>
      </c>
      <c r="K1471" s="133" t="s">
        <v>392</v>
      </c>
      <c r="L1471" s="133" t="s">
        <v>401</v>
      </c>
      <c r="M1471" s="133" t="s">
        <v>261</v>
      </c>
      <c r="N1471" s="133"/>
      <c r="O1471" s="133"/>
    </row>
    <row r="1472" spans="1:15">
      <c r="A1472" s="124" t="s">
        <v>387</v>
      </c>
      <c r="B1472" s="124"/>
      <c r="C1472" s="125" t="s">
        <v>512</v>
      </c>
      <c r="D1472" s="124" t="s">
        <v>510</v>
      </c>
      <c r="E1472" s="126">
        <v>50</v>
      </c>
      <c r="F1472" s="124" t="s">
        <v>391</v>
      </c>
      <c r="G1472" s="126"/>
      <c r="H1472" s="126">
        <v>33816.229084662307</v>
      </c>
      <c r="I1472" s="127">
        <v>20000000</v>
      </c>
      <c r="J1472" s="128" t="s">
        <v>289</v>
      </c>
      <c r="K1472" s="128" t="s">
        <v>392</v>
      </c>
      <c r="L1472" s="128" t="s">
        <v>401</v>
      </c>
      <c r="M1472" s="128" t="s">
        <v>261</v>
      </c>
      <c r="N1472" s="128"/>
      <c r="O1472" s="128"/>
    </row>
    <row r="1473" spans="1:15">
      <c r="A1473" s="129" t="s">
        <v>387</v>
      </c>
      <c r="B1473" s="129"/>
      <c r="C1473" s="130" t="s">
        <v>512</v>
      </c>
      <c r="D1473" s="129" t="s">
        <v>510</v>
      </c>
      <c r="E1473" s="131">
        <v>50</v>
      </c>
      <c r="F1473" s="129" t="s">
        <v>391</v>
      </c>
      <c r="G1473" s="131"/>
      <c r="H1473" s="131">
        <v>33816.229084662307</v>
      </c>
      <c r="I1473" s="132">
        <v>20000000</v>
      </c>
      <c r="J1473" s="133" t="s">
        <v>289</v>
      </c>
      <c r="K1473" s="133" t="s">
        <v>392</v>
      </c>
      <c r="L1473" s="133" t="s">
        <v>401</v>
      </c>
      <c r="M1473" s="133" t="s">
        <v>261</v>
      </c>
      <c r="N1473" s="133"/>
      <c r="O1473" s="133"/>
    </row>
    <row r="1474" spans="1:15">
      <c r="A1474" s="124" t="s">
        <v>387</v>
      </c>
      <c r="B1474" s="124"/>
      <c r="C1474" s="125" t="s">
        <v>512</v>
      </c>
      <c r="D1474" s="124" t="s">
        <v>510</v>
      </c>
      <c r="E1474" s="126">
        <v>52</v>
      </c>
      <c r="F1474" s="124" t="s">
        <v>391</v>
      </c>
      <c r="G1474" s="126"/>
      <c r="H1474" s="126">
        <v>35168.878248048801</v>
      </c>
      <c r="I1474" s="127">
        <v>20800000</v>
      </c>
      <c r="J1474" s="128" t="s">
        <v>289</v>
      </c>
      <c r="K1474" s="128" t="s">
        <v>392</v>
      </c>
      <c r="L1474" s="128" t="s">
        <v>401</v>
      </c>
      <c r="M1474" s="128" t="s">
        <v>261</v>
      </c>
      <c r="N1474" s="128"/>
      <c r="O1474" s="128"/>
    </row>
    <row r="1475" spans="1:15">
      <c r="A1475" s="129" t="s">
        <v>387</v>
      </c>
      <c r="B1475" s="129"/>
      <c r="C1475" s="130" t="s">
        <v>513</v>
      </c>
      <c r="D1475" s="129" t="s">
        <v>510</v>
      </c>
      <c r="E1475" s="131">
        <v>48</v>
      </c>
      <c r="F1475" s="129" t="s">
        <v>391</v>
      </c>
      <c r="G1475" s="131"/>
      <c r="H1475" s="131">
        <v>32463.579921275817</v>
      </c>
      <c r="I1475" s="132">
        <v>19200000</v>
      </c>
      <c r="J1475" s="133" t="s">
        <v>289</v>
      </c>
      <c r="K1475" s="133" t="s">
        <v>392</v>
      </c>
      <c r="L1475" s="133" t="s">
        <v>401</v>
      </c>
      <c r="M1475" s="133" t="s">
        <v>261</v>
      </c>
      <c r="N1475" s="133"/>
      <c r="O1475" s="133"/>
    </row>
    <row r="1476" spans="1:15">
      <c r="A1476" s="124" t="s">
        <v>387</v>
      </c>
      <c r="B1476" s="124"/>
      <c r="C1476" s="125" t="s">
        <v>513</v>
      </c>
      <c r="D1476" s="124" t="s">
        <v>510</v>
      </c>
      <c r="E1476" s="126">
        <v>48</v>
      </c>
      <c r="F1476" s="124" t="s">
        <v>391</v>
      </c>
      <c r="G1476" s="126"/>
      <c r="H1476" s="126">
        <v>32463.579921275817</v>
      </c>
      <c r="I1476" s="127">
        <v>19200000</v>
      </c>
      <c r="J1476" s="128" t="s">
        <v>289</v>
      </c>
      <c r="K1476" s="128" t="s">
        <v>392</v>
      </c>
      <c r="L1476" s="128" t="s">
        <v>401</v>
      </c>
      <c r="M1476" s="128" t="s">
        <v>261</v>
      </c>
      <c r="N1476" s="128"/>
      <c r="O1476" s="128"/>
    </row>
    <row r="1477" spans="1:15">
      <c r="A1477" s="129" t="s">
        <v>387</v>
      </c>
      <c r="B1477" s="129"/>
      <c r="C1477" s="130" t="s">
        <v>514</v>
      </c>
      <c r="D1477" s="129" t="s">
        <v>510</v>
      </c>
      <c r="E1477" s="131">
        <v>48</v>
      </c>
      <c r="F1477" s="129" t="s">
        <v>391</v>
      </c>
      <c r="G1477" s="131"/>
      <c r="H1477" s="131">
        <v>32463.579921275817</v>
      </c>
      <c r="I1477" s="132">
        <v>19200000</v>
      </c>
      <c r="J1477" s="133" t="s">
        <v>289</v>
      </c>
      <c r="K1477" s="133" t="s">
        <v>392</v>
      </c>
      <c r="L1477" s="133" t="s">
        <v>401</v>
      </c>
      <c r="M1477" s="133" t="s">
        <v>261</v>
      </c>
      <c r="N1477" s="133"/>
      <c r="O1477" s="133"/>
    </row>
    <row r="1478" spans="1:15">
      <c r="A1478" s="124" t="s">
        <v>387</v>
      </c>
      <c r="B1478" s="124"/>
      <c r="C1478" s="125" t="s">
        <v>514</v>
      </c>
      <c r="D1478" s="124" t="s">
        <v>510</v>
      </c>
      <c r="E1478" s="126">
        <v>48</v>
      </c>
      <c r="F1478" s="124" t="s">
        <v>391</v>
      </c>
      <c r="G1478" s="126"/>
      <c r="H1478" s="126">
        <v>32463.579921275817</v>
      </c>
      <c r="I1478" s="127">
        <v>19200000</v>
      </c>
      <c r="J1478" s="128" t="s">
        <v>289</v>
      </c>
      <c r="K1478" s="128" t="s">
        <v>392</v>
      </c>
      <c r="L1478" s="128" t="s">
        <v>401</v>
      </c>
      <c r="M1478" s="128" t="s">
        <v>261</v>
      </c>
      <c r="N1478" s="128"/>
      <c r="O1478" s="128"/>
    </row>
    <row r="1479" spans="1:15">
      <c r="A1479" s="129" t="s">
        <v>387</v>
      </c>
      <c r="B1479" s="129"/>
      <c r="C1479" s="130" t="s">
        <v>515</v>
      </c>
      <c r="D1479" s="129" t="s">
        <v>510</v>
      </c>
      <c r="E1479" s="131">
        <v>50</v>
      </c>
      <c r="F1479" s="129" t="s">
        <v>391</v>
      </c>
      <c r="G1479" s="131"/>
      <c r="H1479" s="131">
        <v>33816.229084662307</v>
      </c>
      <c r="I1479" s="132">
        <v>20000000</v>
      </c>
      <c r="J1479" s="133" t="s">
        <v>289</v>
      </c>
      <c r="K1479" s="133" t="s">
        <v>392</v>
      </c>
      <c r="L1479" s="133" t="s">
        <v>401</v>
      </c>
      <c r="M1479" s="133" t="s">
        <v>261</v>
      </c>
      <c r="N1479" s="133"/>
      <c r="O1479" s="133"/>
    </row>
    <row r="1480" spans="1:15">
      <c r="A1480" s="124" t="s">
        <v>387</v>
      </c>
      <c r="B1480" s="124"/>
      <c r="C1480" s="125" t="s">
        <v>516</v>
      </c>
      <c r="D1480" s="124" t="s">
        <v>510</v>
      </c>
      <c r="E1480" s="126">
        <v>50</v>
      </c>
      <c r="F1480" s="124" t="s">
        <v>391</v>
      </c>
      <c r="G1480" s="126"/>
      <c r="H1480" s="126">
        <v>33816.229084662307</v>
      </c>
      <c r="I1480" s="127">
        <v>20000000</v>
      </c>
      <c r="J1480" s="128" t="s">
        <v>289</v>
      </c>
      <c r="K1480" s="128" t="s">
        <v>392</v>
      </c>
      <c r="L1480" s="128" t="s">
        <v>401</v>
      </c>
      <c r="M1480" s="128" t="s">
        <v>261</v>
      </c>
      <c r="N1480" s="128"/>
      <c r="O1480" s="128"/>
    </row>
    <row r="1481" spans="1:15">
      <c r="A1481" s="129" t="s">
        <v>387</v>
      </c>
      <c r="B1481" s="129"/>
      <c r="C1481" s="130" t="s">
        <v>516</v>
      </c>
      <c r="D1481" s="129" t="s">
        <v>510</v>
      </c>
      <c r="E1481" s="131">
        <v>48</v>
      </c>
      <c r="F1481" s="129" t="s">
        <v>391</v>
      </c>
      <c r="G1481" s="131"/>
      <c r="H1481" s="131">
        <v>32463.579921275817</v>
      </c>
      <c r="I1481" s="132">
        <v>19200000</v>
      </c>
      <c r="J1481" s="133" t="s">
        <v>289</v>
      </c>
      <c r="K1481" s="133" t="s">
        <v>392</v>
      </c>
      <c r="L1481" s="133" t="s">
        <v>401</v>
      </c>
      <c r="M1481" s="133" t="s">
        <v>261</v>
      </c>
      <c r="N1481" s="133"/>
      <c r="O1481" s="133"/>
    </row>
    <row r="1482" spans="1:15">
      <c r="A1482" s="124" t="s">
        <v>387</v>
      </c>
      <c r="B1482" s="124"/>
      <c r="C1482" s="125" t="s">
        <v>516</v>
      </c>
      <c r="D1482" s="124" t="s">
        <v>510</v>
      </c>
      <c r="E1482" s="126">
        <v>50</v>
      </c>
      <c r="F1482" s="124" t="s">
        <v>391</v>
      </c>
      <c r="G1482" s="126"/>
      <c r="H1482" s="126">
        <v>33816.229084662307</v>
      </c>
      <c r="I1482" s="127">
        <v>20000000</v>
      </c>
      <c r="J1482" s="128" t="s">
        <v>289</v>
      </c>
      <c r="K1482" s="128" t="s">
        <v>392</v>
      </c>
      <c r="L1482" s="128" t="s">
        <v>401</v>
      </c>
      <c r="M1482" s="128" t="s">
        <v>261</v>
      </c>
      <c r="N1482" s="128"/>
      <c r="O1482" s="128"/>
    </row>
    <row r="1483" spans="1:15">
      <c r="A1483" s="129" t="s">
        <v>387</v>
      </c>
      <c r="B1483" s="129"/>
      <c r="C1483" s="130" t="s">
        <v>516</v>
      </c>
      <c r="D1483" s="129" t="s">
        <v>510</v>
      </c>
      <c r="E1483" s="131">
        <v>50</v>
      </c>
      <c r="F1483" s="129" t="s">
        <v>391</v>
      </c>
      <c r="G1483" s="131"/>
      <c r="H1483" s="131">
        <v>33816.229084662307</v>
      </c>
      <c r="I1483" s="132">
        <v>20000000</v>
      </c>
      <c r="J1483" s="133" t="s">
        <v>289</v>
      </c>
      <c r="K1483" s="133" t="s">
        <v>392</v>
      </c>
      <c r="L1483" s="133" t="s">
        <v>401</v>
      </c>
      <c r="M1483" s="133" t="s">
        <v>261</v>
      </c>
      <c r="N1483" s="133"/>
      <c r="O1483" s="133"/>
    </row>
    <row r="1484" spans="1:15">
      <c r="A1484" s="124" t="s">
        <v>387</v>
      </c>
      <c r="B1484" s="124"/>
      <c r="C1484" s="125" t="s">
        <v>516</v>
      </c>
      <c r="D1484" s="124" t="s">
        <v>510</v>
      </c>
      <c r="E1484" s="126">
        <v>50</v>
      </c>
      <c r="F1484" s="124" t="s">
        <v>391</v>
      </c>
      <c r="G1484" s="126"/>
      <c r="H1484" s="126">
        <v>33816.229084662307</v>
      </c>
      <c r="I1484" s="127">
        <v>20000000</v>
      </c>
      <c r="J1484" s="128" t="s">
        <v>289</v>
      </c>
      <c r="K1484" s="128" t="s">
        <v>392</v>
      </c>
      <c r="L1484" s="128" t="s">
        <v>401</v>
      </c>
      <c r="M1484" s="128" t="s">
        <v>261</v>
      </c>
      <c r="N1484" s="128"/>
      <c r="O1484" s="128"/>
    </row>
    <row r="1485" spans="1:15">
      <c r="A1485" s="129" t="s">
        <v>387</v>
      </c>
      <c r="B1485" s="129"/>
      <c r="C1485" s="130" t="s">
        <v>517</v>
      </c>
      <c r="D1485" s="129" t="s">
        <v>390</v>
      </c>
      <c r="E1485" s="131">
        <v>12801.303</v>
      </c>
      <c r="F1485" s="129" t="s">
        <v>391</v>
      </c>
      <c r="G1485" s="131"/>
      <c r="H1485" s="131">
        <v>13569381.180000406</v>
      </c>
      <c r="I1485" s="132">
        <v>8025366250.0500002</v>
      </c>
      <c r="J1485" s="133" t="s">
        <v>366</v>
      </c>
      <c r="K1485" s="133" t="s">
        <v>392</v>
      </c>
      <c r="L1485" s="133" t="s">
        <v>393</v>
      </c>
      <c r="M1485" s="133" t="s">
        <v>394</v>
      </c>
      <c r="N1485" s="133"/>
      <c r="O1485" s="133"/>
    </row>
    <row r="1486" spans="1:15">
      <c r="A1486" s="124" t="s">
        <v>387</v>
      </c>
      <c r="B1486" s="124"/>
      <c r="C1486" s="125" t="s">
        <v>517</v>
      </c>
      <c r="D1486" s="124" t="s">
        <v>390</v>
      </c>
      <c r="E1486" s="126">
        <v>1277</v>
      </c>
      <c r="F1486" s="124" t="s">
        <v>391</v>
      </c>
      <c r="G1486" s="126"/>
      <c r="H1486" s="126">
        <v>1353620</v>
      </c>
      <c r="I1486" s="127">
        <v>800574183.84000003</v>
      </c>
      <c r="J1486" s="128" t="s">
        <v>366</v>
      </c>
      <c r="K1486" s="128" t="s">
        <v>392</v>
      </c>
      <c r="L1486" s="128" t="s">
        <v>393</v>
      </c>
      <c r="M1486" s="128" t="s">
        <v>394</v>
      </c>
      <c r="N1486" s="128"/>
      <c r="O1486" s="128"/>
    </row>
    <row r="1487" spans="1:15">
      <c r="A1487" s="129" t="s">
        <v>387</v>
      </c>
      <c r="B1487" s="129"/>
      <c r="C1487" s="130" t="s">
        <v>517</v>
      </c>
      <c r="D1487" s="129" t="s">
        <v>390</v>
      </c>
      <c r="E1487" s="131">
        <v>16333.584999999999</v>
      </c>
      <c r="F1487" s="129" t="s">
        <v>391</v>
      </c>
      <c r="G1487" s="131"/>
      <c r="H1487" s="131">
        <v>17313600.099994589</v>
      </c>
      <c r="I1487" s="132">
        <v>10239817134.34</v>
      </c>
      <c r="J1487" s="133" t="s">
        <v>366</v>
      </c>
      <c r="K1487" s="133" t="s">
        <v>392</v>
      </c>
      <c r="L1487" s="133" t="s">
        <v>393</v>
      </c>
      <c r="M1487" s="133" t="s">
        <v>394</v>
      </c>
      <c r="N1487" s="133"/>
      <c r="O1487" s="133"/>
    </row>
    <row r="1488" spans="1:15">
      <c r="A1488" s="124" t="s">
        <v>387</v>
      </c>
      <c r="B1488" s="124"/>
      <c r="C1488" s="125" t="s">
        <v>517</v>
      </c>
      <c r="D1488" s="124" t="s">
        <v>398</v>
      </c>
      <c r="E1488" s="126"/>
      <c r="F1488" s="124" t="s">
        <v>391</v>
      </c>
      <c r="G1488" s="126"/>
      <c r="H1488" s="126">
        <v>-124044.62999972947</v>
      </c>
      <c r="I1488" s="127">
        <v>-73363963.609999999</v>
      </c>
      <c r="J1488" s="128" t="s">
        <v>366</v>
      </c>
      <c r="K1488" s="128" t="s">
        <v>392</v>
      </c>
      <c r="L1488" s="128" t="s">
        <v>393</v>
      </c>
      <c r="M1488" s="128" t="s">
        <v>394</v>
      </c>
      <c r="N1488" s="128"/>
      <c r="O1488" s="128"/>
    </row>
    <row r="1489" spans="1:15">
      <c r="A1489" s="129" t="s">
        <v>387</v>
      </c>
      <c r="B1489" s="129"/>
      <c r="C1489" s="130" t="s">
        <v>517</v>
      </c>
      <c r="D1489" s="129" t="s">
        <v>398</v>
      </c>
      <c r="E1489" s="131"/>
      <c r="F1489" s="129" t="s">
        <v>391</v>
      </c>
      <c r="G1489" s="131"/>
      <c r="H1489" s="131">
        <v>-12374.129992966224</v>
      </c>
      <c r="I1489" s="132">
        <v>-7318456.4500000002</v>
      </c>
      <c r="J1489" s="133" t="s">
        <v>366</v>
      </c>
      <c r="K1489" s="133" t="s">
        <v>392</v>
      </c>
      <c r="L1489" s="133" t="s">
        <v>393</v>
      </c>
      <c r="M1489" s="133" t="s">
        <v>394</v>
      </c>
      <c r="N1489" s="133"/>
      <c r="O1489" s="133"/>
    </row>
    <row r="1490" spans="1:15">
      <c r="A1490" s="124" t="s">
        <v>387</v>
      </c>
      <c r="B1490" s="124"/>
      <c r="C1490" s="125" t="s">
        <v>517</v>
      </c>
      <c r="D1490" s="124" t="s">
        <v>398</v>
      </c>
      <c r="E1490" s="126"/>
      <c r="F1490" s="124" t="s">
        <v>391</v>
      </c>
      <c r="G1490" s="126"/>
      <c r="H1490" s="126">
        <v>-160663.91000148791</v>
      </c>
      <c r="I1490" s="127">
        <v>-95021777.620000005</v>
      </c>
      <c r="J1490" s="128" t="s">
        <v>366</v>
      </c>
      <c r="K1490" s="128" t="s">
        <v>392</v>
      </c>
      <c r="L1490" s="128" t="s">
        <v>393</v>
      </c>
      <c r="M1490" s="128" t="s">
        <v>394</v>
      </c>
      <c r="N1490" s="128"/>
      <c r="O1490" s="128"/>
    </row>
    <row r="1491" spans="1:15">
      <c r="A1491" s="129" t="s">
        <v>387</v>
      </c>
      <c r="B1491" s="129"/>
      <c r="C1491" s="130" t="s">
        <v>518</v>
      </c>
      <c r="D1491" s="129" t="s">
        <v>390</v>
      </c>
      <c r="E1491" s="131">
        <v>2082</v>
      </c>
      <c r="F1491" s="129" t="s">
        <v>391</v>
      </c>
      <c r="G1491" s="131"/>
      <c r="H1491" s="131">
        <v>2206920</v>
      </c>
      <c r="I1491" s="132">
        <v>1336206197.04</v>
      </c>
      <c r="J1491" s="133" t="s">
        <v>366</v>
      </c>
      <c r="K1491" s="133" t="s">
        <v>392</v>
      </c>
      <c r="L1491" s="133" t="s">
        <v>393</v>
      </c>
      <c r="M1491" s="133" t="s">
        <v>394</v>
      </c>
      <c r="N1491" s="133"/>
      <c r="O1491" s="133"/>
    </row>
    <row r="1492" spans="1:15">
      <c r="A1492" s="124" t="s">
        <v>387</v>
      </c>
      <c r="B1492" s="124"/>
      <c r="C1492" s="125" t="s">
        <v>518</v>
      </c>
      <c r="D1492" s="124" t="s">
        <v>390</v>
      </c>
      <c r="E1492" s="126">
        <v>13486.985000000001</v>
      </c>
      <c r="F1492" s="124" t="s">
        <v>391</v>
      </c>
      <c r="G1492" s="126"/>
      <c r="H1492" s="126">
        <v>14296204.099993065</v>
      </c>
      <c r="I1492" s="127">
        <v>8655808326.7900009</v>
      </c>
      <c r="J1492" s="128" t="s">
        <v>366</v>
      </c>
      <c r="K1492" s="128" t="s">
        <v>392</v>
      </c>
      <c r="L1492" s="128" t="s">
        <v>393</v>
      </c>
      <c r="M1492" s="128" t="s">
        <v>394</v>
      </c>
      <c r="N1492" s="128"/>
      <c r="O1492" s="128"/>
    </row>
    <row r="1493" spans="1:15">
      <c r="A1493" s="129" t="s">
        <v>387</v>
      </c>
      <c r="B1493" s="129"/>
      <c r="C1493" s="130" t="s">
        <v>519</v>
      </c>
      <c r="D1493" s="129" t="s">
        <v>520</v>
      </c>
      <c r="E1493" s="131">
        <v>20</v>
      </c>
      <c r="F1493" s="129" t="s">
        <v>391</v>
      </c>
      <c r="G1493" s="131"/>
      <c r="H1493" s="131">
        <v>11032.89719255709</v>
      </c>
      <c r="I1493" s="132">
        <v>6680000</v>
      </c>
      <c r="J1493" s="133" t="s">
        <v>289</v>
      </c>
      <c r="K1493" s="133" t="s">
        <v>392</v>
      </c>
      <c r="L1493" s="133" t="s">
        <v>521</v>
      </c>
      <c r="M1493" s="133" t="s">
        <v>261</v>
      </c>
      <c r="N1493" s="133"/>
      <c r="O1493" s="133"/>
    </row>
    <row r="1494" spans="1:15">
      <c r="A1494" s="124" t="s">
        <v>387</v>
      </c>
      <c r="B1494" s="124"/>
      <c r="C1494" s="125" t="s">
        <v>522</v>
      </c>
      <c r="D1494" s="124" t="s">
        <v>390</v>
      </c>
      <c r="E1494" s="126">
        <v>15001.32</v>
      </c>
      <c r="F1494" s="124" t="s">
        <v>391</v>
      </c>
      <c r="G1494" s="126"/>
      <c r="H1494" s="126">
        <v>15901399.19999934</v>
      </c>
      <c r="I1494" s="127">
        <v>9627692962.4300003</v>
      </c>
      <c r="J1494" s="128" t="s">
        <v>366</v>
      </c>
      <c r="K1494" s="128" t="s">
        <v>392</v>
      </c>
      <c r="L1494" s="128" t="s">
        <v>393</v>
      </c>
      <c r="M1494" s="128" t="s">
        <v>394</v>
      </c>
      <c r="N1494" s="128"/>
      <c r="O1494" s="128"/>
    </row>
    <row r="1495" spans="1:15">
      <c r="A1495" s="129" t="s">
        <v>387</v>
      </c>
      <c r="B1495" s="129"/>
      <c r="C1495" s="130" t="s">
        <v>522</v>
      </c>
      <c r="D1495" s="129" t="s">
        <v>390</v>
      </c>
      <c r="E1495" s="131">
        <v>1567</v>
      </c>
      <c r="F1495" s="129" t="s">
        <v>391</v>
      </c>
      <c r="G1495" s="131"/>
      <c r="H1495" s="131">
        <v>1661020</v>
      </c>
      <c r="I1495" s="132">
        <v>1005684491.24</v>
      </c>
      <c r="J1495" s="133" t="s">
        <v>366</v>
      </c>
      <c r="K1495" s="133" t="s">
        <v>392</v>
      </c>
      <c r="L1495" s="133" t="s">
        <v>393</v>
      </c>
      <c r="M1495" s="133" t="s">
        <v>394</v>
      </c>
      <c r="N1495" s="133"/>
      <c r="O1495" s="133"/>
    </row>
    <row r="1496" spans="1:15">
      <c r="A1496" s="124" t="s">
        <v>387</v>
      </c>
      <c r="B1496" s="124"/>
      <c r="C1496" s="125" t="s">
        <v>522</v>
      </c>
      <c r="D1496" s="124" t="s">
        <v>390</v>
      </c>
      <c r="E1496" s="126">
        <v>13140.543</v>
      </c>
      <c r="F1496" s="124" t="s">
        <v>391</v>
      </c>
      <c r="G1496" s="126"/>
      <c r="H1496" s="126">
        <v>13928975.58000337</v>
      </c>
      <c r="I1496" s="127">
        <v>8433465412.6199999</v>
      </c>
      <c r="J1496" s="128" t="s">
        <v>366</v>
      </c>
      <c r="K1496" s="128" t="s">
        <v>392</v>
      </c>
      <c r="L1496" s="128" t="s">
        <v>393</v>
      </c>
      <c r="M1496" s="128" t="s">
        <v>394</v>
      </c>
      <c r="N1496" s="128"/>
      <c r="O1496" s="128"/>
    </row>
    <row r="1497" spans="1:15">
      <c r="A1497" s="129" t="s">
        <v>387</v>
      </c>
      <c r="B1497" s="129"/>
      <c r="C1497" s="130" t="s">
        <v>523</v>
      </c>
      <c r="D1497" s="129" t="s">
        <v>398</v>
      </c>
      <c r="E1497" s="131"/>
      <c r="F1497" s="129" t="s">
        <v>391</v>
      </c>
      <c r="G1497" s="131"/>
      <c r="H1497" s="131">
        <v>-150013.20000264261</v>
      </c>
      <c r="I1497" s="132">
        <v>-90827292.099999994</v>
      </c>
      <c r="J1497" s="133" t="s">
        <v>366</v>
      </c>
      <c r="K1497" s="133" t="s">
        <v>392</v>
      </c>
      <c r="L1497" s="133" t="s">
        <v>393</v>
      </c>
      <c r="M1497" s="133" t="s">
        <v>394</v>
      </c>
      <c r="N1497" s="133"/>
      <c r="O1497" s="133"/>
    </row>
    <row r="1498" spans="1:15">
      <c r="A1498" s="124" t="s">
        <v>387</v>
      </c>
      <c r="B1498" s="124"/>
      <c r="C1498" s="125" t="s">
        <v>524</v>
      </c>
      <c r="D1498" s="124" t="s">
        <v>398</v>
      </c>
      <c r="E1498" s="126"/>
      <c r="F1498" s="124" t="s">
        <v>391</v>
      </c>
      <c r="G1498" s="126"/>
      <c r="H1498" s="126">
        <v>-20820</v>
      </c>
      <c r="I1498" s="127">
        <v>-12605718.84</v>
      </c>
      <c r="J1498" s="128" t="s">
        <v>366</v>
      </c>
      <c r="K1498" s="128" t="s">
        <v>392</v>
      </c>
      <c r="L1498" s="128" t="s">
        <v>393</v>
      </c>
      <c r="M1498" s="128" t="s">
        <v>394</v>
      </c>
      <c r="N1498" s="128"/>
      <c r="O1498" s="128"/>
    </row>
    <row r="1499" spans="1:15">
      <c r="A1499" s="129" t="s">
        <v>387</v>
      </c>
      <c r="B1499" s="129"/>
      <c r="C1499" s="130" t="s">
        <v>524</v>
      </c>
      <c r="D1499" s="129" t="s">
        <v>398</v>
      </c>
      <c r="E1499" s="131"/>
      <c r="F1499" s="129" t="s">
        <v>391</v>
      </c>
      <c r="G1499" s="131"/>
      <c r="H1499" s="131">
        <v>-134869.84999884386</v>
      </c>
      <c r="I1499" s="132">
        <v>-81658569.120000005</v>
      </c>
      <c r="J1499" s="133" t="s">
        <v>366</v>
      </c>
      <c r="K1499" s="133" t="s">
        <v>392</v>
      </c>
      <c r="L1499" s="133" t="s">
        <v>393</v>
      </c>
      <c r="M1499" s="133" t="s">
        <v>394</v>
      </c>
      <c r="N1499" s="133"/>
      <c r="O1499" s="133"/>
    </row>
    <row r="1500" spans="1:15">
      <c r="A1500" s="124" t="s">
        <v>387</v>
      </c>
      <c r="B1500" s="124"/>
      <c r="C1500" s="125" t="s">
        <v>524</v>
      </c>
      <c r="D1500" s="124" t="s">
        <v>398</v>
      </c>
      <c r="E1500" s="126"/>
      <c r="F1500" s="124" t="s">
        <v>391</v>
      </c>
      <c r="G1500" s="126"/>
      <c r="H1500" s="126">
        <v>-15669.999999999998</v>
      </c>
      <c r="I1500" s="127">
        <v>-9487589.5399999991</v>
      </c>
      <c r="J1500" s="128" t="s">
        <v>366</v>
      </c>
      <c r="K1500" s="128" t="s">
        <v>392</v>
      </c>
      <c r="L1500" s="128" t="s">
        <v>393</v>
      </c>
      <c r="M1500" s="128" t="s">
        <v>394</v>
      </c>
      <c r="N1500" s="128"/>
      <c r="O1500" s="128"/>
    </row>
    <row r="1501" spans="1:15">
      <c r="A1501" s="129" t="s">
        <v>387</v>
      </c>
      <c r="B1501" s="129"/>
      <c r="C1501" s="130" t="s">
        <v>524</v>
      </c>
      <c r="D1501" s="129" t="s">
        <v>398</v>
      </c>
      <c r="E1501" s="131"/>
      <c r="F1501" s="129" t="s">
        <v>391</v>
      </c>
      <c r="G1501" s="131"/>
      <c r="H1501" s="131">
        <v>-131405.43000221316</v>
      </c>
      <c r="I1501" s="132">
        <v>-79560994.459999993</v>
      </c>
      <c r="J1501" s="133" t="s">
        <v>366</v>
      </c>
      <c r="K1501" s="133" t="s">
        <v>392</v>
      </c>
      <c r="L1501" s="133" t="s">
        <v>393</v>
      </c>
      <c r="M1501" s="133" t="s">
        <v>394</v>
      </c>
      <c r="N1501" s="133"/>
      <c r="O1501" s="133"/>
    </row>
    <row r="1502" spans="1:15">
      <c r="A1502" s="124" t="s">
        <v>387</v>
      </c>
      <c r="B1502" s="124"/>
      <c r="C1502" s="125" t="s">
        <v>524</v>
      </c>
      <c r="D1502" s="124" t="s">
        <v>510</v>
      </c>
      <c r="E1502" s="126">
        <v>46</v>
      </c>
      <c r="F1502" s="124" t="s">
        <v>391</v>
      </c>
      <c r="G1502" s="126"/>
      <c r="H1502" s="126">
        <v>30390.016219019526</v>
      </c>
      <c r="I1502" s="127">
        <v>18400000</v>
      </c>
      <c r="J1502" s="128" t="s">
        <v>289</v>
      </c>
      <c r="K1502" s="128" t="s">
        <v>392</v>
      </c>
      <c r="L1502" s="128" t="s">
        <v>401</v>
      </c>
      <c r="M1502" s="128" t="s">
        <v>261</v>
      </c>
      <c r="N1502" s="128"/>
      <c r="O1502" s="128"/>
    </row>
    <row r="1503" spans="1:15">
      <c r="A1503" s="129" t="s">
        <v>387</v>
      </c>
      <c r="B1503" s="129"/>
      <c r="C1503" s="130" t="s">
        <v>524</v>
      </c>
      <c r="D1503" s="129" t="s">
        <v>510</v>
      </c>
      <c r="E1503" s="131">
        <v>48</v>
      </c>
      <c r="F1503" s="129" t="s">
        <v>391</v>
      </c>
      <c r="G1503" s="131"/>
      <c r="H1503" s="131">
        <v>31711.321272020374</v>
      </c>
      <c r="I1503" s="132">
        <v>19200000</v>
      </c>
      <c r="J1503" s="133" t="s">
        <v>289</v>
      </c>
      <c r="K1503" s="133" t="s">
        <v>392</v>
      </c>
      <c r="L1503" s="133" t="s">
        <v>401</v>
      </c>
      <c r="M1503" s="133" t="s">
        <v>261</v>
      </c>
      <c r="N1503" s="133"/>
      <c r="O1503" s="133"/>
    </row>
    <row r="1504" spans="1:15">
      <c r="A1504" s="124" t="s">
        <v>387</v>
      </c>
      <c r="B1504" s="124"/>
      <c r="C1504" s="125" t="s">
        <v>524</v>
      </c>
      <c r="D1504" s="124" t="s">
        <v>510</v>
      </c>
      <c r="E1504" s="126">
        <v>48</v>
      </c>
      <c r="F1504" s="124" t="s">
        <v>391</v>
      </c>
      <c r="G1504" s="126"/>
      <c r="H1504" s="126">
        <v>31711.321272020374</v>
      </c>
      <c r="I1504" s="127">
        <v>19200000</v>
      </c>
      <c r="J1504" s="128" t="s">
        <v>289</v>
      </c>
      <c r="K1504" s="128" t="s">
        <v>392</v>
      </c>
      <c r="L1504" s="128" t="s">
        <v>401</v>
      </c>
      <c r="M1504" s="128" t="s">
        <v>261</v>
      </c>
      <c r="N1504" s="128"/>
      <c r="O1504" s="128"/>
    </row>
    <row r="1505" spans="1:15">
      <c r="A1505" s="129" t="s">
        <v>387</v>
      </c>
      <c r="B1505" s="129"/>
      <c r="C1505" s="130" t="s">
        <v>525</v>
      </c>
      <c r="D1505" s="129" t="s">
        <v>390</v>
      </c>
      <c r="E1505" s="131">
        <v>15245.632</v>
      </c>
      <c r="F1505" s="129" t="s">
        <v>391</v>
      </c>
      <c r="G1505" s="131"/>
      <c r="H1505" s="131">
        <v>16160369.919992566</v>
      </c>
      <c r="I1505" s="132">
        <v>10085153574.860001</v>
      </c>
      <c r="J1505" s="133" t="s">
        <v>366</v>
      </c>
      <c r="K1505" s="133" t="s">
        <v>392</v>
      </c>
      <c r="L1505" s="133" t="s">
        <v>393</v>
      </c>
      <c r="M1505" s="133" t="s">
        <v>394</v>
      </c>
      <c r="N1505" s="133"/>
      <c r="O1505" s="133"/>
    </row>
    <row r="1506" spans="1:15">
      <c r="A1506" s="124" t="s">
        <v>387</v>
      </c>
      <c r="B1506" s="124"/>
      <c r="C1506" s="125" t="s">
        <v>526</v>
      </c>
      <c r="D1506" s="124" t="s">
        <v>390</v>
      </c>
      <c r="E1506" s="126">
        <v>15967.343999999999</v>
      </c>
      <c r="F1506" s="124" t="s">
        <v>391</v>
      </c>
      <c r="G1506" s="126"/>
      <c r="H1506" s="126">
        <v>16925384.639998589</v>
      </c>
      <c r="I1506" s="127">
        <v>10562574016.129999</v>
      </c>
      <c r="J1506" s="128" t="s">
        <v>366</v>
      </c>
      <c r="K1506" s="128" t="s">
        <v>392</v>
      </c>
      <c r="L1506" s="128" t="s">
        <v>393</v>
      </c>
      <c r="M1506" s="128" t="s">
        <v>394</v>
      </c>
      <c r="N1506" s="128"/>
      <c r="O1506" s="128"/>
    </row>
    <row r="1507" spans="1:15">
      <c r="A1507" s="129" t="s">
        <v>387</v>
      </c>
      <c r="B1507" s="129"/>
      <c r="C1507" s="130" t="s">
        <v>526</v>
      </c>
      <c r="D1507" s="129" t="s">
        <v>390</v>
      </c>
      <c r="E1507" s="131">
        <v>15902.35</v>
      </c>
      <c r="F1507" s="129" t="s">
        <v>391</v>
      </c>
      <c r="G1507" s="131"/>
      <c r="H1507" s="131">
        <v>16856491.000004806</v>
      </c>
      <c r="I1507" s="132">
        <v>10519579768.9</v>
      </c>
      <c r="J1507" s="133" t="s">
        <v>366</v>
      </c>
      <c r="K1507" s="133" t="s">
        <v>392</v>
      </c>
      <c r="L1507" s="133" t="s">
        <v>393</v>
      </c>
      <c r="M1507" s="133" t="s">
        <v>394</v>
      </c>
      <c r="N1507" s="133"/>
      <c r="O1507" s="133"/>
    </row>
    <row r="1508" spans="1:15">
      <c r="A1508" s="124" t="s">
        <v>387</v>
      </c>
      <c r="B1508" s="124"/>
      <c r="C1508" s="125" t="s">
        <v>527</v>
      </c>
      <c r="D1508" s="124" t="s">
        <v>403</v>
      </c>
      <c r="E1508" s="126">
        <v>32977.644999999997</v>
      </c>
      <c r="F1508" s="124" t="s">
        <v>391</v>
      </c>
      <c r="G1508" s="126"/>
      <c r="H1508" s="126">
        <v>23348172.66000285</v>
      </c>
      <c r="I1508" s="127">
        <v>14570824067.41</v>
      </c>
      <c r="J1508" s="128" t="s">
        <v>289</v>
      </c>
      <c r="K1508" s="128" t="s">
        <v>392</v>
      </c>
      <c r="L1508" s="128" t="s">
        <v>528</v>
      </c>
      <c r="M1508" s="128" t="s">
        <v>529</v>
      </c>
      <c r="N1508" s="128"/>
      <c r="O1508" s="128"/>
    </row>
    <row r="1509" spans="1:15">
      <c r="A1509" s="129" t="s">
        <v>387</v>
      </c>
      <c r="B1509" s="129"/>
      <c r="C1509" s="130" t="s">
        <v>530</v>
      </c>
      <c r="D1509" s="129" t="s">
        <v>398</v>
      </c>
      <c r="E1509" s="131"/>
      <c r="F1509" s="129" t="s">
        <v>391</v>
      </c>
      <c r="G1509" s="131"/>
      <c r="H1509" s="131">
        <v>-152456.31999448777</v>
      </c>
      <c r="I1509" s="132">
        <v>-95142958.25</v>
      </c>
      <c r="J1509" s="133" t="s">
        <v>366</v>
      </c>
      <c r="K1509" s="133" t="s">
        <v>392</v>
      </c>
      <c r="L1509" s="133" t="s">
        <v>393</v>
      </c>
      <c r="M1509" s="133" t="s">
        <v>394</v>
      </c>
      <c r="N1509" s="133"/>
      <c r="O1509" s="133"/>
    </row>
    <row r="1510" spans="1:15">
      <c r="A1510" s="124" t="s">
        <v>387</v>
      </c>
      <c r="B1510" s="124"/>
      <c r="C1510" s="125" t="s">
        <v>530</v>
      </c>
      <c r="D1510" s="124" t="s">
        <v>398</v>
      </c>
      <c r="E1510" s="126"/>
      <c r="F1510" s="124" t="s">
        <v>391</v>
      </c>
      <c r="G1510" s="126"/>
      <c r="H1510" s="126">
        <v>-159673.43999923088</v>
      </c>
      <c r="I1510" s="127">
        <v>-99646924.680000007</v>
      </c>
      <c r="J1510" s="128" t="s">
        <v>366</v>
      </c>
      <c r="K1510" s="128" t="s">
        <v>392</v>
      </c>
      <c r="L1510" s="128" t="s">
        <v>393</v>
      </c>
      <c r="M1510" s="128" t="s">
        <v>394</v>
      </c>
      <c r="N1510" s="128"/>
      <c r="O1510" s="128"/>
    </row>
    <row r="1511" spans="1:15">
      <c r="A1511" s="129" t="s">
        <v>387</v>
      </c>
      <c r="B1511" s="129"/>
      <c r="C1511" s="130" t="s">
        <v>530</v>
      </c>
      <c r="D1511" s="129" t="s">
        <v>398</v>
      </c>
      <c r="E1511" s="131"/>
      <c r="F1511" s="129" t="s">
        <v>391</v>
      </c>
      <c r="G1511" s="131"/>
      <c r="H1511" s="131">
        <v>-159023.49999278923</v>
      </c>
      <c r="I1511" s="132">
        <v>-99241318.569999993</v>
      </c>
      <c r="J1511" s="133" t="s">
        <v>366</v>
      </c>
      <c r="K1511" s="133" t="s">
        <v>392</v>
      </c>
      <c r="L1511" s="133" t="s">
        <v>393</v>
      </c>
      <c r="M1511" s="133" t="s">
        <v>394</v>
      </c>
      <c r="N1511" s="133"/>
      <c r="O1511" s="133"/>
    </row>
    <row r="1512" spans="1:15">
      <c r="A1512" s="124" t="s">
        <v>72</v>
      </c>
      <c r="B1512" s="124" t="s">
        <v>531</v>
      </c>
      <c r="C1512" s="125">
        <v>45320</v>
      </c>
      <c r="D1512" s="124" t="s">
        <v>333</v>
      </c>
      <c r="E1512" s="126">
        <v>8896.9599999999991</v>
      </c>
      <c r="F1512" s="124" t="s">
        <v>334</v>
      </c>
      <c r="G1512" s="126">
        <v>2024.65</v>
      </c>
      <c r="H1512" s="126">
        <v>18013239.010000002</v>
      </c>
      <c r="I1512" s="127">
        <v>10704655493.516661</v>
      </c>
      <c r="J1512" s="128" t="s">
        <v>335</v>
      </c>
      <c r="K1512" s="128" t="s">
        <v>532</v>
      </c>
      <c r="L1512" s="128" t="s">
        <v>533</v>
      </c>
      <c r="M1512" s="128" t="s">
        <v>534</v>
      </c>
      <c r="N1512" s="128"/>
      <c r="O1512" s="128"/>
    </row>
    <row r="1513" spans="1:15">
      <c r="A1513" s="129" t="s">
        <v>72</v>
      </c>
      <c r="B1513" s="129" t="s">
        <v>531</v>
      </c>
      <c r="C1513" s="130">
        <v>45350</v>
      </c>
      <c r="D1513" s="129" t="s">
        <v>333</v>
      </c>
      <c r="E1513" s="131">
        <v>11138.84</v>
      </c>
      <c r="F1513" s="129" t="s">
        <v>334</v>
      </c>
      <c r="G1513" s="131">
        <v>2024</v>
      </c>
      <c r="H1513" s="131">
        <v>22545009.399999999</v>
      </c>
      <c r="I1513" s="132">
        <v>13651611906.9538</v>
      </c>
      <c r="J1513" s="133" t="s">
        <v>335</v>
      </c>
      <c r="K1513" s="133" t="s">
        <v>532</v>
      </c>
      <c r="L1513" s="133" t="s">
        <v>533</v>
      </c>
      <c r="M1513" s="133" t="s">
        <v>534</v>
      </c>
      <c r="N1513" s="133"/>
      <c r="O1513" s="133"/>
    </row>
    <row r="1514" spans="1:15">
      <c r="A1514" s="124" t="s">
        <v>72</v>
      </c>
      <c r="B1514" s="124" t="s">
        <v>531</v>
      </c>
      <c r="C1514" s="125">
        <v>45370</v>
      </c>
      <c r="D1514" s="124" t="s">
        <v>333</v>
      </c>
      <c r="E1514" s="126">
        <v>6123.16</v>
      </c>
      <c r="F1514" s="124" t="s">
        <v>334</v>
      </c>
      <c r="G1514" s="126">
        <v>2163.4499999999998</v>
      </c>
      <c r="H1514" s="126">
        <v>13247146.58</v>
      </c>
      <c r="I1514" s="127">
        <v>8025253869.6297989</v>
      </c>
      <c r="J1514" s="128" t="s">
        <v>335</v>
      </c>
      <c r="K1514" s="128" t="s">
        <v>532</v>
      </c>
      <c r="L1514" s="128" t="s">
        <v>533</v>
      </c>
      <c r="M1514" s="128" t="s">
        <v>534</v>
      </c>
      <c r="N1514" s="128"/>
      <c r="O1514" s="128"/>
    </row>
    <row r="1515" spans="1:15">
      <c r="A1515" s="129" t="s">
        <v>72</v>
      </c>
      <c r="B1515" s="129" t="s">
        <v>531</v>
      </c>
      <c r="C1515" s="130">
        <v>45393</v>
      </c>
      <c r="D1515" s="129" t="s">
        <v>333</v>
      </c>
      <c r="E1515" s="131">
        <v>7677.14</v>
      </c>
      <c r="F1515" s="129" t="s">
        <v>334</v>
      </c>
      <c r="G1515" s="131">
        <v>2354.87</v>
      </c>
      <c r="H1515" s="131">
        <v>18078659.800000001</v>
      </c>
      <c r="I1515" s="132">
        <v>10977886511.694201</v>
      </c>
      <c r="J1515" s="133" t="s">
        <v>335</v>
      </c>
      <c r="K1515" s="133" t="s">
        <v>532</v>
      </c>
      <c r="L1515" s="133" t="s">
        <v>533</v>
      </c>
      <c r="M1515" s="133" t="s">
        <v>534</v>
      </c>
      <c r="N1515" s="133"/>
      <c r="O1515" s="133"/>
    </row>
    <row r="1516" spans="1:15">
      <c r="A1516" s="124" t="s">
        <v>72</v>
      </c>
      <c r="B1516" s="124" t="s">
        <v>531</v>
      </c>
      <c r="C1516" s="125">
        <v>45407</v>
      </c>
      <c r="D1516" s="124" t="s">
        <v>333</v>
      </c>
      <c r="E1516" s="126">
        <v>3249.86</v>
      </c>
      <c r="F1516" s="124" t="s">
        <v>334</v>
      </c>
      <c r="G1516" s="126">
        <v>2334.9499999999998</v>
      </c>
      <c r="H1516" s="126">
        <v>7588249.8099999996</v>
      </c>
      <c r="I1516" s="127">
        <v>4607805343.8764896</v>
      </c>
      <c r="J1516" s="128" t="s">
        <v>335</v>
      </c>
      <c r="K1516" s="128" t="s">
        <v>532</v>
      </c>
      <c r="L1516" s="128" t="s">
        <v>533</v>
      </c>
      <c r="M1516" s="128" t="s">
        <v>534</v>
      </c>
      <c r="N1516" s="128"/>
      <c r="O1516" s="128"/>
    </row>
    <row r="1517" spans="1:15">
      <c r="A1517" s="129" t="s">
        <v>72</v>
      </c>
      <c r="B1517" s="129" t="s">
        <v>531</v>
      </c>
      <c r="C1517" s="130">
        <v>45428</v>
      </c>
      <c r="D1517" s="129" t="s">
        <v>333</v>
      </c>
      <c r="E1517" s="131">
        <v>7720.21</v>
      </c>
      <c r="F1517" s="129" t="s">
        <v>334</v>
      </c>
      <c r="G1517" s="131">
        <v>2370.9</v>
      </c>
      <c r="H1517" s="131">
        <v>18303844.199999999</v>
      </c>
      <c r="I1517" s="132">
        <v>11223276628.893</v>
      </c>
      <c r="J1517" s="133" t="s">
        <v>335</v>
      </c>
      <c r="K1517" s="133" t="s">
        <v>532</v>
      </c>
      <c r="L1517" s="133" t="s">
        <v>533</v>
      </c>
      <c r="M1517" s="133" t="s">
        <v>534</v>
      </c>
      <c r="N1517" s="133"/>
      <c r="O1517" s="133"/>
    </row>
    <row r="1518" spans="1:15">
      <c r="A1518" s="124" t="s">
        <v>72</v>
      </c>
      <c r="B1518" s="124" t="s">
        <v>531</v>
      </c>
      <c r="C1518" s="125">
        <v>45464</v>
      </c>
      <c r="D1518" s="124" t="s">
        <v>333</v>
      </c>
      <c r="E1518" s="126">
        <v>13335.88</v>
      </c>
      <c r="F1518" s="124" t="s">
        <v>334</v>
      </c>
      <c r="G1518" s="126">
        <v>2324.25</v>
      </c>
      <c r="H1518" s="126">
        <v>30995930.16</v>
      </c>
      <c r="I1518" s="127">
        <v>18753777584.006397</v>
      </c>
      <c r="J1518" s="128" t="s">
        <v>335</v>
      </c>
      <c r="K1518" s="128" t="s">
        <v>532</v>
      </c>
      <c r="L1518" s="128" t="s">
        <v>533</v>
      </c>
      <c r="M1518" s="128" t="s">
        <v>534</v>
      </c>
      <c r="N1518" s="128"/>
      <c r="O1518" s="128"/>
    </row>
    <row r="1519" spans="1:15">
      <c r="A1519" s="129" t="s">
        <v>72</v>
      </c>
      <c r="B1519" s="129" t="s">
        <v>531</v>
      </c>
      <c r="C1519" s="130">
        <v>45488</v>
      </c>
      <c r="D1519" s="129" t="s">
        <v>333</v>
      </c>
      <c r="E1519" s="131">
        <v>10113.49</v>
      </c>
      <c r="F1519" s="129" t="s">
        <v>334</v>
      </c>
      <c r="G1519" s="131">
        <v>2379.6</v>
      </c>
      <c r="H1519" s="131">
        <v>24066058.079999998</v>
      </c>
      <c r="I1519" s="132">
        <v>14729245790.934719</v>
      </c>
      <c r="J1519" s="133" t="s">
        <v>335</v>
      </c>
      <c r="K1519" s="133" t="s">
        <v>532</v>
      </c>
      <c r="L1519" s="133" t="s">
        <v>533</v>
      </c>
      <c r="M1519" s="133" t="s">
        <v>534</v>
      </c>
      <c r="N1519" s="133"/>
      <c r="O1519" s="133"/>
    </row>
    <row r="1520" spans="1:15">
      <c r="A1520" s="124" t="s">
        <v>72</v>
      </c>
      <c r="B1520" s="124" t="s">
        <v>531</v>
      </c>
      <c r="C1520" s="125">
        <v>45537</v>
      </c>
      <c r="D1520" s="124" t="s">
        <v>333</v>
      </c>
      <c r="E1520" s="126">
        <v>16340.1</v>
      </c>
      <c r="F1520" s="124" t="s">
        <v>334</v>
      </c>
      <c r="G1520" s="126">
        <v>2518.1</v>
      </c>
      <c r="H1520" s="126">
        <v>41146012.390000001</v>
      </c>
      <c r="I1520" s="127">
        <v>24932179331.64616</v>
      </c>
      <c r="J1520" s="128" t="s">
        <v>335</v>
      </c>
      <c r="K1520" s="128" t="s">
        <v>532</v>
      </c>
      <c r="L1520" s="128" t="s">
        <v>533</v>
      </c>
      <c r="M1520" s="128" t="s">
        <v>534</v>
      </c>
      <c r="N1520" s="128"/>
      <c r="O1520" s="128"/>
    </row>
    <row r="1521" spans="1:15">
      <c r="A1521" s="129" t="s">
        <v>72</v>
      </c>
      <c r="B1521" s="129" t="s">
        <v>531</v>
      </c>
      <c r="C1521" s="130">
        <v>45558</v>
      </c>
      <c r="D1521" s="129" t="s">
        <v>333</v>
      </c>
      <c r="E1521" s="131">
        <v>11046.86</v>
      </c>
      <c r="F1521" s="129" t="s">
        <v>334</v>
      </c>
      <c r="G1521" s="131">
        <v>2622.3</v>
      </c>
      <c r="H1521" s="131">
        <v>28968182.84</v>
      </c>
      <c r="I1521" s="132">
        <v>17198931579.39912</v>
      </c>
      <c r="J1521" s="133" t="s">
        <v>335</v>
      </c>
      <c r="K1521" s="133" t="s">
        <v>532</v>
      </c>
      <c r="L1521" s="133" t="s">
        <v>533</v>
      </c>
      <c r="M1521" s="133" t="s">
        <v>534</v>
      </c>
      <c r="N1521" s="133"/>
      <c r="O1521" s="133"/>
    </row>
    <row r="1522" spans="1:15">
      <c r="A1522" s="124" t="s">
        <v>72</v>
      </c>
      <c r="B1522" s="124" t="s">
        <v>531</v>
      </c>
      <c r="C1522" s="125">
        <v>45587</v>
      </c>
      <c r="D1522" s="124" t="s">
        <v>333</v>
      </c>
      <c r="E1522" s="126">
        <v>6144.54</v>
      </c>
      <c r="F1522" s="124" t="s">
        <v>334</v>
      </c>
      <c r="G1522" s="126">
        <v>2731.8</v>
      </c>
      <c r="H1522" s="126">
        <v>16785661.399999999</v>
      </c>
      <c r="I1522" s="127">
        <v>9864631062.8747997</v>
      </c>
      <c r="J1522" s="128" t="s">
        <v>335</v>
      </c>
      <c r="K1522" s="128" t="s">
        <v>532</v>
      </c>
      <c r="L1522" s="128" t="s">
        <v>533</v>
      </c>
      <c r="M1522" s="128" t="s">
        <v>534</v>
      </c>
      <c r="N1522" s="128"/>
      <c r="O1522" s="128"/>
    </row>
    <row r="1523" spans="1:15">
      <c r="A1523" s="129" t="s">
        <v>72</v>
      </c>
      <c r="B1523" s="129" t="s">
        <v>531</v>
      </c>
      <c r="C1523" s="130">
        <v>45621</v>
      </c>
      <c r="D1523" s="129" t="s">
        <v>333</v>
      </c>
      <c r="E1523" s="131">
        <v>11161.22</v>
      </c>
      <c r="F1523" s="129" t="s">
        <v>334</v>
      </c>
      <c r="G1523" s="131">
        <v>2694.95</v>
      </c>
      <c r="H1523" s="131">
        <v>30078926.25</v>
      </c>
      <c r="I1523" s="132">
        <v>18160452512.700001</v>
      </c>
      <c r="J1523" s="133" t="s">
        <v>335</v>
      </c>
      <c r="K1523" s="133" t="s">
        <v>532</v>
      </c>
      <c r="L1523" s="133" t="s">
        <v>533</v>
      </c>
      <c r="M1523" s="133" t="s">
        <v>534</v>
      </c>
      <c r="N1523" s="133"/>
      <c r="O1523" s="133"/>
    </row>
    <row r="1524" spans="1:15">
      <c r="A1524" s="124" t="s">
        <v>72</v>
      </c>
      <c r="B1524" s="124" t="s">
        <v>531</v>
      </c>
      <c r="C1524" s="125">
        <v>45652</v>
      </c>
      <c r="D1524" s="124" t="s">
        <v>333</v>
      </c>
      <c r="E1524" s="126">
        <v>8675.01</v>
      </c>
      <c r="F1524" s="124" t="s">
        <v>334</v>
      </c>
      <c r="G1524" s="126">
        <v>2614.6</v>
      </c>
      <c r="H1524" s="126">
        <v>22681683.780000001</v>
      </c>
      <c r="I1524" s="127">
        <v>14063120258.959379</v>
      </c>
      <c r="J1524" s="128" t="s">
        <v>335</v>
      </c>
      <c r="K1524" s="128" t="s">
        <v>532</v>
      </c>
      <c r="L1524" s="128" t="s">
        <v>533</v>
      </c>
      <c r="M1524" s="128" t="s">
        <v>534</v>
      </c>
      <c r="N1524" s="128"/>
      <c r="O1524" s="128"/>
    </row>
    <row r="1525" spans="1:15">
      <c r="A1525" s="129" t="s">
        <v>72</v>
      </c>
      <c r="B1525" s="129" t="s">
        <v>531</v>
      </c>
      <c r="C1525" s="130">
        <v>45320</v>
      </c>
      <c r="D1525" s="129" t="s">
        <v>341</v>
      </c>
      <c r="E1525" s="131">
        <v>717.06</v>
      </c>
      <c r="F1525" s="129" t="s">
        <v>334</v>
      </c>
      <c r="G1525" s="131">
        <v>22.77</v>
      </c>
      <c r="H1525" s="131">
        <v>16327.41</v>
      </c>
      <c r="I1525" s="132">
        <v>9702824.6310599986</v>
      </c>
      <c r="J1525" s="133" t="s">
        <v>335</v>
      </c>
      <c r="K1525" s="133" t="s">
        <v>532</v>
      </c>
      <c r="L1525" s="133" t="s">
        <v>533</v>
      </c>
      <c r="M1525" s="133" t="s">
        <v>534</v>
      </c>
      <c r="N1525" s="133"/>
      <c r="O1525" s="133"/>
    </row>
    <row r="1526" spans="1:15">
      <c r="A1526" s="124" t="s">
        <v>72</v>
      </c>
      <c r="B1526" s="124" t="s">
        <v>531</v>
      </c>
      <c r="C1526" s="125">
        <v>45350</v>
      </c>
      <c r="D1526" s="124" t="s">
        <v>341</v>
      </c>
      <c r="E1526" s="126">
        <v>928.9</v>
      </c>
      <c r="F1526" s="124" t="s">
        <v>334</v>
      </c>
      <c r="G1526" s="126">
        <v>23.07</v>
      </c>
      <c r="H1526" s="126">
        <v>21429.68</v>
      </c>
      <c r="I1526" s="127">
        <v>12976249.841360001</v>
      </c>
      <c r="J1526" s="128" t="s">
        <v>335</v>
      </c>
      <c r="K1526" s="128" t="s">
        <v>532</v>
      </c>
      <c r="L1526" s="128" t="s">
        <v>533</v>
      </c>
      <c r="M1526" s="128" t="s">
        <v>534</v>
      </c>
      <c r="N1526" s="128"/>
      <c r="O1526" s="128"/>
    </row>
    <row r="1527" spans="1:15">
      <c r="A1527" s="129" t="s">
        <v>72</v>
      </c>
      <c r="B1527" s="129" t="s">
        <v>531</v>
      </c>
      <c r="C1527" s="130">
        <v>45370</v>
      </c>
      <c r="D1527" s="129" t="s">
        <v>341</v>
      </c>
      <c r="E1527" s="131">
        <v>512.14</v>
      </c>
      <c r="F1527" s="129" t="s">
        <v>334</v>
      </c>
      <c r="G1527" s="131">
        <v>25.22</v>
      </c>
      <c r="H1527" s="131">
        <v>12916.17</v>
      </c>
      <c r="I1527" s="132">
        <v>7824744.9476999994</v>
      </c>
      <c r="J1527" s="133" t="s">
        <v>335</v>
      </c>
      <c r="K1527" s="133" t="s">
        <v>532</v>
      </c>
      <c r="L1527" s="133" t="s">
        <v>533</v>
      </c>
      <c r="M1527" s="133" t="s">
        <v>534</v>
      </c>
      <c r="N1527" s="133"/>
      <c r="O1527" s="133"/>
    </row>
    <row r="1528" spans="1:15">
      <c r="A1528" s="124" t="s">
        <v>72</v>
      </c>
      <c r="B1528" s="124" t="s">
        <v>531</v>
      </c>
      <c r="C1528" s="125">
        <v>45393</v>
      </c>
      <c r="D1528" s="124" t="s">
        <v>341</v>
      </c>
      <c r="E1528" s="126">
        <v>740.34</v>
      </c>
      <c r="F1528" s="124" t="s">
        <v>334</v>
      </c>
      <c r="G1528" s="126">
        <v>28.07</v>
      </c>
      <c r="H1528" s="126">
        <v>20781.38</v>
      </c>
      <c r="I1528" s="127">
        <v>12619056.596020002</v>
      </c>
      <c r="J1528" s="128" t="s">
        <v>335</v>
      </c>
      <c r="K1528" s="128" t="s">
        <v>532</v>
      </c>
      <c r="L1528" s="128" t="s">
        <v>533</v>
      </c>
      <c r="M1528" s="128" t="s">
        <v>534</v>
      </c>
      <c r="N1528" s="128"/>
      <c r="O1528" s="128"/>
    </row>
    <row r="1529" spans="1:15">
      <c r="A1529" s="129" t="s">
        <v>72</v>
      </c>
      <c r="B1529" s="129" t="s">
        <v>531</v>
      </c>
      <c r="C1529" s="130">
        <v>45407</v>
      </c>
      <c r="D1529" s="129" t="s">
        <v>341</v>
      </c>
      <c r="E1529" s="131">
        <v>229.94</v>
      </c>
      <c r="F1529" s="129" t="s">
        <v>334</v>
      </c>
      <c r="G1529" s="131">
        <v>24.74</v>
      </c>
      <c r="H1529" s="131">
        <v>5688.72</v>
      </c>
      <c r="I1529" s="132">
        <v>3454355.7568800002</v>
      </c>
      <c r="J1529" s="133" t="s">
        <v>335</v>
      </c>
      <c r="K1529" s="133" t="s">
        <v>532</v>
      </c>
      <c r="L1529" s="133" t="s">
        <v>533</v>
      </c>
      <c r="M1529" s="133" t="s">
        <v>534</v>
      </c>
      <c r="N1529" s="133"/>
      <c r="O1529" s="133"/>
    </row>
    <row r="1530" spans="1:15">
      <c r="A1530" s="124" t="s">
        <v>72</v>
      </c>
      <c r="B1530" s="124" t="s">
        <v>531</v>
      </c>
      <c r="C1530" s="125">
        <v>45428</v>
      </c>
      <c r="D1530" s="124" t="s">
        <v>341</v>
      </c>
      <c r="E1530" s="126">
        <v>715.42</v>
      </c>
      <c r="F1530" s="124" t="s">
        <v>334</v>
      </c>
      <c r="G1530" s="126">
        <v>28.89</v>
      </c>
      <c r="H1530" s="126">
        <v>20668.599999999999</v>
      </c>
      <c r="I1530" s="127">
        <v>12673262.118999999</v>
      </c>
      <c r="J1530" s="128" t="s">
        <v>335</v>
      </c>
      <c r="K1530" s="128" t="s">
        <v>532</v>
      </c>
      <c r="L1530" s="128" t="s">
        <v>533</v>
      </c>
      <c r="M1530" s="128" t="s">
        <v>534</v>
      </c>
      <c r="N1530" s="128"/>
      <c r="O1530" s="128"/>
    </row>
    <row r="1531" spans="1:15">
      <c r="A1531" s="129" t="s">
        <v>72</v>
      </c>
      <c r="B1531" s="129" t="s">
        <v>531</v>
      </c>
      <c r="C1531" s="130">
        <v>45464</v>
      </c>
      <c r="D1531" s="129" t="s">
        <v>341</v>
      </c>
      <c r="E1531" s="131">
        <v>1303.04</v>
      </c>
      <c r="F1531" s="129" t="s">
        <v>334</v>
      </c>
      <c r="G1531" s="131">
        <v>29.48</v>
      </c>
      <c r="H1531" s="131">
        <v>38413.620000000003</v>
      </c>
      <c r="I1531" s="132">
        <v>23241776.6448</v>
      </c>
      <c r="J1531" s="133" t="s">
        <v>335</v>
      </c>
      <c r="K1531" s="133" t="s">
        <v>532</v>
      </c>
      <c r="L1531" s="133" t="s">
        <v>533</v>
      </c>
      <c r="M1531" s="133" t="s">
        <v>534</v>
      </c>
      <c r="N1531" s="133"/>
      <c r="O1531" s="133"/>
    </row>
    <row r="1532" spans="1:15">
      <c r="A1532" s="124" t="s">
        <v>72</v>
      </c>
      <c r="B1532" s="124" t="s">
        <v>531</v>
      </c>
      <c r="C1532" s="125">
        <v>45488</v>
      </c>
      <c r="D1532" s="124" t="s">
        <v>341</v>
      </c>
      <c r="E1532" s="126">
        <v>919.16</v>
      </c>
      <c r="F1532" s="124" t="s">
        <v>334</v>
      </c>
      <c r="G1532" s="126">
        <v>30.86</v>
      </c>
      <c r="H1532" s="126">
        <v>28365.26</v>
      </c>
      <c r="I1532" s="127">
        <v>17360503.53884</v>
      </c>
      <c r="J1532" s="128" t="s">
        <v>335</v>
      </c>
      <c r="K1532" s="128" t="s">
        <v>532</v>
      </c>
      <c r="L1532" s="128" t="s">
        <v>533</v>
      </c>
      <c r="M1532" s="128" t="s">
        <v>534</v>
      </c>
      <c r="N1532" s="128"/>
      <c r="O1532" s="128"/>
    </row>
    <row r="1533" spans="1:15">
      <c r="A1533" s="129" t="s">
        <v>72</v>
      </c>
      <c r="B1533" s="129" t="s">
        <v>531</v>
      </c>
      <c r="C1533" s="130">
        <v>45537</v>
      </c>
      <c r="D1533" s="129" t="s">
        <v>341</v>
      </c>
      <c r="E1533" s="131">
        <v>1406.9</v>
      </c>
      <c r="F1533" s="129" t="s">
        <v>334</v>
      </c>
      <c r="G1533" s="131">
        <v>24.49</v>
      </c>
      <c r="H1533" s="131">
        <v>34455.08</v>
      </c>
      <c r="I1533" s="132">
        <v>20877848.995519999</v>
      </c>
      <c r="J1533" s="133" t="s">
        <v>335</v>
      </c>
      <c r="K1533" s="133" t="s">
        <v>532</v>
      </c>
      <c r="L1533" s="133" t="s">
        <v>533</v>
      </c>
      <c r="M1533" s="133" t="s">
        <v>534</v>
      </c>
      <c r="N1533" s="133"/>
      <c r="O1533" s="133"/>
    </row>
    <row r="1534" spans="1:15">
      <c r="A1534" s="124" t="s">
        <v>72</v>
      </c>
      <c r="B1534" s="124" t="s">
        <v>531</v>
      </c>
      <c r="C1534" s="125">
        <v>45558</v>
      </c>
      <c r="D1534" s="124" t="s">
        <v>341</v>
      </c>
      <c r="E1534" s="126">
        <v>895.61</v>
      </c>
      <c r="F1534" s="124" t="s">
        <v>334</v>
      </c>
      <c r="G1534" s="126">
        <v>31.17</v>
      </c>
      <c r="H1534" s="126">
        <v>27916.05</v>
      </c>
      <c r="I1534" s="127">
        <v>16574261.373899998</v>
      </c>
      <c r="J1534" s="128" t="s">
        <v>335</v>
      </c>
      <c r="K1534" s="128" t="s">
        <v>532</v>
      </c>
      <c r="L1534" s="128" t="s">
        <v>533</v>
      </c>
      <c r="M1534" s="128" t="s">
        <v>534</v>
      </c>
      <c r="N1534" s="128"/>
      <c r="O1534" s="128"/>
    </row>
    <row r="1535" spans="1:15">
      <c r="A1535" s="129" t="s">
        <v>72</v>
      </c>
      <c r="B1535" s="129" t="s">
        <v>531</v>
      </c>
      <c r="C1535" s="130">
        <v>45587</v>
      </c>
      <c r="D1535" s="129" t="s">
        <v>341</v>
      </c>
      <c r="E1535" s="131">
        <v>366.6</v>
      </c>
      <c r="F1535" s="129" t="s">
        <v>334</v>
      </c>
      <c r="G1535" s="131">
        <v>34.04</v>
      </c>
      <c r="H1535" s="131">
        <v>12479.07</v>
      </c>
      <c r="I1535" s="132">
        <v>7333724.8157400005</v>
      </c>
      <c r="J1535" s="133" t="s">
        <v>335</v>
      </c>
      <c r="K1535" s="133" t="s">
        <v>532</v>
      </c>
      <c r="L1535" s="133" t="s">
        <v>533</v>
      </c>
      <c r="M1535" s="133" t="s">
        <v>534</v>
      </c>
      <c r="N1535" s="133"/>
      <c r="O1535" s="133"/>
    </row>
    <row r="1536" spans="1:15">
      <c r="A1536" s="124" t="s">
        <v>72</v>
      </c>
      <c r="B1536" s="124" t="s">
        <v>531</v>
      </c>
      <c r="C1536" s="125">
        <v>45621</v>
      </c>
      <c r="D1536" s="124" t="s">
        <v>341</v>
      </c>
      <c r="E1536" s="126">
        <v>693.73</v>
      </c>
      <c r="F1536" s="124" t="s">
        <v>334</v>
      </c>
      <c r="G1536" s="126">
        <v>31.26</v>
      </c>
      <c r="H1536" s="126">
        <v>21685.98</v>
      </c>
      <c r="I1536" s="127">
        <v>13093127.284799999</v>
      </c>
      <c r="J1536" s="128" t="s">
        <v>335</v>
      </c>
      <c r="K1536" s="128" t="s">
        <v>532</v>
      </c>
      <c r="L1536" s="128" t="s">
        <v>533</v>
      </c>
      <c r="M1536" s="128" t="s">
        <v>534</v>
      </c>
      <c r="N1536" s="128"/>
      <c r="O1536" s="128"/>
    </row>
    <row r="1537" spans="1:15">
      <c r="A1537" s="129" t="s">
        <v>72</v>
      </c>
      <c r="B1537" s="129" t="s">
        <v>531</v>
      </c>
      <c r="C1537" s="130">
        <v>45652</v>
      </c>
      <c r="D1537" s="129" t="s">
        <v>341</v>
      </c>
      <c r="E1537" s="131">
        <v>666.5</v>
      </c>
      <c r="F1537" s="129" t="s">
        <v>334</v>
      </c>
      <c r="G1537" s="131">
        <v>29.64</v>
      </c>
      <c r="H1537" s="131">
        <v>19755.11</v>
      </c>
      <c r="I1537" s="132">
        <v>12248583.05731</v>
      </c>
      <c r="J1537" s="133" t="s">
        <v>335</v>
      </c>
      <c r="K1537" s="133" t="s">
        <v>532</v>
      </c>
      <c r="L1537" s="133" t="s">
        <v>533</v>
      </c>
      <c r="M1537" s="133" t="s">
        <v>534</v>
      </c>
      <c r="N1537" s="133"/>
      <c r="O1537" s="133"/>
    </row>
    <row r="1538" spans="1:15">
      <c r="A1538" s="124" t="s">
        <v>535</v>
      </c>
      <c r="B1538" s="124">
        <v>4408622</v>
      </c>
      <c r="C1538" s="125">
        <v>45318</v>
      </c>
      <c r="D1538" s="124" t="s">
        <v>536</v>
      </c>
      <c r="E1538" s="126">
        <v>28926</v>
      </c>
      <c r="F1538" s="124"/>
      <c r="G1538" s="126"/>
      <c r="H1538" s="126"/>
      <c r="I1538" s="127">
        <v>1914297897</v>
      </c>
      <c r="J1538" s="128"/>
      <c r="K1538" s="128"/>
      <c r="L1538" s="128"/>
      <c r="M1538" s="128"/>
      <c r="N1538" s="128"/>
      <c r="O1538" s="128"/>
    </row>
    <row r="1539" spans="1:15">
      <c r="A1539" s="129" t="s">
        <v>535</v>
      </c>
      <c r="B1539" s="129">
        <v>4408622</v>
      </c>
      <c r="C1539" s="130">
        <v>45345</v>
      </c>
      <c r="D1539" s="129" t="s">
        <v>536</v>
      </c>
      <c r="E1539" s="131">
        <v>25012</v>
      </c>
      <c r="F1539" s="129"/>
      <c r="G1539" s="131"/>
      <c r="H1539" s="131"/>
      <c r="I1539" s="132">
        <v>1507011098</v>
      </c>
      <c r="J1539" s="133"/>
      <c r="K1539" s="133"/>
      <c r="L1539" s="133"/>
      <c r="M1539" s="133"/>
      <c r="N1539" s="133"/>
      <c r="O1539" s="133"/>
    </row>
    <row r="1540" spans="1:15">
      <c r="A1540" s="124" t="s">
        <v>535</v>
      </c>
      <c r="B1540" s="124">
        <v>4408622</v>
      </c>
      <c r="C1540" s="125">
        <v>45411</v>
      </c>
      <c r="D1540" s="124" t="s">
        <v>536</v>
      </c>
      <c r="E1540" s="126">
        <v>28003</v>
      </c>
      <c r="F1540" s="124"/>
      <c r="G1540" s="126"/>
      <c r="H1540" s="126"/>
      <c r="I1540" s="127">
        <v>1883505195</v>
      </c>
      <c r="J1540" s="128"/>
      <c r="K1540" s="128"/>
      <c r="L1540" s="128"/>
      <c r="M1540" s="128"/>
      <c r="N1540" s="128"/>
      <c r="O1540" s="128"/>
    </row>
    <row r="1541" spans="1:15">
      <c r="A1541" s="129" t="s">
        <v>535</v>
      </c>
      <c r="B1541" s="129">
        <v>4408622</v>
      </c>
      <c r="C1541" s="130">
        <v>45488</v>
      </c>
      <c r="D1541" s="129" t="s">
        <v>536</v>
      </c>
      <c r="E1541" s="131">
        <v>21409</v>
      </c>
      <c r="F1541" s="129"/>
      <c r="G1541" s="131"/>
      <c r="H1541" s="131"/>
      <c r="I1541" s="132">
        <v>1498833600</v>
      </c>
      <c r="J1541" s="133"/>
      <c r="K1541" s="133"/>
      <c r="L1541" s="133"/>
      <c r="M1541" s="133"/>
      <c r="N1541" s="133"/>
      <c r="O1541" s="133"/>
    </row>
    <row r="1542" spans="1:15">
      <c r="A1542" s="124" t="s">
        <v>535</v>
      </c>
      <c r="B1542" s="124">
        <v>4408622</v>
      </c>
      <c r="C1542" s="125">
        <v>45642</v>
      </c>
      <c r="D1542" s="124" t="s">
        <v>536</v>
      </c>
      <c r="E1542" s="126">
        <v>43985</v>
      </c>
      <c r="F1542" s="124"/>
      <c r="G1542" s="126"/>
      <c r="H1542" s="126"/>
      <c r="I1542" s="127">
        <v>3296372371</v>
      </c>
      <c r="J1542" s="128"/>
      <c r="K1542" s="128"/>
      <c r="L1542" s="128"/>
      <c r="M1542" s="128"/>
      <c r="N1542" s="128"/>
      <c r="O1542" s="128"/>
    </row>
    <row r="1543" spans="1:15">
      <c r="A1543" s="129" t="s">
        <v>537</v>
      </c>
      <c r="B1543" s="129">
        <v>2236190</v>
      </c>
      <c r="C1543" s="130" t="s">
        <v>538</v>
      </c>
      <c r="D1543" s="129" t="s">
        <v>539</v>
      </c>
      <c r="E1543" s="131"/>
      <c r="F1543" s="129" t="s">
        <v>288</v>
      </c>
      <c r="G1543" s="131"/>
      <c r="H1543" s="131"/>
      <c r="I1543" s="132">
        <v>6824880</v>
      </c>
      <c r="J1543" s="133" t="s">
        <v>366</v>
      </c>
      <c r="K1543" s="133" t="s">
        <v>540</v>
      </c>
      <c r="L1543" s="133" t="s">
        <v>541</v>
      </c>
      <c r="M1543" s="133" t="s">
        <v>542</v>
      </c>
      <c r="N1543" s="133"/>
      <c r="O1543" s="133"/>
    </row>
    <row r="1544" spans="1:15">
      <c r="A1544" s="124" t="s">
        <v>537</v>
      </c>
      <c r="B1544" s="124">
        <v>2236190</v>
      </c>
      <c r="C1544" s="125" t="s">
        <v>538</v>
      </c>
      <c r="D1544" s="124" t="s">
        <v>539</v>
      </c>
      <c r="E1544" s="126"/>
      <c r="F1544" s="124" t="s">
        <v>288</v>
      </c>
      <c r="G1544" s="126"/>
      <c r="H1544" s="126"/>
      <c r="I1544" s="127">
        <v>16372940</v>
      </c>
      <c r="J1544" s="128" t="s">
        <v>366</v>
      </c>
      <c r="K1544" s="128" t="s">
        <v>540</v>
      </c>
      <c r="L1544" s="128" t="s">
        <v>543</v>
      </c>
      <c r="M1544" s="128" t="s">
        <v>542</v>
      </c>
      <c r="N1544" s="128"/>
      <c r="O1544" s="128"/>
    </row>
    <row r="1545" spans="1:15">
      <c r="A1545" s="129" t="s">
        <v>537</v>
      </c>
      <c r="B1545" s="129">
        <v>2236190</v>
      </c>
      <c r="C1545" s="130" t="s">
        <v>538</v>
      </c>
      <c r="D1545" s="129" t="s">
        <v>539</v>
      </c>
      <c r="E1545" s="131"/>
      <c r="F1545" s="129" t="s">
        <v>288</v>
      </c>
      <c r="G1545" s="131"/>
      <c r="H1545" s="131"/>
      <c r="I1545" s="132">
        <v>302306650</v>
      </c>
      <c r="J1545" s="133" t="s">
        <v>366</v>
      </c>
      <c r="K1545" s="133" t="s">
        <v>540</v>
      </c>
      <c r="L1545" s="133" t="s">
        <v>544</v>
      </c>
      <c r="M1545" s="133" t="s">
        <v>542</v>
      </c>
      <c r="N1545" s="133"/>
      <c r="O1545" s="133"/>
    </row>
    <row r="1546" spans="1:15">
      <c r="A1546" s="124" t="s">
        <v>537</v>
      </c>
      <c r="B1546" s="124">
        <v>2236190</v>
      </c>
      <c r="C1546" s="125" t="s">
        <v>538</v>
      </c>
      <c r="D1546" s="124" t="s">
        <v>539</v>
      </c>
      <c r="E1546" s="126"/>
      <c r="F1546" s="124" t="s">
        <v>288</v>
      </c>
      <c r="G1546" s="126"/>
      <c r="H1546" s="126"/>
      <c r="I1546" s="127">
        <v>33303151</v>
      </c>
      <c r="J1546" s="128" t="s">
        <v>366</v>
      </c>
      <c r="K1546" s="128" t="s">
        <v>540</v>
      </c>
      <c r="L1546" s="128" t="s">
        <v>545</v>
      </c>
      <c r="M1546" s="128" t="s">
        <v>542</v>
      </c>
      <c r="N1546" s="128"/>
      <c r="O1546" s="128"/>
    </row>
    <row r="1547" spans="1:15">
      <c r="A1547" s="129" t="s">
        <v>546</v>
      </c>
      <c r="B1547" s="129" t="s">
        <v>547</v>
      </c>
      <c r="C1547" s="130"/>
      <c r="D1547" s="129" t="s">
        <v>548</v>
      </c>
      <c r="E1547" s="131"/>
      <c r="F1547" s="129"/>
      <c r="G1547" s="131"/>
      <c r="H1547" s="131"/>
      <c r="I1547" s="132"/>
      <c r="J1547" s="133"/>
      <c r="K1547" s="133"/>
      <c r="L1547" s="133"/>
      <c r="M1547" s="133"/>
      <c r="N1547" s="133"/>
      <c r="O1547" s="133"/>
    </row>
    <row r="1548" spans="1:15">
      <c r="A1548" s="124" t="s">
        <v>546</v>
      </c>
      <c r="B1548" s="124"/>
      <c r="C1548" s="125"/>
      <c r="D1548" s="124" t="s">
        <v>548</v>
      </c>
      <c r="E1548" s="126"/>
      <c r="F1548" s="124"/>
      <c r="G1548" s="126"/>
      <c r="H1548" s="126"/>
      <c r="I1548" s="127"/>
      <c r="J1548" s="128"/>
      <c r="K1548" s="128"/>
      <c r="L1548" s="128"/>
      <c r="M1548" s="128"/>
      <c r="N1548" s="128"/>
      <c r="O1548" s="128"/>
    </row>
    <row r="1549" spans="1:15">
      <c r="A1549" s="129" t="s">
        <v>546</v>
      </c>
      <c r="B1549" s="129"/>
      <c r="C1549" s="130"/>
      <c r="D1549" s="129" t="s">
        <v>548</v>
      </c>
      <c r="E1549" s="131"/>
      <c r="F1549" s="129"/>
      <c r="G1549" s="131"/>
      <c r="H1549" s="131"/>
      <c r="I1549" s="132"/>
      <c r="J1549" s="133"/>
      <c r="K1549" s="133"/>
      <c r="L1549" s="133"/>
      <c r="M1549" s="133"/>
      <c r="N1549" s="133"/>
      <c r="O1549" s="133"/>
    </row>
    <row r="1550" spans="1:15">
      <c r="A1550" s="124" t="s">
        <v>546</v>
      </c>
      <c r="B1550" s="124" t="s">
        <v>547</v>
      </c>
      <c r="C1550" s="125">
        <v>45343</v>
      </c>
      <c r="D1550" s="124" t="s">
        <v>548</v>
      </c>
      <c r="E1550" s="126">
        <v>6183</v>
      </c>
      <c r="F1550" s="124" t="s">
        <v>549</v>
      </c>
      <c r="G1550" s="126" t="s">
        <v>550</v>
      </c>
      <c r="H1550" s="126" t="s">
        <v>205</v>
      </c>
      <c r="I1550" s="127">
        <v>327709600</v>
      </c>
      <c r="J1550" s="128" t="s">
        <v>551</v>
      </c>
      <c r="K1550" s="128" t="s">
        <v>552</v>
      </c>
      <c r="L1550" s="128" t="s">
        <v>553</v>
      </c>
      <c r="M1550" s="128" t="s">
        <v>554</v>
      </c>
      <c r="N1550" s="128" t="s">
        <v>553</v>
      </c>
      <c r="O1550" s="128" t="s">
        <v>555</v>
      </c>
    </row>
    <row r="1551" spans="1:15">
      <c r="A1551" s="129" t="s">
        <v>546</v>
      </c>
      <c r="B1551" s="129"/>
      <c r="C1551" s="130"/>
      <c r="D1551" s="129" t="s">
        <v>548</v>
      </c>
      <c r="E1551" s="131"/>
      <c r="F1551" s="129"/>
      <c r="G1551" s="131"/>
      <c r="H1551" s="131"/>
      <c r="I1551" s="132"/>
      <c r="J1551" s="133"/>
      <c r="K1551" s="133"/>
      <c r="L1551" s="133"/>
      <c r="M1551" s="133"/>
      <c r="N1551" s="133"/>
      <c r="O1551" s="133"/>
    </row>
    <row r="1552" spans="1:15">
      <c r="A1552" s="124" t="s">
        <v>546</v>
      </c>
      <c r="B1552" s="124"/>
      <c r="C1552" s="125"/>
      <c r="D1552" s="124" t="s">
        <v>548</v>
      </c>
      <c r="E1552" s="126"/>
      <c r="F1552" s="124"/>
      <c r="G1552" s="126"/>
      <c r="H1552" s="126"/>
      <c r="I1552" s="127"/>
      <c r="J1552" s="128"/>
      <c r="K1552" s="128"/>
      <c r="L1552" s="128"/>
      <c r="M1552" s="128"/>
      <c r="N1552" s="128"/>
      <c r="O1552" s="128"/>
    </row>
    <row r="1553" spans="1:15">
      <c r="A1553" s="129" t="s">
        <v>546</v>
      </c>
      <c r="B1553" s="129" t="s">
        <v>547</v>
      </c>
      <c r="C1553" s="130">
        <v>45322</v>
      </c>
      <c r="D1553" s="129" t="s">
        <v>548</v>
      </c>
      <c r="E1553" s="131">
        <v>30151.839</v>
      </c>
      <c r="F1553" s="129" t="s">
        <v>549</v>
      </c>
      <c r="G1553" s="131" t="s">
        <v>550</v>
      </c>
      <c r="H1553" s="131">
        <v>4392261.45</v>
      </c>
      <c r="I1553" s="132">
        <v>2643705806</v>
      </c>
      <c r="J1553" s="133" t="s">
        <v>551</v>
      </c>
      <c r="K1553" s="133" t="s">
        <v>552</v>
      </c>
      <c r="L1553" s="133" t="s">
        <v>556</v>
      </c>
      <c r="M1553" s="133" t="s">
        <v>557</v>
      </c>
      <c r="N1553" s="133" t="s">
        <v>556</v>
      </c>
      <c r="O1553" s="133" t="s">
        <v>555</v>
      </c>
    </row>
    <row r="1554" spans="1:15">
      <c r="A1554" s="124" t="s">
        <v>546</v>
      </c>
      <c r="B1554" s="124"/>
      <c r="C1554" s="125">
        <v>45333</v>
      </c>
      <c r="D1554" s="124" t="s">
        <v>548</v>
      </c>
      <c r="E1554" s="126">
        <v>55032.118999999999</v>
      </c>
      <c r="F1554" s="124" t="s">
        <v>549</v>
      </c>
      <c r="G1554" s="126" t="s">
        <v>550</v>
      </c>
      <c r="H1554" s="126">
        <v>8014487.04</v>
      </c>
      <c r="I1554" s="127">
        <v>4808932658</v>
      </c>
      <c r="J1554" s="128" t="s">
        <v>551</v>
      </c>
      <c r="K1554" s="128" t="s">
        <v>552</v>
      </c>
      <c r="L1554" s="128" t="s">
        <v>558</v>
      </c>
      <c r="M1554" s="128" t="s">
        <v>559</v>
      </c>
      <c r="N1554" s="128" t="s">
        <v>558</v>
      </c>
      <c r="O1554" s="128" t="s">
        <v>555</v>
      </c>
    </row>
    <row r="1555" spans="1:15">
      <c r="A1555" s="129" t="s">
        <v>546</v>
      </c>
      <c r="B1555" s="129"/>
      <c r="C1555" s="130">
        <v>45412</v>
      </c>
      <c r="D1555" s="129" t="s">
        <v>548</v>
      </c>
      <c r="E1555" s="131">
        <v>50000</v>
      </c>
      <c r="F1555" s="129" t="s">
        <v>549</v>
      </c>
      <c r="G1555" s="131" t="s">
        <v>550</v>
      </c>
      <c r="H1555" s="131">
        <v>7824705.9800000004</v>
      </c>
      <c r="I1555" s="132">
        <v>4754682589</v>
      </c>
      <c r="J1555" s="133" t="s">
        <v>551</v>
      </c>
      <c r="K1555" s="133" t="s">
        <v>552</v>
      </c>
      <c r="L1555" s="133" t="s">
        <v>558</v>
      </c>
      <c r="M1555" s="133" t="s">
        <v>559</v>
      </c>
      <c r="N1555" s="133" t="s">
        <v>558</v>
      </c>
      <c r="O1555" s="133" t="s">
        <v>555</v>
      </c>
    </row>
    <row r="1556" spans="1:15">
      <c r="A1556" s="124" t="s">
        <v>546</v>
      </c>
      <c r="B1556" s="124"/>
      <c r="C1556" s="125">
        <v>45412</v>
      </c>
      <c r="D1556" s="124" t="s">
        <v>548</v>
      </c>
      <c r="E1556" s="126">
        <v>16541.245999999999</v>
      </c>
      <c r="F1556" s="124" t="s">
        <v>549</v>
      </c>
      <c r="G1556" s="126" t="s">
        <v>550</v>
      </c>
      <c r="H1556" s="126">
        <v>2183444.4700000002</v>
      </c>
      <c r="I1556" s="127">
        <v>1334805108</v>
      </c>
      <c r="J1556" s="128" t="s">
        <v>551</v>
      </c>
      <c r="K1556" s="128" t="s">
        <v>552</v>
      </c>
      <c r="L1556" s="128" t="s">
        <v>558</v>
      </c>
      <c r="M1556" s="128" t="s">
        <v>559</v>
      </c>
      <c r="N1556" s="128" t="s">
        <v>558</v>
      </c>
      <c r="O1556" s="128" t="s">
        <v>555</v>
      </c>
    </row>
    <row r="1557" spans="1:15">
      <c r="A1557" s="129" t="s">
        <v>546</v>
      </c>
      <c r="B1557" s="129"/>
      <c r="C1557" s="130">
        <v>45351</v>
      </c>
      <c r="D1557" s="129" t="s">
        <v>548</v>
      </c>
      <c r="E1557" s="131">
        <v>27502.828000000001</v>
      </c>
      <c r="F1557" s="129" t="s">
        <v>549</v>
      </c>
      <c r="G1557" s="131" t="s">
        <v>550</v>
      </c>
      <c r="H1557" s="131">
        <v>3846978.8</v>
      </c>
      <c r="I1557" s="132">
        <v>2368123210</v>
      </c>
      <c r="J1557" s="133" t="s">
        <v>551</v>
      </c>
      <c r="K1557" s="133" t="s">
        <v>552</v>
      </c>
      <c r="L1557" s="133" t="s">
        <v>560</v>
      </c>
      <c r="M1557" s="133" t="s">
        <v>561</v>
      </c>
      <c r="N1557" s="133" t="s">
        <v>560</v>
      </c>
      <c r="O1557" s="133" t="s">
        <v>555</v>
      </c>
    </row>
    <row r="1558" spans="1:15">
      <c r="A1558" s="124" t="s">
        <v>546</v>
      </c>
      <c r="B1558" s="124"/>
      <c r="C1558" s="125">
        <v>45473</v>
      </c>
      <c r="D1558" s="124" t="s">
        <v>548</v>
      </c>
      <c r="E1558" s="126">
        <v>45006.828999999998</v>
      </c>
      <c r="F1558" s="124" t="s">
        <v>549</v>
      </c>
      <c r="G1558" s="126" t="s">
        <v>550</v>
      </c>
      <c r="H1558" s="126">
        <v>6075921.9199999999</v>
      </c>
      <c r="I1558" s="127">
        <v>3678423890</v>
      </c>
      <c r="J1558" s="128" t="s">
        <v>551</v>
      </c>
      <c r="K1558" s="128" t="s">
        <v>552</v>
      </c>
      <c r="L1558" s="128" t="s">
        <v>560</v>
      </c>
      <c r="M1558" s="128" t="s">
        <v>561</v>
      </c>
      <c r="N1558" s="128" t="s">
        <v>560</v>
      </c>
      <c r="O1558" s="128" t="s">
        <v>555</v>
      </c>
    </row>
    <row r="1559" spans="1:15">
      <c r="A1559" s="129" t="s">
        <v>562</v>
      </c>
      <c r="B1559" s="129"/>
      <c r="C1559" s="130"/>
      <c r="D1559" s="129" t="s">
        <v>287</v>
      </c>
      <c r="E1559" s="131">
        <v>3555</v>
      </c>
      <c r="F1559" s="129" t="s">
        <v>563</v>
      </c>
      <c r="G1559" s="131"/>
      <c r="H1559" s="131"/>
      <c r="I1559" s="132">
        <v>1179170560</v>
      </c>
      <c r="J1559" s="133" t="s">
        <v>366</v>
      </c>
      <c r="K1559" s="133" t="s">
        <v>564</v>
      </c>
      <c r="L1559" s="133" t="s">
        <v>565</v>
      </c>
      <c r="M1559" s="133" t="s">
        <v>554</v>
      </c>
      <c r="N1559" s="133"/>
      <c r="O1559" s="133"/>
    </row>
    <row r="1560" spans="1:15">
      <c r="A1560" s="124" t="s">
        <v>562</v>
      </c>
      <c r="B1560" s="124"/>
      <c r="C1560" s="125"/>
      <c r="D1560" s="124" t="s">
        <v>287</v>
      </c>
      <c r="E1560" s="126">
        <v>396</v>
      </c>
      <c r="F1560" s="124" t="s">
        <v>563</v>
      </c>
      <c r="G1560" s="126"/>
      <c r="H1560" s="126"/>
      <c r="I1560" s="127">
        <v>90155440</v>
      </c>
      <c r="J1560" s="128" t="s">
        <v>366</v>
      </c>
      <c r="K1560" s="128" t="s">
        <v>564</v>
      </c>
      <c r="L1560" s="128" t="s">
        <v>566</v>
      </c>
      <c r="M1560" s="128" t="s">
        <v>554</v>
      </c>
      <c r="N1560" s="128"/>
      <c r="O1560" s="128"/>
    </row>
    <row r="1561" spans="1:15">
      <c r="A1561" s="129" t="s">
        <v>562</v>
      </c>
      <c r="B1561" s="129"/>
      <c r="C1561" s="130"/>
      <c r="D1561" s="129" t="s">
        <v>287</v>
      </c>
      <c r="E1561" s="131">
        <v>253</v>
      </c>
      <c r="F1561" s="129" t="s">
        <v>563</v>
      </c>
      <c r="G1561" s="131"/>
      <c r="H1561" s="131"/>
      <c r="I1561" s="132">
        <v>29877500</v>
      </c>
      <c r="J1561" s="133" t="s">
        <v>366</v>
      </c>
      <c r="K1561" s="133" t="s">
        <v>564</v>
      </c>
      <c r="L1561" s="133" t="s">
        <v>567</v>
      </c>
      <c r="M1561" s="133" t="s">
        <v>554</v>
      </c>
      <c r="N1561" s="133"/>
      <c r="O1561" s="133"/>
    </row>
    <row r="1562" spans="1:15">
      <c r="A1562" s="124" t="s">
        <v>562</v>
      </c>
      <c r="B1562" s="124"/>
      <c r="C1562" s="125"/>
      <c r="D1562" s="124" t="s">
        <v>287</v>
      </c>
      <c r="E1562" s="126">
        <v>201</v>
      </c>
      <c r="F1562" s="124" t="s">
        <v>563</v>
      </c>
      <c r="G1562" s="126"/>
      <c r="H1562" s="126"/>
      <c r="I1562" s="127">
        <v>4845000</v>
      </c>
      <c r="J1562" s="128" t="s">
        <v>366</v>
      </c>
      <c r="K1562" s="128" t="s">
        <v>564</v>
      </c>
      <c r="L1562" s="128" t="s">
        <v>568</v>
      </c>
      <c r="M1562" s="128" t="s">
        <v>554</v>
      </c>
      <c r="N1562" s="128"/>
      <c r="O1562" s="128"/>
    </row>
    <row r="1563" spans="1:15">
      <c r="A1563" s="129" t="s">
        <v>562</v>
      </c>
      <c r="B1563" s="129"/>
      <c r="C1563" s="130"/>
      <c r="D1563" s="129" t="s">
        <v>287</v>
      </c>
      <c r="E1563" s="131"/>
      <c r="F1563" s="129" t="s">
        <v>563</v>
      </c>
      <c r="G1563" s="131"/>
      <c r="H1563" s="131"/>
      <c r="I1563" s="132">
        <v>833943600</v>
      </c>
      <c r="J1563" s="133" t="s">
        <v>366</v>
      </c>
      <c r="K1563" s="133" t="s">
        <v>564</v>
      </c>
      <c r="L1563" s="133" t="s">
        <v>569</v>
      </c>
      <c r="M1563" s="133" t="s">
        <v>554</v>
      </c>
      <c r="N1563" s="133"/>
      <c r="O1563" s="133"/>
    </row>
    <row r="1564" spans="1:15">
      <c r="A1564" s="124" t="s">
        <v>562</v>
      </c>
      <c r="B1564" s="124"/>
      <c r="C1564" s="125"/>
      <c r="D1564" s="124" t="s">
        <v>287</v>
      </c>
      <c r="E1564" s="126">
        <v>150</v>
      </c>
      <c r="F1564" s="124" t="s">
        <v>563</v>
      </c>
      <c r="G1564" s="126"/>
      <c r="H1564" s="126"/>
      <c r="I1564" s="127">
        <v>65312500</v>
      </c>
      <c r="J1564" s="128" t="s">
        <v>366</v>
      </c>
      <c r="K1564" s="128" t="s">
        <v>564</v>
      </c>
      <c r="L1564" s="128" t="s">
        <v>570</v>
      </c>
      <c r="M1564" s="128" t="s">
        <v>554</v>
      </c>
      <c r="N1564" s="128"/>
      <c r="O1564" s="128"/>
    </row>
    <row r="1565" spans="1:15">
      <c r="A1565" s="129" t="s">
        <v>562</v>
      </c>
      <c r="B1565" s="129"/>
      <c r="C1565" s="130"/>
      <c r="D1565" s="129" t="s">
        <v>287</v>
      </c>
      <c r="E1565" s="131">
        <v>295</v>
      </c>
      <c r="F1565" s="129" t="s">
        <v>563</v>
      </c>
      <c r="G1565" s="131"/>
      <c r="H1565" s="131"/>
      <c r="I1565" s="132">
        <v>34627500</v>
      </c>
      <c r="J1565" s="133" t="s">
        <v>366</v>
      </c>
      <c r="K1565" s="133" t="s">
        <v>564</v>
      </c>
      <c r="L1565" s="133" t="s">
        <v>571</v>
      </c>
      <c r="M1565" s="133" t="s">
        <v>554</v>
      </c>
      <c r="N1565" s="133"/>
      <c r="O1565" s="133"/>
    </row>
    <row r="1566" spans="1:15">
      <c r="A1566" s="124" t="s">
        <v>562</v>
      </c>
      <c r="B1566" s="124"/>
      <c r="C1566" s="125"/>
      <c r="D1566" s="124" t="s">
        <v>287</v>
      </c>
      <c r="E1566" s="126">
        <v>1612</v>
      </c>
      <c r="F1566" s="124" t="s">
        <v>563</v>
      </c>
      <c r="G1566" s="126"/>
      <c r="H1566" s="126"/>
      <c r="I1566" s="127">
        <v>226889200</v>
      </c>
      <c r="J1566" s="128" t="s">
        <v>366</v>
      </c>
      <c r="K1566" s="128" t="s">
        <v>564</v>
      </c>
      <c r="L1566" s="128" t="s">
        <v>572</v>
      </c>
      <c r="M1566" s="128" t="s">
        <v>554</v>
      </c>
      <c r="N1566" s="128"/>
      <c r="O1566" s="128"/>
    </row>
    <row r="1567" spans="1:15">
      <c r="A1567" s="129" t="s">
        <v>562</v>
      </c>
      <c r="B1567" s="129"/>
      <c r="C1567" s="130"/>
      <c r="D1567" s="129" t="s">
        <v>287</v>
      </c>
      <c r="E1567" s="131">
        <v>4856</v>
      </c>
      <c r="F1567" s="129" t="s">
        <v>563</v>
      </c>
      <c r="G1567" s="131"/>
      <c r="H1567" s="131"/>
      <c r="I1567" s="132">
        <v>14389000</v>
      </c>
      <c r="J1567" s="133" t="s">
        <v>366</v>
      </c>
      <c r="K1567" s="133" t="s">
        <v>564</v>
      </c>
      <c r="L1567" s="133" t="s">
        <v>573</v>
      </c>
      <c r="M1567" s="133" t="s">
        <v>554</v>
      </c>
      <c r="N1567" s="133"/>
      <c r="O1567" s="133"/>
    </row>
    <row r="1568" spans="1:15">
      <c r="A1568" s="124" t="s">
        <v>562</v>
      </c>
      <c r="B1568" s="124"/>
      <c r="C1568" s="125"/>
      <c r="D1568" s="124" t="s">
        <v>287</v>
      </c>
      <c r="E1568" s="126">
        <v>2990</v>
      </c>
      <c r="F1568" s="124" t="s">
        <v>563</v>
      </c>
      <c r="G1568" s="126"/>
      <c r="H1568" s="126"/>
      <c r="I1568" s="127">
        <v>4750000</v>
      </c>
      <c r="J1568" s="128" t="s">
        <v>366</v>
      </c>
      <c r="K1568" s="128" t="s">
        <v>564</v>
      </c>
      <c r="L1568" s="128" t="s">
        <v>574</v>
      </c>
      <c r="M1568" s="128" t="s">
        <v>554</v>
      </c>
      <c r="N1568" s="128"/>
      <c r="O1568" s="128"/>
    </row>
    <row r="1569" spans="1:15">
      <c r="A1569" s="129" t="s">
        <v>562</v>
      </c>
      <c r="B1569" s="129"/>
      <c r="C1569" s="130"/>
      <c r="D1569" s="129" t="s">
        <v>287</v>
      </c>
      <c r="E1569" s="131">
        <v>500</v>
      </c>
      <c r="F1569" s="129" t="s">
        <v>563</v>
      </c>
      <c r="G1569" s="131"/>
      <c r="H1569" s="131"/>
      <c r="I1569" s="132">
        <v>311594840</v>
      </c>
      <c r="J1569" s="133" t="s">
        <v>366</v>
      </c>
      <c r="K1569" s="133" t="s">
        <v>564</v>
      </c>
      <c r="L1569" s="133" t="s">
        <v>575</v>
      </c>
      <c r="M1569" s="133" t="s">
        <v>554</v>
      </c>
      <c r="N1569" s="133"/>
      <c r="O1569" s="133"/>
    </row>
    <row r="1570" spans="1:15">
      <c r="A1570" s="124" t="s">
        <v>562</v>
      </c>
      <c r="B1570" s="124"/>
      <c r="C1570" s="125"/>
      <c r="D1570" s="124" t="s">
        <v>287</v>
      </c>
      <c r="E1570" s="126">
        <v>500</v>
      </c>
      <c r="F1570" s="124" t="s">
        <v>563</v>
      </c>
      <c r="G1570" s="126"/>
      <c r="H1570" s="126"/>
      <c r="I1570" s="127">
        <v>41087500</v>
      </c>
      <c r="J1570" s="128" t="s">
        <v>366</v>
      </c>
      <c r="K1570" s="128" t="s">
        <v>564</v>
      </c>
      <c r="L1570" s="128" t="s">
        <v>576</v>
      </c>
      <c r="M1570" s="128" t="s">
        <v>554</v>
      </c>
      <c r="N1570" s="128"/>
      <c r="O1570" s="128"/>
    </row>
    <row r="1571" spans="1:15">
      <c r="A1571" s="129" t="s">
        <v>562</v>
      </c>
      <c r="B1571" s="129"/>
      <c r="C1571" s="130"/>
      <c r="D1571" s="129" t="s">
        <v>287</v>
      </c>
      <c r="E1571" s="131">
        <v>1091</v>
      </c>
      <c r="F1571" s="129" t="s">
        <v>563</v>
      </c>
      <c r="G1571" s="131"/>
      <c r="H1571" s="131"/>
      <c r="I1571" s="132">
        <v>271815840</v>
      </c>
      <c r="J1571" s="133" t="s">
        <v>366</v>
      </c>
      <c r="K1571" s="133" t="s">
        <v>564</v>
      </c>
      <c r="L1571" s="133" t="s">
        <v>577</v>
      </c>
      <c r="M1571" s="133" t="s">
        <v>554</v>
      </c>
      <c r="N1571" s="133"/>
      <c r="O1571" s="133"/>
    </row>
    <row r="1572" spans="1:15">
      <c r="A1572" s="124" t="s">
        <v>562</v>
      </c>
      <c r="B1572" s="124"/>
      <c r="C1572" s="125"/>
      <c r="D1572" s="124" t="s">
        <v>287</v>
      </c>
      <c r="E1572" s="126">
        <v>6108</v>
      </c>
      <c r="F1572" s="124" t="s">
        <v>563</v>
      </c>
      <c r="G1572" s="126"/>
      <c r="H1572" s="126"/>
      <c r="I1572" s="127">
        <v>178444000</v>
      </c>
      <c r="J1572" s="128" t="s">
        <v>366</v>
      </c>
      <c r="K1572" s="128" t="s">
        <v>564</v>
      </c>
      <c r="L1572" s="128" t="s">
        <v>578</v>
      </c>
      <c r="M1572" s="128" t="s">
        <v>554</v>
      </c>
      <c r="N1572" s="128"/>
      <c r="O1572" s="128"/>
    </row>
    <row r="1573" spans="1:15">
      <c r="A1573" s="129" t="s">
        <v>562</v>
      </c>
      <c r="B1573" s="129"/>
      <c r="C1573" s="130"/>
      <c r="D1573" s="129" t="s">
        <v>287</v>
      </c>
      <c r="E1573" s="131">
        <v>310</v>
      </c>
      <c r="F1573" s="129" t="s">
        <v>563</v>
      </c>
      <c r="G1573" s="131"/>
      <c r="H1573" s="131"/>
      <c r="I1573" s="132">
        <v>1347123300</v>
      </c>
      <c r="J1573" s="133" t="s">
        <v>366</v>
      </c>
      <c r="K1573" s="133" t="s">
        <v>564</v>
      </c>
      <c r="L1573" s="133" t="s">
        <v>579</v>
      </c>
      <c r="M1573" s="133" t="s">
        <v>554</v>
      </c>
      <c r="N1573" s="133"/>
      <c r="O1573" s="133"/>
    </row>
    <row r="1574" spans="1:15">
      <c r="A1574" s="124" t="s">
        <v>562</v>
      </c>
      <c r="B1574" s="124"/>
      <c r="C1574" s="125"/>
      <c r="D1574" s="124" t="s">
        <v>287</v>
      </c>
      <c r="E1574" s="126">
        <v>2092</v>
      </c>
      <c r="F1574" s="124" t="s">
        <v>563</v>
      </c>
      <c r="G1574" s="126"/>
      <c r="H1574" s="126"/>
      <c r="I1574" s="127">
        <v>951391060</v>
      </c>
      <c r="J1574" s="128" t="s">
        <v>366</v>
      </c>
      <c r="K1574" s="128" t="s">
        <v>564</v>
      </c>
      <c r="L1574" s="128" t="s">
        <v>580</v>
      </c>
      <c r="M1574" s="128" t="s">
        <v>554</v>
      </c>
      <c r="N1574" s="128"/>
      <c r="O1574" s="128"/>
    </row>
    <row r="1575" spans="1:15">
      <c r="A1575" s="129" t="s">
        <v>562</v>
      </c>
      <c r="B1575" s="129"/>
      <c r="C1575" s="130"/>
      <c r="D1575" s="129" t="s">
        <v>287</v>
      </c>
      <c r="E1575" s="131">
        <v>4028</v>
      </c>
      <c r="F1575" s="129" t="s">
        <v>563</v>
      </c>
      <c r="G1575" s="131"/>
      <c r="H1575" s="131"/>
      <c r="I1575" s="132">
        <v>38068720</v>
      </c>
      <c r="J1575" s="133" t="s">
        <v>366</v>
      </c>
      <c r="K1575" s="133" t="s">
        <v>564</v>
      </c>
      <c r="L1575" s="133" t="s">
        <v>581</v>
      </c>
      <c r="M1575" s="133" t="s">
        <v>554</v>
      </c>
      <c r="N1575" s="133"/>
      <c r="O1575" s="133"/>
    </row>
    <row r="1576" spans="1:15">
      <c r="A1576" s="124" t="s">
        <v>562</v>
      </c>
      <c r="B1576" s="124"/>
      <c r="C1576" s="125"/>
      <c r="D1576" s="124" t="s">
        <v>287</v>
      </c>
      <c r="E1576" s="126">
        <v>869</v>
      </c>
      <c r="F1576" s="124" t="s">
        <v>563</v>
      </c>
      <c r="G1576" s="126"/>
      <c r="H1576" s="126"/>
      <c r="I1576" s="127">
        <v>38237500</v>
      </c>
      <c r="J1576" s="128" t="s">
        <v>366</v>
      </c>
      <c r="K1576" s="128" t="s">
        <v>564</v>
      </c>
      <c r="L1576" s="128" t="s">
        <v>582</v>
      </c>
      <c r="M1576" s="128" t="s">
        <v>554</v>
      </c>
      <c r="N1576" s="128"/>
      <c r="O1576" s="128"/>
    </row>
    <row r="1577" spans="1:15">
      <c r="A1577" s="129" t="s">
        <v>562</v>
      </c>
      <c r="B1577" s="129"/>
      <c r="C1577" s="130"/>
      <c r="D1577" s="129" t="s">
        <v>287</v>
      </c>
      <c r="E1577" s="131">
        <v>1557</v>
      </c>
      <c r="F1577" s="129" t="s">
        <v>563</v>
      </c>
      <c r="G1577" s="131"/>
      <c r="H1577" s="131"/>
      <c r="I1577" s="132">
        <v>40202660</v>
      </c>
      <c r="J1577" s="133" t="s">
        <v>366</v>
      </c>
      <c r="K1577" s="133" t="s">
        <v>564</v>
      </c>
      <c r="L1577" s="133" t="s">
        <v>583</v>
      </c>
      <c r="M1577" s="133" t="s">
        <v>554</v>
      </c>
      <c r="N1577" s="133"/>
      <c r="O1577" s="133"/>
    </row>
    <row r="1578" spans="1:15">
      <c r="A1578" s="124" t="s">
        <v>562</v>
      </c>
      <c r="B1578" s="124"/>
      <c r="C1578" s="125"/>
      <c r="D1578" s="124" t="s">
        <v>287</v>
      </c>
      <c r="E1578" s="126">
        <v>502</v>
      </c>
      <c r="F1578" s="124" t="s">
        <v>563</v>
      </c>
      <c r="G1578" s="126"/>
      <c r="H1578" s="126"/>
      <c r="I1578" s="127">
        <v>770519880</v>
      </c>
      <c r="J1578" s="128" t="s">
        <v>366</v>
      </c>
      <c r="K1578" s="128" t="s">
        <v>564</v>
      </c>
      <c r="L1578" s="128" t="s">
        <v>584</v>
      </c>
      <c r="M1578" s="128" t="s">
        <v>554</v>
      </c>
      <c r="N1578" s="128"/>
      <c r="O1578" s="128"/>
    </row>
    <row r="1579" spans="1:15">
      <c r="A1579" s="129" t="s">
        <v>562</v>
      </c>
      <c r="B1579" s="129"/>
      <c r="C1579" s="130"/>
      <c r="D1579" s="129" t="s">
        <v>287</v>
      </c>
      <c r="E1579" s="131">
        <v>935</v>
      </c>
      <c r="F1579" s="129" t="s">
        <v>563</v>
      </c>
      <c r="G1579" s="131"/>
      <c r="H1579" s="131"/>
      <c r="I1579" s="132">
        <v>32300000</v>
      </c>
      <c r="J1579" s="133" t="s">
        <v>366</v>
      </c>
      <c r="K1579" s="133" t="s">
        <v>564</v>
      </c>
      <c r="L1579" s="133" t="s">
        <v>585</v>
      </c>
      <c r="M1579" s="133" t="s">
        <v>554</v>
      </c>
      <c r="N1579" s="133"/>
      <c r="O1579" s="133"/>
    </row>
    <row r="1580" spans="1:15">
      <c r="A1580" s="124" t="s">
        <v>562</v>
      </c>
      <c r="B1580" s="124"/>
      <c r="C1580" s="125"/>
      <c r="D1580" s="124" t="s">
        <v>287</v>
      </c>
      <c r="E1580" s="126">
        <v>1047</v>
      </c>
      <c r="F1580" s="124" t="s">
        <v>563</v>
      </c>
      <c r="G1580" s="126"/>
      <c r="H1580" s="126"/>
      <c r="I1580" s="127">
        <v>45537500</v>
      </c>
      <c r="J1580" s="128" t="s">
        <v>366</v>
      </c>
      <c r="K1580" s="128" t="s">
        <v>564</v>
      </c>
      <c r="L1580" s="128" t="s">
        <v>586</v>
      </c>
      <c r="M1580" s="128" t="s">
        <v>554</v>
      </c>
      <c r="N1580" s="128"/>
      <c r="O1580" s="128"/>
    </row>
    <row r="1581" spans="1:15">
      <c r="A1581" s="129" t="s">
        <v>562</v>
      </c>
      <c r="B1581" s="129"/>
      <c r="C1581" s="130"/>
      <c r="D1581" s="129" t="s">
        <v>287</v>
      </c>
      <c r="E1581" s="131">
        <v>1256</v>
      </c>
      <c r="F1581" s="129" t="s">
        <v>563</v>
      </c>
      <c r="G1581" s="131"/>
      <c r="H1581" s="131"/>
      <c r="I1581" s="132">
        <v>149163580</v>
      </c>
      <c r="J1581" s="133" t="s">
        <v>366</v>
      </c>
      <c r="K1581" s="133" t="s">
        <v>564</v>
      </c>
      <c r="L1581" s="133" t="s">
        <v>587</v>
      </c>
      <c r="M1581" s="133" t="s">
        <v>554</v>
      </c>
      <c r="N1581" s="133"/>
      <c r="O1581" s="133"/>
    </row>
    <row r="1582" spans="1:15">
      <c r="A1582" s="124" t="s">
        <v>562</v>
      </c>
      <c r="B1582" s="124"/>
      <c r="C1582" s="125"/>
      <c r="D1582" s="124" t="s">
        <v>287</v>
      </c>
      <c r="E1582" s="126">
        <v>2532</v>
      </c>
      <c r="F1582" s="124" t="s">
        <v>563</v>
      </c>
      <c r="G1582" s="126"/>
      <c r="H1582" s="126"/>
      <c r="I1582" s="127">
        <v>2657420</v>
      </c>
      <c r="J1582" s="128" t="s">
        <v>366</v>
      </c>
      <c r="K1582" s="128" t="s">
        <v>564</v>
      </c>
      <c r="L1582" s="128" t="s">
        <v>588</v>
      </c>
      <c r="M1582" s="128" t="s">
        <v>554</v>
      </c>
      <c r="N1582" s="128"/>
      <c r="O1582" s="128"/>
    </row>
    <row r="1583" spans="1:15">
      <c r="A1583" s="129" t="s">
        <v>562</v>
      </c>
      <c r="B1583" s="129"/>
      <c r="C1583" s="130"/>
      <c r="D1583" s="129" t="s">
        <v>287</v>
      </c>
      <c r="E1583" s="131">
        <v>100</v>
      </c>
      <c r="F1583" s="129" t="s">
        <v>563</v>
      </c>
      <c r="G1583" s="131"/>
      <c r="H1583" s="131"/>
      <c r="I1583" s="132">
        <v>124107000</v>
      </c>
      <c r="J1583" s="133" t="s">
        <v>366</v>
      </c>
      <c r="K1583" s="133" t="s">
        <v>564</v>
      </c>
      <c r="L1583" s="133" t="s">
        <v>589</v>
      </c>
      <c r="M1583" s="133" t="s">
        <v>554</v>
      </c>
      <c r="N1583" s="133"/>
      <c r="O1583" s="133"/>
    </row>
    <row r="1584" spans="1:15">
      <c r="A1584" s="124" t="s">
        <v>562</v>
      </c>
      <c r="B1584" s="124"/>
      <c r="C1584" s="125"/>
      <c r="D1584" s="124" t="s">
        <v>287</v>
      </c>
      <c r="E1584" s="126">
        <v>1952</v>
      </c>
      <c r="F1584" s="124" t="s">
        <v>563</v>
      </c>
      <c r="G1584" s="126"/>
      <c r="H1584" s="126"/>
      <c r="I1584" s="127">
        <v>100552020</v>
      </c>
      <c r="J1584" s="128" t="s">
        <v>366</v>
      </c>
      <c r="K1584" s="128" t="s">
        <v>564</v>
      </c>
      <c r="L1584" s="128" t="s">
        <v>590</v>
      </c>
      <c r="M1584" s="128" t="s">
        <v>554</v>
      </c>
      <c r="N1584" s="128"/>
      <c r="O1584" s="128"/>
    </row>
    <row r="1585" spans="1:15">
      <c r="A1585" s="129" t="s">
        <v>562</v>
      </c>
      <c r="B1585" s="129"/>
      <c r="C1585" s="130"/>
      <c r="D1585" s="129" t="s">
        <v>287</v>
      </c>
      <c r="E1585" s="131">
        <v>380</v>
      </c>
      <c r="F1585" s="129" t="s">
        <v>563</v>
      </c>
      <c r="G1585" s="131"/>
      <c r="H1585" s="131"/>
      <c r="I1585" s="132">
        <v>316213180</v>
      </c>
      <c r="J1585" s="133" t="s">
        <v>366</v>
      </c>
      <c r="K1585" s="133" t="s">
        <v>564</v>
      </c>
      <c r="L1585" s="133" t="s">
        <v>591</v>
      </c>
      <c r="M1585" s="133" t="s">
        <v>554</v>
      </c>
      <c r="N1585" s="133"/>
      <c r="O1585" s="133"/>
    </row>
    <row r="1586" spans="1:15">
      <c r="A1586" s="124" t="s">
        <v>562</v>
      </c>
      <c r="B1586" s="124"/>
      <c r="C1586" s="125"/>
      <c r="D1586" s="124" t="s">
        <v>287</v>
      </c>
      <c r="E1586" s="126">
        <v>4815</v>
      </c>
      <c r="F1586" s="124" t="s">
        <v>563</v>
      </c>
      <c r="G1586" s="126"/>
      <c r="H1586" s="126"/>
      <c r="I1586" s="127">
        <v>132192500</v>
      </c>
      <c r="J1586" s="128" t="s">
        <v>366</v>
      </c>
      <c r="K1586" s="128" t="s">
        <v>564</v>
      </c>
      <c r="L1586" s="128" t="s">
        <v>592</v>
      </c>
      <c r="M1586" s="128" t="s">
        <v>554</v>
      </c>
      <c r="N1586" s="128"/>
      <c r="O1586" s="128"/>
    </row>
    <row r="1587" spans="1:15">
      <c r="A1587" s="129" t="s">
        <v>562</v>
      </c>
      <c r="B1587" s="129"/>
      <c r="C1587" s="130"/>
      <c r="D1587" s="129" t="s">
        <v>287</v>
      </c>
      <c r="E1587" s="131">
        <v>469</v>
      </c>
      <c r="F1587" s="129" t="s">
        <v>563</v>
      </c>
      <c r="G1587" s="131"/>
      <c r="H1587" s="131"/>
      <c r="I1587" s="132">
        <v>112659500</v>
      </c>
      <c r="J1587" s="133" t="s">
        <v>366</v>
      </c>
      <c r="K1587" s="133" t="s">
        <v>564</v>
      </c>
      <c r="L1587" s="133" t="s">
        <v>593</v>
      </c>
      <c r="M1587" s="133" t="s">
        <v>554</v>
      </c>
      <c r="N1587" s="133"/>
      <c r="O1587" s="133"/>
    </row>
    <row r="1588" spans="1:15">
      <c r="A1588" s="124" t="s">
        <v>562</v>
      </c>
      <c r="B1588" s="124"/>
      <c r="C1588" s="125"/>
      <c r="D1588" s="124" t="s">
        <v>287</v>
      </c>
      <c r="E1588" s="126">
        <v>2137</v>
      </c>
      <c r="F1588" s="124" t="s">
        <v>563</v>
      </c>
      <c r="G1588" s="126"/>
      <c r="H1588" s="126"/>
      <c r="I1588" s="127">
        <v>61024880</v>
      </c>
      <c r="J1588" s="128" t="s">
        <v>366</v>
      </c>
      <c r="K1588" s="128" t="s">
        <v>564</v>
      </c>
      <c r="L1588" s="128" t="s">
        <v>594</v>
      </c>
      <c r="M1588" s="128" t="s">
        <v>554</v>
      </c>
      <c r="N1588" s="128"/>
      <c r="O1588" s="128"/>
    </row>
    <row r="1589" spans="1:15">
      <c r="A1589" s="129" t="s">
        <v>562</v>
      </c>
      <c r="B1589" s="129"/>
      <c r="C1589" s="130"/>
      <c r="D1589" s="129" t="s">
        <v>287</v>
      </c>
      <c r="E1589" s="131">
        <v>53</v>
      </c>
      <c r="F1589" s="129" t="s">
        <v>563</v>
      </c>
      <c r="G1589" s="131"/>
      <c r="H1589" s="131"/>
      <c r="I1589" s="132">
        <v>168197780</v>
      </c>
      <c r="J1589" s="133" t="s">
        <v>366</v>
      </c>
      <c r="K1589" s="133" t="s">
        <v>564</v>
      </c>
      <c r="L1589" s="133" t="s">
        <v>595</v>
      </c>
      <c r="M1589" s="133" t="s">
        <v>554</v>
      </c>
      <c r="N1589" s="133"/>
      <c r="O1589" s="133"/>
    </row>
    <row r="1590" spans="1:15">
      <c r="A1590" s="124" t="s">
        <v>562</v>
      </c>
      <c r="B1590" s="124"/>
      <c r="C1590" s="125"/>
      <c r="D1590" s="124" t="s">
        <v>287</v>
      </c>
      <c r="E1590" s="126">
        <v>501</v>
      </c>
      <c r="F1590" s="124" t="s">
        <v>563</v>
      </c>
      <c r="G1590" s="126"/>
      <c r="H1590" s="126"/>
      <c r="I1590" s="127">
        <v>23934780</v>
      </c>
      <c r="J1590" s="128" t="s">
        <v>366</v>
      </c>
      <c r="K1590" s="128" t="s">
        <v>564</v>
      </c>
      <c r="L1590" s="128" t="s">
        <v>596</v>
      </c>
      <c r="M1590" s="128" t="s">
        <v>554</v>
      </c>
      <c r="N1590" s="128"/>
      <c r="O1590" s="128"/>
    </row>
    <row r="1591" spans="1:15">
      <c r="A1591" s="129" t="s">
        <v>562</v>
      </c>
      <c r="B1591" s="129"/>
      <c r="C1591" s="130"/>
      <c r="D1591" s="129" t="s">
        <v>287</v>
      </c>
      <c r="E1591" s="131">
        <v>13320</v>
      </c>
      <c r="F1591" s="129" t="s">
        <v>563</v>
      </c>
      <c r="G1591" s="131"/>
      <c r="H1591" s="131"/>
      <c r="I1591" s="132">
        <v>51727500</v>
      </c>
      <c r="J1591" s="133" t="s">
        <v>366</v>
      </c>
      <c r="K1591" s="133" t="s">
        <v>564</v>
      </c>
      <c r="L1591" s="133" t="s">
        <v>597</v>
      </c>
      <c r="M1591" s="133" t="s">
        <v>554</v>
      </c>
      <c r="N1591" s="133"/>
      <c r="O1591" s="133"/>
    </row>
    <row r="1592" spans="1:15">
      <c r="A1592" s="124" t="s">
        <v>562</v>
      </c>
      <c r="B1592" s="124"/>
      <c r="C1592" s="125"/>
      <c r="D1592" s="124" t="s">
        <v>287</v>
      </c>
      <c r="E1592" s="126">
        <v>102</v>
      </c>
      <c r="F1592" s="124" t="s">
        <v>563</v>
      </c>
      <c r="G1592" s="126"/>
      <c r="H1592" s="126"/>
      <c r="I1592" s="127">
        <v>23982280</v>
      </c>
      <c r="J1592" s="128" t="s">
        <v>366</v>
      </c>
      <c r="K1592" s="128" t="s">
        <v>564</v>
      </c>
      <c r="L1592" s="128" t="s">
        <v>598</v>
      </c>
      <c r="M1592" s="128" t="s">
        <v>554</v>
      </c>
      <c r="N1592" s="128"/>
      <c r="O1592" s="128"/>
    </row>
    <row r="1593" spans="1:15">
      <c r="A1593" s="129" t="s">
        <v>562</v>
      </c>
      <c r="B1593" s="129"/>
      <c r="C1593" s="130"/>
      <c r="D1593" s="129" t="s">
        <v>287</v>
      </c>
      <c r="E1593" s="131">
        <v>3588</v>
      </c>
      <c r="F1593" s="129" t="s">
        <v>563</v>
      </c>
      <c r="G1593" s="131"/>
      <c r="H1593" s="131"/>
      <c r="I1593" s="132">
        <v>76332500</v>
      </c>
      <c r="J1593" s="133" t="s">
        <v>366</v>
      </c>
      <c r="K1593" s="133" t="s">
        <v>564</v>
      </c>
      <c r="L1593" s="133" t="s">
        <v>599</v>
      </c>
      <c r="M1593" s="133" t="s">
        <v>554</v>
      </c>
      <c r="N1593" s="133"/>
      <c r="O1593" s="133"/>
    </row>
    <row r="1594" spans="1:15">
      <c r="A1594" s="124" t="s">
        <v>562</v>
      </c>
      <c r="B1594" s="124"/>
      <c r="C1594" s="125"/>
      <c r="D1594" s="124" t="s">
        <v>287</v>
      </c>
      <c r="E1594" s="126">
        <v>200</v>
      </c>
      <c r="F1594" s="124" t="s">
        <v>563</v>
      </c>
      <c r="G1594" s="126"/>
      <c r="H1594" s="126"/>
      <c r="I1594" s="127">
        <v>95908000</v>
      </c>
      <c r="J1594" s="128" t="s">
        <v>366</v>
      </c>
      <c r="K1594" s="128" t="s">
        <v>564</v>
      </c>
      <c r="L1594" s="128" t="s">
        <v>600</v>
      </c>
      <c r="M1594" s="128" t="s">
        <v>554</v>
      </c>
      <c r="N1594" s="128"/>
      <c r="O1594" s="128"/>
    </row>
    <row r="1595" spans="1:15">
      <c r="A1595" s="129" t="s">
        <v>562</v>
      </c>
      <c r="B1595" s="129"/>
      <c r="C1595" s="130"/>
      <c r="D1595" s="129" t="s">
        <v>287</v>
      </c>
      <c r="E1595" s="131">
        <v>15798</v>
      </c>
      <c r="F1595" s="129" t="s">
        <v>563</v>
      </c>
      <c r="G1595" s="131"/>
      <c r="H1595" s="131"/>
      <c r="I1595" s="132">
        <v>611489700</v>
      </c>
      <c r="J1595" s="133" t="s">
        <v>366</v>
      </c>
      <c r="K1595" s="133" t="s">
        <v>564</v>
      </c>
      <c r="L1595" s="133" t="s">
        <v>601</v>
      </c>
      <c r="M1595" s="133" t="s">
        <v>554</v>
      </c>
      <c r="N1595" s="133"/>
      <c r="O1595" s="133"/>
    </row>
    <row r="1596" spans="1:15">
      <c r="A1596" s="124" t="s">
        <v>562</v>
      </c>
      <c r="B1596" s="124"/>
      <c r="C1596" s="125"/>
      <c r="D1596" s="124" t="s">
        <v>287</v>
      </c>
      <c r="E1596" s="126">
        <v>10264</v>
      </c>
      <c r="F1596" s="124" t="s">
        <v>563</v>
      </c>
      <c r="G1596" s="126"/>
      <c r="H1596" s="126"/>
      <c r="I1596" s="127">
        <v>12585040</v>
      </c>
      <c r="J1596" s="128" t="s">
        <v>366</v>
      </c>
      <c r="K1596" s="128" t="s">
        <v>564</v>
      </c>
      <c r="L1596" s="128" t="s">
        <v>602</v>
      </c>
      <c r="M1596" s="128" t="s">
        <v>554</v>
      </c>
      <c r="N1596" s="128"/>
      <c r="O1596" s="128"/>
    </row>
    <row r="1597" spans="1:15">
      <c r="A1597" s="129" t="s">
        <v>562</v>
      </c>
      <c r="B1597" s="129"/>
      <c r="C1597" s="130"/>
      <c r="D1597" s="129" t="s">
        <v>287</v>
      </c>
      <c r="E1597" s="131">
        <v>1174</v>
      </c>
      <c r="F1597" s="129" t="s">
        <v>563</v>
      </c>
      <c r="G1597" s="131"/>
      <c r="H1597" s="131"/>
      <c r="I1597" s="132">
        <v>2517500</v>
      </c>
      <c r="J1597" s="133" t="s">
        <v>366</v>
      </c>
      <c r="K1597" s="133" t="s">
        <v>564</v>
      </c>
      <c r="L1597" s="133" t="s">
        <v>603</v>
      </c>
      <c r="M1597" s="133" t="s">
        <v>554</v>
      </c>
      <c r="N1597" s="133"/>
      <c r="O1597" s="133"/>
    </row>
    <row r="1598" spans="1:15">
      <c r="A1598" s="124" t="s">
        <v>562</v>
      </c>
      <c r="B1598" s="124"/>
      <c r="C1598" s="125"/>
      <c r="D1598" s="124" t="s">
        <v>287</v>
      </c>
      <c r="E1598" s="126">
        <v>1858</v>
      </c>
      <c r="F1598" s="124" t="s">
        <v>563</v>
      </c>
      <c r="G1598" s="126"/>
      <c r="H1598" s="126"/>
      <c r="I1598" s="127">
        <v>1613782080</v>
      </c>
      <c r="J1598" s="128" t="s">
        <v>366</v>
      </c>
      <c r="K1598" s="128" t="s">
        <v>564</v>
      </c>
      <c r="L1598" s="128" t="s">
        <v>604</v>
      </c>
      <c r="M1598" s="128" t="s">
        <v>554</v>
      </c>
      <c r="N1598" s="128"/>
      <c r="O1598" s="128"/>
    </row>
    <row r="1599" spans="1:15">
      <c r="A1599" s="129" t="s">
        <v>562</v>
      </c>
      <c r="B1599" s="129"/>
      <c r="C1599" s="130"/>
      <c r="D1599" s="129" t="s">
        <v>287</v>
      </c>
      <c r="E1599" s="131">
        <v>1454</v>
      </c>
      <c r="F1599" s="129" t="s">
        <v>563</v>
      </c>
      <c r="G1599" s="131"/>
      <c r="H1599" s="131"/>
      <c r="I1599" s="132">
        <v>94172340</v>
      </c>
      <c r="J1599" s="133" t="s">
        <v>366</v>
      </c>
      <c r="K1599" s="133" t="s">
        <v>564</v>
      </c>
      <c r="L1599" s="133" t="s">
        <v>605</v>
      </c>
      <c r="M1599" s="133" t="s">
        <v>554</v>
      </c>
      <c r="N1599" s="133"/>
      <c r="O1599" s="133"/>
    </row>
    <row r="1600" spans="1:15">
      <c r="A1600" s="124" t="s">
        <v>562</v>
      </c>
      <c r="B1600" s="124"/>
      <c r="C1600" s="125"/>
      <c r="D1600" s="124" t="s">
        <v>287</v>
      </c>
      <c r="E1600" s="126">
        <v>790</v>
      </c>
      <c r="F1600" s="124" t="s">
        <v>563</v>
      </c>
      <c r="G1600" s="126"/>
      <c r="H1600" s="126"/>
      <c r="I1600" s="127">
        <v>137085000</v>
      </c>
      <c r="J1600" s="128" t="s">
        <v>366</v>
      </c>
      <c r="K1600" s="128" t="s">
        <v>564</v>
      </c>
      <c r="L1600" s="128" t="s">
        <v>606</v>
      </c>
      <c r="M1600" s="128" t="s">
        <v>554</v>
      </c>
      <c r="N1600" s="128"/>
      <c r="O1600" s="128"/>
    </row>
    <row r="1601" spans="1:15">
      <c r="A1601" s="129" t="s">
        <v>562</v>
      </c>
      <c r="B1601" s="129"/>
      <c r="C1601" s="130"/>
      <c r="D1601" s="129" t="s">
        <v>287</v>
      </c>
      <c r="E1601" s="131">
        <v>100</v>
      </c>
      <c r="F1601" s="129" t="s">
        <v>563</v>
      </c>
      <c r="G1601" s="131"/>
      <c r="H1601" s="131"/>
      <c r="I1601" s="132">
        <v>54318500</v>
      </c>
      <c r="J1601" s="133" t="s">
        <v>366</v>
      </c>
      <c r="K1601" s="133" t="s">
        <v>564</v>
      </c>
      <c r="L1601" s="133" t="s">
        <v>607</v>
      </c>
      <c r="M1601" s="133" t="s">
        <v>554</v>
      </c>
      <c r="N1601" s="133"/>
      <c r="O1601" s="133"/>
    </row>
    <row r="1602" spans="1:15">
      <c r="A1602" s="124" t="s">
        <v>562</v>
      </c>
      <c r="B1602" s="124"/>
      <c r="C1602" s="125"/>
      <c r="D1602" s="124" t="s">
        <v>287</v>
      </c>
      <c r="E1602" s="126">
        <v>2068</v>
      </c>
      <c r="F1602" s="124" t="s">
        <v>563</v>
      </c>
      <c r="G1602" s="126"/>
      <c r="H1602" s="126"/>
      <c r="I1602" s="127">
        <v>279276720</v>
      </c>
      <c r="J1602" s="128" t="s">
        <v>366</v>
      </c>
      <c r="K1602" s="128" t="s">
        <v>564</v>
      </c>
      <c r="L1602" s="128" t="s">
        <v>608</v>
      </c>
      <c r="M1602" s="128" t="s">
        <v>554</v>
      </c>
      <c r="N1602" s="128"/>
      <c r="O1602" s="128"/>
    </row>
    <row r="1603" spans="1:15">
      <c r="A1603" s="129" t="s">
        <v>562</v>
      </c>
      <c r="B1603" s="129"/>
      <c r="C1603" s="130"/>
      <c r="D1603" s="129" t="s">
        <v>287</v>
      </c>
      <c r="E1603" s="131">
        <v>805</v>
      </c>
      <c r="F1603" s="129" t="s">
        <v>563</v>
      </c>
      <c r="G1603" s="131"/>
      <c r="H1603" s="131"/>
      <c r="I1603" s="132">
        <v>25080000</v>
      </c>
      <c r="J1603" s="133" t="s">
        <v>366</v>
      </c>
      <c r="K1603" s="133" t="s">
        <v>564</v>
      </c>
      <c r="L1603" s="133" t="s">
        <v>609</v>
      </c>
      <c r="M1603" s="133" t="s">
        <v>554</v>
      </c>
      <c r="N1603" s="133"/>
      <c r="O1603" s="133"/>
    </row>
    <row r="1604" spans="1:15">
      <c r="A1604" s="124" t="s">
        <v>562</v>
      </c>
      <c r="B1604" s="124"/>
      <c r="C1604" s="125"/>
      <c r="D1604" s="124" t="s">
        <v>287</v>
      </c>
      <c r="E1604" s="126">
        <v>528</v>
      </c>
      <c r="F1604" s="124" t="s">
        <v>563</v>
      </c>
      <c r="G1604" s="126"/>
      <c r="H1604" s="126"/>
      <c r="I1604" s="127">
        <v>7721000</v>
      </c>
      <c r="J1604" s="128" t="s">
        <v>366</v>
      </c>
      <c r="K1604" s="128" t="s">
        <v>564</v>
      </c>
      <c r="L1604" s="128" t="s">
        <v>610</v>
      </c>
      <c r="M1604" s="128" t="s">
        <v>542</v>
      </c>
      <c r="N1604" s="128"/>
      <c r="O1604" s="128"/>
    </row>
    <row r="1605" spans="1:15">
      <c r="A1605" s="129" t="s">
        <v>562</v>
      </c>
      <c r="B1605" s="129"/>
      <c r="C1605" s="130"/>
      <c r="D1605" s="129" t="s">
        <v>287</v>
      </c>
      <c r="E1605" s="131">
        <v>588</v>
      </c>
      <c r="F1605" s="129" t="s">
        <v>563</v>
      </c>
      <c r="G1605" s="131"/>
      <c r="H1605" s="131"/>
      <c r="I1605" s="132">
        <v>20520000</v>
      </c>
      <c r="J1605" s="133" t="s">
        <v>366</v>
      </c>
      <c r="K1605" s="133" t="s">
        <v>564</v>
      </c>
      <c r="L1605" s="133" t="s">
        <v>611</v>
      </c>
      <c r="M1605" s="133" t="s">
        <v>542</v>
      </c>
      <c r="N1605" s="133"/>
      <c r="O1605" s="133"/>
    </row>
    <row r="1606" spans="1:15">
      <c r="A1606" s="124" t="s">
        <v>562</v>
      </c>
      <c r="B1606" s="124"/>
      <c r="C1606" s="125"/>
      <c r="D1606" s="124" t="s">
        <v>287</v>
      </c>
      <c r="E1606" s="126">
        <v>11877</v>
      </c>
      <c r="F1606" s="124" t="s">
        <v>563</v>
      </c>
      <c r="G1606" s="126"/>
      <c r="H1606" s="126"/>
      <c r="I1606" s="127">
        <v>169247000</v>
      </c>
      <c r="J1606" s="128" t="s">
        <v>366</v>
      </c>
      <c r="K1606" s="128" t="s">
        <v>564</v>
      </c>
      <c r="L1606" s="128" t="s">
        <v>612</v>
      </c>
      <c r="M1606" s="128" t="s">
        <v>542</v>
      </c>
      <c r="N1606" s="128"/>
      <c r="O1606" s="128"/>
    </row>
    <row r="1607" spans="1:15">
      <c r="A1607" s="129" t="s">
        <v>562</v>
      </c>
      <c r="B1607" s="129"/>
      <c r="C1607" s="130"/>
      <c r="D1607" s="129" t="s">
        <v>287</v>
      </c>
      <c r="E1607" s="131">
        <v>2718</v>
      </c>
      <c r="F1607" s="129" t="s">
        <v>563</v>
      </c>
      <c r="G1607" s="131"/>
      <c r="H1607" s="131"/>
      <c r="I1607" s="132">
        <v>170155000</v>
      </c>
      <c r="J1607" s="133" t="s">
        <v>366</v>
      </c>
      <c r="K1607" s="133" t="s">
        <v>564</v>
      </c>
      <c r="L1607" s="133" t="s">
        <v>613</v>
      </c>
      <c r="M1607" s="133" t="s">
        <v>542</v>
      </c>
      <c r="N1607" s="133"/>
      <c r="O1607" s="133"/>
    </row>
    <row r="1608" spans="1:15">
      <c r="A1608" s="124" t="s">
        <v>562</v>
      </c>
      <c r="B1608" s="124"/>
      <c r="C1608" s="125"/>
      <c r="D1608" s="124" t="s">
        <v>287</v>
      </c>
      <c r="E1608" s="126">
        <v>629</v>
      </c>
      <c r="F1608" s="124" t="s">
        <v>563</v>
      </c>
      <c r="G1608" s="126"/>
      <c r="H1608" s="126"/>
      <c r="I1608" s="127">
        <v>130932000</v>
      </c>
      <c r="J1608" s="128" t="s">
        <v>366</v>
      </c>
      <c r="K1608" s="128" t="s">
        <v>564</v>
      </c>
      <c r="L1608" s="128" t="s">
        <v>614</v>
      </c>
      <c r="M1608" s="128" t="s">
        <v>542</v>
      </c>
      <c r="N1608" s="128"/>
      <c r="O1608" s="128"/>
    </row>
    <row r="1609" spans="1:15">
      <c r="A1609" s="129" t="s">
        <v>562</v>
      </c>
      <c r="B1609" s="129"/>
      <c r="C1609" s="130"/>
      <c r="D1609" s="129" t="s">
        <v>287</v>
      </c>
      <c r="E1609" s="131">
        <v>3430</v>
      </c>
      <c r="F1609" s="129" t="s">
        <v>563</v>
      </c>
      <c r="G1609" s="131"/>
      <c r="H1609" s="131"/>
      <c r="I1609" s="132">
        <v>28575000</v>
      </c>
      <c r="J1609" s="133" t="s">
        <v>366</v>
      </c>
      <c r="K1609" s="133" t="s">
        <v>564</v>
      </c>
      <c r="L1609" s="133" t="s">
        <v>615</v>
      </c>
      <c r="M1609" s="133" t="s">
        <v>616</v>
      </c>
      <c r="N1609" s="133"/>
      <c r="O1609" s="133"/>
    </row>
    <row r="1610" spans="1:15">
      <c r="A1610" s="124" t="s">
        <v>562</v>
      </c>
      <c r="B1610" s="124"/>
      <c r="C1610" s="125"/>
      <c r="D1610" s="124" t="s">
        <v>287</v>
      </c>
      <c r="E1610" s="126">
        <v>559</v>
      </c>
      <c r="F1610" s="124" t="s">
        <v>563</v>
      </c>
      <c r="G1610" s="126"/>
      <c r="H1610" s="126"/>
      <c r="I1610" s="127">
        <v>9500000</v>
      </c>
      <c r="J1610" s="128" t="s">
        <v>366</v>
      </c>
      <c r="K1610" s="128" t="s">
        <v>564</v>
      </c>
      <c r="L1610" s="128" t="s">
        <v>617</v>
      </c>
      <c r="M1610" s="128" t="s">
        <v>616</v>
      </c>
      <c r="N1610" s="128"/>
      <c r="O1610" s="128"/>
    </row>
    <row r="1611" spans="1:15">
      <c r="A1611" s="129" t="s">
        <v>562</v>
      </c>
      <c r="B1611" s="129"/>
      <c r="C1611" s="130"/>
      <c r="D1611" s="129" t="s">
        <v>287</v>
      </c>
      <c r="E1611" s="131">
        <v>798</v>
      </c>
      <c r="F1611" s="129" t="s">
        <v>563</v>
      </c>
      <c r="G1611" s="131"/>
      <c r="H1611" s="131"/>
      <c r="I1611" s="132">
        <v>145377200</v>
      </c>
      <c r="J1611" s="133" t="s">
        <v>366</v>
      </c>
      <c r="K1611" s="133" t="s">
        <v>564</v>
      </c>
      <c r="L1611" s="133" t="s">
        <v>618</v>
      </c>
      <c r="M1611" s="133" t="s">
        <v>616</v>
      </c>
      <c r="N1611" s="133"/>
      <c r="O1611" s="133"/>
    </row>
    <row r="1612" spans="1:15">
      <c r="A1612" s="124" t="s">
        <v>562</v>
      </c>
      <c r="B1612" s="124"/>
      <c r="C1612" s="125"/>
      <c r="D1612" s="124" t="s">
        <v>287</v>
      </c>
      <c r="E1612" s="126">
        <v>18640</v>
      </c>
      <c r="F1612" s="124" t="s">
        <v>563</v>
      </c>
      <c r="G1612" s="126"/>
      <c r="H1612" s="126"/>
      <c r="I1612" s="127">
        <v>10228000</v>
      </c>
      <c r="J1612" s="128" t="s">
        <v>366</v>
      </c>
      <c r="K1612" s="128" t="s">
        <v>564</v>
      </c>
      <c r="L1612" s="128" t="s">
        <v>619</v>
      </c>
      <c r="M1612" s="128" t="s">
        <v>616</v>
      </c>
      <c r="N1612" s="128"/>
      <c r="O1612" s="128"/>
    </row>
    <row r="1613" spans="1:15">
      <c r="A1613" s="129" t="s">
        <v>562</v>
      </c>
      <c r="B1613" s="129"/>
      <c r="C1613" s="130"/>
      <c r="D1613" s="129" t="s">
        <v>287</v>
      </c>
      <c r="E1613" s="131">
        <v>2290</v>
      </c>
      <c r="F1613" s="129" t="s">
        <v>563</v>
      </c>
      <c r="G1613" s="131"/>
      <c r="H1613" s="131"/>
      <c r="I1613" s="132">
        <v>33646000</v>
      </c>
      <c r="J1613" s="133" t="s">
        <v>366</v>
      </c>
      <c r="K1613" s="133" t="s">
        <v>564</v>
      </c>
      <c r="L1613" s="133" t="s">
        <v>620</v>
      </c>
      <c r="M1613" s="133" t="s">
        <v>616</v>
      </c>
      <c r="N1613" s="133"/>
      <c r="O1613" s="133"/>
    </row>
    <row r="1614" spans="1:15">
      <c r="A1614" s="124" t="s">
        <v>621</v>
      </c>
      <c r="B1614" s="124">
        <v>4013041</v>
      </c>
      <c r="C1614" s="125">
        <v>45293</v>
      </c>
      <c r="D1614" s="124" t="s">
        <v>622</v>
      </c>
      <c r="E1614" s="126">
        <v>29322.92</v>
      </c>
      <c r="F1614" s="124" t="s">
        <v>288</v>
      </c>
      <c r="G1614" s="126"/>
      <c r="H1614" s="126"/>
      <c r="I1614" s="127">
        <v>1888994822</v>
      </c>
      <c r="J1614" s="128" t="s">
        <v>366</v>
      </c>
      <c r="K1614" s="128" t="s">
        <v>623</v>
      </c>
      <c r="L1614" s="128" t="s">
        <v>624</v>
      </c>
      <c r="M1614" s="128" t="s">
        <v>625</v>
      </c>
      <c r="N1614" s="128" t="s">
        <v>624</v>
      </c>
      <c r="O1614" s="128"/>
    </row>
    <row r="1615" spans="1:15">
      <c r="A1615" s="129" t="s">
        <v>621</v>
      </c>
      <c r="B1615" s="129">
        <v>4013041</v>
      </c>
      <c r="C1615" s="130">
        <v>45308</v>
      </c>
      <c r="D1615" s="129" t="s">
        <v>622</v>
      </c>
      <c r="E1615" s="131">
        <v>3888.134</v>
      </c>
      <c r="F1615" s="129" t="s">
        <v>288</v>
      </c>
      <c r="G1615" s="131"/>
      <c r="H1615" s="131"/>
      <c r="I1615" s="132">
        <v>187921794</v>
      </c>
      <c r="J1615" s="133" t="s">
        <v>366</v>
      </c>
      <c r="K1615" s="133" t="s">
        <v>623</v>
      </c>
      <c r="L1615" s="133" t="s">
        <v>626</v>
      </c>
      <c r="M1615" s="133" t="s">
        <v>627</v>
      </c>
      <c r="N1615" s="133" t="s">
        <v>626</v>
      </c>
      <c r="O1615" s="133"/>
    </row>
    <row r="1616" spans="1:15">
      <c r="A1616" s="124" t="s">
        <v>621</v>
      </c>
      <c r="B1616" s="124">
        <v>4013041</v>
      </c>
      <c r="C1616" s="125">
        <v>45346</v>
      </c>
      <c r="D1616" s="124" t="s">
        <v>622</v>
      </c>
      <c r="E1616" s="126">
        <v>32533.851999999999</v>
      </c>
      <c r="F1616" s="124" t="s">
        <v>288</v>
      </c>
      <c r="G1616" s="126"/>
      <c r="H1616" s="126"/>
      <c r="I1616" s="127">
        <v>2937218981</v>
      </c>
      <c r="J1616" s="128" t="s">
        <v>366</v>
      </c>
      <c r="K1616" s="128" t="s">
        <v>623</v>
      </c>
      <c r="L1616" s="128" t="s">
        <v>628</v>
      </c>
      <c r="M1616" s="128" t="s">
        <v>629</v>
      </c>
      <c r="N1616" s="128" t="s">
        <v>628</v>
      </c>
      <c r="O1616" s="128"/>
    </row>
    <row r="1617" spans="1:15">
      <c r="A1617" s="129" t="s">
        <v>621</v>
      </c>
      <c r="B1617" s="129">
        <v>4013041</v>
      </c>
      <c r="C1617" s="130">
        <v>45406</v>
      </c>
      <c r="D1617" s="129" t="s">
        <v>622</v>
      </c>
      <c r="E1617" s="131">
        <v>500</v>
      </c>
      <c r="F1617" s="129" t="s">
        <v>288</v>
      </c>
      <c r="G1617" s="131"/>
      <c r="H1617" s="131"/>
      <c r="I1617" s="132">
        <v>61331980</v>
      </c>
      <c r="J1617" s="133" t="s">
        <v>366</v>
      </c>
      <c r="K1617" s="133" t="s">
        <v>623</v>
      </c>
      <c r="L1617" s="133" t="s">
        <v>630</v>
      </c>
      <c r="M1617" s="133" t="s">
        <v>631</v>
      </c>
      <c r="N1617" s="133" t="s">
        <v>630</v>
      </c>
      <c r="O1617" s="133"/>
    </row>
    <row r="1618" spans="1:15">
      <c r="A1618" s="124" t="s">
        <v>621</v>
      </c>
      <c r="B1618" s="124">
        <v>4013041</v>
      </c>
      <c r="C1618" s="125">
        <v>45408</v>
      </c>
      <c r="D1618" s="124" t="s">
        <v>622</v>
      </c>
      <c r="E1618" s="126">
        <v>500</v>
      </c>
      <c r="F1618" s="124" t="s">
        <v>288</v>
      </c>
      <c r="G1618" s="126"/>
      <c r="H1618" s="126"/>
      <c r="I1618" s="127">
        <v>61331980</v>
      </c>
      <c r="J1618" s="128" t="s">
        <v>366</v>
      </c>
      <c r="K1618" s="128" t="s">
        <v>623</v>
      </c>
      <c r="L1618" s="128" t="s">
        <v>630</v>
      </c>
      <c r="M1618" s="128" t="s">
        <v>631</v>
      </c>
      <c r="N1618" s="128" t="s">
        <v>630</v>
      </c>
      <c r="O1618" s="128"/>
    </row>
    <row r="1619" spans="1:15">
      <c r="A1619" s="129" t="s">
        <v>621</v>
      </c>
      <c r="B1619" s="129">
        <v>4013041</v>
      </c>
      <c r="C1619" s="130">
        <v>45414</v>
      </c>
      <c r="D1619" s="129" t="s">
        <v>622</v>
      </c>
      <c r="E1619" s="131">
        <v>525</v>
      </c>
      <c r="F1619" s="129" t="s">
        <v>288</v>
      </c>
      <c r="G1619" s="131"/>
      <c r="H1619" s="131"/>
      <c r="I1619" s="132">
        <v>64398578</v>
      </c>
      <c r="J1619" s="133" t="s">
        <v>366</v>
      </c>
      <c r="K1619" s="133" t="s">
        <v>623</v>
      </c>
      <c r="L1619" s="133" t="s">
        <v>630</v>
      </c>
      <c r="M1619" s="133" t="s">
        <v>631</v>
      </c>
      <c r="N1619" s="133" t="s">
        <v>630</v>
      </c>
      <c r="O1619" s="133"/>
    </row>
    <row r="1620" spans="1:15">
      <c r="A1620" s="124" t="s">
        <v>621</v>
      </c>
      <c r="B1620" s="124">
        <v>4013041</v>
      </c>
      <c r="C1620" s="125">
        <v>45414</v>
      </c>
      <c r="D1620" s="124" t="s">
        <v>622</v>
      </c>
      <c r="E1620" s="126">
        <v>400</v>
      </c>
      <c r="F1620" s="124" t="s">
        <v>288</v>
      </c>
      <c r="G1620" s="126"/>
      <c r="H1620" s="126"/>
      <c r="I1620" s="127">
        <v>49065584</v>
      </c>
      <c r="J1620" s="128" t="s">
        <v>366</v>
      </c>
      <c r="K1620" s="128" t="s">
        <v>623</v>
      </c>
      <c r="L1620" s="128" t="s">
        <v>632</v>
      </c>
      <c r="M1620" s="128" t="s">
        <v>631</v>
      </c>
      <c r="N1620" s="128" t="s">
        <v>632</v>
      </c>
      <c r="O1620" s="128"/>
    </row>
    <row r="1621" spans="1:15">
      <c r="A1621" s="129" t="s">
        <v>621</v>
      </c>
      <c r="B1621" s="129">
        <v>4013041</v>
      </c>
      <c r="C1621" s="130">
        <v>45421</v>
      </c>
      <c r="D1621" s="129" t="s">
        <v>622</v>
      </c>
      <c r="E1621" s="131">
        <v>21168.77</v>
      </c>
      <c r="F1621" s="129" t="s">
        <v>288</v>
      </c>
      <c r="G1621" s="131"/>
      <c r="H1621" s="131"/>
      <c r="I1621" s="132">
        <v>1227500356</v>
      </c>
      <c r="J1621" s="133" t="s">
        <v>366</v>
      </c>
      <c r="K1621" s="133" t="s">
        <v>623</v>
      </c>
      <c r="L1621" s="133" t="s">
        <v>633</v>
      </c>
      <c r="M1621" s="133" t="s">
        <v>634</v>
      </c>
      <c r="N1621" s="133" t="s">
        <v>633</v>
      </c>
      <c r="O1621" s="133"/>
    </row>
    <row r="1622" spans="1:15">
      <c r="A1622" s="124" t="s">
        <v>621</v>
      </c>
      <c r="B1622" s="124">
        <v>4013041</v>
      </c>
      <c r="C1622" s="125">
        <v>45306</v>
      </c>
      <c r="D1622" s="124" t="s">
        <v>622</v>
      </c>
      <c r="E1622" s="126">
        <v>500</v>
      </c>
      <c r="F1622" s="124" t="s">
        <v>288</v>
      </c>
      <c r="G1622" s="126"/>
      <c r="H1622" s="126"/>
      <c r="I1622" s="127">
        <v>61331980</v>
      </c>
      <c r="J1622" s="128" t="s">
        <v>366</v>
      </c>
      <c r="K1622" s="128" t="s">
        <v>623</v>
      </c>
      <c r="L1622" s="128" t="s">
        <v>630</v>
      </c>
      <c r="M1622" s="128" t="s">
        <v>631</v>
      </c>
      <c r="N1622" s="128" t="s">
        <v>630</v>
      </c>
      <c r="O1622" s="128"/>
    </row>
    <row r="1623" spans="1:15">
      <c r="A1623" s="129" t="s">
        <v>621</v>
      </c>
      <c r="B1623" s="129">
        <v>4013041</v>
      </c>
      <c r="C1623" s="130">
        <v>45427</v>
      </c>
      <c r="D1623" s="129" t="s">
        <v>622</v>
      </c>
      <c r="E1623" s="131">
        <v>250</v>
      </c>
      <c r="F1623" s="129" t="s">
        <v>288</v>
      </c>
      <c r="G1623" s="131"/>
      <c r="H1623" s="131"/>
      <c r="I1623" s="132">
        <v>30665990</v>
      </c>
      <c r="J1623" s="133" t="s">
        <v>366</v>
      </c>
      <c r="K1623" s="133" t="s">
        <v>623</v>
      </c>
      <c r="L1623" s="133" t="s">
        <v>632</v>
      </c>
      <c r="M1623" s="133" t="s">
        <v>631</v>
      </c>
      <c r="N1623" s="133" t="s">
        <v>632</v>
      </c>
      <c r="O1623" s="133"/>
    </row>
    <row r="1624" spans="1:15">
      <c r="A1624" s="124" t="s">
        <v>621</v>
      </c>
      <c r="B1624" s="124">
        <v>4013041</v>
      </c>
      <c r="C1624" s="125">
        <v>45476</v>
      </c>
      <c r="D1624" s="124" t="s">
        <v>622</v>
      </c>
      <c r="E1624" s="126">
        <v>250</v>
      </c>
      <c r="F1624" s="124" t="s">
        <v>288</v>
      </c>
      <c r="G1624" s="126"/>
      <c r="H1624" s="126"/>
      <c r="I1624" s="127">
        <v>30665990</v>
      </c>
      <c r="J1624" s="128" t="s">
        <v>366</v>
      </c>
      <c r="K1624" s="128" t="s">
        <v>623</v>
      </c>
      <c r="L1624" s="128" t="s">
        <v>635</v>
      </c>
      <c r="M1624" s="128" t="s">
        <v>631</v>
      </c>
      <c r="N1624" s="128" t="s">
        <v>635</v>
      </c>
      <c r="O1624" s="128"/>
    </row>
    <row r="1625" spans="1:15">
      <c r="A1625" s="129" t="s">
        <v>621</v>
      </c>
      <c r="B1625" s="129">
        <v>4013041</v>
      </c>
      <c r="C1625" s="130">
        <v>45474</v>
      </c>
      <c r="D1625" s="129" t="s">
        <v>622</v>
      </c>
      <c r="E1625" s="131">
        <v>-1281.9000000000001</v>
      </c>
      <c r="F1625" s="129" t="s">
        <v>288</v>
      </c>
      <c r="G1625" s="131"/>
      <c r="H1625" s="131"/>
      <c r="I1625" s="132">
        <v>-90736834</v>
      </c>
      <c r="J1625" s="133" t="s">
        <v>366</v>
      </c>
      <c r="K1625" s="133" t="s">
        <v>623</v>
      </c>
      <c r="L1625" s="133" t="s">
        <v>624</v>
      </c>
      <c r="M1625" s="133" t="s">
        <v>625</v>
      </c>
      <c r="N1625" s="133" t="s">
        <v>624</v>
      </c>
      <c r="O1625" s="133"/>
    </row>
    <row r="1626" spans="1:15">
      <c r="A1626" s="124" t="s">
        <v>621</v>
      </c>
      <c r="B1626" s="124">
        <v>4013041</v>
      </c>
      <c r="C1626" s="125">
        <v>45410</v>
      </c>
      <c r="D1626" s="124" t="s">
        <v>622</v>
      </c>
      <c r="E1626" s="126">
        <v>25084.085999999999</v>
      </c>
      <c r="F1626" s="124" t="s">
        <v>288</v>
      </c>
      <c r="G1626" s="126"/>
      <c r="H1626" s="126"/>
      <c r="I1626" s="127">
        <v>1493949967.0804796</v>
      </c>
      <c r="J1626" s="128" t="s">
        <v>366</v>
      </c>
      <c r="K1626" s="128" t="s">
        <v>623</v>
      </c>
      <c r="L1626" s="128" t="s">
        <v>636</v>
      </c>
      <c r="M1626" s="128" t="s">
        <v>637</v>
      </c>
      <c r="N1626" s="128" t="s">
        <v>636</v>
      </c>
      <c r="O1626" s="128"/>
    </row>
    <row r="1627" spans="1:15">
      <c r="A1627" s="129" t="s">
        <v>621</v>
      </c>
      <c r="B1627" s="129">
        <v>4013041</v>
      </c>
      <c r="C1627" s="130">
        <v>45548</v>
      </c>
      <c r="D1627" s="129" t="s">
        <v>622</v>
      </c>
      <c r="E1627" s="131">
        <v>33875.919999999998</v>
      </c>
      <c r="F1627" s="129" t="s">
        <v>288</v>
      </c>
      <c r="G1627" s="131"/>
      <c r="H1627" s="131"/>
      <c r="I1627" s="132">
        <v>2956146589</v>
      </c>
      <c r="J1627" s="133" t="s">
        <v>366</v>
      </c>
      <c r="K1627" s="133" t="s">
        <v>623</v>
      </c>
      <c r="L1627" s="133" t="s">
        <v>628</v>
      </c>
      <c r="M1627" s="133" t="s">
        <v>625</v>
      </c>
      <c r="N1627" s="133" t="s">
        <v>628</v>
      </c>
      <c r="O1627" s="133"/>
    </row>
    <row r="1628" spans="1:15">
      <c r="A1628" s="124" t="s">
        <v>621</v>
      </c>
      <c r="B1628" s="124">
        <v>4013041</v>
      </c>
      <c r="C1628" s="125">
        <v>45317</v>
      </c>
      <c r="D1628" s="124" t="s">
        <v>622</v>
      </c>
      <c r="E1628" s="126"/>
      <c r="F1628" s="124" t="s">
        <v>288</v>
      </c>
      <c r="G1628" s="126"/>
      <c r="H1628" s="126"/>
      <c r="I1628" s="127">
        <v>22115</v>
      </c>
      <c r="J1628" s="128" t="s">
        <v>366</v>
      </c>
      <c r="K1628" s="128" t="s">
        <v>623</v>
      </c>
      <c r="L1628" s="128" t="s">
        <v>626</v>
      </c>
      <c r="M1628" s="128" t="s">
        <v>638</v>
      </c>
      <c r="N1628" s="128" t="s">
        <v>626</v>
      </c>
      <c r="O1628" s="128"/>
    </row>
    <row r="1629" spans="1:15">
      <c r="A1629" s="129" t="s">
        <v>621</v>
      </c>
      <c r="B1629" s="129">
        <v>4013041</v>
      </c>
      <c r="C1629" s="130">
        <v>45624</v>
      </c>
      <c r="D1629" s="129" t="s">
        <v>622</v>
      </c>
      <c r="E1629" s="131"/>
      <c r="F1629" s="129" t="s">
        <v>288</v>
      </c>
      <c r="G1629" s="131"/>
      <c r="H1629" s="131"/>
      <c r="I1629" s="132">
        <v>-37925492</v>
      </c>
      <c r="J1629" s="133" t="s">
        <v>366</v>
      </c>
      <c r="K1629" s="133" t="s">
        <v>623</v>
      </c>
      <c r="L1629" s="133" t="s">
        <v>626</v>
      </c>
      <c r="M1629" s="133" t="s">
        <v>638</v>
      </c>
      <c r="N1629" s="133" t="s">
        <v>626</v>
      </c>
      <c r="O1629" s="133"/>
    </row>
    <row r="1630" spans="1:15">
      <c r="A1630" s="124" t="s">
        <v>621</v>
      </c>
      <c r="B1630" s="124">
        <v>4013041</v>
      </c>
      <c r="C1630" s="125">
        <v>45639</v>
      </c>
      <c r="D1630" s="124" t="s">
        <v>622</v>
      </c>
      <c r="E1630" s="126">
        <v>29612.149000000001</v>
      </c>
      <c r="F1630" s="124" t="s">
        <v>288</v>
      </c>
      <c r="G1630" s="126"/>
      <c r="H1630" s="126"/>
      <c r="I1630" s="127">
        <v>1885932032.0899999</v>
      </c>
      <c r="J1630" s="128" t="s">
        <v>366</v>
      </c>
      <c r="K1630" s="128" t="s">
        <v>623</v>
      </c>
      <c r="L1630" s="128" t="s">
        <v>639</v>
      </c>
      <c r="M1630" s="128" t="s">
        <v>640</v>
      </c>
      <c r="N1630" s="128" t="s">
        <v>639</v>
      </c>
      <c r="O1630" s="128"/>
    </row>
    <row r="1631" spans="1:15">
      <c r="A1631" s="129" t="s">
        <v>641</v>
      </c>
      <c r="B1631" s="129" t="s">
        <v>642</v>
      </c>
      <c r="C1631" s="130">
        <v>2024</v>
      </c>
      <c r="D1631" s="129" t="s">
        <v>643</v>
      </c>
      <c r="E1631" s="131">
        <v>25201</v>
      </c>
      <c r="F1631" s="129" t="s">
        <v>365</v>
      </c>
      <c r="G1631" s="131"/>
      <c r="H1631" s="131"/>
      <c r="I1631" s="132">
        <v>63184603</v>
      </c>
      <c r="J1631" s="133" t="s">
        <v>644</v>
      </c>
      <c r="K1631" s="133"/>
      <c r="L1631" s="133"/>
      <c r="M1631" s="133" t="s">
        <v>542</v>
      </c>
      <c r="N1631" s="133"/>
      <c r="O1631" s="133"/>
    </row>
    <row r="1632" spans="1:15">
      <c r="A1632" s="124" t="s">
        <v>645</v>
      </c>
      <c r="B1632" s="124">
        <v>2292168</v>
      </c>
      <c r="C1632" s="125">
        <v>45322</v>
      </c>
      <c r="D1632" s="124" t="s">
        <v>539</v>
      </c>
      <c r="E1632" s="126">
        <v>7875</v>
      </c>
      <c r="F1632" s="124" t="s">
        <v>563</v>
      </c>
      <c r="G1632" s="126">
        <v>8031.9499682539699</v>
      </c>
      <c r="H1632" s="126"/>
      <c r="I1632" s="127">
        <v>63251606</v>
      </c>
      <c r="J1632" s="128" t="s">
        <v>646</v>
      </c>
      <c r="K1632" s="128" t="s">
        <v>540</v>
      </c>
      <c r="L1632" s="128" t="s">
        <v>647</v>
      </c>
      <c r="M1632" s="128" t="s">
        <v>542</v>
      </c>
      <c r="N1632" s="128" t="s">
        <v>647</v>
      </c>
      <c r="O1632" s="128" t="s">
        <v>648</v>
      </c>
    </row>
    <row r="1633" spans="1:15">
      <c r="A1633" s="129" t="s">
        <v>645</v>
      </c>
      <c r="B1633" s="129">
        <v>2292168</v>
      </c>
      <c r="C1633" s="130">
        <v>45322</v>
      </c>
      <c r="D1633" s="129" t="s">
        <v>539</v>
      </c>
      <c r="E1633" s="131">
        <v>10786</v>
      </c>
      <c r="F1633" s="129" t="s">
        <v>563</v>
      </c>
      <c r="G1633" s="131">
        <v>8996.9503059521594</v>
      </c>
      <c r="H1633" s="131"/>
      <c r="I1633" s="132">
        <v>97041106</v>
      </c>
      <c r="J1633" s="133" t="s">
        <v>646</v>
      </c>
      <c r="K1633" s="133" t="s">
        <v>540</v>
      </c>
      <c r="L1633" s="133" t="s">
        <v>649</v>
      </c>
      <c r="M1633" s="133" t="s">
        <v>542</v>
      </c>
      <c r="N1633" s="133" t="s">
        <v>649</v>
      </c>
      <c r="O1633" s="133" t="s">
        <v>648</v>
      </c>
    </row>
    <row r="1634" spans="1:15">
      <c r="A1634" s="124" t="s">
        <v>645</v>
      </c>
      <c r="B1634" s="124">
        <v>2292168</v>
      </c>
      <c r="C1634" s="125">
        <v>45322</v>
      </c>
      <c r="D1634" s="124" t="s">
        <v>539</v>
      </c>
      <c r="E1634" s="126">
        <v>10792</v>
      </c>
      <c r="F1634" s="124" t="s">
        <v>563</v>
      </c>
      <c r="G1634" s="126">
        <v>9002.5935878428463</v>
      </c>
      <c r="H1634" s="126"/>
      <c r="I1634" s="127">
        <v>97155990</v>
      </c>
      <c r="J1634" s="128" t="s">
        <v>646</v>
      </c>
      <c r="K1634" s="128" t="s">
        <v>540</v>
      </c>
      <c r="L1634" s="128" t="s">
        <v>650</v>
      </c>
      <c r="M1634" s="128" t="s">
        <v>542</v>
      </c>
      <c r="N1634" s="128" t="s">
        <v>650</v>
      </c>
      <c r="O1634" s="128" t="s">
        <v>648</v>
      </c>
    </row>
    <row r="1635" spans="1:15">
      <c r="A1635" s="129" t="s">
        <v>645</v>
      </c>
      <c r="B1635" s="129">
        <v>2292168</v>
      </c>
      <c r="C1635" s="130">
        <v>45322</v>
      </c>
      <c r="D1635" s="129" t="s">
        <v>539</v>
      </c>
      <c r="E1635" s="131">
        <v>50</v>
      </c>
      <c r="F1635" s="129" t="s">
        <v>563</v>
      </c>
      <c r="G1635" s="131">
        <v>13994.4</v>
      </c>
      <c r="H1635" s="131"/>
      <c r="I1635" s="132">
        <v>699720</v>
      </c>
      <c r="J1635" s="133" t="s">
        <v>646</v>
      </c>
      <c r="K1635" s="133" t="s">
        <v>540</v>
      </c>
      <c r="L1635" s="133" t="s">
        <v>651</v>
      </c>
      <c r="M1635" s="133" t="s">
        <v>542</v>
      </c>
      <c r="N1635" s="133" t="s">
        <v>651</v>
      </c>
      <c r="O1635" s="133" t="s">
        <v>648</v>
      </c>
    </row>
    <row r="1636" spans="1:15">
      <c r="A1636" s="124" t="s">
        <v>645</v>
      </c>
      <c r="B1636" s="124">
        <v>2292168</v>
      </c>
      <c r="C1636" s="125">
        <v>45351</v>
      </c>
      <c r="D1636" s="124" t="s">
        <v>539</v>
      </c>
      <c r="E1636" s="126">
        <v>9471</v>
      </c>
      <c r="F1636" s="124" t="s">
        <v>563</v>
      </c>
      <c r="G1636" s="126">
        <v>8787.2368282124371</v>
      </c>
      <c r="H1636" s="126"/>
      <c r="I1636" s="127">
        <v>83223920</v>
      </c>
      <c r="J1636" s="128" t="s">
        <v>646</v>
      </c>
      <c r="K1636" s="128" t="s">
        <v>540</v>
      </c>
      <c r="L1636" s="128" t="s">
        <v>647</v>
      </c>
      <c r="M1636" s="128" t="s">
        <v>542</v>
      </c>
      <c r="N1636" s="128" t="s">
        <v>647</v>
      </c>
      <c r="O1636" s="128" t="s">
        <v>648</v>
      </c>
    </row>
    <row r="1637" spans="1:15">
      <c r="A1637" s="129" t="s">
        <v>645</v>
      </c>
      <c r="B1637" s="129">
        <v>2292168</v>
      </c>
      <c r="C1637" s="130">
        <v>45351</v>
      </c>
      <c r="D1637" s="129" t="s">
        <v>539</v>
      </c>
      <c r="E1637" s="131">
        <v>12051</v>
      </c>
      <c r="F1637" s="129" t="s">
        <v>563</v>
      </c>
      <c r="G1637" s="131">
        <v>9140.6054269355245</v>
      </c>
      <c r="H1637" s="131"/>
      <c r="I1637" s="132">
        <v>110153436</v>
      </c>
      <c r="J1637" s="133" t="s">
        <v>646</v>
      </c>
      <c r="K1637" s="133" t="s">
        <v>540</v>
      </c>
      <c r="L1637" s="133" t="s">
        <v>649</v>
      </c>
      <c r="M1637" s="133" t="s">
        <v>542</v>
      </c>
      <c r="N1637" s="133" t="s">
        <v>649</v>
      </c>
      <c r="O1637" s="133" t="s">
        <v>648</v>
      </c>
    </row>
    <row r="1638" spans="1:15">
      <c r="A1638" s="124" t="s">
        <v>645</v>
      </c>
      <c r="B1638" s="124">
        <v>2292168</v>
      </c>
      <c r="C1638" s="125">
        <v>45351</v>
      </c>
      <c r="D1638" s="124" t="s">
        <v>539</v>
      </c>
      <c r="E1638" s="126">
        <v>12063</v>
      </c>
      <c r="F1638" s="124" t="s">
        <v>563</v>
      </c>
      <c r="G1638" s="126">
        <v>9073.797396999089</v>
      </c>
      <c r="H1638" s="126"/>
      <c r="I1638" s="127">
        <v>109457218</v>
      </c>
      <c r="J1638" s="128" t="s">
        <v>646</v>
      </c>
      <c r="K1638" s="128" t="s">
        <v>540</v>
      </c>
      <c r="L1638" s="128" t="s">
        <v>650</v>
      </c>
      <c r="M1638" s="128" t="s">
        <v>542</v>
      </c>
      <c r="N1638" s="128" t="s">
        <v>650</v>
      </c>
      <c r="O1638" s="128" t="s">
        <v>648</v>
      </c>
    </row>
    <row r="1639" spans="1:15">
      <c r="A1639" s="129" t="s">
        <v>645</v>
      </c>
      <c r="B1639" s="129">
        <v>2292168</v>
      </c>
      <c r="C1639" s="130">
        <v>45351</v>
      </c>
      <c r="D1639" s="129" t="s">
        <v>539</v>
      </c>
      <c r="E1639" s="131">
        <v>24</v>
      </c>
      <c r="F1639" s="129" t="s">
        <v>563</v>
      </c>
      <c r="G1639" s="131">
        <v>13731.666666666666</v>
      </c>
      <c r="H1639" s="131"/>
      <c r="I1639" s="132">
        <v>329560</v>
      </c>
      <c r="J1639" s="133" t="s">
        <v>646</v>
      </c>
      <c r="K1639" s="133" t="s">
        <v>540</v>
      </c>
      <c r="L1639" s="133" t="s">
        <v>651</v>
      </c>
      <c r="M1639" s="133" t="s">
        <v>542</v>
      </c>
      <c r="N1639" s="133" t="s">
        <v>651</v>
      </c>
      <c r="O1639" s="133" t="s">
        <v>648</v>
      </c>
    </row>
    <row r="1640" spans="1:15">
      <c r="A1640" s="124" t="s">
        <v>645</v>
      </c>
      <c r="B1640" s="124">
        <v>2292168</v>
      </c>
      <c r="C1640" s="125">
        <v>45382</v>
      </c>
      <c r="D1640" s="124" t="s">
        <v>539</v>
      </c>
      <c r="E1640" s="126">
        <v>6125</v>
      </c>
      <c r="F1640" s="124" t="s">
        <v>563</v>
      </c>
      <c r="G1640" s="126">
        <v>8539.6349387755108</v>
      </c>
      <c r="H1640" s="126"/>
      <c r="I1640" s="127">
        <v>52305264</v>
      </c>
      <c r="J1640" s="128" t="s">
        <v>646</v>
      </c>
      <c r="K1640" s="128" t="s">
        <v>540</v>
      </c>
      <c r="L1640" s="128" t="s">
        <v>647</v>
      </c>
      <c r="M1640" s="128" t="s">
        <v>542</v>
      </c>
      <c r="N1640" s="128" t="s">
        <v>647</v>
      </c>
      <c r="O1640" s="128" t="s">
        <v>648</v>
      </c>
    </row>
    <row r="1641" spans="1:15">
      <c r="A1641" s="129" t="s">
        <v>645</v>
      </c>
      <c r="B1641" s="129">
        <v>2292168</v>
      </c>
      <c r="C1641" s="130">
        <v>45382</v>
      </c>
      <c r="D1641" s="129" t="s">
        <v>539</v>
      </c>
      <c r="E1641" s="131">
        <v>17133</v>
      </c>
      <c r="F1641" s="129" t="s">
        <v>563</v>
      </c>
      <c r="G1641" s="131">
        <v>9015.2630595925984</v>
      </c>
      <c r="H1641" s="131"/>
      <c r="I1641" s="132">
        <v>154458502</v>
      </c>
      <c r="J1641" s="133" t="s">
        <v>646</v>
      </c>
      <c r="K1641" s="133" t="s">
        <v>540</v>
      </c>
      <c r="L1641" s="133" t="s">
        <v>649</v>
      </c>
      <c r="M1641" s="133" t="s">
        <v>542</v>
      </c>
      <c r="N1641" s="133" t="s">
        <v>649</v>
      </c>
      <c r="O1641" s="133" t="s">
        <v>648</v>
      </c>
    </row>
    <row r="1642" spans="1:15">
      <c r="A1642" s="124" t="s">
        <v>645</v>
      </c>
      <c r="B1642" s="124">
        <v>2292168</v>
      </c>
      <c r="C1642" s="125">
        <v>45382</v>
      </c>
      <c r="D1642" s="124" t="s">
        <v>539</v>
      </c>
      <c r="E1642" s="126">
        <v>17929</v>
      </c>
      <c r="F1642" s="124" t="s">
        <v>563</v>
      </c>
      <c r="G1642" s="126">
        <v>9047.0646438730546</v>
      </c>
      <c r="H1642" s="126"/>
      <c r="I1642" s="127">
        <v>162204822</v>
      </c>
      <c r="J1642" s="128" t="s">
        <v>646</v>
      </c>
      <c r="K1642" s="128" t="s">
        <v>540</v>
      </c>
      <c r="L1642" s="128" t="s">
        <v>650</v>
      </c>
      <c r="M1642" s="128" t="s">
        <v>542</v>
      </c>
      <c r="N1642" s="128" t="s">
        <v>650</v>
      </c>
      <c r="O1642" s="128" t="s">
        <v>648</v>
      </c>
    </row>
    <row r="1643" spans="1:15">
      <c r="A1643" s="129" t="s">
        <v>645</v>
      </c>
      <c r="B1643" s="129">
        <v>2292168</v>
      </c>
      <c r="C1643" s="130">
        <v>45412</v>
      </c>
      <c r="D1643" s="129" t="s">
        <v>539</v>
      </c>
      <c r="E1643" s="131">
        <v>889</v>
      </c>
      <c r="F1643" s="129" t="s">
        <v>563</v>
      </c>
      <c r="G1643" s="131">
        <v>8596.4679415073115</v>
      </c>
      <c r="H1643" s="131"/>
      <c r="I1643" s="132">
        <v>7642260</v>
      </c>
      <c r="J1643" s="133" t="s">
        <v>646</v>
      </c>
      <c r="K1643" s="133" t="s">
        <v>540</v>
      </c>
      <c r="L1643" s="133" t="s">
        <v>647</v>
      </c>
      <c r="M1643" s="133" t="s">
        <v>542</v>
      </c>
      <c r="N1643" s="133" t="s">
        <v>647</v>
      </c>
      <c r="O1643" s="133" t="s">
        <v>648</v>
      </c>
    </row>
    <row r="1644" spans="1:15">
      <c r="A1644" s="124" t="s">
        <v>645</v>
      </c>
      <c r="B1644" s="124">
        <v>2292168</v>
      </c>
      <c r="C1644" s="125">
        <v>45412</v>
      </c>
      <c r="D1644" s="124" t="s">
        <v>539</v>
      </c>
      <c r="E1644" s="126">
        <v>8089</v>
      </c>
      <c r="F1644" s="124" t="s">
        <v>563</v>
      </c>
      <c r="G1644" s="126">
        <v>9004.380640375819</v>
      </c>
      <c r="H1644" s="126"/>
      <c r="I1644" s="127">
        <v>72836435</v>
      </c>
      <c r="J1644" s="128" t="s">
        <v>646</v>
      </c>
      <c r="K1644" s="128" t="s">
        <v>540</v>
      </c>
      <c r="L1644" s="128" t="s">
        <v>649</v>
      </c>
      <c r="M1644" s="128" t="s">
        <v>542</v>
      </c>
      <c r="N1644" s="128" t="s">
        <v>649</v>
      </c>
      <c r="O1644" s="128" t="s">
        <v>648</v>
      </c>
    </row>
    <row r="1645" spans="1:15">
      <c r="A1645" s="129" t="s">
        <v>645</v>
      </c>
      <c r="B1645" s="129">
        <v>2292168</v>
      </c>
      <c r="C1645" s="130">
        <v>45412</v>
      </c>
      <c r="D1645" s="129" t="s">
        <v>539</v>
      </c>
      <c r="E1645" s="131">
        <v>8957</v>
      </c>
      <c r="F1645" s="129" t="s">
        <v>563</v>
      </c>
      <c r="G1645" s="131">
        <v>9068.46432957463</v>
      </c>
      <c r="H1645" s="131"/>
      <c r="I1645" s="132">
        <v>81226235</v>
      </c>
      <c r="J1645" s="133" t="s">
        <v>646</v>
      </c>
      <c r="K1645" s="133" t="s">
        <v>540</v>
      </c>
      <c r="L1645" s="133" t="s">
        <v>650</v>
      </c>
      <c r="M1645" s="133" t="s">
        <v>542</v>
      </c>
      <c r="N1645" s="133" t="s">
        <v>650</v>
      </c>
      <c r="O1645" s="133" t="s">
        <v>648</v>
      </c>
    </row>
    <row r="1646" spans="1:15">
      <c r="A1646" s="124" t="s">
        <v>645</v>
      </c>
      <c r="B1646" s="124">
        <v>2292168</v>
      </c>
      <c r="C1646" s="125">
        <v>45443</v>
      </c>
      <c r="D1646" s="124" t="s">
        <v>539</v>
      </c>
      <c r="E1646" s="126">
        <v>5431</v>
      </c>
      <c r="F1646" s="124" t="s">
        <v>563</v>
      </c>
      <c r="G1646" s="126">
        <v>8811.8654023200143</v>
      </c>
      <c r="H1646" s="126"/>
      <c r="I1646" s="127">
        <v>47857241</v>
      </c>
      <c r="J1646" s="128" t="s">
        <v>646</v>
      </c>
      <c r="K1646" s="128" t="s">
        <v>540</v>
      </c>
      <c r="L1646" s="128" t="s">
        <v>649</v>
      </c>
      <c r="M1646" s="128" t="s">
        <v>542</v>
      </c>
      <c r="N1646" s="128" t="s">
        <v>649</v>
      </c>
      <c r="O1646" s="128" t="s">
        <v>648</v>
      </c>
    </row>
    <row r="1647" spans="1:15">
      <c r="A1647" s="129" t="s">
        <v>645</v>
      </c>
      <c r="B1647" s="129">
        <v>2292168</v>
      </c>
      <c r="C1647" s="130">
        <v>45443</v>
      </c>
      <c r="D1647" s="129" t="s">
        <v>539</v>
      </c>
      <c r="E1647" s="131">
        <v>5973</v>
      </c>
      <c r="F1647" s="129" t="s">
        <v>563</v>
      </c>
      <c r="G1647" s="131">
        <v>8702.6820693119043</v>
      </c>
      <c r="H1647" s="131"/>
      <c r="I1647" s="132">
        <v>51981120</v>
      </c>
      <c r="J1647" s="133" t="s">
        <v>646</v>
      </c>
      <c r="K1647" s="133" t="s">
        <v>540</v>
      </c>
      <c r="L1647" s="133" t="s">
        <v>650</v>
      </c>
      <c r="M1647" s="133" t="s">
        <v>542</v>
      </c>
      <c r="N1647" s="133" t="s">
        <v>650</v>
      </c>
      <c r="O1647" s="133" t="s">
        <v>648</v>
      </c>
    </row>
    <row r="1648" spans="1:15">
      <c r="A1648" s="124" t="s">
        <v>645</v>
      </c>
      <c r="B1648" s="124">
        <v>2292168</v>
      </c>
      <c r="C1648" s="125">
        <v>45473</v>
      </c>
      <c r="D1648" s="124" t="s">
        <v>539</v>
      </c>
      <c r="E1648" s="126">
        <v>841</v>
      </c>
      <c r="F1648" s="124" t="s">
        <v>563</v>
      </c>
      <c r="G1648" s="126">
        <v>7070.8442330558855</v>
      </c>
      <c r="H1648" s="126"/>
      <c r="I1648" s="127">
        <v>5946580</v>
      </c>
      <c r="J1648" s="128" t="s">
        <v>646</v>
      </c>
      <c r="K1648" s="128" t="s">
        <v>540</v>
      </c>
      <c r="L1648" s="128" t="s">
        <v>647</v>
      </c>
      <c r="M1648" s="128" t="s">
        <v>542</v>
      </c>
      <c r="N1648" s="128" t="s">
        <v>647</v>
      </c>
      <c r="O1648" s="128" t="s">
        <v>648</v>
      </c>
    </row>
    <row r="1649" spans="1:15">
      <c r="A1649" s="129" t="s">
        <v>645</v>
      </c>
      <c r="B1649" s="129">
        <v>2292168</v>
      </c>
      <c r="C1649" s="130">
        <v>45473</v>
      </c>
      <c r="D1649" s="129" t="s">
        <v>539</v>
      </c>
      <c r="E1649" s="131">
        <v>6268</v>
      </c>
      <c r="F1649" s="129" t="s">
        <v>563</v>
      </c>
      <c r="G1649" s="131">
        <v>9182.115028717295</v>
      </c>
      <c r="H1649" s="131"/>
      <c r="I1649" s="132">
        <v>57553497</v>
      </c>
      <c r="J1649" s="133" t="s">
        <v>646</v>
      </c>
      <c r="K1649" s="133" t="s">
        <v>540</v>
      </c>
      <c r="L1649" s="133" t="s">
        <v>649</v>
      </c>
      <c r="M1649" s="133" t="s">
        <v>542</v>
      </c>
      <c r="N1649" s="133" t="s">
        <v>649</v>
      </c>
      <c r="O1649" s="133" t="s">
        <v>648</v>
      </c>
    </row>
    <row r="1650" spans="1:15">
      <c r="A1650" s="124" t="s">
        <v>645</v>
      </c>
      <c r="B1650" s="124">
        <v>2292168</v>
      </c>
      <c r="C1650" s="125">
        <v>45473</v>
      </c>
      <c r="D1650" s="124" t="s">
        <v>539</v>
      </c>
      <c r="E1650" s="126">
        <v>6886</v>
      </c>
      <c r="F1650" s="124" t="s">
        <v>563</v>
      </c>
      <c r="G1650" s="126">
        <v>9136.7781004937551</v>
      </c>
      <c r="H1650" s="126"/>
      <c r="I1650" s="127">
        <v>62915854</v>
      </c>
      <c r="J1650" s="128" t="s">
        <v>646</v>
      </c>
      <c r="K1650" s="128" t="s">
        <v>540</v>
      </c>
      <c r="L1650" s="128" t="s">
        <v>650</v>
      </c>
      <c r="M1650" s="128" t="s">
        <v>542</v>
      </c>
      <c r="N1650" s="128" t="s">
        <v>650</v>
      </c>
      <c r="O1650" s="128" t="s">
        <v>648</v>
      </c>
    </row>
    <row r="1651" spans="1:15">
      <c r="A1651" s="129" t="s">
        <v>645</v>
      </c>
      <c r="B1651" s="129">
        <v>2292168</v>
      </c>
      <c r="C1651" s="130">
        <v>45504</v>
      </c>
      <c r="D1651" s="129" t="s">
        <v>539</v>
      </c>
      <c r="E1651" s="131">
        <v>3309</v>
      </c>
      <c r="F1651" s="129" t="s">
        <v>563</v>
      </c>
      <c r="G1651" s="131">
        <v>7383.4608643094589</v>
      </c>
      <c r="H1651" s="131"/>
      <c r="I1651" s="132">
        <v>24431872</v>
      </c>
      <c r="J1651" s="133" t="s">
        <v>646</v>
      </c>
      <c r="K1651" s="133" t="s">
        <v>540</v>
      </c>
      <c r="L1651" s="133" t="s">
        <v>647</v>
      </c>
      <c r="M1651" s="133" t="s">
        <v>542</v>
      </c>
      <c r="N1651" s="133" t="s">
        <v>647</v>
      </c>
      <c r="O1651" s="133" t="s">
        <v>648</v>
      </c>
    </row>
    <row r="1652" spans="1:15">
      <c r="A1652" s="124" t="s">
        <v>645</v>
      </c>
      <c r="B1652" s="124">
        <v>2292168</v>
      </c>
      <c r="C1652" s="125">
        <v>45504</v>
      </c>
      <c r="D1652" s="124" t="s">
        <v>539</v>
      </c>
      <c r="E1652" s="126">
        <v>15876</v>
      </c>
      <c r="F1652" s="124" t="s">
        <v>563</v>
      </c>
      <c r="G1652" s="126">
        <v>9453.7845804988665</v>
      </c>
      <c r="H1652" s="126"/>
      <c r="I1652" s="127">
        <v>150088284</v>
      </c>
      <c r="J1652" s="128" t="s">
        <v>646</v>
      </c>
      <c r="K1652" s="128" t="s">
        <v>540</v>
      </c>
      <c r="L1652" s="128" t="s">
        <v>649</v>
      </c>
      <c r="M1652" s="128" t="s">
        <v>542</v>
      </c>
      <c r="N1652" s="128" t="s">
        <v>649</v>
      </c>
      <c r="O1652" s="128" t="s">
        <v>648</v>
      </c>
    </row>
    <row r="1653" spans="1:15">
      <c r="A1653" s="129" t="s">
        <v>645</v>
      </c>
      <c r="B1653" s="129">
        <v>2292168</v>
      </c>
      <c r="C1653" s="130">
        <v>45504</v>
      </c>
      <c r="D1653" s="129" t="s">
        <v>539</v>
      </c>
      <c r="E1653" s="131">
        <v>17157</v>
      </c>
      <c r="F1653" s="129" t="s">
        <v>563</v>
      </c>
      <c r="G1653" s="131">
        <v>9405.1063705776069</v>
      </c>
      <c r="H1653" s="131"/>
      <c r="I1653" s="132">
        <v>161363410</v>
      </c>
      <c r="J1653" s="133" t="s">
        <v>646</v>
      </c>
      <c r="K1653" s="133" t="s">
        <v>540</v>
      </c>
      <c r="L1653" s="133" t="s">
        <v>650</v>
      </c>
      <c r="M1653" s="133" t="s">
        <v>542</v>
      </c>
      <c r="N1653" s="133" t="s">
        <v>650</v>
      </c>
      <c r="O1653" s="133" t="s">
        <v>648</v>
      </c>
    </row>
    <row r="1654" spans="1:15">
      <c r="A1654" s="124" t="s">
        <v>645</v>
      </c>
      <c r="B1654" s="124">
        <v>2292168</v>
      </c>
      <c r="C1654" s="125">
        <v>45535</v>
      </c>
      <c r="D1654" s="124" t="s">
        <v>539</v>
      </c>
      <c r="E1654" s="126">
        <v>3834</v>
      </c>
      <c r="F1654" s="124" t="s">
        <v>563</v>
      </c>
      <c r="G1654" s="126">
        <v>8698.8998435054782</v>
      </c>
      <c r="H1654" s="126"/>
      <c r="I1654" s="127">
        <v>33351582</v>
      </c>
      <c r="J1654" s="128" t="s">
        <v>646</v>
      </c>
      <c r="K1654" s="128" t="s">
        <v>540</v>
      </c>
      <c r="L1654" s="128" t="s">
        <v>647</v>
      </c>
      <c r="M1654" s="128" t="s">
        <v>542</v>
      </c>
      <c r="N1654" s="128" t="s">
        <v>647</v>
      </c>
      <c r="O1654" s="128" t="s">
        <v>648</v>
      </c>
    </row>
    <row r="1655" spans="1:15">
      <c r="A1655" s="129" t="s">
        <v>645</v>
      </c>
      <c r="B1655" s="129">
        <v>2292168</v>
      </c>
      <c r="C1655" s="130">
        <v>45535</v>
      </c>
      <c r="D1655" s="129" t="s">
        <v>539</v>
      </c>
      <c r="E1655" s="131">
        <v>13949</v>
      </c>
      <c r="F1655" s="129" t="s">
        <v>563</v>
      </c>
      <c r="G1655" s="131">
        <v>9236.5454871316942</v>
      </c>
      <c r="H1655" s="131"/>
      <c r="I1655" s="132">
        <v>128840573</v>
      </c>
      <c r="J1655" s="133" t="s">
        <v>646</v>
      </c>
      <c r="K1655" s="133" t="s">
        <v>540</v>
      </c>
      <c r="L1655" s="133" t="s">
        <v>649</v>
      </c>
      <c r="M1655" s="133" t="s">
        <v>542</v>
      </c>
      <c r="N1655" s="133" t="s">
        <v>649</v>
      </c>
      <c r="O1655" s="133" t="s">
        <v>648</v>
      </c>
    </row>
    <row r="1656" spans="1:15">
      <c r="A1656" s="124" t="s">
        <v>645</v>
      </c>
      <c r="B1656" s="124">
        <v>2292168</v>
      </c>
      <c r="C1656" s="125">
        <v>45535</v>
      </c>
      <c r="D1656" s="124" t="s">
        <v>539</v>
      </c>
      <c r="E1656" s="126">
        <v>13034</v>
      </c>
      <c r="F1656" s="124" t="s">
        <v>563</v>
      </c>
      <c r="G1656" s="126">
        <v>9132.8534601810643</v>
      </c>
      <c r="H1656" s="126"/>
      <c r="I1656" s="127">
        <v>119037612</v>
      </c>
      <c r="J1656" s="128" t="s">
        <v>646</v>
      </c>
      <c r="K1656" s="128" t="s">
        <v>540</v>
      </c>
      <c r="L1656" s="128" t="s">
        <v>650</v>
      </c>
      <c r="M1656" s="128" t="s">
        <v>542</v>
      </c>
      <c r="N1656" s="128" t="s">
        <v>650</v>
      </c>
      <c r="O1656" s="128" t="s">
        <v>648</v>
      </c>
    </row>
    <row r="1657" spans="1:15">
      <c r="A1657" s="129" t="s">
        <v>645</v>
      </c>
      <c r="B1657" s="129">
        <v>2292168</v>
      </c>
      <c r="C1657" s="130">
        <v>45565</v>
      </c>
      <c r="D1657" s="129" t="s">
        <v>539</v>
      </c>
      <c r="E1657" s="131">
        <v>4039</v>
      </c>
      <c r="F1657" s="129" t="s">
        <v>563</v>
      </c>
      <c r="G1657" s="131">
        <v>9859.6721960881405</v>
      </c>
      <c r="H1657" s="131"/>
      <c r="I1657" s="132">
        <v>39823216</v>
      </c>
      <c r="J1657" s="133" t="s">
        <v>646</v>
      </c>
      <c r="K1657" s="133" t="s">
        <v>540</v>
      </c>
      <c r="L1657" s="133" t="s">
        <v>647</v>
      </c>
      <c r="M1657" s="133" t="s">
        <v>542</v>
      </c>
      <c r="N1657" s="133" t="s">
        <v>647</v>
      </c>
      <c r="O1657" s="133" t="s">
        <v>648</v>
      </c>
    </row>
    <row r="1658" spans="1:15">
      <c r="A1658" s="124" t="s">
        <v>645</v>
      </c>
      <c r="B1658" s="124">
        <v>2292168</v>
      </c>
      <c r="C1658" s="125">
        <v>45565</v>
      </c>
      <c r="D1658" s="124" t="s">
        <v>539</v>
      </c>
      <c r="E1658" s="126">
        <v>24809</v>
      </c>
      <c r="F1658" s="124" t="s">
        <v>563</v>
      </c>
      <c r="G1658" s="126">
        <v>8974.4229513483006</v>
      </c>
      <c r="H1658" s="126"/>
      <c r="I1658" s="127">
        <v>222646459</v>
      </c>
      <c r="J1658" s="128" t="s">
        <v>646</v>
      </c>
      <c r="K1658" s="128" t="s">
        <v>540</v>
      </c>
      <c r="L1658" s="128" t="s">
        <v>649</v>
      </c>
      <c r="M1658" s="128" t="s">
        <v>542</v>
      </c>
      <c r="N1658" s="128" t="s">
        <v>649</v>
      </c>
      <c r="O1658" s="128" t="s">
        <v>648</v>
      </c>
    </row>
    <row r="1659" spans="1:15">
      <c r="A1659" s="129" t="s">
        <v>645</v>
      </c>
      <c r="B1659" s="129">
        <v>2292168</v>
      </c>
      <c r="C1659" s="130">
        <v>45565</v>
      </c>
      <c r="D1659" s="129" t="s">
        <v>539</v>
      </c>
      <c r="E1659" s="131">
        <v>12025</v>
      </c>
      <c r="F1659" s="129" t="s">
        <v>563</v>
      </c>
      <c r="G1659" s="131">
        <v>9093.1013721413728</v>
      </c>
      <c r="H1659" s="131"/>
      <c r="I1659" s="132">
        <v>109344544</v>
      </c>
      <c r="J1659" s="133" t="s">
        <v>646</v>
      </c>
      <c r="K1659" s="133" t="s">
        <v>540</v>
      </c>
      <c r="L1659" s="133" t="s">
        <v>650</v>
      </c>
      <c r="M1659" s="133" t="s">
        <v>542</v>
      </c>
      <c r="N1659" s="133" t="s">
        <v>650</v>
      </c>
      <c r="O1659" s="133" t="s">
        <v>648</v>
      </c>
    </row>
    <row r="1660" spans="1:15">
      <c r="A1660" s="124" t="s">
        <v>645</v>
      </c>
      <c r="B1660" s="124">
        <v>2292168</v>
      </c>
      <c r="C1660" s="125">
        <v>45596</v>
      </c>
      <c r="D1660" s="124" t="s">
        <v>539</v>
      </c>
      <c r="E1660" s="126">
        <v>3241</v>
      </c>
      <c r="F1660" s="124" t="s">
        <v>563</v>
      </c>
      <c r="G1660" s="126">
        <v>9887.5840789879658</v>
      </c>
      <c r="H1660" s="126"/>
      <c r="I1660" s="127">
        <v>32045660</v>
      </c>
      <c r="J1660" s="128" t="s">
        <v>646</v>
      </c>
      <c r="K1660" s="128" t="s">
        <v>540</v>
      </c>
      <c r="L1660" s="128" t="s">
        <v>647</v>
      </c>
      <c r="M1660" s="128" t="s">
        <v>542</v>
      </c>
      <c r="N1660" s="128" t="s">
        <v>647</v>
      </c>
      <c r="O1660" s="128" t="s">
        <v>648</v>
      </c>
    </row>
    <row r="1661" spans="1:15">
      <c r="A1661" s="129" t="s">
        <v>645</v>
      </c>
      <c r="B1661" s="129">
        <v>2292168</v>
      </c>
      <c r="C1661" s="130">
        <v>45596</v>
      </c>
      <c r="D1661" s="129" t="s">
        <v>539</v>
      </c>
      <c r="E1661" s="131">
        <v>40610</v>
      </c>
      <c r="F1661" s="129" t="s">
        <v>563</v>
      </c>
      <c r="G1661" s="131">
        <v>9019.2582368874664</v>
      </c>
      <c r="H1661" s="131"/>
      <c r="I1661" s="132">
        <v>366272077</v>
      </c>
      <c r="J1661" s="133" t="s">
        <v>646</v>
      </c>
      <c r="K1661" s="133" t="s">
        <v>540</v>
      </c>
      <c r="L1661" s="133" t="s">
        <v>649</v>
      </c>
      <c r="M1661" s="133" t="s">
        <v>542</v>
      </c>
      <c r="N1661" s="133" t="s">
        <v>649</v>
      </c>
      <c r="O1661" s="133" t="s">
        <v>648</v>
      </c>
    </row>
    <row r="1662" spans="1:15">
      <c r="A1662" s="124" t="s">
        <v>645</v>
      </c>
      <c r="B1662" s="124">
        <v>2292168</v>
      </c>
      <c r="C1662" s="125">
        <v>45626</v>
      </c>
      <c r="D1662" s="124" t="s">
        <v>539</v>
      </c>
      <c r="E1662" s="126">
        <v>20538</v>
      </c>
      <c r="F1662" s="124" t="s">
        <v>563</v>
      </c>
      <c r="G1662" s="126">
        <v>8970.8248612328371</v>
      </c>
      <c r="H1662" s="126"/>
      <c r="I1662" s="127">
        <v>184242801</v>
      </c>
      <c r="J1662" s="128" t="s">
        <v>646</v>
      </c>
      <c r="K1662" s="128" t="s">
        <v>540</v>
      </c>
      <c r="L1662" s="128" t="s">
        <v>649</v>
      </c>
      <c r="M1662" s="128" t="s">
        <v>542</v>
      </c>
      <c r="N1662" s="128" t="s">
        <v>649</v>
      </c>
      <c r="O1662" s="128" t="s">
        <v>648</v>
      </c>
    </row>
    <row r="1663" spans="1:15">
      <c r="A1663" s="129" t="s">
        <v>645</v>
      </c>
      <c r="B1663" s="129">
        <v>2292168</v>
      </c>
      <c r="C1663" s="130">
        <v>45657</v>
      </c>
      <c r="D1663" s="129" t="s">
        <v>539</v>
      </c>
      <c r="E1663" s="131">
        <v>122</v>
      </c>
      <c r="F1663" s="129" t="s">
        <v>563</v>
      </c>
      <c r="G1663" s="131">
        <v>9490.6557377049176</v>
      </c>
      <c r="H1663" s="131"/>
      <c r="I1663" s="132">
        <v>1157860</v>
      </c>
      <c r="J1663" s="133" t="s">
        <v>646</v>
      </c>
      <c r="K1663" s="133" t="s">
        <v>540</v>
      </c>
      <c r="L1663" s="133" t="s">
        <v>647</v>
      </c>
      <c r="M1663" s="133" t="s">
        <v>542</v>
      </c>
      <c r="N1663" s="133" t="s">
        <v>647</v>
      </c>
      <c r="O1663" s="133" t="s">
        <v>648</v>
      </c>
    </row>
    <row r="1664" spans="1:15">
      <c r="A1664" s="124" t="s">
        <v>645</v>
      </c>
      <c r="B1664" s="124">
        <v>2292168</v>
      </c>
      <c r="C1664" s="125">
        <v>45657</v>
      </c>
      <c r="D1664" s="124" t="s">
        <v>539</v>
      </c>
      <c r="E1664" s="126">
        <v>20485</v>
      </c>
      <c r="F1664" s="124" t="s">
        <v>563</v>
      </c>
      <c r="G1664" s="126">
        <v>8800.7498169392238</v>
      </c>
      <c r="H1664" s="126"/>
      <c r="I1664" s="127">
        <v>180283360</v>
      </c>
      <c r="J1664" s="128" t="s">
        <v>646</v>
      </c>
      <c r="K1664" s="128" t="s">
        <v>540</v>
      </c>
      <c r="L1664" s="128" t="s">
        <v>649</v>
      </c>
      <c r="M1664" s="128" t="s">
        <v>542</v>
      </c>
      <c r="N1664" s="128" t="s">
        <v>649</v>
      </c>
      <c r="O1664" s="128" t="s">
        <v>648</v>
      </c>
    </row>
    <row r="1666" spans="1:15">
      <c r="A1666" s="134"/>
      <c r="B1666" s="134"/>
      <c r="C1666" s="134"/>
      <c r="D1666" s="134"/>
      <c r="E1666" s="134"/>
      <c r="F1666" s="134"/>
      <c r="G1666" s="135"/>
      <c r="H1666" s="135">
        <f>SUM(H6:H1665)</f>
        <v>1527992390.7864285</v>
      </c>
      <c r="I1666" s="135">
        <f>SUM(I6:I1665)</f>
        <v>1044386250481.6216</v>
      </c>
      <c r="J1666" s="134"/>
      <c r="K1666" s="134"/>
      <c r="L1666" s="134"/>
      <c r="M1666" s="134"/>
      <c r="N1666" s="134"/>
      <c r="O1666" s="134"/>
    </row>
  </sheetData>
  <hyperlinks>
    <hyperlink ref="A1" location="Sommaire!A1" display="Sommaire!A1" xr:uid="{F0548C50-C932-45B9-9FEB-5E0CC8D759D8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D3A69-425A-48E5-918B-996C262B2A4D}">
  <dimension ref="A1:BM61"/>
  <sheetViews>
    <sheetView showOutlineSymbols="0" defaultGridColor="0" workbookViewId="0"/>
  </sheetViews>
  <sheetFormatPr baseColWidth="10" defaultColWidth="11.453125" defaultRowHeight="23.25"/>
  <cols>
    <col min="1" max="2" width="11.453125" style="112"/>
    <col min="3" max="3" width="14.1796875" style="112" customWidth="1"/>
    <col min="4" max="6" width="11.453125" style="112"/>
    <col min="7" max="7" width="16.26953125" style="112" customWidth="1"/>
    <col min="8" max="8" width="14.7265625" style="112" customWidth="1"/>
    <col min="9" max="9" width="15.81640625" style="112" customWidth="1"/>
    <col min="10" max="11" width="11.453125" style="112"/>
    <col min="12" max="12" width="15.453125" style="112" customWidth="1"/>
    <col min="13" max="13" width="13.81640625" style="112" customWidth="1"/>
    <col min="14" max="14" width="15" style="112" customWidth="1"/>
    <col min="15" max="15" width="20.453125" style="112" customWidth="1"/>
    <col min="16" max="16" width="27" style="112" customWidth="1"/>
    <col min="17" max="17" width="24.81640625" style="112" customWidth="1"/>
    <col min="18" max="21" width="11.453125" style="112"/>
    <col min="22" max="22" width="16" style="112" customWidth="1"/>
    <col min="23" max="23" width="15.54296875" style="112" customWidth="1"/>
    <col min="24" max="26" width="11.453125" style="112"/>
    <col min="27" max="28" width="15.453125" style="112" customWidth="1"/>
    <col min="29" max="30" width="22" style="112" customWidth="1"/>
    <col min="31" max="32" width="23.1796875" style="112" customWidth="1"/>
    <col min="33" max="33" width="11.453125" style="112"/>
    <col min="34" max="34" width="13" style="112" customWidth="1"/>
    <col min="35" max="35" width="14.1796875" style="112" customWidth="1"/>
    <col min="36" max="36" width="17.81640625" style="112" customWidth="1"/>
    <col min="37" max="38" width="18.26953125" style="112" customWidth="1"/>
    <col min="39" max="39" width="11.453125" style="112"/>
    <col min="40" max="41" width="24.81640625" style="112" customWidth="1"/>
    <col min="42" max="43" width="26" style="112" customWidth="1"/>
    <col min="44" max="44" width="15.81640625" style="112" customWidth="1"/>
    <col min="45" max="45" width="17" style="112" customWidth="1"/>
    <col min="46" max="46" width="20.7265625" style="112" customWidth="1"/>
    <col min="47" max="47" width="11.453125" style="112"/>
    <col min="48" max="48" width="17.1796875" style="112" customWidth="1"/>
    <col min="49" max="49" width="18.26953125" style="112" customWidth="1"/>
    <col min="50" max="50" width="22" style="112" customWidth="1"/>
    <col min="51" max="51" width="11.453125" style="112"/>
    <col min="52" max="52" width="18.81640625" style="112" customWidth="1"/>
    <col min="53" max="53" width="20" style="112" customWidth="1"/>
    <col min="54" max="54" width="23.7265625" style="112" customWidth="1"/>
    <col min="55" max="56" width="11.453125" style="112"/>
    <col min="57" max="57" width="16.26953125" style="112" customWidth="1"/>
    <col min="58" max="58" width="26" style="112" customWidth="1"/>
    <col min="59" max="59" width="22.54296875" style="112" customWidth="1"/>
    <col min="60" max="60" width="20.1796875" style="112" customWidth="1"/>
    <col min="61" max="61" width="23.7265625" style="112" customWidth="1"/>
    <col min="62" max="62" width="27.1796875" style="112" customWidth="1"/>
    <col min="63" max="63" width="23.54296875" style="112" customWidth="1"/>
    <col min="64" max="64" width="13.7265625" style="112" customWidth="1"/>
    <col min="65" max="65" width="14.54296875" style="112" customWidth="1"/>
    <col min="66" max="16384" width="11.453125" style="112"/>
  </cols>
  <sheetData>
    <row r="1" spans="1:65">
      <c r="A1" s="112" t="s">
        <v>122</v>
      </c>
      <c r="B1" s="112" t="s">
        <v>123</v>
      </c>
      <c r="C1" s="112" t="s">
        <v>124</v>
      </c>
      <c r="D1" s="112" t="s">
        <v>125</v>
      </c>
      <c r="E1" s="112" t="s">
        <v>126</v>
      </c>
      <c r="F1" s="112" t="s">
        <v>127</v>
      </c>
      <c r="G1" s="112" t="s">
        <v>128</v>
      </c>
      <c r="H1" s="112" t="s">
        <v>129</v>
      </c>
      <c r="I1" s="112" t="s">
        <v>130</v>
      </c>
      <c r="J1" s="112" t="s">
        <v>131</v>
      </c>
      <c r="K1" s="112" t="s">
        <v>132</v>
      </c>
      <c r="L1" s="112" t="s">
        <v>133</v>
      </c>
      <c r="M1" s="112" t="s">
        <v>134</v>
      </c>
      <c r="N1" s="112" t="s">
        <v>135</v>
      </c>
      <c r="O1" s="112" t="s">
        <v>136</v>
      </c>
      <c r="P1" s="112" t="s">
        <v>137</v>
      </c>
      <c r="Q1" s="112" t="s">
        <v>138</v>
      </c>
      <c r="R1" s="112" t="s">
        <v>139</v>
      </c>
      <c r="S1" s="112" t="s">
        <v>140</v>
      </c>
      <c r="T1" s="112" t="s">
        <v>141</v>
      </c>
      <c r="U1" s="112" t="s">
        <v>142</v>
      </c>
      <c r="V1" s="112" t="s">
        <v>143</v>
      </c>
      <c r="W1" s="112" t="s">
        <v>144</v>
      </c>
      <c r="X1" s="112" t="s">
        <v>145</v>
      </c>
      <c r="Y1" s="112" t="s">
        <v>146</v>
      </c>
      <c r="Z1" s="112" t="s">
        <v>147</v>
      </c>
      <c r="AA1" s="112" t="s">
        <v>148</v>
      </c>
      <c r="AB1" s="112" t="s">
        <v>149</v>
      </c>
      <c r="AC1" s="112" t="s">
        <v>150</v>
      </c>
      <c r="AD1" s="112" t="s">
        <v>151</v>
      </c>
      <c r="AE1" s="112" t="s">
        <v>152</v>
      </c>
      <c r="AF1" s="112" t="s">
        <v>153</v>
      </c>
      <c r="AG1" s="112" t="s">
        <v>154</v>
      </c>
      <c r="AH1" s="112" t="s">
        <v>155</v>
      </c>
      <c r="AI1" s="112" t="s">
        <v>156</v>
      </c>
      <c r="AJ1" s="112" t="s">
        <v>157</v>
      </c>
      <c r="AK1" s="112" t="s">
        <v>158</v>
      </c>
      <c r="AL1" s="112" t="s">
        <v>159</v>
      </c>
      <c r="AM1" s="112" t="s">
        <v>160</v>
      </c>
      <c r="AN1" s="112" t="s">
        <v>161</v>
      </c>
      <c r="AO1" s="112" t="s">
        <v>162</v>
      </c>
      <c r="AP1" s="112" t="s">
        <v>163</v>
      </c>
      <c r="AQ1" s="112" t="s">
        <v>164</v>
      </c>
      <c r="AR1" s="112" t="s">
        <v>165</v>
      </c>
      <c r="AS1" s="112" t="s">
        <v>166</v>
      </c>
      <c r="AT1" s="112" t="s">
        <v>167</v>
      </c>
      <c r="AU1" s="112" t="s">
        <v>168</v>
      </c>
      <c r="AV1" s="112" t="s">
        <v>169</v>
      </c>
      <c r="AW1" s="112" t="s">
        <v>170</v>
      </c>
      <c r="AX1" s="112" t="s">
        <v>171</v>
      </c>
      <c r="AY1" s="112" t="s">
        <v>172</v>
      </c>
      <c r="AZ1" s="112" t="s">
        <v>173</v>
      </c>
      <c r="BA1" s="112" t="s">
        <v>174</v>
      </c>
      <c r="BB1" s="112" t="s">
        <v>175</v>
      </c>
      <c r="BC1" s="112" t="s">
        <v>176</v>
      </c>
      <c r="BD1" s="112" t="s">
        <v>177</v>
      </c>
      <c r="BE1" s="112" t="s">
        <v>178</v>
      </c>
      <c r="BF1" s="112" t="s">
        <v>179</v>
      </c>
      <c r="BG1" s="112" t="s">
        <v>180</v>
      </c>
      <c r="BH1" s="112" t="s">
        <v>181</v>
      </c>
      <c r="BI1" s="112" t="s">
        <v>182</v>
      </c>
      <c r="BJ1" s="112" t="s">
        <v>183</v>
      </c>
      <c r="BK1" s="112" t="s">
        <v>184</v>
      </c>
      <c r="BL1" s="112" t="s">
        <v>185</v>
      </c>
      <c r="BM1" s="112" t="s">
        <v>186</v>
      </c>
    </row>
    <row r="2" spans="1:65" hidden="1">
      <c r="A2" s="112" t="s">
        <v>187</v>
      </c>
      <c r="B2" s="112" t="s">
        <v>188</v>
      </c>
      <c r="C2" s="112">
        <v>20140101</v>
      </c>
      <c r="D2" s="112">
        <v>2014</v>
      </c>
      <c r="E2" s="112">
        <v>52</v>
      </c>
      <c r="F2" s="112" t="s">
        <v>206</v>
      </c>
      <c r="G2" s="112">
        <v>380</v>
      </c>
      <c r="H2" s="112" t="s">
        <v>218</v>
      </c>
      <c r="I2" s="112" t="s">
        <v>219</v>
      </c>
      <c r="J2" s="112" t="s">
        <v>251</v>
      </c>
      <c r="K2" s="112" t="s">
        <v>252</v>
      </c>
      <c r="L2" s="112">
        <v>686</v>
      </c>
      <c r="M2" s="112" t="s">
        <v>190</v>
      </c>
      <c r="N2" s="112" t="s">
        <v>191</v>
      </c>
      <c r="O2" s="112" t="s">
        <v>220</v>
      </c>
      <c r="P2" s="112" t="s">
        <v>197</v>
      </c>
      <c r="Q2" s="112" t="b">
        <v>1</v>
      </c>
      <c r="R2" s="112" t="s">
        <v>198</v>
      </c>
      <c r="S2" s="112" t="s">
        <v>199</v>
      </c>
      <c r="T2" s="112">
        <v>4</v>
      </c>
      <c r="U2" s="112" t="b">
        <v>0</v>
      </c>
      <c r="V2" s="112" t="s">
        <v>200</v>
      </c>
      <c r="W2" s="112" t="s">
        <v>201</v>
      </c>
      <c r="X2" s="112" t="s">
        <v>202</v>
      </c>
      <c r="Y2" s="112">
        <v>0</v>
      </c>
      <c r="Z2" s="112" t="s">
        <v>203</v>
      </c>
      <c r="AA2" s="112">
        <v>8</v>
      </c>
      <c r="AB2" s="112" t="s">
        <v>204</v>
      </c>
      <c r="AC2" s="112">
        <v>8</v>
      </c>
      <c r="AD2" s="112" t="s">
        <v>204</v>
      </c>
      <c r="AG2" s="112">
        <v>63</v>
      </c>
      <c r="AH2" s="112">
        <v>75</v>
      </c>
      <c r="AJ2" s="112" t="b">
        <v>0</v>
      </c>
      <c r="AK2" s="112">
        <v>-1</v>
      </c>
      <c r="AL2" s="112" t="s">
        <v>205</v>
      </c>
      <c r="AN2" s="112">
        <v>-1</v>
      </c>
      <c r="AO2" s="112" t="s">
        <v>205</v>
      </c>
      <c r="AT2" s="112" t="b">
        <v>1</v>
      </c>
      <c r="AU2" s="112">
        <v>63</v>
      </c>
      <c r="AV2" s="112">
        <v>75</v>
      </c>
      <c r="AX2" s="112" t="b">
        <v>0</v>
      </c>
      <c r="BB2" s="112" t="b">
        <v>0</v>
      </c>
      <c r="BC2" s="112">
        <v>2048560</v>
      </c>
      <c r="BE2" s="112">
        <v>2048560</v>
      </c>
      <c r="BF2" s="112" t="b">
        <v>1</v>
      </c>
      <c r="BG2" s="112">
        <v>1762549</v>
      </c>
      <c r="BH2" s="112">
        <v>-0.13961563244425357</v>
      </c>
      <c r="BI2" s="112">
        <v>0</v>
      </c>
      <c r="BJ2" s="112" t="b">
        <v>0</v>
      </c>
      <c r="BK2" s="112">
        <v>0</v>
      </c>
      <c r="BL2" s="112" t="b">
        <v>0</v>
      </c>
      <c r="BM2" s="112" t="b">
        <v>0</v>
      </c>
    </row>
    <row r="3" spans="1:65" hidden="1">
      <c r="A3" s="112" t="s">
        <v>187</v>
      </c>
      <c r="B3" s="112" t="s">
        <v>188</v>
      </c>
      <c r="C3" s="112">
        <v>20140101</v>
      </c>
      <c r="D3" s="112">
        <v>2014</v>
      </c>
      <c r="E3" s="112">
        <v>52</v>
      </c>
      <c r="F3" s="112" t="s">
        <v>206</v>
      </c>
      <c r="G3" s="112">
        <v>757</v>
      </c>
      <c r="H3" s="112" t="s">
        <v>225</v>
      </c>
      <c r="I3" s="112" t="s">
        <v>226</v>
      </c>
      <c r="J3" s="112" t="s">
        <v>251</v>
      </c>
      <c r="K3" s="112" t="s">
        <v>252</v>
      </c>
      <c r="L3" s="112">
        <v>686</v>
      </c>
      <c r="M3" s="112" t="s">
        <v>190</v>
      </c>
      <c r="N3" s="112" t="s">
        <v>191</v>
      </c>
      <c r="O3" s="112" t="s">
        <v>220</v>
      </c>
      <c r="P3" s="112" t="s">
        <v>197</v>
      </c>
      <c r="Q3" s="112" t="b">
        <v>1</v>
      </c>
      <c r="R3" s="112" t="s">
        <v>198</v>
      </c>
      <c r="S3" s="112" t="s">
        <v>199</v>
      </c>
      <c r="T3" s="112">
        <v>4</v>
      </c>
      <c r="U3" s="112" t="b">
        <v>0</v>
      </c>
      <c r="V3" s="112" t="s">
        <v>200</v>
      </c>
      <c r="W3" s="112" t="s">
        <v>201</v>
      </c>
      <c r="X3" s="112" t="s">
        <v>202</v>
      </c>
      <c r="Y3" s="112">
        <v>0</v>
      </c>
      <c r="Z3" s="112" t="s">
        <v>203</v>
      </c>
      <c r="AA3" s="112">
        <v>8</v>
      </c>
      <c r="AB3" s="112" t="s">
        <v>204</v>
      </c>
      <c r="AC3" s="112">
        <v>8</v>
      </c>
      <c r="AD3" s="112" t="s">
        <v>204</v>
      </c>
      <c r="AG3" s="112">
        <v>7789</v>
      </c>
      <c r="AH3" s="112">
        <v>6572</v>
      </c>
      <c r="AJ3" s="112" t="b">
        <v>0</v>
      </c>
      <c r="AK3" s="112">
        <v>8</v>
      </c>
      <c r="AL3" s="112" t="s">
        <v>204</v>
      </c>
      <c r="AM3" s="112">
        <v>7789</v>
      </c>
      <c r="AN3" s="112">
        <v>-1</v>
      </c>
      <c r="AO3" s="112" t="s">
        <v>205</v>
      </c>
      <c r="AT3" s="112" t="b">
        <v>0</v>
      </c>
      <c r="AU3" s="112">
        <v>7789</v>
      </c>
      <c r="AV3" s="112">
        <v>6572</v>
      </c>
      <c r="AX3" s="112" t="b">
        <v>0</v>
      </c>
      <c r="AY3" s="112">
        <v>0</v>
      </c>
      <c r="BB3" s="112" t="b">
        <v>0</v>
      </c>
      <c r="BC3" s="112">
        <v>271006543.37199998</v>
      </c>
      <c r="BD3" s="112">
        <v>0</v>
      </c>
      <c r="BE3" s="112">
        <v>271006543.37199998</v>
      </c>
      <c r="BF3" s="112" t="b">
        <v>1</v>
      </c>
      <c r="BG3" s="112">
        <v>255134940</v>
      </c>
      <c r="BH3" s="112">
        <v>-5.8565388032766674E-2</v>
      </c>
      <c r="BI3" s="112">
        <v>0</v>
      </c>
      <c r="BJ3" s="112" t="b">
        <v>0</v>
      </c>
      <c r="BK3" s="112">
        <v>0</v>
      </c>
      <c r="BL3" s="112" t="b">
        <v>0</v>
      </c>
      <c r="BM3" s="112" t="b">
        <v>1</v>
      </c>
    </row>
    <row r="4" spans="1:65" hidden="1">
      <c r="A4" s="112" t="s">
        <v>187</v>
      </c>
      <c r="B4" s="112" t="s">
        <v>188</v>
      </c>
      <c r="C4" s="112">
        <v>20140101</v>
      </c>
      <c r="D4" s="112">
        <v>2014</v>
      </c>
      <c r="E4" s="112">
        <v>52</v>
      </c>
      <c r="F4" s="112" t="s">
        <v>206</v>
      </c>
      <c r="G4" s="112">
        <v>784</v>
      </c>
      <c r="H4" s="112" t="s">
        <v>234</v>
      </c>
      <c r="I4" s="112" t="s">
        <v>235</v>
      </c>
      <c r="J4" s="112" t="s">
        <v>251</v>
      </c>
      <c r="K4" s="112" t="s">
        <v>252</v>
      </c>
      <c r="L4" s="112">
        <v>686</v>
      </c>
      <c r="M4" s="112" t="s">
        <v>190</v>
      </c>
      <c r="N4" s="112" t="s">
        <v>191</v>
      </c>
      <c r="O4" s="112" t="s">
        <v>220</v>
      </c>
      <c r="P4" s="112" t="s">
        <v>197</v>
      </c>
      <c r="Q4" s="112" t="b">
        <v>1</v>
      </c>
      <c r="R4" s="112" t="s">
        <v>198</v>
      </c>
      <c r="S4" s="112" t="s">
        <v>199</v>
      </c>
      <c r="T4" s="112">
        <v>4</v>
      </c>
      <c r="U4" s="112" t="b">
        <v>0</v>
      </c>
      <c r="V4" s="112" t="s">
        <v>200</v>
      </c>
      <c r="W4" s="112" t="s">
        <v>201</v>
      </c>
      <c r="X4" s="112" t="s">
        <v>228</v>
      </c>
      <c r="Y4" s="112">
        <v>0</v>
      </c>
      <c r="Z4" s="112" t="s">
        <v>203</v>
      </c>
      <c r="AA4" s="112">
        <v>8</v>
      </c>
      <c r="AB4" s="112" t="s">
        <v>204</v>
      </c>
      <c r="AC4" s="112">
        <v>8</v>
      </c>
      <c r="AD4" s="112" t="s">
        <v>204</v>
      </c>
      <c r="AG4" s="112">
        <v>5235.57</v>
      </c>
      <c r="AH4" s="112">
        <v>3452</v>
      </c>
      <c r="AJ4" s="112" t="b">
        <v>0</v>
      </c>
      <c r="AK4" s="112">
        <v>8</v>
      </c>
      <c r="AL4" s="112" t="s">
        <v>204</v>
      </c>
      <c r="AM4" s="112">
        <v>5235.57</v>
      </c>
      <c r="AN4" s="112">
        <v>-1</v>
      </c>
      <c r="AO4" s="112" t="s">
        <v>205</v>
      </c>
      <c r="AT4" s="112" t="b">
        <v>0</v>
      </c>
      <c r="AU4" s="112">
        <v>5235.57</v>
      </c>
      <c r="AV4" s="112">
        <v>3452</v>
      </c>
      <c r="AX4" s="112" t="b">
        <v>0</v>
      </c>
      <c r="BB4" s="112" t="b">
        <v>0</v>
      </c>
      <c r="BC4" s="112">
        <v>153775097.31200001</v>
      </c>
      <c r="BE4" s="112">
        <v>153775097.31200001</v>
      </c>
      <c r="BF4" s="112" t="b">
        <v>1</v>
      </c>
      <c r="BG4" s="112">
        <v>87648240</v>
      </c>
      <c r="BH4" s="112">
        <v>-0.43002318624993463</v>
      </c>
      <c r="BI4" s="112">
        <v>0</v>
      </c>
      <c r="BJ4" s="112" t="b">
        <v>0</v>
      </c>
      <c r="BK4" s="112">
        <v>0</v>
      </c>
      <c r="BL4" s="112" t="b">
        <v>0</v>
      </c>
      <c r="BM4" s="112" t="b">
        <v>1</v>
      </c>
    </row>
    <row r="5" spans="1:65" hidden="1">
      <c r="A5" s="112" t="s">
        <v>187</v>
      </c>
      <c r="B5" s="112" t="s">
        <v>188</v>
      </c>
      <c r="C5" s="112">
        <v>20150101</v>
      </c>
      <c r="D5" s="112">
        <v>2015</v>
      </c>
      <c r="E5" s="112">
        <v>52</v>
      </c>
      <c r="F5" s="112" t="s">
        <v>240</v>
      </c>
      <c r="G5" s="112">
        <v>380</v>
      </c>
      <c r="H5" s="112" t="s">
        <v>218</v>
      </c>
      <c r="I5" s="112" t="s">
        <v>219</v>
      </c>
      <c r="J5" s="112" t="s">
        <v>251</v>
      </c>
      <c r="K5" s="112" t="s">
        <v>252</v>
      </c>
      <c r="L5" s="112">
        <v>686</v>
      </c>
      <c r="M5" s="112" t="s">
        <v>190</v>
      </c>
      <c r="N5" s="112" t="s">
        <v>191</v>
      </c>
      <c r="O5" s="112" t="s">
        <v>220</v>
      </c>
      <c r="P5" s="112" t="s">
        <v>197</v>
      </c>
      <c r="Q5" s="112" t="b">
        <v>1</v>
      </c>
      <c r="R5" s="112" t="s">
        <v>198</v>
      </c>
      <c r="S5" s="112" t="s">
        <v>199</v>
      </c>
      <c r="T5" s="112">
        <v>4</v>
      </c>
      <c r="U5" s="112" t="b">
        <v>0</v>
      </c>
      <c r="V5" s="112" t="s">
        <v>200</v>
      </c>
      <c r="W5" s="112" t="s">
        <v>201</v>
      </c>
      <c r="X5" s="112" t="s">
        <v>228</v>
      </c>
      <c r="Y5" s="112">
        <v>0</v>
      </c>
      <c r="Z5" s="112" t="s">
        <v>203</v>
      </c>
      <c r="AA5" s="112">
        <v>8</v>
      </c>
      <c r="AB5" s="112" t="s">
        <v>204</v>
      </c>
      <c r="AC5" s="112">
        <v>8</v>
      </c>
      <c r="AD5" s="112" t="s">
        <v>204</v>
      </c>
      <c r="AG5" s="112">
        <v>81</v>
      </c>
      <c r="AH5" s="112">
        <v>117</v>
      </c>
      <c r="AJ5" s="112" t="b">
        <v>0</v>
      </c>
      <c r="AK5" s="112">
        <v>15</v>
      </c>
      <c r="AL5" s="112" t="s">
        <v>213</v>
      </c>
      <c r="AM5" s="112">
        <v>79761</v>
      </c>
      <c r="AN5" s="112">
        <v>-1</v>
      </c>
      <c r="AO5" s="112" t="s">
        <v>205</v>
      </c>
      <c r="AT5" s="112" t="b">
        <v>0</v>
      </c>
      <c r="AU5" s="112">
        <v>81</v>
      </c>
      <c r="AV5" s="112">
        <v>117</v>
      </c>
      <c r="AX5" s="112" t="b">
        <v>0</v>
      </c>
      <c r="BB5" s="112" t="b">
        <v>0</v>
      </c>
      <c r="BC5" s="112">
        <v>2595853.5920000002</v>
      </c>
      <c r="BE5" s="112">
        <v>2595853.5920000002</v>
      </c>
      <c r="BF5" s="112" t="b">
        <v>1</v>
      </c>
      <c r="BG5" s="112">
        <v>1866997</v>
      </c>
      <c r="BH5" s="112">
        <v>-0.2807772342193019</v>
      </c>
      <c r="BI5" s="112">
        <v>0</v>
      </c>
      <c r="BJ5" s="112" t="b">
        <v>0</v>
      </c>
      <c r="BK5" s="112">
        <v>0</v>
      </c>
      <c r="BL5" s="112" t="b">
        <v>0</v>
      </c>
      <c r="BM5" s="112" t="b">
        <v>1</v>
      </c>
    </row>
    <row r="6" spans="1:65" hidden="1">
      <c r="A6" s="112" t="s">
        <v>187</v>
      </c>
      <c r="B6" s="112" t="s">
        <v>188</v>
      </c>
      <c r="C6" s="112">
        <v>20150101</v>
      </c>
      <c r="D6" s="112">
        <v>2015</v>
      </c>
      <c r="E6" s="112">
        <v>52</v>
      </c>
      <c r="F6" s="112" t="s">
        <v>240</v>
      </c>
      <c r="G6" s="112">
        <v>757</v>
      </c>
      <c r="H6" s="112" t="s">
        <v>225</v>
      </c>
      <c r="I6" s="112" t="s">
        <v>226</v>
      </c>
      <c r="J6" s="112" t="s">
        <v>251</v>
      </c>
      <c r="K6" s="112" t="s">
        <v>252</v>
      </c>
      <c r="L6" s="112">
        <v>686</v>
      </c>
      <c r="M6" s="112" t="s">
        <v>190</v>
      </c>
      <c r="N6" s="112" t="s">
        <v>191</v>
      </c>
      <c r="O6" s="112" t="s">
        <v>220</v>
      </c>
      <c r="P6" s="112" t="s">
        <v>197</v>
      </c>
      <c r="Q6" s="112" t="b">
        <v>1</v>
      </c>
      <c r="R6" s="112" t="s">
        <v>198</v>
      </c>
      <c r="S6" s="112" t="s">
        <v>199</v>
      </c>
      <c r="T6" s="112">
        <v>4</v>
      </c>
      <c r="U6" s="112" t="b">
        <v>0</v>
      </c>
      <c r="V6" s="112" t="s">
        <v>200</v>
      </c>
      <c r="W6" s="112" t="s">
        <v>201</v>
      </c>
      <c r="X6" s="112" t="s">
        <v>202</v>
      </c>
      <c r="Y6" s="112">
        <v>0</v>
      </c>
      <c r="Z6" s="112" t="s">
        <v>203</v>
      </c>
      <c r="AA6" s="112">
        <v>8</v>
      </c>
      <c r="AB6" s="112" t="s">
        <v>204</v>
      </c>
      <c r="AC6" s="112">
        <v>8</v>
      </c>
      <c r="AD6" s="112" t="s">
        <v>204</v>
      </c>
      <c r="AG6" s="112">
        <v>6374</v>
      </c>
      <c r="AH6" s="112">
        <v>5743</v>
      </c>
      <c r="AJ6" s="112" t="b">
        <v>0</v>
      </c>
      <c r="AK6" s="112">
        <v>8</v>
      </c>
      <c r="AL6" s="112" t="s">
        <v>204</v>
      </c>
      <c r="AM6" s="112">
        <v>6374</v>
      </c>
      <c r="AN6" s="112">
        <v>-1</v>
      </c>
      <c r="AO6" s="112" t="s">
        <v>205</v>
      </c>
      <c r="AT6" s="112" t="b">
        <v>0</v>
      </c>
      <c r="AU6" s="112">
        <v>6374</v>
      </c>
      <c r="AV6" s="112">
        <v>5743</v>
      </c>
      <c r="AX6" s="112" t="b">
        <v>0</v>
      </c>
      <c r="AY6" s="112">
        <v>0</v>
      </c>
      <c r="BB6" s="112" t="b">
        <v>0</v>
      </c>
      <c r="BC6" s="112">
        <v>219145334.37099999</v>
      </c>
      <c r="BD6" s="112">
        <v>0</v>
      </c>
      <c r="BE6" s="112">
        <v>219145334.37099999</v>
      </c>
      <c r="BF6" s="112" t="b">
        <v>1</v>
      </c>
      <c r="BG6" s="112">
        <v>212688412</v>
      </c>
      <c r="BH6" s="112">
        <v>-2.9464110607387184E-2</v>
      </c>
      <c r="BI6" s="112">
        <v>0</v>
      </c>
      <c r="BJ6" s="112" t="b">
        <v>0</v>
      </c>
      <c r="BK6" s="112">
        <v>0</v>
      </c>
      <c r="BL6" s="112" t="b">
        <v>0</v>
      </c>
      <c r="BM6" s="112" t="b">
        <v>1</v>
      </c>
    </row>
    <row r="7" spans="1:65" hidden="1">
      <c r="A7" s="112" t="s">
        <v>187</v>
      </c>
      <c r="B7" s="112" t="s">
        <v>188</v>
      </c>
      <c r="C7" s="112">
        <v>20150101</v>
      </c>
      <c r="D7" s="112">
        <v>2015</v>
      </c>
      <c r="E7" s="112">
        <v>52</v>
      </c>
      <c r="F7" s="112" t="s">
        <v>240</v>
      </c>
      <c r="G7" s="112">
        <v>784</v>
      </c>
      <c r="H7" s="112" t="s">
        <v>234</v>
      </c>
      <c r="I7" s="112" t="s">
        <v>235</v>
      </c>
      <c r="J7" s="112" t="s">
        <v>251</v>
      </c>
      <c r="K7" s="112" t="s">
        <v>252</v>
      </c>
      <c r="L7" s="112">
        <v>686</v>
      </c>
      <c r="M7" s="112" t="s">
        <v>190</v>
      </c>
      <c r="N7" s="112" t="s">
        <v>191</v>
      </c>
      <c r="O7" s="112" t="s">
        <v>220</v>
      </c>
      <c r="P7" s="112" t="s">
        <v>197</v>
      </c>
      <c r="Q7" s="112" t="b">
        <v>1</v>
      </c>
      <c r="R7" s="112" t="s">
        <v>198</v>
      </c>
      <c r="S7" s="112" t="s">
        <v>199</v>
      </c>
      <c r="T7" s="112">
        <v>4</v>
      </c>
      <c r="U7" s="112" t="b">
        <v>0</v>
      </c>
      <c r="V7" s="112" t="s">
        <v>200</v>
      </c>
      <c r="W7" s="112" t="s">
        <v>201</v>
      </c>
      <c r="X7" s="112" t="s">
        <v>228</v>
      </c>
      <c r="Y7" s="112">
        <v>0</v>
      </c>
      <c r="Z7" s="112" t="s">
        <v>203</v>
      </c>
      <c r="AA7" s="112">
        <v>8</v>
      </c>
      <c r="AB7" s="112" t="s">
        <v>204</v>
      </c>
      <c r="AC7" s="112">
        <v>8</v>
      </c>
      <c r="AD7" s="112" t="s">
        <v>204</v>
      </c>
      <c r="AG7" s="112">
        <v>4658.66</v>
      </c>
      <c r="AH7" s="112">
        <v>1936</v>
      </c>
      <c r="AJ7" s="112" t="b">
        <v>0</v>
      </c>
      <c r="AK7" s="112">
        <v>8</v>
      </c>
      <c r="AL7" s="112" t="s">
        <v>204</v>
      </c>
      <c r="AM7" s="112">
        <v>4658.66</v>
      </c>
      <c r="AN7" s="112">
        <v>-1</v>
      </c>
      <c r="AO7" s="112" t="s">
        <v>205</v>
      </c>
      <c r="AT7" s="112" t="b">
        <v>0</v>
      </c>
      <c r="AU7" s="112">
        <v>4658.66</v>
      </c>
      <c r="AV7" s="112">
        <v>1936</v>
      </c>
      <c r="AX7" s="112" t="b">
        <v>0</v>
      </c>
      <c r="BB7" s="112" t="b">
        <v>0</v>
      </c>
      <c r="BC7" s="112">
        <v>123230254.083</v>
      </c>
      <c r="BE7" s="112">
        <v>123230254.083</v>
      </c>
      <c r="BF7" s="112" t="b">
        <v>1</v>
      </c>
      <c r="BG7" s="112">
        <v>39375352</v>
      </c>
      <c r="BH7" s="112">
        <v>-0.68047333592707449</v>
      </c>
      <c r="BI7" s="112">
        <v>0</v>
      </c>
      <c r="BJ7" s="112" t="b">
        <v>0</v>
      </c>
      <c r="BK7" s="112">
        <v>0</v>
      </c>
      <c r="BL7" s="112" t="b">
        <v>0</v>
      </c>
      <c r="BM7" s="112" t="b">
        <v>1</v>
      </c>
    </row>
    <row r="8" spans="1:65" hidden="1">
      <c r="A8" s="112" t="s">
        <v>187</v>
      </c>
      <c r="B8" s="112" t="s">
        <v>188</v>
      </c>
      <c r="C8" s="112">
        <v>20160101</v>
      </c>
      <c r="D8" s="112">
        <v>2016</v>
      </c>
      <c r="E8" s="112">
        <v>52</v>
      </c>
      <c r="F8" s="112" t="s">
        <v>217</v>
      </c>
      <c r="G8" s="112">
        <v>380</v>
      </c>
      <c r="H8" s="112" t="s">
        <v>218</v>
      </c>
      <c r="I8" s="112" t="s">
        <v>219</v>
      </c>
      <c r="J8" s="112" t="s">
        <v>251</v>
      </c>
      <c r="K8" s="112" t="s">
        <v>252</v>
      </c>
      <c r="L8" s="112">
        <v>686</v>
      </c>
      <c r="M8" s="112" t="s">
        <v>190</v>
      </c>
      <c r="N8" s="112" t="s">
        <v>191</v>
      </c>
      <c r="O8" s="112" t="s">
        <v>220</v>
      </c>
      <c r="P8" s="112" t="s">
        <v>197</v>
      </c>
      <c r="Q8" s="112" t="b">
        <v>1</v>
      </c>
      <c r="R8" s="112" t="s">
        <v>198</v>
      </c>
      <c r="S8" s="112" t="s">
        <v>199</v>
      </c>
      <c r="T8" s="112">
        <v>4</v>
      </c>
      <c r="U8" s="112" t="b">
        <v>0</v>
      </c>
      <c r="V8" s="112" t="s">
        <v>200</v>
      </c>
      <c r="W8" s="112" t="s">
        <v>201</v>
      </c>
      <c r="X8" s="112" t="s">
        <v>228</v>
      </c>
      <c r="Y8" s="112">
        <v>0</v>
      </c>
      <c r="Z8" s="112" t="s">
        <v>203</v>
      </c>
      <c r="AA8" s="112">
        <v>8</v>
      </c>
      <c r="AB8" s="112" t="s">
        <v>204</v>
      </c>
      <c r="AC8" s="112">
        <v>8</v>
      </c>
      <c r="AD8" s="112" t="s">
        <v>204</v>
      </c>
      <c r="AG8" s="112">
        <v>116</v>
      </c>
      <c r="AH8" s="112">
        <v>149</v>
      </c>
      <c r="AJ8" s="112" t="b">
        <v>0</v>
      </c>
      <c r="AK8" s="112">
        <v>15</v>
      </c>
      <c r="AL8" s="112" t="s">
        <v>213</v>
      </c>
      <c r="AM8" s="112">
        <v>112612</v>
      </c>
      <c r="AN8" s="112">
        <v>-1</v>
      </c>
      <c r="AO8" s="112" t="s">
        <v>205</v>
      </c>
      <c r="AT8" s="112" t="b">
        <v>0</v>
      </c>
      <c r="AU8" s="112">
        <v>116</v>
      </c>
      <c r="AV8" s="112">
        <v>149</v>
      </c>
      <c r="AX8" s="112" t="b">
        <v>0</v>
      </c>
      <c r="BB8" s="112" t="b">
        <v>0</v>
      </c>
      <c r="BC8" s="112">
        <v>4226896.3430000003</v>
      </c>
      <c r="BE8" s="112">
        <v>4226896.3430000003</v>
      </c>
      <c r="BF8" s="112" t="b">
        <v>1</v>
      </c>
      <c r="BG8" s="112">
        <v>3055700</v>
      </c>
      <c r="BH8" s="112">
        <v>-0.2770818699965456</v>
      </c>
      <c r="BI8" s="112">
        <v>0</v>
      </c>
      <c r="BJ8" s="112" t="b">
        <v>0</v>
      </c>
      <c r="BK8" s="112">
        <v>0</v>
      </c>
      <c r="BL8" s="112" t="b">
        <v>0</v>
      </c>
      <c r="BM8" s="112" t="b">
        <v>1</v>
      </c>
    </row>
    <row r="9" spans="1:65" hidden="1">
      <c r="A9" s="112" t="s">
        <v>187</v>
      </c>
      <c r="B9" s="112" t="s">
        <v>188</v>
      </c>
      <c r="C9" s="112">
        <v>20160101</v>
      </c>
      <c r="D9" s="112">
        <v>2016</v>
      </c>
      <c r="E9" s="112">
        <v>52</v>
      </c>
      <c r="F9" s="112" t="s">
        <v>217</v>
      </c>
      <c r="G9" s="112">
        <v>616</v>
      </c>
      <c r="H9" s="112" t="s">
        <v>229</v>
      </c>
      <c r="I9" s="112" t="s">
        <v>230</v>
      </c>
      <c r="J9" s="112" t="s">
        <v>251</v>
      </c>
      <c r="K9" s="112" t="s">
        <v>252</v>
      </c>
      <c r="L9" s="112">
        <v>686</v>
      </c>
      <c r="M9" s="112" t="s">
        <v>190</v>
      </c>
      <c r="N9" s="112" t="s">
        <v>191</v>
      </c>
      <c r="O9" s="112" t="s">
        <v>220</v>
      </c>
      <c r="P9" s="112" t="s">
        <v>197</v>
      </c>
      <c r="Q9" s="112" t="b">
        <v>1</v>
      </c>
      <c r="R9" s="112" t="s">
        <v>198</v>
      </c>
      <c r="S9" s="112" t="s">
        <v>199</v>
      </c>
      <c r="T9" s="112">
        <v>4</v>
      </c>
      <c r="U9" s="112" t="b">
        <v>0</v>
      </c>
      <c r="V9" s="112" t="s">
        <v>200</v>
      </c>
      <c r="W9" s="112" t="s">
        <v>201</v>
      </c>
      <c r="X9" s="112" t="s">
        <v>202</v>
      </c>
      <c r="Y9" s="112">
        <v>0</v>
      </c>
      <c r="Z9" s="112" t="s">
        <v>203</v>
      </c>
      <c r="AA9" s="112">
        <v>8</v>
      </c>
      <c r="AB9" s="112" t="s">
        <v>204</v>
      </c>
      <c r="AC9" s="112">
        <v>8</v>
      </c>
      <c r="AD9" s="112" t="s">
        <v>204</v>
      </c>
      <c r="AG9" s="112">
        <v>2</v>
      </c>
      <c r="AH9" s="112">
        <v>2</v>
      </c>
      <c r="AJ9" s="112" t="b">
        <v>0</v>
      </c>
      <c r="AK9" s="112">
        <v>-1</v>
      </c>
      <c r="AL9" s="112" t="s">
        <v>205</v>
      </c>
      <c r="AN9" s="112">
        <v>-1</v>
      </c>
      <c r="AO9" s="112" t="s">
        <v>205</v>
      </c>
      <c r="AT9" s="112" t="b">
        <v>0</v>
      </c>
      <c r="AU9" s="112">
        <v>2</v>
      </c>
      <c r="AV9" s="112">
        <v>2</v>
      </c>
      <c r="AX9" s="112" t="b">
        <v>0</v>
      </c>
      <c r="BB9" s="112" t="b">
        <v>0</v>
      </c>
      <c r="BC9" s="112">
        <v>79584</v>
      </c>
      <c r="BE9" s="112">
        <v>79584</v>
      </c>
      <c r="BF9" s="112" t="b">
        <v>1</v>
      </c>
      <c r="BG9" s="112">
        <v>78279</v>
      </c>
      <c r="BH9" s="112">
        <v>-1.639776839565743E-2</v>
      </c>
      <c r="BI9" s="112">
        <v>0</v>
      </c>
      <c r="BJ9" s="112" t="b">
        <v>0</v>
      </c>
      <c r="BK9" s="112">
        <v>0</v>
      </c>
      <c r="BL9" s="112" t="b">
        <v>1</v>
      </c>
      <c r="BM9" s="112" t="b">
        <v>0</v>
      </c>
    </row>
    <row r="10" spans="1:65" hidden="1">
      <c r="A10" s="112" t="s">
        <v>187</v>
      </c>
      <c r="B10" s="112" t="s">
        <v>188</v>
      </c>
      <c r="C10" s="112">
        <v>20160101</v>
      </c>
      <c r="D10" s="112">
        <v>2016</v>
      </c>
      <c r="E10" s="112">
        <v>52</v>
      </c>
      <c r="F10" s="112" t="s">
        <v>217</v>
      </c>
      <c r="G10" s="112">
        <v>757</v>
      </c>
      <c r="H10" s="112" t="s">
        <v>225</v>
      </c>
      <c r="I10" s="112" t="s">
        <v>226</v>
      </c>
      <c r="J10" s="112" t="s">
        <v>251</v>
      </c>
      <c r="K10" s="112" t="s">
        <v>252</v>
      </c>
      <c r="L10" s="112">
        <v>686</v>
      </c>
      <c r="M10" s="112" t="s">
        <v>190</v>
      </c>
      <c r="N10" s="112" t="s">
        <v>191</v>
      </c>
      <c r="O10" s="112" t="s">
        <v>220</v>
      </c>
      <c r="P10" s="112" t="s">
        <v>197</v>
      </c>
      <c r="Q10" s="112" t="b">
        <v>1</v>
      </c>
      <c r="R10" s="112" t="s">
        <v>198</v>
      </c>
      <c r="S10" s="112" t="s">
        <v>199</v>
      </c>
      <c r="T10" s="112">
        <v>4</v>
      </c>
      <c r="U10" s="112" t="b">
        <v>0</v>
      </c>
      <c r="V10" s="112" t="s">
        <v>200</v>
      </c>
      <c r="W10" s="112" t="s">
        <v>201</v>
      </c>
      <c r="X10" s="112" t="s">
        <v>202</v>
      </c>
      <c r="Y10" s="112">
        <v>0</v>
      </c>
      <c r="Z10" s="112" t="s">
        <v>203</v>
      </c>
      <c r="AA10" s="112">
        <v>8</v>
      </c>
      <c r="AB10" s="112" t="s">
        <v>204</v>
      </c>
      <c r="AC10" s="112">
        <v>8</v>
      </c>
      <c r="AD10" s="112" t="s">
        <v>204</v>
      </c>
      <c r="AG10" s="112">
        <v>7294</v>
      </c>
      <c r="AH10" s="112">
        <v>6638</v>
      </c>
      <c r="AJ10" s="112" t="b">
        <v>0</v>
      </c>
      <c r="AK10" s="112">
        <v>8</v>
      </c>
      <c r="AL10" s="112" t="s">
        <v>204</v>
      </c>
      <c r="AM10" s="112">
        <v>7294</v>
      </c>
      <c r="AN10" s="112">
        <v>-1</v>
      </c>
      <c r="AO10" s="112" t="s">
        <v>205</v>
      </c>
      <c r="AT10" s="112" t="b">
        <v>0</v>
      </c>
      <c r="AU10" s="112">
        <v>7294</v>
      </c>
      <c r="AV10" s="112">
        <v>6638</v>
      </c>
      <c r="AX10" s="112" t="b">
        <v>0</v>
      </c>
      <c r="AY10" s="112">
        <v>0</v>
      </c>
      <c r="BB10" s="112" t="b">
        <v>0</v>
      </c>
      <c r="BC10" s="112">
        <v>270646104.97600001</v>
      </c>
      <c r="BD10" s="112">
        <v>0</v>
      </c>
      <c r="BE10" s="112">
        <v>270646104.97600001</v>
      </c>
      <c r="BF10" s="112" t="b">
        <v>1</v>
      </c>
      <c r="BG10" s="112">
        <v>264199274</v>
      </c>
      <c r="BH10" s="112">
        <v>-2.3820150585842303E-2</v>
      </c>
      <c r="BI10" s="112">
        <v>0</v>
      </c>
      <c r="BJ10" s="112" t="b">
        <v>0</v>
      </c>
      <c r="BK10" s="112">
        <v>0</v>
      </c>
      <c r="BL10" s="112" t="b">
        <v>0</v>
      </c>
      <c r="BM10" s="112" t="b">
        <v>1</v>
      </c>
    </row>
    <row r="11" spans="1:65" hidden="1">
      <c r="A11" s="112" t="s">
        <v>187</v>
      </c>
      <c r="B11" s="112" t="s">
        <v>188</v>
      </c>
      <c r="C11" s="112">
        <v>20160101</v>
      </c>
      <c r="D11" s="112">
        <v>2016</v>
      </c>
      <c r="E11" s="112">
        <v>52</v>
      </c>
      <c r="F11" s="112" t="s">
        <v>217</v>
      </c>
      <c r="G11" s="112">
        <v>784</v>
      </c>
      <c r="H11" s="112" t="s">
        <v>234</v>
      </c>
      <c r="I11" s="112" t="s">
        <v>235</v>
      </c>
      <c r="J11" s="112" t="s">
        <v>251</v>
      </c>
      <c r="K11" s="112" t="s">
        <v>252</v>
      </c>
      <c r="L11" s="112">
        <v>686</v>
      </c>
      <c r="M11" s="112" t="s">
        <v>190</v>
      </c>
      <c r="N11" s="112" t="s">
        <v>191</v>
      </c>
      <c r="O11" s="112" t="s">
        <v>220</v>
      </c>
      <c r="P11" s="112" t="s">
        <v>197</v>
      </c>
      <c r="Q11" s="112" t="b">
        <v>1</v>
      </c>
      <c r="R11" s="112" t="s">
        <v>198</v>
      </c>
      <c r="S11" s="112" t="s">
        <v>199</v>
      </c>
      <c r="T11" s="112">
        <v>4</v>
      </c>
      <c r="U11" s="112" t="b">
        <v>0</v>
      </c>
      <c r="V11" s="112" t="s">
        <v>200</v>
      </c>
      <c r="W11" s="112" t="s">
        <v>201</v>
      </c>
      <c r="X11" s="112" t="s">
        <v>228</v>
      </c>
      <c r="Y11" s="112">
        <v>0</v>
      </c>
      <c r="Z11" s="112" t="s">
        <v>203</v>
      </c>
      <c r="AA11" s="112">
        <v>8</v>
      </c>
      <c r="AB11" s="112" t="s">
        <v>204</v>
      </c>
      <c r="AC11" s="112">
        <v>8</v>
      </c>
      <c r="AD11" s="112" t="s">
        <v>204</v>
      </c>
      <c r="AG11" s="112">
        <v>5394.42</v>
      </c>
      <c r="AH11" s="112">
        <v>2746</v>
      </c>
      <c r="AJ11" s="112" t="b">
        <v>0</v>
      </c>
      <c r="AK11" s="112">
        <v>8</v>
      </c>
      <c r="AL11" s="112" t="s">
        <v>204</v>
      </c>
      <c r="AM11" s="112">
        <v>5394.42</v>
      </c>
      <c r="AN11" s="112">
        <v>-1</v>
      </c>
      <c r="AO11" s="112" t="s">
        <v>205</v>
      </c>
      <c r="AT11" s="112" t="b">
        <v>0</v>
      </c>
      <c r="AU11" s="112">
        <v>5394.42</v>
      </c>
      <c r="AV11" s="112">
        <v>2746</v>
      </c>
      <c r="AX11" s="112" t="b">
        <v>0</v>
      </c>
      <c r="BB11" s="112" t="b">
        <v>0</v>
      </c>
      <c r="BC11" s="112">
        <v>153104784.84400001</v>
      </c>
      <c r="BE11" s="112">
        <v>153104784.84400001</v>
      </c>
      <c r="BF11" s="112" t="b">
        <v>1</v>
      </c>
      <c r="BG11" s="112">
        <v>55433766</v>
      </c>
      <c r="BH11" s="112">
        <v>-0.63793577022114611</v>
      </c>
      <c r="BI11" s="112">
        <v>0</v>
      </c>
      <c r="BJ11" s="112" t="b">
        <v>0</v>
      </c>
      <c r="BK11" s="112">
        <v>0</v>
      </c>
      <c r="BL11" s="112" t="b">
        <v>0</v>
      </c>
      <c r="BM11" s="112" t="b">
        <v>1</v>
      </c>
    </row>
    <row r="12" spans="1:65" hidden="1">
      <c r="A12" s="112" t="s">
        <v>187</v>
      </c>
      <c r="B12" s="112" t="s">
        <v>188</v>
      </c>
      <c r="C12" s="112">
        <v>20160101</v>
      </c>
      <c r="D12" s="112">
        <v>2016</v>
      </c>
      <c r="E12" s="112">
        <v>52</v>
      </c>
      <c r="F12" s="112" t="s">
        <v>217</v>
      </c>
      <c r="G12" s="112">
        <v>792</v>
      </c>
      <c r="H12" s="112" t="s">
        <v>211</v>
      </c>
      <c r="I12" s="112" t="s">
        <v>212</v>
      </c>
      <c r="J12" s="112" t="s">
        <v>251</v>
      </c>
      <c r="K12" s="112" t="s">
        <v>252</v>
      </c>
      <c r="L12" s="112">
        <v>686</v>
      </c>
      <c r="M12" s="112" t="s">
        <v>190</v>
      </c>
      <c r="N12" s="112" t="s">
        <v>191</v>
      </c>
      <c r="O12" s="112" t="s">
        <v>220</v>
      </c>
      <c r="P12" s="112" t="s">
        <v>197</v>
      </c>
      <c r="Q12" s="112" t="b">
        <v>1</v>
      </c>
      <c r="R12" s="112" t="s">
        <v>198</v>
      </c>
      <c r="S12" s="112" t="s">
        <v>199</v>
      </c>
      <c r="T12" s="112">
        <v>4</v>
      </c>
      <c r="U12" s="112" t="b">
        <v>0</v>
      </c>
      <c r="V12" s="112" t="s">
        <v>200</v>
      </c>
      <c r="W12" s="112" t="s">
        <v>201</v>
      </c>
      <c r="X12" s="112" t="s">
        <v>202</v>
      </c>
      <c r="Y12" s="112">
        <v>0</v>
      </c>
      <c r="Z12" s="112" t="s">
        <v>203</v>
      </c>
      <c r="AA12" s="112">
        <v>8</v>
      </c>
      <c r="AB12" s="112" t="s">
        <v>204</v>
      </c>
      <c r="AG12" s="112">
        <v>8.0519999999999996</v>
      </c>
      <c r="AJ12" s="112" t="b">
        <v>0</v>
      </c>
      <c r="AK12" s="112">
        <v>15</v>
      </c>
      <c r="AL12" s="112" t="s">
        <v>213</v>
      </c>
      <c r="AM12" s="112">
        <v>8052</v>
      </c>
      <c r="AT12" s="112" t="b">
        <v>0</v>
      </c>
      <c r="AU12" s="112">
        <v>8</v>
      </c>
      <c r="AX12" s="112" t="b">
        <v>0</v>
      </c>
      <c r="AY12" s="112">
        <v>0</v>
      </c>
      <c r="BB12" s="112" t="b">
        <v>0</v>
      </c>
      <c r="BC12" s="112">
        <v>318362</v>
      </c>
      <c r="BD12" s="112">
        <v>281738</v>
      </c>
      <c r="BE12" s="112">
        <v>318362</v>
      </c>
      <c r="BF12" s="112" t="b">
        <v>1</v>
      </c>
      <c r="BG12" s="112">
        <v>0</v>
      </c>
      <c r="BH12" s="112">
        <v>-1</v>
      </c>
      <c r="BI12" s="112">
        <v>0</v>
      </c>
      <c r="BJ12" s="112" t="b">
        <v>0</v>
      </c>
      <c r="BK12" s="112">
        <v>0</v>
      </c>
      <c r="BL12" s="112" t="b">
        <v>0</v>
      </c>
      <c r="BM12" s="112" t="b">
        <v>1</v>
      </c>
    </row>
    <row r="13" spans="1:65" hidden="1">
      <c r="A13" s="112" t="s">
        <v>187</v>
      </c>
      <c r="B13" s="112" t="s">
        <v>188</v>
      </c>
      <c r="C13" s="112">
        <v>20170101</v>
      </c>
      <c r="D13" s="112">
        <v>2017</v>
      </c>
      <c r="E13" s="112">
        <v>52</v>
      </c>
      <c r="F13" s="112" t="s">
        <v>238</v>
      </c>
      <c r="G13" s="112">
        <v>380</v>
      </c>
      <c r="H13" s="112" t="s">
        <v>218</v>
      </c>
      <c r="I13" s="112" t="s">
        <v>219</v>
      </c>
      <c r="J13" s="112" t="s">
        <v>251</v>
      </c>
      <c r="K13" s="112" t="s">
        <v>252</v>
      </c>
      <c r="L13" s="112">
        <v>686</v>
      </c>
      <c r="M13" s="112" t="s">
        <v>190</v>
      </c>
      <c r="N13" s="112" t="s">
        <v>191</v>
      </c>
      <c r="O13" s="112" t="s">
        <v>196</v>
      </c>
      <c r="P13" s="112" t="s">
        <v>197</v>
      </c>
      <c r="Q13" s="112" t="b">
        <v>1</v>
      </c>
      <c r="R13" s="112" t="s">
        <v>198</v>
      </c>
      <c r="S13" s="112" t="s">
        <v>199</v>
      </c>
      <c r="T13" s="112">
        <v>4</v>
      </c>
      <c r="U13" s="112" t="b">
        <v>0</v>
      </c>
      <c r="V13" s="112" t="s">
        <v>200</v>
      </c>
      <c r="W13" s="112" t="s">
        <v>201</v>
      </c>
      <c r="X13" s="112" t="s">
        <v>202</v>
      </c>
      <c r="Y13" s="112">
        <v>0</v>
      </c>
      <c r="Z13" s="112" t="s">
        <v>203</v>
      </c>
      <c r="AA13" s="112">
        <v>8</v>
      </c>
      <c r="AB13" s="112" t="s">
        <v>204</v>
      </c>
      <c r="AC13" s="112">
        <v>8</v>
      </c>
      <c r="AD13" s="112" t="s">
        <v>204</v>
      </c>
      <c r="AG13" s="112">
        <v>147.637</v>
      </c>
      <c r="AH13" s="112">
        <v>199</v>
      </c>
      <c r="AJ13" s="112" t="b">
        <v>0</v>
      </c>
      <c r="AK13" s="112">
        <v>-1</v>
      </c>
      <c r="AL13" s="112" t="s">
        <v>205</v>
      </c>
      <c r="AM13" s="112">
        <v>0</v>
      </c>
      <c r="AN13" s="112">
        <v>8</v>
      </c>
      <c r="AO13" s="112" t="s">
        <v>204</v>
      </c>
      <c r="AR13" s="112">
        <v>199</v>
      </c>
      <c r="AT13" s="112" t="b">
        <v>0</v>
      </c>
      <c r="AU13" s="112">
        <v>151</v>
      </c>
      <c r="AV13" s="112">
        <v>199</v>
      </c>
      <c r="AX13" s="112" t="b">
        <v>0</v>
      </c>
      <c r="AY13" s="112">
        <v>0</v>
      </c>
      <c r="BB13" s="112" t="b">
        <v>0</v>
      </c>
      <c r="BC13" s="112">
        <v>5031300.9380000001</v>
      </c>
      <c r="BE13" s="112">
        <v>5031300.9380000001</v>
      </c>
      <c r="BF13" s="112" t="b">
        <v>1</v>
      </c>
      <c r="BG13" s="112">
        <v>3541986.0750000002</v>
      </c>
      <c r="BH13" s="112">
        <v>-0.29600989512506082</v>
      </c>
      <c r="BI13" s="112">
        <v>0</v>
      </c>
      <c r="BJ13" s="112" t="b">
        <v>0</v>
      </c>
      <c r="BK13" s="112">
        <v>0</v>
      </c>
      <c r="BL13" s="112" t="b">
        <v>0</v>
      </c>
      <c r="BM13" s="112" t="b">
        <v>1</v>
      </c>
    </row>
    <row r="14" spans="1:65" hidden="1">
      <c r="A14" s="112" t="s">
        <v>187</v>
      </c>
      <c r="B14" s="112" t="s">
        <v>188</v>
      </c>
      <c r="C14" s="112">
        <v>20170101</v>
      </c>
      <c r="D14" s="112">
        <v>2017</v>
      </c>
      <c r="E14" s="112">
        <v>52</v>
      </c>
      <c r="F14" s="112" t="s">
        <v>238</v>
      </c>
      <c r="G14" s="112">
        <v>724</v>
      </c>
      <c r="H14" s="112" t="s">
        <v>207</v>
      </c>
      <c r="I14" s="112" t="s">
        <v>208</v>
      </c>
      <c r="J14" s="112" t="s">
        <v>251</v>
      </c>
      <c r="K14" s="112" t="s">
        <v>252</v>
      </c>
      <c r="L14" s="112">
        <v>686</v>
      </c>
      <c r="M14" s="112" t="s">
        <v>190</v>
      </c>
      <c r="N14" s="112" t="s">
        <v>191</v>
      </c>
      <c r="O14" s="112" t="s">
        <v>196</v>
      </c>
      <c r="P14" s="112" t="s">
        <v>197</v>
      </c>
      <c r="Q14" s="112" t="b">
        <v>1</v>
      </c>
      <c r="R14" s="112" t="s">
        <v>198</v>
      </c>
      <c r="S14" s="112" t="s">
        <v>199</v>
      </c>
      <c r="T14" s="112">
        <v>4</v>
      </c>
      <c r="U14" s="112" t="b">
        <v>0</v>
      </c>
      <c r="V14" s="112" t="s">
        <v>200</v>
      </c>
      <c r="W14" s="112" t="s">
        <v>201</v>
      </c>
      <c r="X14" s="112" t="s">
        <v>202</v>
      </c>
      <c r="Y14" s="112">
        <v>0</v>
      </c>
      <c r="Z14" s="112" t="s">
        <v>203</v>
      </c>
      <c r="AA14" s="112">
        <v>8</v>
      </c>
      <c r="AB14" s="112" t="s">
        <v>204</v>
      </c>
      <c r="AC14" s="112">
        <v>8</v>
      </c>
      <c r="AD14" s="112" t="s">
        <v>204</v>
      </c>
      <c r="AG14" s="112">
        <v>0.81299999999999994</v>
      </c>
      <c r="AH14" s="112">
        <v>2</v>
      </c>
      <c r="AJ14" s="112" t="b">
        <v>0</v>
      </c>
      <c r="AK14" s="112">
        <v>15</v>
      </c>
      <c r="AL14" s="112" t="s">
        <v>213</v>
      </c>
      <c r="AM14" s="112">
        <v>812.6</v>
      </c>
      <c r="AN14" s="112">
        <v>8</v>
      </c>
      <c r="AO14" s="112" t="s">
        <v>204</v>
      </c>
      <c r="AR14" s="112">
        <v>2</v>
      </c>
      <c r="AT14" s="112" t="b">
        <v>0</v>
      </c>
      <c r="AV14" s="112">
        <v>2</v>
      </c>
      <c r="AX14" s="112" t="b">
        <v>0</v>
      </c>
      <c r="AY14" s="112">
        <v>0</v>
      </c>
      <c r="BB14" s="112" t="b">
        <v>0</v>
      </c>
      <c r="BC14" s="112">
        <v>18697.835999999999</v>
      </c>
      <c r="BE14" s="112">
        <v>18697.835999999999</v>
      </c>
      <c r="BF14" s="112" t="b">
        <v>1</v>
      </c>
      <c r="BG14" s="112">
        <v>18379.483</v>
      </c>
      <c r="BH14" s="112">
        <v>-1.7026194902982295E-2</v>
      </c>
      <c r="BI14" s="112">
        <v>0</v>
      </c>
      <c r="BJ14" s="112" t="b">
        <v>0</v>
      </c>
      <c r="BK14" s="112">
        <v>0</v>
      </c>
      <c r="BL14" s="112" t="b">
        <v>0</v>
      </c>
      <c r="BM14" s="112" t="b">
        <v>1</v>
      </c>
    </row>
    <row r="15" spans="1:65" hidden="1">
      <c r="A15" s="112" t="s">
        <v>187</v>
      </c>
      <c r="B15" s="112" t="s">
        <v>188</v>
      </c>
      <c r="C15" s="112">
        <v>20170101</v>
      </c>
      <c r="D15" s="112">
        <v>2017</v>
      </c>
      <c r="E15" s="112">
        <v>52</v>
      </c>
      <c r="F15" s="112" t="s">
        <v>238</v>
      </c>
      <c r="G15" s="112">
        <v>757</v>
      </c>
      <c r="H15" s="112" t="s">
        <v>225</v>
      </c>
      <c r="I15" s="112" t="s">
        <v>226</v>
      </c>
      <c r="J15" s="112" t="s">
        <v>251</v>
      </c>
      <c r="K15" s="112" t="s">
        <v>252</v>
      </c>
      <c r="L15" s="112">
        <v>686</v>
      </c>
      <c r="M15" s="112" t="s">
        <v>190</v>
      </c>
      <c r="N15" s="112" t="s">
        <v>191</v>
      </c>
      <c r="O15" s="112" t="s">
        <v>196</v>
      </c>
      <c r="P15" s="112" t="s">
        <v>197</v>
      </c>
      <c r="Q15" s="112" t="b">
        <v>1</v>
      </c>
      <c r="R15" s="112" t="s">
        <v>198</v>
      </c>
      <c r="S15" s="112" t="s">
        <v>199</v>
      </c>
      <c r="T15" s="112">
        <v>4</v>
      </c>
      <c r="U15" s="112" t="b">
        <v>0</v>
      </c>
      <c r="V15" s="112" t="s">
        <v>200</v>
      </c>
      <c r="W15" s="112" t="s">
        <v>201</v>
      </c>
      <c r="X15" s="112" t="s">
        <v>202</v>
      </c>
      <c r="Y15" s="112">
        <v>0</v>
      </c>
      <c r="Z15" s="112" t="s">
        <v>203</v>
      </c>
      <c r="AA15" s="112">
        <v>8</v>
      </c>
      <c r="AB15" s="112" t="s">
        <v>204</v>
      </c>
      <c r="AC15" s="112">
        <v>8</v>
      </c>
      <c r="AD15" s="112" t="s">
        <v>204</v>
      </c>
      <c r="AG15" s="112">
        <v>7443</v>
      </c>
      <c r="AH15" s="112">
        <v>7265</v>
      </c>
      <c r="AJ15" s="112" t="b">
        <v>0</v>
      </c>
      <c r="AK15" s="112">
        <v>8</v>
      </c>
      <c r="AL15" s="112" t="s">
        <v>204</v>
      </c>
      <c r="AM15" s="112">
        <v>7443</v>
      </c>
      <c r="AN15" s="112">
        <v>8</v>
      </c>
      <c r="AO15" s="112" t="s">
        <v>204</v>
      </c>
      <c r="AR15" s="112">
        <v>7265</v>
      </c>
      <c r="AT15" s="112" t="b">
        <v>0</v>
      </c>
      <c r="AU15" s="112">
        <v>7443</v>
      </c>
      <c r="AV15" s="112">
        <v>7265</v>
      </c>
      <c r="AX15" s="112" t="b">
        <v>0</v>
      </c>
      <c r="AY15" s="112">
        <v>0</v>
      </c>
      <c r="BB15" s="112" t="b">
        <v>0</v>
      </c>
      <c r="BC15" s="112">
        <v>277019288.92799997</v>
      </c>
      <c r="BD15" s="112">
        <v>0</v>
      </c>
      <c r="BE15" s="112">
        <v>277019288.92799997</v>
      </c>
      <c r="BF15" s="112" t="b">
        <v>1</v>
      </c>
      <c r="BG15" s="112">
        <v>289590890.42900002</v>
      </c>
      <c r="BH15" s="112">
        <v>4.5381682805010426E-2</v>
      </c>
      <c r="BI15" s="112">
        <v>0</v>
      </c>
      <c r="BJ15" s="112" t="b">
        <v>0</v>
      </c>
      <c r="BK15" s="112">
        <v>0</v>
      </c>
      <c r="BL15" s="112" t="b">
        <v>0</v>
      </c>
      <c r="BM15" s="112" t="b">
        <v>1</v>
      </c>
    </row>
    <row r="16" spans="1:65" hidden="1">
      <c r="A16" s="112" t="s">
        <v>187</v>
      </c>
      <c r="B16" s="112" t="s">
        <v>188</v>
      </c>
      <c r="C16" s="112">
        <v>20170101</v>
      </c>
      <c r="D16" s="112">
        <v>2017</v>
      </c>
      <c r="E16" s="112">
        <v>52</v>
      </c>
      <c r="F16" s="112" t="s">
        <v>238</v>
      </c>
      <c r="G16" s="112">
        <v>784</v>
      </c>
      <c r="H16" s="112" t="s">
        <v>234</v>
      </c>
      <c r="I16" s="112" t="s">
        <v>235</v>
      </c>
      <c r="J16" s="112" t="s">
        <v>251</v>
      </c>
      <c r="K16" s="112" t="s">
        <v>252</v>
      </c>
      <c r="L16" s="112">
        <v>686</v>
      </c>
      <c r="M16" s="112" t="s">
        <v>190</v>
      </c>
      <c r="N16" s="112" t="s">
        <v>191</v>
      </c>
      <c r="O16" s="112" t="s">
        <v>220</v>
      </c>
      <c r="P16" s="112" t="s">
        <v>197</v>
      </c>
      <c r="Q16" s="112" t="b">
        <v>1</v>
      </c>
      <c r="R16" s="112" t="s">
        <v>198</v>
      </c>
      <c r="S16" s="112" t="s">
        <v>199</v>
      </c>
      <c r="T16" s="112">
        <v>4</v>
      </c>
      <c r="U16" s="112" t="b">
        <v>0</v>
      </c>
      <c r="V16" s="112" t="s">
        <v>200</v>
      </c>
      <c r="W16" s="112" t="s">
        <v>201</v>
      </c>
      <c r="X16" s="112" t="s">
        <v>202</v>
      </c>
      <c r="Y16" s="112">
        <v>0</v>
      </c>
      <c r="Z16" s="112" t="s">
        <v>203</v>
      </c>
      <c r="AA16" s="112">
        <v>8</v>
      </c>
      <c r="AB16" s="112" t="s">
        <v>204</v>
      </c>
      <c r="AC16" s="112">
        <v>8</v>
      </c>
      <c r="AD16" s="112" t="s">
        <v>204</v>
      </c>
      <c r="AG16" s="112">
        <v>5413</v>
      </c>
      <c r="AH16" s="112">
        <v>4192</v>
      </c>
      <c r="AJ16" s="112" t="b">
        <v>0</v>
      </c>
      <c r="AK16" s="112">
        <v>8</v>
      </c>
      <c r="AL16" s="112" t="s">
        <v>204</v>
      </c>
      <c r="AM16" s="112">
        <v>5413</v>
      </c>
      <c r="AN16" s="112">
        <v>8</v>
      </c>
      <c r="AO16" s="112" t="s">
        <v>204</v>
      </c>
      <c r="AR16" s="112">
        <v>4192</v>
      </c>
      <c r="AT16" s="112" t="b">
        <v>0</v>
      </c>
      <c r="AU16" s="112">
        <v>5413</v>
      </c>
      <c r="AV16" s="112">
        <v>4192</v>
      </c>
      <c r="AX16" s="112" t="b">
        <v>0</v>
      </c>
      <c r="AY16" s="112">
        <v>0</v>
      </c>
      <c r="BB16" s="112" t="b">
        <v>0</v>
      </c>
      <c r="BC16" s="112">
        <v>158224409.09299999</v>
      </c>
      <c r="BD16" s="112">
        <v>0</v>
      </c>
      <c r="BE16" s="112">
        <v>158224409.09299999</v>
      </c>
      <c r="BF16" s="112" t="b">
        <v>1</v>
      </c>
      <c r="BG16" s="112">
        <v>83437576.736000001</v>
      </c>
      <c r="BH16" s="112">
        <v>-0.4726630536066172</v>
      </c>
      <c r="BI16" s="112">
        <v>0</v>
      </c>
      <c r="BJ16" s="112" t="b">
        <v>0</v>
      </c>
      <c r="BK16" s="112">
        <v>0</v>
      </c>
      <c r="BL16" s="112" t="b">
        <v>0</v>
      </c>
      <c r="BM16" s="112" t="b">
        <v>1</v>
      </c>
    </row>
    <row r="17" spans="1:65" hidden="1">
      <c r="A17" s="112" t="s">
        <v>187</v>
      </c>
      <c r="B17" s="112" t="s">
        <v>188</v>
      </c>
      <c r="C17" s="112">
        <v>20170101</v>
      </c>
      <c r="D17" s="112">
        <v>2017</v>
      </c>
      <c r="E17" s="112">
        <v>52</v>
      </c>
      <c r="F17" s="112" t="s">
        <v>238</v>
      </c>
      <c r="G17" s="112">
        <v>792</v>
      </c>
      <c r="H17" s="112" t="s">
        <v>211</v>
      </c>
      <c r="I17" s="112" t="s">
        <v>212</v>
      </c>
      <c r="J17" s="112" t="s">
        <v>251</v>
      </c>
      <c r="K17" s="112" t="s">
        <v>252</v>
      </c>
      <c r="L17" s="112">
        <v>686</v>
      </c>
      <c r="M17" s="112" t="s">
        <v>190</v>
      </c>
      <c r="N17" s="112" t="s">
        <v>191</v>
      </c>
      <c r="O17" s="112" t="s">
        <v>196</v>
      </c>
      <c r="P17" s="112" t="s">
        <v>197</v>
      </c>
      <c r="Q17" s="112" t="b">
        <v>1</v>
      </c>
      <c r="R17" s="112" t="s">
        <v>198</v>
      </c>
      <c r="S17" s="112" t="s">
        <v>199</v>
      </c>
      <c r="T17" s="112">
        <v>4</v>
      </c>
      <c r="U17" s="112" t="b">
        <v>0</v>
      </c>
      <c r="V17" s="112" t="s">
        <v>200</v>
      </c>
      <c r="W17" s="112" t="s">
        <v>201</v>
      </c>
      <c r="X17" s="112" t="s">
        <v>202</v>
      </c>
      <c r="Y17" s="112">
        <v>0</v>
      </c>
      <c r="Z17" s="112" t="s">
        <v>203</v>
      </c>
      <c r="AA17" s="112">
        <v>8</v>
      </c>
      <c r="AB17" s="112" t="s">
        <v>204</v>
      </c>
      <c r="AG17" s="112">
        <v>6.1310000000000002</v>
      </c>
      <c r="AJ17" s="112" t="b">
        <v>0</v>
      </c>
      <c r="AK17" s="112">
        <v>15</v>
      </c>
      <c r="AL17" s="112" t="s">
        <v>213</v>
      </c>
      <c r="AM17" s="112">
        <v>6131</v>
      </c>
      <c r="AT17" s="112" t="b">
        <v>0</v>
      </c>
      <c r="AU17" s="112">
        <v>7</v>
      </c>
      <c r="AX17" s="112" t="b">
        <v>0</v>
      </c>
      <c r="AY17" s="112">
        <v>0</v>
      </c>
      <c r="BB17" s="112" t="b">
        <v>0</v>
      </c>
      <c r="BC17" s="112">
        <v>235899</v>
      </c>
      <c r="BD17" s="112">
        <v>208808</v>
      </c>
      <c r="BE17" s="112">
        <v>235899</v>
      </c>
      <c r="BF17" s="112" t="b">
        <v>1</v>
      </c>
      <c r="BG17" s="112">
        <v>0</v>
      </c>
      <c r="BH17" s="112">
        <v>-1</v>
      </c>
      <c r="BI17" s="112">
        <v>0</v>
      </c>
      <c r="BJ17" s="112" t="b">
        <v>0</v>
      </c>
      <c r="BK17" s="112">
        <v>0</v>
      </c>
      <c r="BL17" s="112" t="b">
        <v>0</v>
      </c>
      <c r="BM17" s="112" t="b">
        <v>1</v>
      </c>
    </row>
    <row r="18" spans="1:65" hidden="1">
      <c r="A18" s="112" t="s">
        <v>187</v>
      </c>
      <c r="B18" s="112" t="s">
        <v>188</v>
      </c>
      <c r="C18" s="112">
        <v>20180101</v>
      </c>
      <c r="D18" s="112">
        <v>2018</v>
      </c>
      <c r="E18" s="112">
        <v>52</v>
      </c>
      <c r="F18" s="112" t="s">
        <v>227</v>
      </c>
      <c r="G18" s="112">
        <v>56</v>
      </c>
      <c r="H18" s="112" t="s">
        <v>215</v>
      </c>
      <c r="I18" s="112" t="s">
        <v>216</v>
      </c>
      <c r="J18" s="112" t="s">
        <v>251</v>
      </c>
      <c r="K18" s="112" t="s">
        <v>252</v>
      </c>
      <c r="L18" s="112">
        <v>686</v>
      </c>
      <c r="M18" s="112" t="s">
        <v>190</v>
      </c>
      <c r="N18" s="112" t="s">
        <v>191</v>
      </c>
      <c r="O18" s="112" t="s">
        <v>196</v>
      </c>
      <c r="P18" s="112" t="s">
        <v>197</v>
      </c>
      <c r="Q18" s="112" t="b">
        <v>1</v>
      </c>
      <c r="R18" s="112" t="s">
        <v>198</v>
      </c>
      <c r="S18" s="112" t="s">
        <v>199</v>
      </c>
      <c r="T18" s="112">
        <v>4</v>
      </c>
      <c r="U18" s="112" t="b">
        <v>0</v>
      </c>
      <c r="V18" s="112" t="s">
        <v>200</v>
      </c>
      <c r="W18" s="112" t="s">
        <v>201</v>
      </c>
      <c r="X18" s="112" t="s">
        <v>202</v>
      </c>
      <c r="Y18" s="112">
        <v>0</v>
      </c>
      <c r="Z18" s="112" t="s">
        <v>203</v>
      </c>
      <c r="AA18" s="112">
        <v>8</v>
      </c>
      <c r="AB18" s="112" t="s">
        <v>204</v>
      </c>
      <c r="AC18" s="112">
        <v>8</v>
      </c>
      <c r="AD18" s="112" t="s">
        <v>204</v>
      </c>
      <c r="AG18" s="112">
        <v>18.100000000000001</v>
      </c>
      <c r="AH18" s="112">
        <v>16</v>
      </c>
      <c r="AJ18" s="112" t="b">
        <v>0</v>
      </c>
      <c r="AK18" s="112">
        <v>15</v>
      </c>
      <c r="AL18" s="112" t="s">
        <v>213</v>
      </c>
      <c r="AM18" s="112">
        <v>18100</v>
      </c>
      <c r="AN18" s="112">
        <v>8</v>
      </c>
      <c r="AO18" s="112" t="s">
        <v>204</v>
      </c>
      <c r="AR18" s="112">
        <v>16</v>
      </c>
      <c r="AT18" s="112" t="b">
        <v>0</v>
      </c>
      <c r="AU18" s="112">
        <v>18.100000000000001</v>
      </c>
      <c r="AV18" s="112">
        <v>16</v>
      </c>
      <c r="AX18" s="112" t="b">
        <v>0</v>
      </c>
      <c r="AY18" s="112">
        <v>0</v>
      </c>
      <c r="BB18" s="112" t="b">
        <v>0</v>
      </c>
      <c r="BC18" s="112">
        <v>686736.95900000003</v>
      </c>
      <c r="BD18" s="112">
        <v>0</v>
      </c>
      <c r="BE18" s="112">
        <v>686736.95900000003</v>
      </c>
      <c r="BF18" s="112" t="b">
        <v>1</v>
      </c>
      <c r="BG18" s="112">
        <v>289550.19799999997</v>
      </c>
      <c r="BH18" s="112">
        <v>-0.5783681157606082</v>
      </c>
      <c r="BI18" s="112">
        <v>0</v>
      </c>
      <c r="BJ18" s="112" t="b">
        <v>0</v>
      </c>
      <c r="BK18" s="112">
        <v>0</v>
      </c>
      <c r="BL18" s="112" t="b">
        <v>0</v>
      </c>
      <c r="BM18" s="112" t="b">
        <v>1</v>
      </c>
    </row>
    <row r="19" spans="1:65" hidden="1">
      <c r="A19" s="112" t="s">
        <v>187</v>
      </c>
      <c r="B19" s="112" t="s">
        <v>188</v>
      </c>
      <c r="C19" s="112">
        <v>20180101</v>
      </c>
      <c r="D19" s="112">
        <v>2018</v>
      </c>
      <c r="E19" s="112">
        <v>52</v>
      </c>
      <c r="F19" s="112" t="s">
        <v>227</v>
      </c>
      <c r="G19" s="112">
        <v>372</v>
      </c>
      <c r="H19" s="112" t="s">
        <v>253</v>
      </c>
      <c r="I19" s="112" t="s">
        <v>254</v>
      </c>
      <c r="J19" s="112" t="s">
        <v>251</v>
      </c>
      <c r="K19" s="112" t="s">
        <v>252</v>
      </c>
      <c r="L19" s="112">
        <v>686</v>
      </c>
      <c r="M19" s="112" t="s">
        <v>190</v>
      </c>
      <c r="N19" s="112" t="s">
        <v>191</v>
      </c>
      <c r="O19" s="112" t="s">
        <v>196</v>
      </c>
      <c r="P19" s="112" t="s">
        <v>197</v>
      </c>
      <c r="Q19" s="112" t="b">
        <v>1</v>
      </c>
      <c r="R19" s="112" t="s">
        <v>198</v>
      </c>
      <c r="S19" s="112" t="s">
        <v>199</v>
      </c>
      <c r="T19" s="112">
        <v>4</v>
      </c>
      <c r="U19" s="112" t="b">
        <v>0</v>
      </c>
      <c r="V19" s="112" t="s">
        <v>200</v>
      </c>
      <c r="W19" s="112" t="s">
        <v>201</v>
      </c>
      <c r="X19" s="112" t="s">
        <v>202</v>
      </c>
      <c r="Y19" s="112">
        <v>0</v>
      </c>
      <c r="Z19" s="112" t="s">
        <v>203</v>
      </c>
      <c r="AA19" s="112">
        <v>8</v>
      </c>
      <c r="AB19" s="112" t="s">
        <v>204</v>
      </c>
      <c r="AG19" s="112">
        <v>2E-3</v>
      </c>
      <c r="AJ19" s="112" t="b">
        <v>0</v>
      </c>
      <c r="AK19" s="112">
        <v>15</v>
      </c>
      <c r="AL19" s="112" t="s">
        <v>213</v>
      </c>
      <c r="AM19" s="112">
        <v>2</v>
      </c>
      <c r="AT19" s="112" t="b">
        <v>0</v>
      </c>
      <c r="AU19" s="112">
        <v>2E-3</v>
      </c>
      <c r="AX19" s="112" t="b">
        <v>0</v>
      </c>
      <c r="AY19" s="112">
        <v>0</v>
      </c>
      <c r="BB19" s="112" t="b">
        <v>0</v>
      </c>
      <c r="BC19" s="112">
        <v>94.475999999999999</v>
      </c>
      <c r="BD19" s="112">
        <v>0</v>
      </c>
      <c r="BE19" s="112">
        <v>94.475999999999999</v>
      </c>
      <c r="BF19" s="112" t="b">
        <v>1</v>
      </c>
      <c r="BG19" s="112">
        <v>0</v>
      </c>
      <c r="BH19" s="112">
        <v>-1</v>
      </c>
      <c r="BI19" s="112">
        <v>0</v>
      </c>
      <c r="BJ19" s="112" t="b">
        <v>0</v>
      </c>
      <c r="BK19" s="112">
        <v>0</v>
      </c>
      <c r="BL19" s="112" t="b">
        <v>0</v>
      </c>
      <c r="BM19" s="112" t="b">
        <v>1</v>
      </c>
    </row>
    <row r="20" spans="1:65" hidden="1">
      <c r="A20" s="112" t="s">
        <v>187</v>
      </c>
      <c r="B20" s="112" t="s">
        <v>188</v>
      </c>
      <c r="C20" s="112">
        <v>20180101</v>
      </c>
      <c r="D20" s="112">
        <v>2018</v>
      </c>
      <c r="E20" s="112">
        <v>52</v>
      </c>
      <c r="F20" s="112" t="s">
        <v>227</v>
      </c>
      <c r="G20" s="112">
        <v>380</v>
      </c>
      <c r="H20" s="112" t="s">
        <v>218</v>
      </c>
      <c r="I20" s="112" t="s">
        <v>219</v>
      </c>
      <c r="J20" s="112" t="s">
        <v>251</v>
      </c>
      <c r="K20" s="112" t="s">
        <v>252</v>
      </c>
      <c r="L20" s="112">
        <v>686</v>
      </c>
      <c r="M20" s="112" t="s">
        <v>190</v>
      </c>
      <c r="N20" s="112" t="s">
        <v>191</v>
      </c>
      <c r="O20" s="112" t="s">
        <v>196</v>
      </c>
      <c r="P20" s="112" t="s">
        <v>197</v>
      </c>
      <c r="Q20" s="112" t="b">
        <v>1</v>
      </c>
      <c r="R20" s="112" t="s">
        <v>198</v>
      </c>
      <c r="S20" s="112" t="s">
        <v>199</v>
      </c>
      <c r="T20" s="112">
        <v>4</v>
      </c>
      <c r="U20" s="112" t="b">
        <v>0</v>
      </c>
      <c r="V20" s="112" t="s">
        <v>200</v>
      </c>
      <c r="W20" s="112" t="s">
        <v>201</v>
      </c>
      <c r="X20" s="112" t="s">
        <v>202</v>
      </c>
      <c r="Y20" s="112">
        <v>0</v>
      </c>
      <c r="Z20" s="112" t="s">
        <v>203</v>
      </c>
      <c r="AA20" s="112">
        <v>8</v>
      </c>
      <c r="AB20" s="112" t="s">
        <v>204</v>
      </c>
      <c r="AC20" s="112">
        <v>8</v>
      </c>
      <c r="AD20" s="112" t="s">
        <v>204</v>
      </c>
      <c r="AG20" s="112">
        <v>194.50299999999999</v>
      </c>
      <c r="AH20" s="112">
        <v>213</v>
      </c>
      <c r="AJ20" s="112" t="b">
        <v>0</v>
      </c>
      <c r="AK20" s="112">
        <v>-1</v>
      </c>
      <c r="AL20" s="112" t="s">
        <v>205</v>
      </c>
      <c r="AM20" s="112">
        <v>0</v>
      </c>
      <c r="AN20" s="112">
        <v>8</v>
      </c>
      <c r="AO20" s="112" t="s">
        <v>204</v>
      </c>
      <c r="AR20" s="112">
        <v>213</v>
      </c>
      <c r="AT20" s="112" t="b">
        <v>0</v>
      </c>
      <c r="AU20" s="112">
        <v>196</v>
      </c>
      <c r="AV20" s="112">
        <v>213</v>
      </c>
      <c r="AX20" s="112" t="b">
        <v>0</v>
      </c>
      <c r="AY20" s="112">
        <v>0</v>
      </c>
      <c r="BB20" s="112" t="b">
        <v>0</v>
      </c>
      <c r="BC20" s="112">
        <v>6362173.5599999996</v>
      </c>
      <c r="BE20" s="112">
        <v>6362173.5599999996</v>
      </c>
      <c r="BF20" s="112" t="b">
        <v>1</v>
      </c>
      <c r="BG20" s="112">
        <v>4211711.2350000003</v>
      </c>
      <c r="BH20" s="112">
        <v>-0.33800749142090358</v>
      </c>
      <c r="BI20" s="112">
        <v>0</v>
      </c>
      <c r="BJ20" s="112" t="b">
        <v>0</v>
      </c>
      <c r="BK20" s="112">
        <v>0</v>
      </c>
      <c r="BL20" s="112" t="b">
        <v>0</v>
      </c>
      <c r="BM20" s="112" t="b">
        <v>1</v>
      </c>
    </row>
    <row r="21" spans="1:65" hidden="1">
      <c r="A21" s="112" t="s">
        <v>187</v>
      </c>
      <c r="B21" s="112" t="s">
        <v>188</v>
      </c>
      <c r="C21" s="112">
        <v>20180101</v>
      </c>
      <c r="D21" s="112">
        <v>2018</v>
      </c>
      <c r="E21" s="112">
        <v>52</v>
      </c>
      <c r="F21" s="112" t="s">
        <v>227</v>
      </c>
      <c r="G21" s="112">
        <v>392</v>
      </c>
      <c r="H21" s="112" t="s">
        <v>236</v>
      </c>
      <c r="I21" s="112" t="s">
        <v>237</v>
      </c>
      <c r="J21" s="112" t="s">
        <v>251</v>
      </c>
      <c r="K21" s="112" t="s">
        <v>252</v>
      </c>
      <c r="L21" s="112">
        <v>686</v>
      </c>
      <c r="M21" s="112" t="s">
        <v>190</v>
      </c>
      <c r="N21" s="112" t="s">
        <v>191</v>
      </c>
      <c r="O21" s="112" t="s">
        <v>196</v>
      </c>
      <c r="P21" s="112" t="s">
        <v>197</v>
      </c>
      <c r="Q21" s="112" t="b">
        <v>1</v>
      </c>
      <c r="R21" s="112" t="s">
        <v>198</v>
      </c>
      <c r="S21" s="112" t="s">
        <v>199</v>
      </c>
      <c r="T21" s="112">
        <v>4</v>
      </c>
      <c r="U21" s="112" t="b">
        <v>0</v>
      </c>
      <c r="V21" s="112" t="s">
        <v>200</v>
      </c>
      <c r="W21" s="112" t="s">
        <v>201</v>
      </c>
      <c r="X21" s="112" t="s">
        <v>202</v>
      </c>
      <c r="Y21" s="112">
        <v>0</v>
      </c>
      <c r="Z21" s="112" t="s">
        <v>203</v>
      </c>
      <c r="AA21" s="112">
        <v>8</v>
      </c>
      <c r="AB21" s="112" t="s">
        <v>204</v>
      </c>
      <c r="AC21" s="112">
        <v>8</v>
      </c>
      <c r="AD21" s="112" t="s">
        <v>204</v>
      </c>
      <c r="AG21" s="112">
        <v>3.4980000000000002</v>
      </c>
      <c r="AH21" s="112">
        <v>3</v>
      </c>
      <c r="AJ21" s="112" t="b">
        <v>0</v>
      </c>
      <c r="AK21" s="112">
        <v>15</v>
      </c>
      <c r="AL21" s="112" t="s">
        <v>213</v>
      </c>
      <c r="AM21" s="112">
        <v>3498</v>
      </c>
      <c r="AN21" s="112">
        <v>8</v>
      </c>
      <c r="AO21" s="112" t="s">
        <v>204</v>
      </c>
      <c r="AR21" s="112">
        <v>3</v>
      </c>
      <c r="AT21" s="112" t="b">
        <v>0</v>
      </c>
      <c r="AU21" s="112">
        <v>3.4980000000000002</v>
      </c>
      <c r="AV21" s="112">
        <v>3</v>
      </c>
      <c r="AX21" s="112" t="b">
        <v>0</v>
      </c>
      <c r="AY21" s="112">
        <v>0</v>
      </c>
      <c r="BB21" s="112" t="b">
        <v>0</v>
      </c>
      <c r="BC21" s="112">
        <v>123289.04399999999</v>
      </c>
      <c r="BD21" s="112">
        <v>0</v>
      </c>
      <c r="BE21" s="112">
        <v>123289.04399999999</v>
      </c>
      <c r="BF21" s="112" t="b">
        <v>1</v>
      </c>
      <c r="BG21" s="112">
        <v>97629.391000000003</v>
      </c>
      <c r="BH21" s="112">
        <v>-0.20812597914215303</v>
      </c>
      <c r="BI21" s="112">
        <v>0</v>
      </c>
      <c r="BJ21" s="112" t="b">
        <v>0</v>
      </c>
      <c r="BK21" s="112">
        <v>0</v>
      </c>
      <c r="BL21" s="112" t="b">
        <v>0</v>
      </c>
      <c r="BM21" s="112" t="b">
        <v>1</v>
      </c>
    </row>
    <row r="22" spans="1:65" hidden="1">
      <c r="A22" s="112" t="s">
        <v>187</v>
      </c>
      <c r="B22" s="112" t="s">
        <v>188</v>
      </c>
      <c r="C22" s="112">
        <v>20180101</v>
      </c>
      <c r="D22" s="112">
        <v>2018</v>
      </c>
      <c r="E22" s="112">
        <v>52</v>
      </c>
      <c r="F22" s="112" t="s">
        <v>227</v>
      </c>
      <c r="G22" s="112">
        <v>724</v>
      </c>
      <c r="H22" s="112" t="s">
        <v>207</v>
      </c>
      <c r="I22" s="112" t="s">
        <v>208</v>
      </c>
      <c r="J22" s="112" t="s">
        <v>251</v>
      </c>
      <c r="K22" s="112" t="s">
        <v>252</v>
      </c>
      <c r="L22" s="112">
        <v>686</v>
      </c>
      <c r="M22" s="112" t="s">
        <v>190</v>
      </c>
      <c r="N22" s="112" t="s">
        <v>191</v>
      </c>
      <c r="O22" s="112" t="s">
        <v>196</v>
      </c>
      <c r="P22" s="112" t="s">
        <v>197</v>
      </c>
      <c r="Q22" s="112" t="b">
        <v>1</v>
      </c>
      <c r="R22" s="112" t="s">
        <v>198</v>
      </c>
      <c r="S22" s="112" t="s">
        <v>199</v>
      </c>
      <c r="T22" s="112">
        <v>4</v>
      </c>
      <c r="U22" s="112" t="b">
        <v>0</v>
      </c>
      <c r="V22" s="112" t="s">
        <v>200</v>
      </c>
      <c r="W22" s="112" t="s">
        <v>201</v>
      </c>
      <c r="X22" s="112" t="s">
        <v>202</v>
      </c>
      <c r="Y22" s="112">
        <v>0</v>
      </c>
      <c r="Z22" s="112" t="s">
        <v>203</v>
      </c>
      <c r="AA22" s="112">
        <v>8</v>
      </c>
      <c r="AB22" s="112" t="s">
        <v>204</v>
      </c>
      <c r="AC22" s="112">
        <v>8</v>
      </c>
      <c r="AD22" s="112" t="s">
        <v>204</v>
      </c>
      <c r="AG22" s="112">
        <v>2.8</v>
      </c>
      <c r="AH22" s="112">
        <v>3</v>
      </c>
      <c r="AJ22" s="112" t="b">
        <v>0</v>
      </c>
      <c r="AK22" s="112">
        <v>15</v>
      </c>
      <c r="AL22" s="112" t="s">
        <v>213</v>
      </c>
      <c r="AM22" s="112">
        <v>2800</v>
      </c>
      <c r="AN22" s="112">
        <v>8</v>
      </c>
      <c r="AO22" s="112" t="s">
        <v>204</v>
      </c>
      <c r="AR22" s="112">
        <v>3</v>
      </c>
      <c r="AT22" s="112" t="b">
        <v>0</v>
      </c>
      <c r="AU22" s="112">
        <v>2.8</v>
      </c>
      <c r="AV22" s="112">
        <v>3</v>
      </c>
      <c r="AX22" s="112" t="b">
        <v>0</v>
      </c>
      <c r="AY22" s="112">
        <v>0</v>
      </c>
      <c r="BB22" s="112" t="b">
        <v>0</v>
      </c>
      <c r="BC22" s="112">
        <v>115793.16800000001</v>
      </c>
      <c r="BE22" s="112">
        <v>115793.16800000001</v>
      </c>
      <c r="BF22" s="112" t="b">
        <v>1</v>
      </c>
      <c r="BG22" s="112">
        <v>59926.824000000001</v>
      </c>
      <c r="BH22" s="112">
        <v>-0.48246666849982034</v>
      </c>
      <c r="BI22" s="112">
        <v>0</v>
      </c>
      <c r="BJ22" s="112" t="b">
        <v>0</v>
      </c>
      <c r="BK22" s="112">
        <v>0</v>
      </c>
      <c r="BL22" s="112" t="b">
        <v>0</v>
      </c>
      <c r="BM22" s="112" t="b">
        <v>1</v>
      </c>
    </row>
    <row r="23" spans="1:65" hidden="1">
      <c r="A23" s="112" t="s">
        <v>187</v>
      </c>
      <c r="B23" s="112" t="s">
        <v>188</v>
      </c>
      <c r="C23" s="112">
        <v>20180101</v>
      </c>
      <c r="D23" s="112">
        <v>2018</v>
      </c>
      <c r="E23" s="112">
        <v>52</v>
      </c>
      <c r="F23" s="112" t="s">
        <v>227</v>
      </c>
      <c r="G23" s="112">
        <v>757</v>
      </c>
      <c r="H23" s="112" t="s">
        <v>225</v>
      </c>
      <c r="I23" s="112" t="s">
        <v>226</v>
      </c>
      <c r="J23" s="112" t="s">
        <v>251</v>
      </c>
      <c r="K23" s="112" t="s">
        <v>252</v>
      </c>
      <c r="L23" s="112">
        <v>686</v>
      </c>
      <c r="M23" s="112" t="s">
        <v>190</v>
      </c>
      <c r="N23" s="112" t="s">
        <v>191</v>
      </c>
      <c r="O23" s="112" t="s">
        <v>196</v>
      </c>
      <c r="P23" s="112" t="s">
        <v>197</v>
      </c>
      <c r="Q23" s="112" t="b">
        <v>1</v>
      </c>
      <c r="R23" s="112" t="s">
        <v>198</v>
      </c>
      <c r="S23" s="112" t="s">
        <v>199</v>
      </c>
      <c r="T23" s="112">
        <v>4</v>
      </c>
      <c r="U23" s="112" t="b">
        <v>0</v>
      </c>
      <c r="V23" s="112" t="s">
        <v>200</v>
      </c>
      <c r="W23" s="112" t="s">
        <v>201</v>
      </c>
      <c r="X23" s="112" t="s">
        <v>202</v>
      </c>
      <c r="Y23" s="112">
        <v>0</v>
      </c>
      <c r="Z23" s="112" t="s">
        <v>203</v>
      </c>
      <c r="AA23" s="112">
        <v>8</v>
      </c>
      <c r="AB23" s="112" t="s">
        <v>204</v>
      </c>
      <c r="AC23" s="112">
        <v>8</v>
      </c>
      <c r="AD23" s="112" t="s">
        <v>204</v>
      </c>
      <c r="AG23" s="112">
        <v>13436</v>
      </c>
      <c r="AH23" s="112">
        <v>12446</v>
      </c>
      <c r="AJ23" s="112" t="b">
        <v>0</v>
      </c>
      <c r="AK23" s="112">
        <v>8</v>
      </c>
      <c r="AL23" s="112" t="s">
        <v>204</v>
      </c>
      <c r="AM23" s="112">
        <v>13436</v>
      </c>
      <c r="AN23" s="112">
        <v>8</v>
      </c>
      <c r="AO23" s="112" t="s">
        <v>204</v>
      </c>
      <c r="AR23" s="112">
        <v>12446</v>
      </c>
      <c r="AT23" s="112" t="b">
        <v>0</v>
      </c>
      <c r="AU23" s="112">
        <v>13436</v>
      </c>
      <c r="AV23" s="112">
        <v>12446</v>
      </c>
      <c r="AX23" s="112" t="b">
        <v>0</v>
      </c>
      <c r="AY23" s="112">
        <v>0</v>
      </c>
      <c r="BB23" s="112" t="b">
        <v>0</v>
      </c>
      <c r="BC23" s="112">
        <v>500809858.685</v>
      </c>
      <c r="BD23" s="112">
        <v>0</v>
      </c>
      <c r="BE23" s="112">
        <v>500809858.685</v>
      </c>
      <c r="BF23" s="112" t="b">
        <v>1</v>
      </c>
      <c r="BG23" s="112">
        <v>512503505.18400002</v>
      </c>
      <c r="BH23" s="112">
        <v>2.3349473450272162E-2</v>
      </c>
      <c r="BI23" s="112">
        <v>0</v>
      </c>
      <c r="BJ23" s="112" t="b">
        <v>0</v>
      </c>
      <c r="BK23" s="112">
        <v>0</v>
      </c>
      <c r="BL23" s="112" t="b">
        <v>0</v>
      </c>
      <c r="BM23" s="112" t="b">
        <v>1</v>
      </c>
    </row>
    <row r="24" spans="1:65" hidden="1">
      <c r="A24" s="112" t="s">
        <v>187</v>
      </c>
      <c r="B24" s="112" t="s">
        <v>188</v>
      </c>
      <c r="C24" s="112">
        <v>20180101</v>
      </c>
      <c r="D24" s="112">
        <v>2018</v>
      </c>
      <c r="E24" s="112">
        <v>52</v>
      </c>
      <c r="F24" s="112" t="s">
        <v>227</v>
      </c>
      <c r="G24" s="112">
        <v>784</v>
      </c>
      <c r="H24" s="112" t="s">
        <v>234</v>
      </c>
      <c r="I24" s="112" t="s">
        <v>235</v>
      </c>
      <c r="J24" s="112" t="s">
        <v>251</v>
      </c>
      <c r="K24" s="112" t="s">
        <v>252</v>
      </c>
      <c r="L24" s="112">
        <v>686</v>
      </c>
      <c r="M24" s="112" t="s">
        <v>190</v>
      </c>
      <c r="N24" s="112" t="s">
        <v>191</v>
      </c>
      <c r="O24" s="112" t="s">
        <v>196</v>
      </c>
      <c r="P24" s="112" t="s">
        <v>197</v>
      </c>
      <c r="Q24" s="112" t="b">
        <v>1</v>
      </c>
      <c r="R24" s="112" t="s">
        <v>198</v>
      </c>
      <c r="S24" s="112" t="s">
        <v>199</v>
      </c>
      <c r="T24" s="112">
        <v>4</v>
      </c>
      <c r="U24" s="112" t="b">
        <v>0</v>
      </c>
      <c r="V24" s="112" t="s">
        <v>200</v>
      </c>
      <c r="W24" s="112" t="s">
        <v>201</v>
      </c>
      <c r="X24" s="112" t="s">
        <v>202</v>
      </c>
      <c r="Y24" s="112">
        <v>0</v>
      </c>
      <c r="Z24" s="112" t="s">
        <v>203</v>
      </c>
      <c r="AA24" s="112">
        <v>8</v>
      </c>
      <c r="AB24" s="112" t="s">
        <v>204</v>
      </c>
      <c r="AC24" s="112">
        <v>8</v>
      </c>
      <c r="AD24" s="112" t="s">
        <v>204</v>
      </c>
      <c r="AG24" s="112">
        <v>4819.79</v>
      </c>
      <c r="AH24" s="112">
        <v>2209</v>
      </c>
      <c r="AJ24" s="112" t="b">
        <v>0</v>
      </c>
      <c r="AK24" s="112">
        <v>8</v>
      </c>
      <c r="AL24" s="112" t="s">
        <v>204</v>
      </c>
      <c r="AM24" s="112">
        <v>4819.79</v>
      </c>
      <c r="AN24" s="112">
        <v>8</v>
      </c>
      <c r="AO24" s="112" t="s">
        <v>204</v>
      </c>
      <c r="AR24" s="112">
        <v>2209</v>
      </c>
      <c r="AT24" s="112" t="b">
        <v>0</v>
      </c>
      <c r="AU24" s="112">
        <v>4819.79</v>
      </c>
      <c r="AV24" s="112">
        <v>2209</v>
      </c>
      <c r="AX24" s="112" t="b">
        <v>0</v>
      </c>
      <c r="AY24" s="112">
        <v>0</v>
      </c>
      <c r="BB24" s="112" t="b">
        <v>0</v>
      </c>
      <c r="BC24" s="112">
        <v>167269387.57699999</v>
      </c>
      <c r="BD24" s="112">
        <v>0</v>
      </c>
      <c r="BE24" s="112">
        <v>167269387.57699999</v>
      </c>
      <c r="BF24" s="112" t="b">
        <v>1</v>
      </c>
      <c r="BG24" s="112">
        <v>46106326.458999999</v>
      </c>
      <c r="BH24" s="112">
        <v>-0.72435884935744366</v>
      </c>
      <c r="BI24" s="112">
        <v>0</v>
      </c>
      <c r="BJ24" s="112" t="b">
        <v>0</v>
      </c>
      <c r="BK24" s="112">
        <v>0</v>
      </c>
      <c r="BL24" s="112" t="b">
        <v>0</v>
      </c>
      <c r="BM24" s="112" t="b">
        <v>1</v>
      </c>
    </row>
    <row r="25" spans="1:65" hidden="1">
      <c r="A25" s="112" t="s">
        <v>187</v>
      </c>
      <c r="B25" s="112" t="s">
        <v>188</v>
      </c>
      <c r="C25" s="112">
        <v>20180101</v>
      </c>
      <c r="D25" s="112">
        <v>2018</v>
      </c>
      <c r="E25" s="112">
        <v>52</v>
      </c>
      <c r="F25" s="112" t="s">
        <v>227</v>
      </c>
      <c r="G25" s="112">
        <v>792</v>
      </c>
      <c r="H25" s="112" t="s">
        <v>211</v>
      </c>
      <c r="I25" s="112" t="s">
        <v>212</v>
      </c>
      <c r="J25" s="112" t="s">
        <v>251</v>
      </c>
      <c r="K25" s="112" t="s">
        <v>252</v>
      </c>
      <c r="L25" s="112">
        <v>686</v>
      </c>
      <c r="M25" s="112" t="s">
        <v>190</v>
      </c>
      <c r="N25" s="112" t="s">
        <v>191</v>
      </c>
      <c r="O25" s="112" t="s">
        <v>196</v>
      </c>
      <c r="P25" s="112" t="s">
        <v>197</v>
      </c>
      <c r="Q25" s="112" t="b">
        <v>1</v>
      </c>
      <c r="R25" s="112" t="s">
        <v>198</v>
      </c>
      <c r="S25" s="112" t="s">
        <v>199</v>
      </c>
      <c r="T25" s="112">
        <v>4</v>
      </c>
      <c r="U25" s="112" t="b">
        <v>0</v>
      </c>
      <c r="V25" s="112" t="s">
        <v>200</v>
      </c>
      <c r="W25" s="112" t="s">
        <v>201</v>
      </c>
      <c r="X25" s="112" t="s">
        <v>202</v>
      </c>
      <c r="Y25" s="112">
        <v>0</v>
      </c>
      <c r="Z25" s="112" t="s">
        <v>203</v>
      </c>
      <c r="AA25" s="112">
        <v>8</v>
      </c>
      <c r="AB25" s="112" t="s">
        <v>204</v>
      </c>
      <c r="AG25" s="112">
        <v>15.64</v>
      </c>
      <c r="AJ25" s="112" t="b">
        <v>0</v>
      </c>
      <c r="AK25" s="112">
        <v>15</v>
      </c>
      <c r="AL25" s="112" t="s">
        <v>213</v>
      </c>
      <c r="AM25" s="112">
        <v>15640</v>
      </c>
      <c r="AT25" s="112" t="b">
        <v>0</v>
      </c>
      <c r="AU25" s="112">
        <v>16</v>
      </c>
      <c r="AX25" s="112" t="b">
        <v>0</v>
      </c>
      <c r="AY25" s="112">
        <v>0</v>
      </c>
      <c r="BB25" s="112" t="b">
        <v>0</v>
      </c>
      <c r="BC25" s="112">
        <v>541291</v>
      </c>
      <c r="BD25" s="112">
        <v>522902</v>
      </c>
      <c r="BE25" s="112">
        <v>541291</v>
      </c>
      <c r="BF25" s="112" t="b">
        <v>1</v>
      </c>
      <c r="BG25" s="112">
        <v>0</v>
      </c>
      <c r="BH25" s="112">
        <v>-1</v>
      </c>
      <c r="BI25" s="112">
        <v>0</v>
      </c>
      <c r="BJ25" s="112" t="b">
        <v>0</v>
      </c>
      <c r="BK25" s="112">
        <v>0</v>
      </c>
      <c r="BL25" s="112" t="b">
        <v>0</v>
      </c>
      <c r="BM25" s="112" t="b">
        <v>1</v>
      </c>
    </row>
    <row r="26" spans="1:65" hidden="1">
      <c r="A26" s="112" t="s">
        <v>187</v>
      </c>
      <c r="B26" s="112" t="s">
        <v>188</v>
      </c>
      <c r="C26" s="112">
        <v>20180101</v>
      </c>
      <c r="D26" s="112">
        <v>2018</v>
      </c>
      <c r="E26" s="112">
        <v>52</v>
      </c>
      <c r="F26" s="112" t="s">
        <v>227</v>
      </c>
      <c r="G26" s="112">
        <v>842</v>
      </c>
      <c r="H26" s="112" t="s">
        <v>255</v>
      </c>
      <c r="I26" s="112" t="s">
        <v>255</v>
      </c>
      <c r="J26" s="112" t="s">
        <v>251</v>
      </c>
      <c r="K26" s="112" t="s">
        <v>252</v>
      </c>
      <c r="L26" s="112">
        <v>686</v>
      </c>
      <c r="M26" s="112" t="s">
        <v>190</v>
      </c>
      <c r="N26" s="112" t="s">
        <v>191</v>
      </c>
      <c r="O26" s="112" t="s">
        <v>196</v>
      </c>
      <c r="P26" s="112" t="s">
        <v>197</v>
      </c>
      <c r="Q26" s="112" t="b">
        <v>1</v>
      </c>
      <c r="R26" s="112" t="s">
        <v>198</v>
      </c>
      <c r="S26" s="112" t="s">
        <v>199</v>
      </c>
      <c r="T26" s="112">
        <v>4</v>
      </c>
      <c r="U26" s="112" t="b">
        <v>0</v>
      </c>
      <c r="V26" s="112" t="s">
        <v>200</v>
      </c>
      <c r="W26" s="112" t="s">
        <v>201</v>
      </c>
      <c r="X26" s="112" t="s">
        <v>202</v>
      </c>
      <c r="Y26" s="112">
        <v>0</v>
      </c>
      <c r="Z26" s="112" t="s">
        <v>203</v>
      </c>
      <c r="AA26" s="112">
        <v>8</v>
      </c>
      <c r="AB26" s="112" t="s">
        <v>204</v>
      </c>
      <c r="AG26" s="112">
        <v>20.033999999999999</v>
      </c>
      <c r="AJ26" s="112" t="b">
        <v>0</v>
      </c>
      <c r="AK26" s="112">
        <v>-1</v>
      </c>
      <c r="AL26" s="112" t="s">
        <v>205</v>
      </c>
      <c r="AM26" s="112">
        <v>0</v>
      </c>
      <c r="AT26" s="112" t="b">
        <v>0</v>
      </c>
      <c r="AU26" s="112">
        <v>20.033999999999999</v>
      </c>
      <c r="AX26" s="112" t="b">
        <v>0</v>
      </c>
      <c r="AY26" s="112">
        <v>0</v>
      </c>
      <c r="BB26" s="112" t="b">
        <v>0</v>
      </c>
      <c r="BC26" s="112">
        <v>801860</v>
      </c>
      <c r="BD26" s="112">
        <v>0</v>
      </c>
      <c r="BE26" s="112">
        <v>801860</v>
      </c>
      <c r="BF26" s="112" t="b">
        <v>1</v>
      </c>
      <c r="BG26" s="112">
        <v>0</v>
      </c>
      <c r="BH26" s="112">
        <v>-1</v>
      </c>
      <c r="BI26" s="112">
        <v>0</v>
      </c>
      <c r="BJ26" s="112" t="b">
        <v>0</v>
      </c>
      <c r="BK26" s="112">
        <v>0</v>
      </c>
      <c r="BL26" s="112" t="b">
        <v>0</v>
      </c>
      <c r="BM26" s="112" t="b">
        <v>1</v>
      </c>
    </row>
    <row r="27" spans="1:65" hidden="1">
      <c r="A27" s="112" t="s">
        <v>187</v>
      </c>
      <c r="B27" s="112" t="s">
        <v>188</v>
      </c>
      <c r="C27" s="112">
        <v>20190101</v>
      </c>
      <c r="D27" s="112">
        <v>2019</v>
      </c>
      <c r="E27" s="112">
        <v>52</v>
      </c>
      <c r="F27" s="112" t="s">
        <v>214</v>
      </c>
      <c r="G27" s="112">
        <v>380</v>
      </c>
      <c r="H27" s="112" t="s">
        <v>218</v>
      </c>
      <c r="I27" s="112" t="s">
        <v>219</v>
      </c>
      <c r="J27" s="112" t="s">
        <v>251</v>
      </c>
      <c r="K27" s="112" t="s">
        <v>252</v>
      </c>
      <c r="L27" s="112">
        <v>686</v>
      </c>
      <c r="M27" s="112" t="s">
        <v>190</v>
      </c>
      <c r="N27" s="112" t="s">
        <v>191</v>
      </c>
      <c r="O27" s="112" t="s">
        <v>196</v>
      </c>
      <c r="P27" s="112" t="s">
        <v>197</v>
      </c>
      <c r="Q27" s="112" t="b">
        <v>1</v>
      </c>
      <c r="R27" s="112" t="s">
        <v>198</v>
      </c>
      <c r="S27" s="112" t="s">
        <v>199</v>
      </c>
      <c r="T27" s="112">
        <v>4</v>
      </c>
      <c r="U27" s="112" t="b">
        <v>0</v>
      </c>
      <c r="V27" s="112" t="s">
        <v>200</v>
      </c>
      <c r="W27" s="112" t="s">
        <v>201</v>
      </c>
      <c r="X27" s="112" t="s">
        <v>202</v>
      </c>
      <c r="Y27" s="112">
        <v>0</v>
      </c>
      <c r="Z27" s="112" t="s">
        <v>203</v>
      </c>
      <c r="AA27" s="112">
        <v>8</v>
      </c>
      <c r="AB27" s="112" t="s">
        <v>204</v>
      </c>
      <c r="AC27" s="112">
        <v>8</v>
      </c>
      <c r="AD27" s="112" t="s">
        <v>204</v>
      </c>
      <c r="AG27" s="112">
        <v>165.702</v>
      </c>
      <c r="AH27" s="112">
        <v>211</v>
      </c>
      <c r="AJ27" s="112" t="b">
        <v>0</v>
      </c>
      <c r="AK27" s="112">
        <v>-1</v>
      </c>
      <c r="AL27" s="112" t="s">
        <v>205</v>
      </c>
      <c r="AM27" s="112">
        <v>0</v>
      </c>
      <c r="AN27" s="112">
        <v>8</v>
      </c>
      <c r="AO27" s="112" t="s">
        <v>204</v>
      </c>
      <c r="AR27" s="112">
        <v>211</v>
      </c>
      <c r="AT27" s="112" t="b">
        <v>0</v>
      </c>
      <c r="AU27" s="112">
        <v>168</v>
      </c>
      <c r="AV27" s="112">
        <v>211</v>
      </c>
      <c r="AX27" s="112" t="b">
        <v>0</v>
      </c>
      <c r="AY27" s="112">
        <v>0</v>
      </c>
      <c r="AZ27" s="112">
        <v>0</v>
      </c>
      <c r="BB27" s="112" t="b">
        <v>0</v>
      </c>
      <c r="BC27" s="112">
        <v>6102623.5410000002</v>
      </c>
      <c r="BE27" s="112">
        <v>6102623.5410000002</v>
      </c>
      <c r="BF27" s="112" t="b">
        <v>1</v>
      </c>
      <c r="BG27" s="112">
        <v>3972481.0189999999</v>
      </c>
      <c r="BH27" s="112">
        <v>-0.34905356813980148</v>
      </c>
      <c r="BI27" s="112">
        <v>0</v>
      </c>
      <c r="BJ27" s="112" t="b">
        <v>0</v>
      </c>
      <c r="BK27" s="112">
        <v>0</v>
      </c>
      <c r="BL27" s="112" t="b">
        <v>0</v>
      </c>
      <c r="BM27" s="112" t="b">
        <v>1</v>
      </c>
    </row>
    <row r="28" spans="1:65" hidden="1">
      <c r="A28" s="112" t="s">
        <v>187</v>
      </c>
      <c r="B28" s="112" t="s">
        <v>188</v>
      </c>
      <c r="C28" s="112">
        <v>20190101</v>
      </c>
      <c r="D28" s="112">
        <v>2019</v>
      </c>
      <c r="E28" s="112">
        <v>52</v>
      </c>
      <c r="F28" s="112" t="s">
        <v>214</v>
      </c>
      <c r="G28" s="112">
        <v>524</v>
      </c>
      <c r="H28" s="112" t="s">
        <v>256</v>
      </c>
      <c r="I28" s="112" t="s">
        <v>257</v>
      </c>
      <c r="J28" s="112" t="s">
        <v>251</v>
      </c>
      <c r="K28" s="112" t="s">
        <v>252</v>
      </c>
      <c r="L28" s="112">
        <v>686</v>
      </c>
      <c r="M28" s="112" t="s">
        <v>190</v>
      </c>
      <c r="N28" s="112" t="s">
        <v>191</v>
      </c>
      <c r="O28" s="112" t="s">
        <v>196</v>
      </c>
      <c r="P28" s="112" t="s">
        <v>197</v>
      </c>
      <c r="Q28" s="112" t="b">
        <v>1</v>
      </c>
      <c r="R28" s="112" t="s">
        <v>198</v>
      </c>
      <c r="S28" s="112" t="s">
        <v>199</v>
      </c>
      <c r="T28" s="112">
        <v>4</v>
      </c>
      <c r="U28" s="112" t="b">
        <v>0</v>
      </c>
      <c r="V28" s="112" t="s">
        <v>200</v>
      </c>
      <c r="W28" s="112" t="s">
        <v>201</v>
      </c>
      <c r="X28" s="112" t="s">
        <v>202</v>
      </c>
      <c r="Y28" s="112">
        <v>0</v>
      </c>
      <c r="Z28" s="112" t="s">
        <v>203</v>
      </c>
      <c r="AA28" s="112">
        <v>8</v>
      </c>
      <c r="AB28" s="112" t="s">
        <v>204</v>
      </c>
      <c r="AG28" s="112">
        <v>1.0999999999999999E-2</v>
      </c>
      <c r="AJ28" s="112" t="b">
        <v>1</v>
      </c>
      <c r="AK28" s="112">
        <v>-1</v>
      </c>
      <c r="AL28" s="112" t="s">
        <v>205</v>
      </c>
      <c r="AM28" s="112">
        <v>0</v>
      </c>
      <c r="AT28" s="112" t="b">
        <v>0</v>
      </c>
      <c r="AU28" s="112">
        <v>1.0999999999999999E-2</v>
      </c>
      <c r="AX28" s="112" t="b">
        <v>1</v>
      </c>
      <c r="AY28" s="112">
        <v>0</v>
      </c>
      <c r="BB28" s="112" t="b">
        <v>0</v>
      </c>
      <c r="BC28" s="112">
        <v>446.18</v>
      </c>
      <c r="BD28" s="112">
        <v>0</v>
      </c>
      <c r="BE28" s="112">
        <v>446.18</v>
      </c>
      <c r="BF28" s="112" t="b">
        <v>1</v>
      </c>
      <c r="BG28" s="112">
        <v>0</v>
      </c>
      <c r="BH28" s="112">
        <v>-1</v>
      </c>
      <c r="BI28" s="112">
        <v>0</v>
      </c>
      <c r="BJ28" s="112" t="b">
        <v>0</v>
      </c>
      <c r="BK28" s="112">
        <v>6</v>
      </c>
      <c r="BL28" s="112" t="b">
        <v>0</v>
      </c>
      <c r="BM28" s="112" t="b">
        <v>1</v>
      </c>
    </row>
    <row r="29" spans="1:65" hidden="1">
      <c r="A29" s="112" t="s">
        <v>187</v>
      </c>
      <c r="B29" s="112" t="s">
        <v>188</v>
      </c>
      <c r="C29" s="112">
        <v>20190101</v>
      </c>
      <c r="D29" s="112">
        <v>2019</v>
      </c>
      <c r="E29" s="112">
        <v>52</v>
      </c>
      <c r="F29" s="112" t="s">
        <v>214</v>
      </c>
      <c r="G29" s="112">
        <v>562</v>
      </c>
      <c r="H29" s="112" t="s">
        <v>258</v>
      </c>
      <c r="I29" s="112" t="s">
        <v>259</v>
      </c>
      <c r="J29" s="112" t="s">
        <v>251</v>
      </c>
      <c r="K29" s="112" t="s">
        <v>252</v>
      </c>
      <c r="L29" s="112">
        <v>686</v>
      </c>
      <c r="M29" s="112" t="s">
        <v>190</v>
      </c>
      <c r="N29" s="112" t="s">
        <v>191</v>
      </c>
      <c r="O29" s="112" t="s">
        <v>196</v>
      </c>
      <c r="P29" s="112" t="s">
        <v>197</v>
      </c>
      <c r="Q29" s="112" t="b">
        <v>1</v>
      </c>
      <c r="R29" s="112" t="s">
        <v>198</v>
      </c>
      <c r="S29" s="112" t="s">
        <v>199</v>
      </c>
      <c r="T29" s="112">
        <v>4</v>
      </c>
      <c r="U29" s="112" t="b">
        <v>0</v>
      </c>
      <c r="V29" s="112" t="s">
        <v>200</v>
      </c>
      <c r="W29" s="112" t="s">
        <v>201</v>
      </c>
      <c r="X29" s="112" t="s">
        <v>202</v>
      </c>
      <c r="Y29" s="112">
        <v>0</v>
      </c>
      <c r="Z29" s="112" t="s">
        <v>203</v>
      </c>
      <c r="AA29" s="112">
        <v>8</v>
      </c>
      <c r="AB29" s="112" t="s">
        <v>204</v>
      </c>
      <c r="AG29" s="112">
        <v>1</v>
      </c>
      <c r="AJ29" s="112" t="b">
        <v>0</v>
      </c>
      <c r="AK29" s="112">
        <v>8</v>
      </c>
      <c r="AL29" s="112" t="s">
        <v>204</v>
      </c>
      <c r="AM29" s="112">
        <v>1</v>
      </c>
      <c r="AT29" s="112" t="b">
        <v>0</v>
      </c>
      <c r="AU29" s="112">
        <v>1</v>
      </c>
      <c r="AX29" s="112" t="b">
        <v>0</v>
      </c>
      <c r="AY29" s="112">
        <v>0</v>
      </c>
      <c r="BB29" s="112" t="b">
        <v>0</v>
      </c>
      <c r="BC29" s="112">
        <v>313.60000000000002</v>
      </c>
      <c r="BE29" s="112">
        <v>313.60000000000002</v>
      </c>
      <c r="BF29" s="112" t="b">
        <v>1</v>
      </c>
      <c r="BG29" s="112">
        <v>0</v>
      </c>
      <c r="BH29" s="112">
        <v>-1</v>
      </c>
      <c r="BI29" s="112">
        <v>0</v>
      </c>
      <c r="BJ29" s="112" t="b">
        <v>0</v>
      </c>
      <c r="BK29" s="112">
        <v>0</v>
      </c>
      <c r="BL29" s="112" t="b">
        <v>0</v>
      </c>
      <c r="BM29" s="112" t="b">
        <v>1</v>
      </c>
    </row>
    <row r="30" spans="1:65" hidden="1">
      <c r="A30" s="112" t="s">
        <v>187</v>
      </c>
      <c r="B30" s="112" t="s">
        <v>188</v>
      </c>
      <c r="C30" s="112">
        <v>20190101</v>
      </c>
      <c r="D30" s="112">
        <v>2019</v>
      </c>
      <c r="E30" s="112">
        <v>52</v>
      </c>
      <c r="F30" s="112" t="s">
        <v>214</v>
      </c>
      <c r="G30" s="112">
        <v>757</v>
      </c>
      <c r="H30" s="112" t="s">
        <v>225</v>
      </c>
      <c r="I30" s="112" t="s">
        <v>226</v>
      </c>
      <c r="J30" s="112" t="s">
        <v>251</v>
      </c>
      <c r="K30" s="112" t="s">
        <v>252</v>
      </c>
      <c r="L30" s="112">
        <v>686</v>
      </c>
      <c r="M30" s="112" t="s">
        <v>190</v>
      </c>
      <c r="N30" s="112" t="s">
        <v>191</v>
      </c>
      <c r="O30" s="112" t="s">
        <v>196</v>
      </c>
      <c r="P30" s="112" t="s">
        <v>197</v>
      </c>
      <c r="Q30" s="112" t="b">
        <v>1</v>
      </c>
      <c r="R30" s="112" t="s">
        <v>198</v>
      </c>
      <c r="S30" s="112" t="s">
        <v>199</v>
      </c>
      <c r="T30" s="112">
        <v>4</v>
      </c>
      <c r="U30" s="112" t="b">
        <v>0</v>
      </c>
      <c r="V30" s="112" t="s">
        <v>200</v>
      </c>
      <c r="W30" s="112" t="s">
        <v>201</v>
      </c>
      <c r="X30" s="112" t="s">
        <v>202</v>
      </c>
      <c r="Y30" s="112">
        <v>0</v>
      </c>
      <c r="Z30" s="112" t="s">
        <v>203</v>
      </c>
      <c r="AA30" s="112">
        <v>8</v>
      </c>
      <c r="AB30" s="112" t="s">
        <v>204</v>
      </c>
      <c r="AC30" s="112">
        <v>8</v>
      </c>
      <c r="AD30" s="112" t="s">
        <v>204</v>
      </c>
      <c r="AG30" s="112">
        <v>14569</v>
      </c>
      <c r="AH30" s="112">
        <v>13134</v>
      </c>
      <c r="AJ30" s="112" t="b">
        <v>0</v>
      </c>
      <c r="AK30" s="112">
        <v>8</v>
      </c>
      <c r="AL30" s="112" t="s">
        <v>204</v>
      </c>
      <c r="AM30" s="112">
        <v>14569</v>
      </c>
      <c r="AN30" s="112">
        <v>8</v>
      </c>
      <c r="AO30" s="112" t="s">
        <v>204</v>
      </c>
      <c r="AR30" s="112">
        <v>13134</v>
      </c>
      <c r="AT30" s="112" t="b">
        <v>0</v>
      </c>
      <c r="AU30" s="112">
        <v>14569</v>
      </c>
      <c r="AV30" s="112">
        <v>13134</v>
      </c>
      <c r="AX30" s="112" t="b">
        <v>0</v>
      </c>
      <c r="AY30" s="112">
        <v>0</v>
      </c>
      <c r="AZ30" s="112">
        <v>0</v>
      </c>
      <c r="BB30" s="112" t="b">
        <v>0</v>
      </c>
      <c r="BC30" s="112">
        <v>590114985.82500005</v>
      </c>
      <c r="BD30" s="112">
        <v>0</v>
      </c>
      <c r="BE30" s="112">
        <v>590114985.82500005</v>
      </c>
      <c r="BF30" s="112" t="b">
        <v>1</v>
      </c>
      <c r="BG30" s="112">
        <v>583153453.59800005</v>
      </c>
      <c r="BH30" s="112">
        <v>-1.1796908050500599E-2</v>
      </c>
      <c r="BI30" s="112">
        <v>0</v>
      </c>
      <c r="BJ30" s="112" t="b">
        <v>0</v>
      </c>
      <c r="BK30" s="112">
        <v>0</v>
      </c>
      <c r="BL30" s="112" t="b">
        <v>0</v>
      </c>
      <c r="BM30" s="112" t="b">
        <v>1</v>
      </c>
    </row>
    <row r="31" spans="1:65" hidden="1">
      <c r="A31" s="112" t="s">
        <v>187</v>
      </c>
      <c r="B31" s="112" t="s">
        <v>188</v>
      </c>
      <c r="C31" s="112">
        <v>20190101</v>
      </c>
      <c r="D31" s="112">
        <v>2019</v>
      </c>
      <c r="E31" s="112">
        <v>52</v>
      </c>
      <c r="F31" s="112" t="s">
        <v>214</v>
      </c>
      <c r="G31" s="112">
        <v>784</v>
      </c>
      <c r="H31" s="112" t="s">
        <v>234</v>
      </c>
      <c r="I31" s="112" t="s">
        <v>235</v>
      </c>
      <c r="J31" s="112" t="s">
        <v>251</v>
      </c>
      <c r="K31" s="112" t="s">
        <v>252</v>
      </c>
      <c r="L31" s="112">
        <v>686</v>
      </c>
      <c r="M31" s="112" t="s">
        <v>190</v>
      </c>
      <c r="N31" s="112" t="s">
        <v>191</v>
      </c>
      <c r="O31" s="112" t="s">
        <v>196</v>
      </c>
      <c r="P31" s="112" t="s">
        <v>197</v>
      </c>
      <c r="Q31" s="112" t="b">
        <v>1</v>
      </c>
      <c r="R31" s="112" t="s">
        <v>198</v>
      </c>
      <c r="S31" s="112" t="s">
        <v>199</v>
      </c>
      <c r="T31" s="112">
        <v>4</v>
      </c>
      <c r="U31" s="112" t="b">
        <v>0</v>
      </c>
      <c r="V31" s="112" t="s">
        <v>200</v>
      </c>
      <c r="W31" s="112" t="s">
        <v>201</v>
      </c>
      <c r="X31" s="112" t="s">
        <v>202</v>
      </c>
      <c r="Y31" s="112">
        <v>0</v>
      </c>
      <c r="Z31" s="112" t="s">
        <v>203</v>
      </c>
      <c r="AA31" s="112">
        <v>8</v>
      </c>
      <c r="AB31" s="112" t="s">
        <v>204</v>
      </c>
      <c r="AC31" s="112">
        <v>8</v>
      </c>
      <c r="AD31" s="112" t="s">
        <v>204</v>
      </c>
      <c r="AG31" s="112">
        <v>4159.21</v>
      </c>
      <c r="AH31" s="112">
        <v>2721</v>
      </c>
      <c r="AJ31" s="112" t="b">
        <v>0</v>
      </c>
      <c r="AK31" s="112">
        <v>8</v>
      </c>
      <c r="AL31" s="112" t="s">
        <v>204</v>
      </c>
      <c r="AM31" s="112">
        <v>4159.21</v>
      </c>
      <c r="AN31" s="112">
        <v>8</v>
      </c>
      <c r="AO31" s="112" t="s">
        <v>204</v>
      </c>
      <c r="AR31" s="112">
        <v>2721</v>
      </c>
      <c r="AT31" s="112" t="b">
        <v>0</v>
      </c>
      <c r="AU31" s="112">
        <v>4159.21</v>
      </c>
      <c r="AV31" s="112">
        <v>2721</v>
      </c>
      <c r="AX31" s="112" t="b">
        <v>0</v>
      </c>
      <c r="AY31" s="112">
        <v>0</v>
      </c>
      <c r="AZ31" s="112">
        <v>0</v>
      </c>
      <c r="BB31" s="112" t="b">
        <v>0</v>
      </c>
      <c r="BC31" s="112">
        <v>167462983.729</v>
      </c>
      <c r="BD31" s="112">
        <v>0</v>
      </c>
      <c r="BE31" s="112">
        <v>167462983.729</v>
      </c>
      <c r="BF31" s="112" t="b">
        <v>1</v>
      </c>
      <c r="BG31" s="112">
        <v>54471704.689999998</v>
      </c>
      <c r="BH31" s="112">
        <v>-0.6747239092661228</v>
      </c>
      <c r="BI31" s="112">
        <v>0</v>
      </c>
      <c r="BJ31" s="112" t="b">
        <v>0</v>
      </c>
      <c r="BK31" s="112">
        <v>0</v>
      </c>
      <c r="BL31" s="112" t="b">
        <v>0</v>
      </c>
      <c r="BM31" s="112" t="b">
        <v>1</v>
      </c>
    </row>
    <row r="32" spans="1:65" hidden="1">
      <c r="A32" s="112" t="s">
        <v>187</v>
      </c>
      <c r="B32" s="112" t="s">
        <v>188</v>
      </c>
      <c r="C32" s="112">
        <v>20190101</v>
      </c>
      <c r="D32" s="112">
        <v>2019</v>
      </c>
      <c r="E32" s="112">
        <v>52</v>
      </c>
      <c r="F32" s="112" t="s">
        <v>214</v>
      </c>
      <c r="G32" s="112">
        <v>792</v>
      </c>
      <c r="H32" s="112" t="s">
        <v>211</v>
      </c>
      <c r="I32" s="112" t="s">
        <v>212</v>
      </c>
      <c r="J32" s="112" t="s">
        <v>251</v>
      </c>
      <c r="K32" s="112" t="s">
        <v>252</v>
      </c>
      <c r="L32" s="112">
        <v>686</v>
      </c>
      <c r="M32" s="112" t="s">
        <v>190</v>
      </c>
      <c r="N32" s="112" t="s">
        <v>191</v>
      </c>
      <c r="O32" s="112" t="s">
        <v>196</v>
      </c>
      <c r="P32" s="112" t="s">
        <v>197</v>
      </c>
      <c r="Q32" s="112" t="b">
        <v>1</v>
      </c>
      <c r="R32" s="112" t="s">
        <v>198</v>
      </c>
      <c r="S32" s="112" t="s">
        <v>199</v>
      </c>
      <c r="T32" s="112">
        <v>4</v>
      </c>
      <c r="U32" s="112" t="b">
        <v>0</v>
      </c>
      <c r="V32" s="112" t="s">
        <v>200</v>
      </c>
      <c r="W32" s="112" t="s">
        <v>201</v>
      </c>
      <c r="X32" s="112" t="s">
        <v>202</v>
      </c>
      <c r="Y32" s="112">
        <v>0</v>
      </c>
      <c r="Z32" s="112" t="s">
        <v>203</v>
      </c>
      <c r="AA32" s="112">
        <v>8</v>
      </c>
      <c r="AB32" s="112" t="s">
        <v>204</v>
      </c>
      <c r="AG32" s="112">
        <v>43.218000000000004</v>
      </c>
      <c r="AJ32" s="112" t="b">
        <v>0</v>
      </c>
      <c r="AK32" s="112">
        <v>15</v>
      </c>
      <c r="AL32" s="112" t="s">
        <v>213</v>
      </c>
      <c r="AM32" s="112">
        <v>43218</v>
      </c>
      <c r="AT32" s="112" t="b">
        <v>0</v>
      </c>
      <c r="AU32" s="112">
        <v>44</v>
      </c>
      <c r="AX32" s="112" t="b">
        <v>0</v>
      </c>
      <c r="AY32" s="112">
        <v>0</v>
      </c>
      <c r="BB32" s="112" t="b">
        <v>0</v>
      </c>
      <c r="BC32" s="112">
        <v>1525810</v>
      </c>
      <c r="BD32" s="112">
        <v>1524114</v>
      </c>
      <c r="BE32" s="112">
        <v>1525810</v>
      </c>
      <c r="BF32" s="112" t="b">
        <v>1</v>
      </c>
      <c r="BG32" s="112">
        <v>0</v>
      </c>
      <c r="BH32" s="112">
        <v>-1</v>
      </c>
      <c r="BI32" s="112">
        <v>0</v>
      </c>
      <c r="BJ32" s="112" t="b">
        <v>0</v>
      </c>
      <c r="BK32" s="112">
        <v>0</v>
      </c>
      <c r="BL32" s="112" t="b">
        <v>0</v>
      </c>
      <c r="BM32" s="112" t="b">
        <v>1</v>
      </c>
    </row>
    <row r="33" spans="1:65">
      <c r="A33" s="112" t="s">
        <v>187</v>
      </c>
      <c r="B33" s="112" t="s">
        <v>188</v>
      </c>
      <c r="C33" s="112">
        <v>20200101</v>
      </c>
      <c r="D33" s="112">
        <v>2020</v>
      </c>
      <c r="E33" s="112">
        <v>52</v>
      </c>
      <c r="F33" s="112" t="s">
        <v>210</v>
      </c>
      <c r="G33" s="112">
        <v>36</v>
      </c>
      <c r="H33" s="112" t="s">
        <v>194</v>
      </c>
      <c r="I33" s="112" t="s">
        <v>195</v>
      </c>
      <c r="J33" s="112" t="s">
        <v>251</v>
      </c>
      <c r="K33" s="112" t="s">
        <v>252</v>
      </c>
      <c r="L33" s="112">
        <v>686</v>
      </c>
      <c r="M33" s="112" t="s">
        <v>190</v>
      </c>
      <c r="N33" s="112" t="s">
        <v>191</v>
      </c>
      <c r="O33" s="112" t="s">
        <v>196</v>
      </c>
      <c r="P33" s="112" t="s">
        <v>197</v>
      </c>
      <c r="Q33" s="112" t="b">
        <v>1</v>
      </c>
      <c r="R33" s="112" t="s">
        <v>198</v>
      </c>
      <c r="S33" s="112" t="s">
        <v>199</v>
      </c>
      <c r="T33" s="112">
        <v>4</v>
      </c>
      <c r="U33" s="112" t="b">
        <v>0</v>
      </c>
      <c r="V33" s="112" t="s">
        <v>200</v>
      </c>
      <c r="W33" s="112" t="s">
        <v>201</v>
      </c>
      <c r="X33" s="112" t="s">
        <v>202</v>
      </c>
      <c r="Y33" s="112">
        <v>0</v>
      </c>
      <c r="Z33" s="112" t="s">
        <v>203</v>
      </c>
      <c r="AA33" s="112">
        <v>8</v>
      </c>
      <c r="AB33" s="112" t="s">
        <v>204</v>
      </c>
      <c r="AC33" s="112">
        <v>8</v>
      </c>
      <c r="AD33" s="112" t="s">
        <v>204</v>
      </c>
      <c r="AG33" s="112">
        <v>3634.4569999999999</v>
      </c>
      <c r="AH33" s="112">
        <v>3980</v>
      </c>
      <c r="AJ33" s="112" t="b">
        <v>1</v>
      </c>
      <c r="AK33" s="112">
        <v>-1</v>
      </c>
      <c r="AL33" s="112" t="s">
        <v>205</v>
      </c>
      <c r="AM33" s="112">
        <v>0</v>
      </c>
      <c r="AN33" s="112">
        <v>8</v>
      </c>
      <c r="AO33" s="112" t="s">
        <v>204</v>
      </c>
      <c r="AR33" s="112">
        <v>3980</v>
      </c>
      <c r="AT33" s="112" t="b">
        <v>0</v>
      </c>
      <c r="AU33" s="112">
        <v>3634.4569999999999</v>
      </c>
      <c r="AV33" s="112">
        <v>3980</v>
      </c>
      <c r="AX33" s="112" t="b">
        <v>1</v>
      </c>
      <c r="AY33" s="112">
        <v>3279.1</v>
      </c>
      <c r="AZ33" s="112">
        <v>0</v>
      </c>
      <c r="BB33" s="112" t="b">
        <v>0</v>
      </c>
      <c r="BC33" s="112">
        <v>194991546.08899999</v>
      </c>
      <c r="BD33" s="112">
        <v>194452415.92699999</v>
      </c>
      <c r="BE33" s="112">
        <v>194991546.08899999</v>
      </c>
      <c r="BF33" s="112" t="b">
        <v>1</v>
      </c>
      <c r="BG33" s="112">
        <v>212750667.588</v>
      </c>
      <c r="BH33" s="112">
        <v>9.107636641279937E-2</v>
      </c>
      <c r="BI33" s="112">
        <v>0</v>
      </c>
      <c r="BJ33" s="112" t="b">
        <v>0</v>
      </c>
      <c r="BK33" s="112">
        <v>6</v>
      </c>
      <c r="BL33" s="112" t="b">
        <v>0</v>
      </c>
      <c r="BM33" s="112" t="b">
        <v>1</v>
      </c>
    </row>
    <row r="34" spans="1:65">
      <c r="A34" s="112" t="s">
        <v>187</v>
      </c>
      <c r="B34" s="112" t="s">
        <v>188</v>
      </c>
      <c r="C34" s="112">
        <v>20200101</v>
      </c>
      <c r="D34" s="112">
        <v>2020</v>
      </c>
      <c r="E34" s="112">
        <v>52</v>
      </c>
      <c r="F34" s="112" t="s">
        <v>210</v>
      </c>
      <c r="G34" s="112">
        <v>380</v>
      </c>
      <c r="H34" s="112" t="s">
        <v>218</v>
      </c>
      <c r="I34" s="112" t="s">
        <v>219</v>
      </c>
      <c r="J34" s="112" t="s">
        <v>251</v>
      </c>
      <c r="K34" s="112" t="s">
        <v>252</v>
      </c>
      <c r="L34" s="112">
        <v>686</v>
      </c>
      <c r="M34" s="112" t="s">
        <v>190</v>
      </c>
      <c r="N34" s="112" t="s">
        <v>191</v>
      </c>
      <c r="O34" s="112" t="s">
        <v>196</v>
      </c>
      <c r="P34" s="112" t="s">
        <v>197</v>
      </c>
      <c r="Q34" s="112" t="b">
        <v>1</v>
      </c>
      <c r="R34" s="112" t="s">
        <v>198</v>
      </c>
      <c r="S34" s="112" t="s">
        <v>199</v>
      </c>
      <c r="T34" s="112">
        <v>4</v>
      </c>
      <c r="U34" s="112" t="b">
        <v>0</v>
      </c>
      <c r="V34" s="112" t="s">
        <v>200</v>
      </c>
      <c r="W34" s="112" t="s">
        <v>201</v>
      </c>
      <c r="X34" s="112" t="s">
        <v>202</v>
      </c>
      <c r="Y34" s="112">
        <v>0</v>
      </c>
      <c r="Z34" s="112" t="s">
        <v>203</v>
      </c>
      <c r="AA34" s="112">
        <v>8</v>
      </c>
      <c r="AB34" s="112" t="s">
        <v>204</v>
      </c>
      <c r="AC34" s="112">
        <v>8</v>
      </c>
      <c r="AD34" s="112" t="s">
        <v>204</v>
      </c>
      <c r="AG34" s="112">
        <v>77.575999999999993</v>
      </c>
      <c r="AH34" s="112">
        <v>81</v>
      </c>
      <c r="AJ34" s="112" t="b">
        <v>0</v>
      </c>
      <c r="AK34" s="112">
        <v>-1</v>
      </c>
      <c r="AL34" s="112" t="s">
        <v>205</v>
      </c>
      <c r="AM34" s="112">
        <v>0</v>
      </c>
      <c r="AN34" s="112">
        <v>8</v>
      </c>
      <c r="AO34" s="112" t="s">
        <v>204</v>
      </c>
      <c r="AR34" s="112">
        <v>81</v>
      </c>
      <c r="AT34" s="112" t="b">
        <v>0</v>
      </c>
      <c r="AU34" s="112">
        <v>78</v>
      </c>
      <c r="AV34" s="112">
        <v>81</v>
      </c>
      <c r="AX34" s="112" t="b">
        <v>0</v>
      </c>
      <c r="AY34" s="112">
        <v>0</v>
      </c>
      <c r="AZ34" s="112">
        <v>0</v>
      </c>
      <c r="BB34" s="112" t="b">
        <v>0</v>
      </c>
      <c r="BC34" s="112">
        <v>3560493.3480000002</v>
      </c>
      <c r="BE34" s="112">
        <v>3560493.3480000002</v>
      </c>
      <c r="BF34" s="112" t="b">
        <v>1</v>
      </c>
      <c r="BG34" s="112">
        <v>1696984.7690000001</v>
      </c>
      <c r="BH34" s="112">
        <v>-0.52338493485650517</v>
      </c>
      <c r="BI34" s="112">
        <v>0</v>
      </c>
      <c r="BJ34" s="112" t="b">
        <v>0</v>
      </c>
      <c r="BK34" s="112">
        <v>0</v>
      </c>
      <c r="BL34" s="112" t="b">
        <v>0</v>
      </c>
      <c r="BM34" s="112" t="b">
        <v>1</v>
      </c>
    </row>
    <row r="35" spans="1:65">
      <c r="A35" s="112" t="s">
        <v>187</v>
      </c>
      <c r="B35" s="112" t="s">
        <v>188</v>
      </c>
      <c r="C35" s="112">
        <v>20200101</v>
      </c>
      <c r="D35" s="112">
        <v>2020</v>
      </c>
      <c r="E35" s="112">
        <v>52</v>
      </c>
      <c r="F35" s="112" t="s">
        <v>210</v>
      </c>
      <c r="G35" s="112">
        <v>757</v>
      </c>
      <c r="H35" s="112" t="s">
        <v>225</v>
      </c>
      <c r="I35" s="112" t="s">
        <v>226</v>
      </c>
      <c r="J35" s="112" t="s">
        <v>251</v>
      </c>
      <c r="K35" s="112" t="s">
        <v>252</v>
      </c>
      <c r="L35" s="112">
        <v>686</v>
      </c>
      <c r="M35" s="112" t="s">
        <v>190</v>
      </c>
      <c r="N35" s="112" t="s">
        <v>191</v>
      </c>
      <c r="O35" s="112" t="s">
        <v>196</v>
      </c>
      <c r="P35" s="112" t="s">
        <v>197</v>
      </c>
      <c r="Q35" s="112" t="b">
        <v>1</v>
      </c>
      <c r="R35" s="112" t="s">
        <v>198</v>
      </c>
      <c r="S35" s="112" t="s">
        <v>199</v>
      </c>
      <c r="T35" s="112">
        <v>4</v>
      </c>
      <c r="U35" s="112" t="b">
        <v>0</v>
      </c>
      <c r="V35" s="112" t="s">
        <v>200</v>
      </c>
      <c r="W35" s="112" t="s">
        <v>201</v>
      </c>
      <c r="X35" s="112" t="s">
        <v>202</v>
      </c>
      <c r="Y35" s="112">
        <v>0</v>
      </c>
      <c r="Z35" s="112" t="s">
        <v>203</v>
      </c>
      <c r="AA35" s="112">
        <v>8</v>
      </c>
      <c r="AB35" s="112" t="s">
        <v>204</v>
      </c>
      <c r="AC35" s="112">
        <v>8</v>
      </c>
      <c r="AD35" s="112" t="s">
        <v>204</v>
      </c>
      <c r="AG35" s="112">
        <v>9512</v>
      </c>
      <c r="AH35" s="112">
        <v>8497</v>
      </c>
      <c r="AJ35" s="112" t="b">
        <v>0</v>
      </c>
      <c r="AK35" s="112">
        <v>8</v>
      </c>
      <c r="AL35" s="112" t="s">
        <v>204</v>
      </c>
      <c r="AM35" s="112">
        <v>9512</v>
      </c>
      <c r="AN35" s="112">
        <v>8</v>
      </c>
      <c r="AO35" s="112" t="s">
        <v>204</v>
      </c>
      <c r="AR35" s="112">
        <v>8497</v>
      </c>
      <c r="AT35" s="112" t="b">
        <v>0</v>
      </c>
      <c r="AU35" s="112">
        <v>9512</v>
      </c>
      <c r="AV35" s="112">
        <v>8497</v>
      </c>
      <c r="AX35" s="112" t="b">
        <v>0</v>
      </c>
      <c r="AY35" s="112">
        <v>0</v>
      </c>
      <c r="AZ35" s="112">
        <v>0</v>
      </c>
      <c r="BB35" s="112" t="b">
        <v>0</v>
      </c>
      <c r="BC35" s="112">
        <v>485160797.29100001</v>
      </c>
      <c r="BD35" s="112">
        <v>0</v>
      </c>
      <c r="BE35" s="112">
        <v>485160797.29100001</v>
      </c>
      <c r="BF35" s="112" t="b">
        <v>1</v>
      </c>
      <c r="BG35" s="112">
        <v>478771211.00599998</v>
      </c>
      <c r="BH35" s="112">
        <v>-1.3170038306222764E-2</v>
      </c>
      <c r="BI35" s="112">
        <v>0</v>
      </c>
      <c r="BJ35" s="112" t="b">
        <v>0</v>
      </c>
      <c r="BK35" s="112">
        <v>0</v>
      </c>
      <c r="BL35" s="112" t="b">
        <v>0</v>
      </c>
      <c r="BM35" s="112" t="b">
        <v>1</v>
      </c>
    </row>
    <row r="36" spans="1:65">
      <c r="A36" s="112" t="s">
        <v>187</v>
      </c>
      <c r="B36" s="112" t="s">
        <v>188</v>
      </c>
      <c r="C36" s="112">
        <v>20200101</v>
      </c>
      <c r="D36" s="112">
        <v>2020</v>
      </c>
      <c r="E36" s="112">
        <v>52</v>
      </c>
      <c r="F36" s="112" t="s">
        <v>210</v>
      </c>
      <c r="G36" s="112">
        <v>784</v>
      </c>
      <c r="H36" s="112" t="s">
        <v>234</v>
      </c>
      <c r="I36" s="112" t="s">
        <v>235</v>
      </c>
      <c r="J36" s="112" t="s">
        <v>251</v>
      </c>
      <c r="K36" s="112" t="s">
        <v>252</v>
      </c>
      <c r="L36" s="112">
        <v>686</v>
      </c>
      <c r="M36" s="112" t="s">
        <v>190</v>
      </c>
      <c r="N36" s="112" t="s">
        <v>191</v>
      </c>
      <c r="O36" s="112" t="s">
        <v>196</v>
      </c>
      <c r="P36" s="112" t="s">
        <v>197</v>
      </c>
      <c r="Q36" s="112" t="b">
        <v>1</v>
      </c>
      <c r="R36" s="112" t="s">
        <v>198</v>
      </c>
      <c r="S36" s="112" t="s">
        <v>199</v>
      </c>
      <c r="T36" s="112">
        <v>4</v>
      </c>
      <c r="U36" s="112" t="b">
        <v>0</v>
      </c>
      <c r="V36" s="112" t="s">
        <v>200</v>
      </c>
      <c r="W36" s="112" t="s">
        <v>201</v>
      </c>
      <c r="X36" s="112" t="s">
        <v>202</v>
      </c>
      <c r="Y36" s="112">
        <v>0</v>
      </c>
      <c r="Z36" s="112" t="s">
        <v>203</v>
      </c>
      <c r="AA36" s="112">
        <v>8</v>
      </c>
      <c r="AB36" s="112" t="s">
        <v>204</v>
      </c>
      <c r="AC36" s="112">
        <v>8</v>
      </c>
      <c r="AD36" s="112" t="s">
        <v>204</v>
      </c>
      <c r="AG36" s="112">
        <v>2118.87</v>
      </c>
      <c r="AH36" s="112">
        <v>2032</v>
      </c>
      <c r="AJ36" s="112" t="b">
        <v>0</v>
      </c>
      <c r="AK36" s="112">
        <v>8</v>
      </c>
      <c r="AL36" s="112" t="s">
        <v>204</v>
      </c>
      <c r="AM36" s="112">
        <v>2118.87</v>
      </c>
      <c r="AN36" s="112">
        <v>8</v>
      </c>
      <c r="AO36" s="112" t="s">
        <v>204</v>
      </c>
      <c r="AR36" s="112">
        <v>2032</v>
      </c>
      <c r="AT36" s="112" t="b">
        <v>0</v>
      </c>
      <c r="AU36" s="112">
        <v>2118.87</v>
      </c>
      <c r="AV36" s="112">
        <v>2032</v>
      </c>
      <c r="AX36" s="112" t="b">
        <v>0</v>
      </c>
      <c r="AY36" s="112">
        <v>0</v>
      </c>
      <c r="AZ36" s="112">
        <v>0</v>
      </c>
      <c r="BB36" s="112" t="b">
        <v>0</v>
      </c>
      <c r="BC36" s="112">
        <v>104357473.52599999</v>
      </c>
      <c r="BD36" s="112">
        <v>0</v>
      </c>
      <c r="BE36" s="112">
        <v>104357473.52599999</v>
      </c>
      <c r="BF36" s="112" t="b">
        <v>1</v>
      </c>
      <c r="BG36" s="112">
        <v>41201020.204000004</v>
      </c>
      <c r="BH36" s="112">
        <v>-0.60519339140828254</v>
      </c>
      <c r="BI36" s="112">
        <v>0</v>
      </c>
      <c r="BJ36" s="112" t="b">
        <v>0</v>
      </c>
      <c r="BK36" s="112">
        <v>0</v>
      </c>
      <c r="BL36" s="112" t="b">
        <v>0</v>
      </c>
      <c r="BM36" s="112" t="b">
        <v>1</v>
      </c>
    </row>
    <row r="37" spans="1:65">
      <c r="A37" s="112" t="s">
        <v>187</v>
      </c>
      <c r="B37" s="112" t="s">
        <v>188</v>
      </c>
      <c r="C37" s="112">
        <v>20200101</v>
      </c>
      <c r="D37" s="112">
        <v>2020</v>
      </c>
      <c r="E37" s="112">
        <v>52</v>
      </c>
      <c r="F37" s="112" t="s">
        <v>210</v>
      </c>
      <c r="G37" s="112">
        <v>792</v>
      </c>
      <c r="H37" s="112" t="s">
        <v>211</v>
      </c>
      <c r="I37" s="112" t="s">
        <v>212</v>
      </c>
      <c r="J37" s="112" t="s">
        <v>251</v>
      </c>
      <c r="K37" s="112" t="s">
        <v>252</v>
      </c>
      <c r="L37" s="112">
        <v>686</v>
      </c>
      <c r="M37" s="112" t="s">
        <v>190</v>
      </c>
      <c r="N37" s="112" t="s">
        <v>191</v>
      </c>
      <c r="O37" s="112" t="s">
        <v>196</v>
      </c>
      <c r="P37" s="112" t="s">
        <v>197</v>
      </c>
      <c r="Q37" s="112" t="b">
        <v>1</v>
      </c>
      <c r="R37" s="112" t="s">
        <v>198</v>
      </c>
      <c r="S37" s="112" t="s">
        <v>199</v>
      </c>
      <c r="T37" s="112">
        <v>4</v>
      </c>
      <c r="U37" s="112" t="b">
        <v>0</v>
      </c>
      <c r="V37" s="112" t="s">
        <v>200</v>
      </c>
      <c r="W37" s="112" t="s">
        <v>201</v>
      </c>
      <c r="X37" s="112" t="s">
        <v>202</v>
      </c>
      <c r="Y37" s="112">
        <v>0</v>
      </c>
      <c r="Z37" s="112" t="s">
        <v>203</v>
      </c>
      <c r="AA37" s="112">
        <v>8</v>
      </c>
      <c r="AB37" s="112" t="s">
        <v>204</v>
      </c>
      <c r="AC37" s="112">
        <v>8</v>
      </c>
      <c r="AD37" s="112" t="s">
        <v>204</v>
      </c>
      <c r="AG37" s="112">
        <v>42.487000000000002</v>
      </c>
      <c r="AH37" s="112">
        <v>4</v>
      </c>
      <c r="AJ37" s="112" t="b">
        <v>0</v>
      </c>
      <c r="AK37" s="112">
        <v>15</v>
      </c>
      <c r="AL37" s="112" t="s">
        <v>213</v>
      </c>
      <c r="AM37" s="112">
        <v>42487</v>
      </c>
      <c r="AN37" s="112">
        <v>8</v>
      </c>
      <c r="AO37" s="112" t="s">
        <v>204</v>
      </c>
      <c r="AR37" s="112">
        <v>4</v>
      </c>
      <c r="AT37" s="112" t="b">
        <v>0</v>
      </c>
      <c r="AU37" s="112">
        <v>42</v>
      </c>
      <c r="AV37" s="112">
        <v>4</v>
      </c>
      <c r="AX37" s="112" t="b">
        <v>0</v>
      </c>
      <c r="AY37" s="112">
        <v>0</v>
      </c>
      <c r="AZ37" s="112">
        <v>0</v>
      </c>
      <c r="BB37" s="112" t="b">
        <v>0</v>
      </c>
      <c r="BC37" s="112">
        <v>1765487</v>
      </c>
      <c r="BD37" s="112">
        <v>1763539</v>
      </c>
      <c r="BE37" s="112">
        <v>1765487</v>
      </c>
      <c r="BF37" s="112" t="b">
        <v>1</v>
      </c>
      <c r="BG37" s="112">
        <v>69427.692999999999</v>
      </c>
      <c r="BH37" s="112">
        <v>-0.96067504716828844</v>
      </c>
      <c r="BI37" s="112">
        <v>0</v>
      </c>
      <c r="BJ37" s="112" t="b">
        <v>0</v>
      </c>
      <c r="BK37" s="112">
        <v>0</v>
      </c>
      <c r="BL37" s="112" t="b">
        <v>0</v>
      </c>
      <c r="BM37" s="112" t="b">
        <v>1</v>
      </c>
    </row>
    <row r="38" spans="1:65">
      <c r="A38" s="112" t="s">
        <v>187</v>
      </c>
      <c r="B38" s="112" t="s">
        <v>188</v>
      </c>
      <c r="C38" s="112">
        <v>20210101</v>
      </c>
      <c r="D38" s="112">
        <v>2021</v>
      </c>
      <c r="E38" s="112">
        <v>52</v>
      </c>
      <c r="F38" s="112" t="s">
        <v>189</v>
      </c>
      <c r="G38" s="112">
        <v>36</v>
      </c>
      <c r="H38" s="112" t="s">
        <v>194</v>
      </c>
      <c r="I38" s="112" t="s">
        <v>195</v>
      </c>
      <c r="J38" s="112" t="s">
        <v>251</v>
      </c>
      <c r="K38" s="112" t="s">
        <v>252</v>
      </c>
      <c r="L38" s="112">
        <v>686</v>
      </c>
      <c r="M38" s="112" t="s">
        <v>190</v>
      </c>
      <c r="N38" s="112" t="s">
        <v>191</v>
      </c>
      <c r="O38" s="112" t="s">
        <v>196</v>
      </c>
      <c r="P38" s="112" t="s">
        <v>197</v>
      </c>
      <c r="Q38" s="112" t="b">
        <v>1</v>
      </c>
      <c r="R38" s="112" t="s">
        <v>198</v>
      </c>
      <c r="S38" s="112" t="s">
        <v>199</v>
      </c>
      <c r="T38" s="112">
        <v>4</v>
      </c>
      <c r="U38" s="112" t="b">
        <v>0</v>
      </c>
      <c r="V38" s="112" t="s">
        <v>200</v>
      </c>
      <c r="W38" s="112" t="s">
        <v>201</v>
      </c>
      <c r="X38" s="112" t="s">
        <v>202</v>
      </c>
      <c r="Y38" s="112">
        <v>0</v>
      </c>
      <c r="Z38" s="112" t="s">
        <v>203</v>
      </c>
      <c r="AA38" s="112">
        <v>8</v>
      </c>
      <c r="AB38" s="112" t="s">
        <v>204</v>
      </c>
      <c r="AC38" s="112">
        <v>8</v>
      </c>
      <c r="AD38" s="112" t="s">
        <v>204</v>
      </c>
      <c r="AG38" s="112">
        <v>3884.3809999999999</v>
      </c>
      <c r="AH38" s="112">
        <v>4003</v>
      </c>
      <c r="AJ38" s="112" t="b">
        <v>1</v>
      </c>
      <c r="AK38" s="112">
        <v>-1</v>
      </c>
      <c r="AL38" s="112" t="s">
        <v>205</v>
      </c>
      <c r="AM38" s="112">
        <v>0</v>
      </c>
      <c r="AN38" s="112">
        <v>8</v>
      </c>
      <c r="AO38" s="112" t="s">
        <v>204</v>
      </c>
      <c r="AR38" s="112">
        <v>4003</v>
      </c>
      <c r="AT38" s="112" t="b">
        <v>0</v>
      </c>
      <c r="AU38" s="112">
        <v>3884.3809999999999</v>
      </c>
      <c r="AV38" s="112">
        <v>4003</v>
      </c>
      <c r="AX38" s="112" t="b">
        <v>1</v>
      </c>
      <c r="AY38" s="112">
        <v>4600.33</v>
      </c>
      <c r="AZ38" s="112">
        <v>0</v>
      </c>
      <c r="BB38" s="112" t="b">
        <v>0</v>
      </c>
      <c r="BC38" s="112">
        <v>219808451.24000001</v>
      </c>
      <c r="BD38" s="112">
        <v>219391552.43099999</v>
      </c>
      <c r="BE38" s="112">
        <v>219808451.24000001</v>
      </c>
      <c r="BF38" s="112" t="b">
        <v>1</v>
      </c>
      <c r="BG38" s="112">
        <v>213315372.09999999</v>
      </c>
      <c r="BH38" s="112">
        <v>-2.9539715617715179E-2</v>
      </c>
      <c r="BI38" s="112">
        <v>0</v>
      </c>
      <c r="BJ38" s="112" t="b">
        <v>0</v>
      </c>
      <c r="BK38" s="112">
        <v>6</v>
      </c>
      <c r="BL38" s="112" t="b">
        <v>0</v>
      </c>
      <c r="BM38" s="112" t="b">
        <v>1</v>
      </c>
    </row>
    <row r="39" spans="1:65">
      <c r="A39" s="112" t="s">
        <v>187</v>
      </c>
      <c r="B39" s="112" t="s">
        <v>188</v>
      </c>
      <c r="C39" s="112">
        <v>20210101</v>
      </c>
      <c r="D39" s="112">
        <v>2021</v>
      </c>
      <c r="E39" s="112">
        <v>52</v>
      </c>
      <c r="F39" s="112" t="s">
        <v>189</v>
      </c>
      <c r="G39" s="112">
        <v>380</v>
      </c>
      <c r="H39" s="112" t="s">
        <v>218</v>
      </c>
      <c r="I39" s="112" t="s">
        <v>219</v>
      </c>
      <c r="J39" s="112" t="s">
        <v>251</v>
      </c>
      <c r="K39" s="112" t="s">
        <v>252</v>
      </c>
      <c r="L39" s="112">
        <v>686</v>
      </c>
      <c r="M39" s="112" t="s">
        <v>190</v>
      </c>
      <c r="N39" s="112" t="s">
        <v>191</v>
      </c>
      <c r="O39" s="112" t="s">
        <v>196</v>
      </c>
      <c r="P39" s="112" t="s">
        <v>197</v>
      </c>
      <c r="Q39" s="112" t="b">
        <v>1</v>
      </c>
      <c r="R39" s="112" t="s">
        <v>198</v>
      </c>
      <c r="S39" s="112" t="s">
        <v>199</v>
      </c>
      <c r="T39" s="112">
        <v>4</v>
      </c>
      <c r="U39" s="112" t="b">
        <v>0</v>
      </c>
      <c r="V39" s="112" t="s">
        <v>200</v>
      </c>
      <c r="W39" s="112" t="s">
        <v>201</v>
      </c>
      <c r="X39" s="112" t="s">
        <v>202</v>
      </c>
      <c r="Y39" s="112">
        <v>0</v>
      </c>
      <c r="Z39" s="112" t="s">
        <v>203</v>
      </c>
      <c r="AA39" s="112">
        <v>8</v>
      </c>
      <c r="AB39" s="112" t="s">
        <v>204</v>
      </c>
      <c r="AC39" s="112">
        <v>8</v>
      </c>
      <c r="AD39" s="112" t="s">
        <v>204</v>
      </c>
      <c r="AG39" s="112">
        <v>27.384</v>
      </c>
      <c r="AH39" s="112">
        <v>14</v>
      </c>
      <c r="AJ39" s="112" t="b">
        <v>0</v>
      </c>
      <c r="AK39" s="112">
        <v>15</v>
      </c>
      <c r="AL39" s="112" t="s">
        <v>213</v>
      </c>
      <c r="AM39" s="112">
        <v>27384</v>
      </c>
      <c r="AN39" s="112">
        <v>8</v>
      </c>
      <c r="AO39" s="112" t="s">
        <v>204</v>
      </c>
      <c r="AR39" s="112">
        <v>14</v>
      </c>
      <c r="AT39" s="112" t="b">
        <v>0</v>
      </c>
      <c r="AU39" s="112">
        <v>28</v>
      </c>
      <c r="AV39" s="112">
        <v>14</v>
      </c>
      <c r="AX39" s="112" t="b">
        <v>0</v>
      </c>
      <c r="AY39" s="112">
        <v>0</v>
      </c>
      <c r="AZ39" s="112">
        <v>0</v>
      </c>
      <c r="BB39" s="112" t="b">
        <v>0</v>
      </c>
      <c r="BC39" s="112">
        <v>1297177.531</v>
      </c>
      <c r="BE39" s="112">
        <v>1297177.531</v>
      </c>
      <c r="BF39" s="112" t="b">
        <v>1</v>
      </c>
      <c r="BG39" s="112">
        <v>289249.435</v>
      </c>
      <c r="BH39" s="112">
        <v>-0.77701630803224264</v>
      </c>
      <c r="BI39" s="112">
        <v>0</v>
      </c>
      <c r="BJ39" s="112" t="b">
        <v>0</v>
      </c>
      <c r="BK39" s="112">
        <v>0</v>
      </c>
      <c r="BL39" s="112" t="b">
        <v>0</v>
      </c>
      <c r="BM39" s="112" t="b">
        <v>1</v>
      </c>
    </row>
    <row r="40" spans="1:65">
      <c r="A40" s="112" t="s">
        <v>187</v>
      </c>
      <c r="B40" s="112" t="s">
        <v>188</v>
      </c>
      <c r="C40" s="112">
        <v>20210101</v>
      </c>
      <c r="D40" s="112">
        <v>2021</v>
      </c>
      <c r="E40" s="112">
        <v>52</v>
      </c>
      <c r="F40" s="112" t="s">
        <v>189</v>
      </c>
      <c r="G40" s="112">
        <v>724</v>
      </c>
      <c r="H40" s="112" t="s">
        <v>207</v>
      </c>
      <c r="I40" s="112" t="s">
        <v>208</v>
      </c>
      <c r="J40" s="112" t="s">
        <v>251</v>
      </c>
      <c r="K40" s="112" t="s">
        <v>252</v>
      </c>
      <c r="L40" s="112">
        <v>686</v>
      </c>
      <c r="M40" s="112" t="s">
        <v>190</v>
      </c>
      <c r="N40" s="112" t="s">
        <v>191</v>
      </c>
      <c r="O40" s="112" t="s">
        <v>196</v>
      </c>
      <c r="P40" s="112" t="s">
        <v>197</v>
      </c>
      <c r="Q40" s="112" t="b">
        <v>1</v>
      </c>
      <c r="R40" s="112" t="s">
        <v>198</v>
      </c>
      <c r="S40" s="112" t="s">
        <v>199</v>
      </c>
      <c r="T40" s="112">
        <v>4</v>
      </c>
      <c r="U40" s="112" t="b">
        <v>0</v>
      </c>
      <c r="V40" s="112" t="s">
        <v>200</v>
      </c>
      <c r="W40" s="112" t="s">
        <v>201</v>
      </c>
      <c r="X40" s="112" t="s">
        <v>202</v>
      </c>
      <c r="Y40" s="112">
        <v>0</v>
      </c>
      <c r="Z40" s="112" t="s">
        <v>203</v>
      </c>
      <c r="AA40" s="112">
        <v>8</v>
      </c>
      <c r="AB40" s="112" t="s">
        <v>204</v>
      </c>
      <c r="AG40" s="112">
        <v>0.998</v>
      </c>
      <c r="AJ40" s="112" t="b">
        <v>0</v>
      </c>
      <c r="AK40" s="112">
        <v>15</v>
      </c>
      <c r="AL40" s="112" t="s">
        <v>213</v>
      </c>
      <c r="AM40" s="112">
        <v>998</v>
      </c>
      <c r="AT40" s="112" t="b">
        <v>0</v>
      </c>
      <c r="AU40" s="112">
        <v>0.998</v>
      </c>
      <c r="AX40" s="112" t="b">
        <v>0</v>
      </c>
      <c r="AY40" s="112">
        <v>0</v>
      </c>
      <c r="BB40" s="112" t="b">
        <v>0</v>
      </c>
      <c r="BC40" s="112">
        <v>47763.417999999998</v>
      </c>
      <c r="BD40" s="112">
        <v>0</v>
      </c>
      <c r="BE40" s="112">
        <v>47763.417999999998</v>
      </c>
      <c r="BF40" s="112" t="b">
        <v>1</v>
      </c>
      <c r="BG40" s="112">
        <v>0</v>
      </c>
      <c r="BH40" s="112">
        <v>-1</v>
      </c>
      <c r="BI40" s="112">
        <v>0</v>
      </c>
      <c r="BJ40" s="112" t="b">
        <v>0</v>
      </c>
      <c r="BK40" s="112">
        <v>0</v>
      </c>
      <c r="BL40" s="112" t="b">
        <v>0</v>
      </c>
      <c r="BM40" s="112" t="b">
        <v>1</v>
      </c>
    </row>
    <row r="41" spans="1:65">
      <c r="A41" s="112" t="s">
        <v>187</v>
      </c>
      <c r="B41" s="112" t="s">
        <v>188</v>
      </c>
      <c r="C41" s="112">
        <v>20210101</v>
      </c>
      <c r="D41" s="112">
        <v>2021</v>
      </c>
      <c r="E41" s="112">
        <v>52</v>
      </c>
      <c r="F41" s="112" t="s">
        <v>189</v>
      </c>
      <c r="G41" s="112">
        <v>757</v>
      </c>
      <c r="H41" s="112" t="s">
        <v>225</v>
      </c>
      <c r="I41" s="112" t="s">
        <v>226</v>
      </c>
      <c r="J41" s="112" t="s">
        <v>251</v>
      </c>
      <c r="K41" s="112" t="s">
        <v>252</v>
      </c>
      <c r="L41" s="112">
        <v>686</v>
      </c>
      <c r="M41" s="112" t="s">
        <v>190</v>
      </c>
      <c r="N41" s="112" t="s">
        <v>191</v>
      </c>
      <c r="O41" s="112" t="s">
        <v>196</v>
      </c>
      <c r="P41" s="112" t="s">
        <v>197</v>
      </c>
      <c r="Q41" s="112" t="b">
        <v>1</v>
      </c>
      <c r="R41" s="112" t="s">
        <v>198</v>
      </c>
      <c r="S41" s="112" t="s">
        <v>199</v>
      </c>
      <c r="T41" s="112">
        <v>4</v>
      </c>
      <c r="U41" s="112" t="b">
        <v>0</v>
      </c>
      <c r="V41" s="112" t="s">
        <v>200</v>
      </c>
      <c r="W41" s="112" t="s">
        <v>201</v>
      </c>
      <c r="X41" s="112" t="s">
        <v>202</v>
      </c>
      <c r="Y41" s="112">
        <v>0</v>
      </c>
      <c r="Z41" s="112" t="s">
        <v>203</v>
      </c>
      <c r="AA41" s="112">
        <v>8</v>
      </c>
      <c r="AB41" s="112" t="s">
        <v>204</v>
      </c>
      <c r="AC41" s="112">
        <v>8</v>
      </c>
      <c r="AD41" s="112" t="s">
        <v>204</v>
      </c>
      <c r="AG41" s="112">
        <v>13581</v>
      </c>
      <c r="AH41" s="112">
        <v>12121</v>
      </c>
      <c r="AJ41" s="112" t="b">
        <v>0</v>
      </c>
      <c r="AK41" s="112">
        <v>8</v>
      </c>
      <c r="AL41" s="112" t="s">
        <v>204</v>
      </c>
      <c r="AM41" s="112">
        <v>13581</v>
      </c>
      <c r="AN41" s="112">
        <v>8</v>
      </c>
      <c r="AO41" s="112" t="s">
        <v>204</v>
      </c>
      <c r="AR41" s="112">
        <v>12121</v>
      </c>
      <c r="AT41" s="112" t="b">
        <v>0</v>
      </c>
      <c r="AU41" s="112">
        <v>13581</v>
      </c>
      <c r="AV41" s="112">
        <v>12121</v>
      </c>
      <c r="AX41" s="112" t="b">
        <v>0</v>
      </c>
      <c r="AY41" s="112">
        <v>0</v>
      </c>
      <c r="AZ41" s="112">
        <v>0</v>
      </c>
      <c r="BB41" s="112" t="b">
        <v>0</v>
      </c>
      <c r="BC41" s="112">
        <v>710234464.13499999</v>
      </c>
      <c r="BD41" s="112">
        <v>0</v>
      </c>
      <c r="BE41" s="112">
        <v>710234464.13499999</v>
      </c>
      <c r="BF41" s="112" t="b">
        <v>1</v>
      </c>
      <c r="BG41" s="112">
        <v>703332965.41400003</v>
      </c>
      <c r="BH41" s="112">
        <v>-9.7172118075196101E-3</v>
      </c>
      <c r="BI41" s="112">
        <v>0</v>
      </c>
      <c r="BJ41" s="112" t="b">
        <v>0</v>
      </c>
      <c r="BK41" s="112">
        <v>0</v>
      </c>
      <c r="BL41" s="112" t="b">
        <v>0</v>
      </c>
      <c r="BM41" s="112" t="b">
        <v>1</v>
      </c>
    </row>
    <row r="42" spans="1:65">
      <c r="A42" s="112" t="s">
        <v>187</v>
      </c>
      <c r="B42" s="112" t="s">
        <v>188</v>
      </c>
      <c r="C42" s="112">
        <v>20210101</v>
      </c>
      <c r="D42" s="112">
        <v>2021</v>
      </c>
      <c r="E42" s="112">
        <v>52</v>
      </c>
      <c r="F42" s="112" t="s">
        <v>189</v>
      </c>
      <c r="G42" s="112">
        <v>784</v>
      </c>
      <c r="H42" s="112" t="s">
        <v>234</v>
      </c>
      <c r="I42" s="112" t="s">
        <v>235</v>
      </c>
      <c r="J42" s="112" t="s">
        <v>251</v>
      </c>
      <c r="K42" s="112" t="s">
        <v>252</v>
      </c>
      <c r="L42" s="112">
        <v>686</v>
      </c>
      <c r="M42" s="112" t="s">
        <v>190</v>
      </c>
      <c r="N42" s="112" t="s">
        <v>191</v>
      </c>
      <c r="O42" s="112" t="s">
        <v>196</v>
      </c>
      <c r="P42" s="112" t="s">
        <v>197</v>
      </c>
      <c r="Q42" s="112" t="b">
        <v>1</v>
      </c>
      <c r="R42" s="112" t="s">
        <v>198</v>
      </c>
      <c r="S42" s="112" t="s">
        <v>199</v>
      </c>
      <c r="T42" s="112">
        <v>4</v>
      </c>
      <c r="U42" s="112" t="b">
        <v>0</v>
      </c>
      <c r="V42" s="112" t="s">
        <v>200</v>
      </c>
      <c r="W42" s="112" t="s">
        <v>201</v>
      </c>
      <c r="X42" s="112" t="s">
        <v>202</v>
      </c>
      <c r="Y42" s="112">
        <v>0</v>
      </c>
      <c r="Z42" s="112" t="s">
        <v>203</v>
      </c>
      <c r="AA42" s="112">
        <v>8</v>
      </c>
      <c r="AB42" s="112" t="s">
        <v>204</v>
      </c>
      <c r="AC42" s="112">
        <v>8</v>
      </c>
      <c r="AD42" s="112" t="s">
        <v>204</v>
      </c>
      <c r="AG42" s="112">
        <v>2625.9</v>
      </c>
      <c r="AH42" s="112">
        <v>2680</v>
      </c>
      <c r="AJ42" s="112" t="b">
        <v>0</v>
      </c>
      <c r="AK42" s="112">
        <v>8</v>
      </c>
      <c r="AL42" s="112" t="s">
        <v>204</v>
      </c>
      <c r="AM42" s="112">
        <v>2625.9</v>
      </c>
      <c r="AN42" s="112">
        <v>8</v>
      </c>
      <c r="AO42" s="112" t="s">
        <v>204</v>
      </c>
      <c r="AR42" s="112">
        <v>2680</v>
      </c>
      <c r="AT42" s="112" t="b">
        <v>0</v>
      </c>
      <c r="AU42" s="112">
        <v>2625.9</v>
      </c>
      <c r="AV42" s="112">
        <v>2680</v>
      </c>
      <c r="AX42" s="112" t="b">
        <v>0</v>
      </c>
      <c r="AY42" s="112">
        <v>0</v>
      </c>
      <c r="AZ42" s="112">
        <v>0</v>
      </c>
      <c r="BB42" s="112" t="b">
        <v>0</v>
      </c>
      <c r="BC42" s="112">
        <v>144258311.833</v>
      </c>
      <c r="BD42" s="112">
        <v>0</v>
      </c>
      <c r="BE42" s="112">
        <v>144258311.833</v>
      </c>
      <c r="BF42" s="112" t="b">
        <v>1</v>
      </c>
      <c r="BG42" s="112">
        <v>56454810.920000002</v>
      </c>
      <c r="BH42" s="112">
        <v>-0.60865470971714508</v>
      </c>
      <c r="BI42" s="112">
        <v>0</v>
      </c>
      <c r="BJ42" s="112" t="b">
        <v>0</v>
      </c>
      <c r="BK42" s="112">
        <v>0</v>
      </c>
      <c r="BL42" s="112" t="b">
        <v>0</v>
      </c>
      <c r="BM42" s="112" t="b">
        <v>1</v>
      </c>
    </row>
    <row r="43" spans="1:65">
      <c r="A43" s="112" t="s">
        <v>187</v>
      </c>
      <c r="B43" s="112" t="s">
        <v>188</v>
      </c>
      <c r="C43" s="112">
        <v>20210101</v>
      </c>
      <c r="D43" s="112">
        <v>2021</v>
      </c>
      <c r="E43" s="112">
        <v>52</v>
      </c>
      <c r="F43" s="112" t="s">
        <v>189</v>
      </c>
      <c r="G43" s="112">
        <v>792</v>
      </c>
      <c r="H43" s="112" t="s">
        <v>211</v>
      </c>
      <c r="I43" s="112" t="s">
        <v>212</v>
      </c>
      <c r="J43" s="112" t="s">
        <v>251</v>
      </c>
      <c r="K43" s="112" t="s">
        <v>252</v>
      </c>
      <c r="L43" s="112">
        <v>686</v>
      </c>
      <c r="M43" s="112" t="s">
        <v>190</v>
      </c>
      <c r="N43" s="112" t="s">
        <v>191</v>
      </c>
      <c r="O43" s="112" t="s">
        <v>196</v>
      </c>
      <c r="P43" s="112" t="s">
        <v>197</v>
      </c>
      <c r="Q43" s="112" t="b">
        <v>1</v>
      </c>
      <c r="R43" s="112" t="s">
        <v>198</v>
      </c>
      <c r="S43" s="112" t="s">
        <v>199</v>
      </c>
      <c r="T43" s="112">
        <v>4</v>
      </c>
      <c r="U43" s="112" t="b">
        <v>0</v>
      </c>
      <c r="V43" s="112" t="s">
        <v>200</v>
      </c>
      <c r="W43" s="112" t="s">
        <v>201</v>
      </c>
      <c r="X43" s="112" t="s">
        <v>202</v>
      </c>
      <c r="Y43" s="112">
        <v>0</v>
      </c>
      <c r="Z43" s="112" t="s">
        <v>203</v>
      </c>
      <c r="AA43" s="112">
        <v>8</v>
      </c>
      <c r="AB43" s="112" t="s">
        <v>204</v>
      </c>
      <c r="AG43" s="112">
        <v>7.45</v>
      </c>
      <c r="AJ43" s="112" t="b">
        <v>0</v>
      </c>
      <c r="AK43" s="112">
        <v>15</v>
      </c>
      <c r="AL43" s="112" t="s">
        <v>213</v>
      </c>
      <c r="AM43" s="112">
        <v>7450</v>
      </c>
      <c r="AT43" s="112" t="b">
        <v>0</v>
      </c>
      <c r="AU43" s="112">
        <v>7</v>
      </c>
      <c r="AX43" s="112" t="b">
        <v>0</v>
      </c>
      <c r="AY43" s="112">
        <v>0</v>
      </c>
      <c r="BB43" s="112" t="b">
        <v>0</v>
      </c>
      <c r="BC43" s="112">
        <v>332900</v>
      </c>
      <c r="BD43" s="112">
        <v>332537</v>
      </c>
      <c r="BE43" s="112">
        <v>332900</v>
      </c>
      <c r="BF43" s="112" t="b">
        <v>1</v>
      </c>
      <c r="BG43" s="112">
        <v>0</v>
      </c>
      <c r="BH43" s="112">
        <v>-1</v>
      </c>
      <c r="BI43" s="112">
        <v>0</v>
      </c>
      <c r="BJ43" s="112" t="b">
        <v>0</v>
      </c>
      <c r="BK43" s="112">
        <v>0</v>
      </c>
      <c r="BL43" s="112" t="b">
        <v>0</v>
      </c>
      <c r="BM43" s="112" t="b">
        <v>1</v>
      </c>
    </row>
    <row r="44" spans="1:65">
      <c r="A44" s="112" t="s">
        <v>187</v>
      </c>
      <c r="B44" s="112" t="s">
        <v>188</v>
      </c>
      <c r="C44" s="112">
        <v>20220101</v>
      </c>
      <c r="D44" s="112">
        <v>2022</v>
      </c>
      <c r="E44" s="112">
        <v>52</v>
      </c>
      <c r="F44" s="112" t="s">
        <v>223</v>
      </c>
      <c r="G44" s="112">
        <v>36</v>
      </c>
      <c r="H44" s="112" t="s">
        <v>194</v>
      </c>
      <c r="I44" s="112" t="s">
        <v>195</v>
      </c>
      <c r="J44" s="112" t="s">
        <v>251</v>
      </c>
      <c r="K44" s="112" t="s">
        <v>252</v>
      </c>
      <c r="L44" s="112">
        <v>686</v>
      </c>
      <c r="M44" s="112" t="s">
        <v>190</v>
      </c>
      <c r="N44" s="112" t="s">
        <v>191</v>
      </c>
      <c r="O44" s="112" t="s">
        <v>224</v>
      </c>
      <c r="P44" s="112" t="s">
        <v>197</v>
      </c>
      <c r="Q44" s="112" t="b">
        <v>1</v>
      </c>
      <c r="R44" s="112" t="s">
        <v>198</v>
      </c>
      <c r="S44" s="112" t="s">
        <v>199</v>
      </c>
      <c r="T44" s="112">
        <v>4</v>
      </c>
      <c r="U44" s="112" t="b">
        <v>0</v>
      </c>
      <c r="V44" s="112" t="s">
        <v>200</v>
      </c>
      <c r="W44" s="112" t="s">
        <v>201</v>
      </c>
      <c r="X44" s="112" t="s">
        <v>202</v>
      </c>
      <c r="Y44" s="112">
        <v>0</v>
      </c>
      <c r="Z44" s="112" t="s">
        <v>203</v>
      </c>
      <c r="AA44" s="112">
        <v>8</v>
      </c>
      <c r="AB44" s="112" t="s">
        <v>204</v>
      </c>
      <c r="AC44" s="112">
        <v>8</v>
      </c>
      <c r="AD44" s="112" t="s">
        <v>204</v>
      </c>
      <c r="AG44" s="112">
        <v>3660.4029999999998</v>
      </c>
      <c r="AH44" s="112">
        <v>3791</v>
      </c>
      <c r="AJ44" s="112" t="b">
        <v>1</v>
      </c>
      <c r="AK44" s="112">
        <v>-1</v>
      </c>
      <c r="AL44" s="112" t="s">
        <v>205</v>
      </c>
      <c r="AM44" s="112">
        <v>0</v>
      </c>
      <c r="AN44" s="112">
        <v>8</v>
      </c>
      <c r="AO44" s="112" t="s">
        <v>204</v>
      </c>
      <c r="AR44" s="112">
        <v>3791</v>
      </c>
      <c r="AT44" s="112" t="b">
        <v>0</v>
      </c>
      <c r="AU44" s="112">
        <v>3660.4029999999998</v>
      </c>
      <c r="AV44" s="112">
        <v>3791</v>
      </c>
      <c r="AX44" s="112" t="b">
        <v>1</v>
      </c>
      <c r="AY44" s="112">
        <v>4089.05</v>
      </c>
      <c r="AZ44" s="112">
        <v>0</v>
      </c>
      <c r="BB44" s="112" t="b">
        <v>0</v>
      </c>
      <c r="BC44" s="112">
        <v>206548068.21599999</v>
      </c>
      <c r="BD44" s="112">
        <v>206107771.31799999</v>
      </c>
      <c r="BE44" s="112">
        <v>206548068.21599999</v>
      </c>
      <c r="BF44" s="112" t="b">
        <v>1</v>
      </c>
      <c r="BG44" s="112">
        <v>219061845.338</v>
      </c>
      <c r="BH44" s="112">
        <v>6.0585302153073561E-2</v>
      </c>
      <c r="BI44" s="112">
        <v>0</v>
      </c>
      <c r="BJ44" s="112" t="b">
        <v>0</v>
      </c>
      <c r="BK44" s="112">
        <v>6</v>
      </c>
      <c r="BL44" s="112" t="b">
        <v>0</v>
      </c>
      <c r="BM44" s="112" t="b">
        <v>1</v>
      </c>
    </row>
    <row r="45" spans="1:65">
      <c r="A45" s="112" t="s">
        <v>187</v>
      </c>
      <c r="B45" s="112" t="s">
        <v>188</v>
      </c>
      <c r="C45" s="112">
        <v>20220101</v>
      </c>
      <c r="D45" s="112">
        <v>2022</v>
      </c>
      <c r="E45" s="112">
        <v>52</v>
      </c>
      <c r="F45" s="112" t="s">
        <v>223</v>
      </c>
      <c r="G45" s="112">
        <v>380</v>
      </c>
      <c r="H45" s="112" t="s">
        <v>218</v>
      </c>
      <c r="I45" s="112" t="s">
        <v>219</v>
      </c>
      <c r="J45" s="112" t="s">
        <v>251</v>
      </c>
      <c r="K45" s="112" t="s">
        <v>252</v>
      </c>
      <c r="L45" s="112">
        <v>686</v>
      </c>
      <c r="M45" s="112" t="s">
        <v>190</v>
      </c>
      <c r="N45" s="112" t="s">
        <v>191</v>
      </c>
      <c r="O45" s="112" t="s">
        <v>224</v>
      </c>
      <c r="P45" s="112" t="s">
        <v>197</v>
      </c>
      <c r="Q45" s="112" t="b">
        <v>1</v>
      </c>
      <c r="R45" s="112" t="s">
        <v>198</v>
      </c>
      <c r="S45" s="112" t="s">
        <v>199</v>
      </c>
      <c r="T45" s="112">
        <v>4</v>
      </c>
      <c r="U45" s="112" t="b">
        <v>0</v>
      </c>
      <c r="V45" s="112" t="s">
        <v>200</v>
      </c>
      <c r="W45" s="112" t="s">
        <v>201</v>
      </c>
      <c r="X45" s="112" t="s">
        <v>202</v>
      </c>
      <c r="Y45" s="112">
        <v>0</v>
      </c>
      <c r="Z45" s="112" t="s">
        <v>203</v>
      </c>
      <c r="AA45" s="112">
        <v>8</v>
      </c>
      <c r="AB45" s="112" t="s">
        <v>204</v>
      </c>
      <c r="AC45" s="112">
        <v>8</v>
      </c>
      <c r="AD45" s="112" t="s">
        <v>204</v>
      </c>
      <c r="AG45" s="112">
        <v>32.393999999999998</v>
      </c>
      <c r="AH45" s="112">
        <v>27</v>
      </c>
      <c r="AJ45" s="112" t="b">
        <v>0</v>
      </c>
      <c r="AK45" s="112">
        <v>15</v>
      </c>
      <c r="AL45" s="112" t="s">
        <v>213</v>
      </c>
      <c r="AM45" s="112">
        <v>32394</v>
      </c>
      <c r="AN45" s="112">
        <v>8</v>
      </c>
      <c r="AO45" s="112" t="s">
        <v>204</v>
      </c>
      <c r="AR45" s="112">
        <v>27</v>
      </c>
      <c r="AT45" s="112" t="b">
        <v>0</v>
      </c>
      <c r="AU45" s="112">
        <v>33</v>
      </c>
      <c r="AV45" s="112">
        <v>27</v>
      </c>
      <c r="AX45" s="112" t="b">
        <v>0</v>
      </c>
      <c r="AY45" s="112">
        <v>0</v>
      </c>
      <c r="AZ45" s="112">
        <v>0</v>
      </c>
      <c r="BB45" s="112" t="b">
        <v>0</v>
      </c>
      <c r="BC45" s="112">
        <v>1541344.121</v>
      </c>
      <c r="BE45" s="112">
        <v>1541344.121</v>
      </c>
      <c r="BF45" s="112" t="b">
        <v>1</v>
      </c>
      <c r="BG45" s="112">
        <v>472363.16700000002</v>
      </c>
      <c r="BH45" s="112">
        <v>-0.69353815247075512</v>
      </c>
      <c r="BI45" s="112">
        <v>0</v>
      </c>
      <c r="BJ45" s="112" t="b">
        <v>0</v>
      </c>
      <c r="BK45" s="112">
        <v>0</v>
      </c>
      <c r="BL45" s="112" t="b">
        <v>0</v>
      </c>
      <c r="BM45" s="112" t="b">
        <v>1</v>
      </c>
    </row>
    <row r="46" spans="1:65">
      <c r="A46" s="112" t="s">
        <v>187</v>
      </c>
      <c r="B46" s="112" t="s">
        <v>188</v>
      </c>
      <c r="C46" s="112">
        <v>20220101</v>
      </c>
      <c r="D46" s="112">
        <v>2022</v>
      </c>
      <c r="E46" s="112">
        <v>52</v>
      </c>
      <c r="F46" s="112" t="s">
        <v>223</v>
      </c>
      <c r="G46" s="112">
        <v>757</v>
      </c>
      <c r="H46" s="112" t="s">
        <v>225</v>
      </c>
      <c r="I46" s="112" t="s">
        <v>226</v>
      </c>
      <c r="J46" s="112" t="s">
        <v>251</v>
      </c>
      <c r="K46" s="112" t="s">
        <v>252</v>
      </c>
      <c r="L46" s="112">
        <v>686</v>
      </c>
      <c r="M46" s="112" t="s">
        <v>190</v>
      </c>
      <c r="N46" s="112" t="s">
        <v>191</v>
      </c>
      <c r="O46" s="112" t="s">
        <v>224</v>
      </c>
      <c r="P46" s="112" t="s">
        <v>197</v>
      </c>
      <c r="Q46" s="112" t="b">
        <v>1</v>
      </c>
      <c r="R46" s="112" t="s">
        <v>198</v>
      </c>
      <c r="S46" s="112" t="s">
        <v>199</v>
      </c>
      <c r="T46" s="112">
        <v>4</v>
      </c>
      <c r="U46" s="112" t="b">
        <v>0</v>
      </c>
      <c r="V46" s="112" t="s">
        <v>200</v>
      </c>
      <c r="W46" s="112" t="s">
        <v>201</v>
      </c>
      <c r="X46" s="112" t="s">
        <v>202</v>
      </c>
      <c r="Y46" s="112">
        <v>0</v>
      </c>
      <c r="Z46" s="112" t="s">
        <v>203</v>
      </c>
      <c r="AA46" s="112">
        <v>8</v>
      </c>
      <c r="AB46" s="112" t="s">
        <v>204</v>
      </c>
      <c r="AC46" s="112">
        <v>8</v>
      </c>
      <c r="AD46" s="112" t="s">
        <v>204</v>
      </c>
      <c r="AG46" s="112">
        <v>12081</v>
      </c>
      <c r="AH46" s="112">
        <v>11200</v>
      </c>
      <c r="AJ46" s="112" t="b">
        <v>0</v>
      </c>
      <c r="AK46" s="112">
        <v>8</v>
      </c>
      <c r="AL46" s="112" t="s">
        <v>204</v>
      </c>
      <c r="AM46" s="112">
        <v>12081</v>
      </c>
      <c r="AN46" s="112">
        <v>8</v>
      </c>
      <c r="AO46" s="112" t="s">
        <v>204</v>
      </c>
      <c r="AR46" s="112">
        <v>11200</v>
      </c>
      <c r="AT46" s="112" t="b">
        <v>0</v>
      </c>
      <c r="AU46" s="112">
        <v>12081</v>
      </c>
      <c r="AV46" s="112">
        <v>11200</v>
      </c>
      <c r="AX46" s="112" t="b">
        <v>0</v>
      </c>
      <c r="AY46" s="112">
        <v>0</v>
      </c>
      <c r="AZ46" s="112">
        <v>0</v>
      </c>
      <c r="BB46" s="112" t="b">
        <v>0</v>
      </c>
      <c r="BC46" s="112">
        <v>631954371.199</v>
      </c>
      <c r="BE46" s="112">
        <v>631954371.199</v>
      </c>
      <c r="BF46" s="112" t="b">
        <v>1</v>
      </c>
      <c r="BG46" s="112">
        <v>648129946.38999999</v>
      </c>
      <c r="BH46" s="112">
        <v>2.5596112517285441E-2</v>
      </c>
      <c r="BI46" s="112">
        <v>0</v>
      </c>
      <c r="BJ46" s="112" t="b">
        <v>0</v>
      </c>
      <c r="BK46" s="112">
        <v>0</v>
      </c>
      <c r="BL46" s="112" t="b">
        <v>0</v>
      </c>
      <c r="BM46" s="112" t="b">
        <v>1</v>
      </c>
    </row>
    <row r="47" spans="1:65">
      <c r="A47" s="112" t="s">
        <v>187</v>
      </c>
      <c r="B47" s="112" t="s">
        <v>188</v>
      </c>
      <c r="C47" s="112">
        <v>20220101</v>
      </c>
      <c r="D47" s="112">
        <v>2022</v>
      </c>
      <c r="E47" s="112">
        <v>52</v>
      </c>
      <c r="F47" s="112" t="s">
        <v>223</v>
      </c>
      <c r="G47" s="112">
        <v>784</v>
      </c>
      <c r="H47" s="112" t="s">
        <v>234</v>
      </c>
      <c r="I47" s="112" t="s">
        <v>235</v>
      </c>
      <c r="J47" s="112" t="s">
        <v>251</v>
      </c>
      <c r="K47" s="112" t="s">
        <v>252</v>
      </c>
      <c r="L47" s="112">
        <v>686</v>
      </c>
      <c r="M47" s="112" t="s">
        <v>190</v>
      </c>
      <c r="N47" s="112" t="s">
        <v>191</v>
      </c>
      <c r="O47" s="112" t="s">
        <v>224</v>
      </c>
      <c r="P47" s="112" t="s">
        <v>197</v>
      </c>
      <c r="Q47" s="112" t="b">
        <v>1</v>
      </c>
      <c r="R47" s="112" t="s">
        <v>198</v>
      </c>
      <c r="S47" s="112" t="s">
        <v>199</v>
      </c>
      <c r="T47" s="112">
        <v>4</v>
      </c>
      <c r="U47" s="112" t="b">
        <v>0</v>
      </c>
      <c r="V47" s="112" t="s">
        <v>200</v>
      </c>
      <c r="W47" s="112" t="s">
        <v>201</v>
      </c>
      <c r="X47" s="112" t="s">
        <v>202</v>
      </c>
      <c r="Y47" s="112">
        <v>0</v>
      </c>
      <c r="Z47" s="112" t="s">
        <v>203</v>
      </c>
      <c r="AA47" s="112">
        <v>8</v>
      </c>
      <c r="AB47" s="112" t="s">
        <v>204</v>
      </c>
      <c r="AC47" s="112">
        <v>8</v>
      </c>
      <c r="AD47" s="112" t="s">
        <v>204</v>
      </c>
      <c r="AG47" s="112">
        <v>3215.52</v>
      </c>
      <c r="AH47" s="112">
        <v>3287</v>
      </c>
      <c r="AJ47" s="112" t="b">
        <v>0</v>
      </c>
      <c r="AK47" s="112">
        <v>8</v>
      </c>
      <c r="AL47" s="112" t="s">
        <v>204</v>
      </c>
      <c r="AM47" s="112">
        <v>3215.52</v>
      </c>
      <c r="AN47" s="112">
        <v>8</v>
      </c>
      <c r="AO47" s="112" t="s">
        <v>204</v>
      </c>
      <c r="AR47" s="112">
        <v>3287</v>
      </c>
      <c r="AT47" s="112" t="b">
        <v>0</v>
      </c>
      <c r="AU47" s="112">
        <v>3215.52</v>
      </c>
      <c r="AV47" s="112">
        <v>3287</v>
      </c>
      <c r="AX47" s="112" t="b">
        <v>0</v>
      </c>
      <c r="AY47" s="112">
        <v>0</v>
      </c>
      <c r="AZ47" s="112">
        <v>0</v>
      </c>
      <c r="BB47" s="112" t="b">
        <v>0</v>
      </c>
      <c r="BC47" s="112">
        <v>171934926.44400001</v>
      </c>
      <c r="BE47" s="112">
        <v>171934926.44400001</v>
      </c>
      <c r="BF47" s="112" t="b">
        <v>1</v>
      </c>
      <c r="BG47" s="112">
        <v>62711461.711999997</v>
      </c>
      <c r="BH47" s="112">
        <v>-0.63526048482984976</v>
      </c>
      <c r="BI47" s="112">
        <v>0</v>
      </c>
      <c r="BJ47" s="112" t="b">
        <v>0</v>
      </c>
      <c r="BK47" s="112">
        <v>0</v>
      </c>
      <c r="BL47" s="112" t="b">
        <v>0</v>
      </c>
      <c r="BM47" s="112" t="b">
        <v>1</v>
      </c>
    </row>
    <row r="48" spans="1:65">
      <c r="A48" s="112" t="s">
        <v>187</v>
      </c>
      <c r="B48" s="112" t="s">
        <v>188</v>
      </c>
      <c r="C48" s="112">
        <v>20230101</v>
      </c>
      <c r="D48" s="112">
        <v>2023</v>
      </c>
      <c r="E48" s="112">
        <v>52</v>
      </c>
      <c r="F48" s="112" t="s">
        <v>231</v>
      </c>
      <c r="G48" s="112">
        <v>36</v>
      </c>
      <c r="H48" s="112" t="s">
        <v>194</v>
      </c>
      <c r="I48" s="112" t="s">
        <v>195</v>
      </c>
      <c r="J48" s="112" t="s">
        <v>251</v>
      </c>
      <c r="K48" s="112" t="s">
        <v>252</v>
      </c>
      <c r="L48" s="112">
        <v>686</v>
      </c>
      <c r="M48" s="112" t="s">
        <v>190</v>
      </c>
      <c r="N48" s="112" t="s">
        <v>191</v>
      </c>
      <c r="O48" s="112" t="s">
        <v>224</v>
      </c>
      <c r="P48" s="112" t="s">
        <v>197</v>
      </c>
      <c r="Q48" s="112" t="b">
        <v>1</v>
      </c>
      <c r="R48" s="112" t="s">
        <v>198</v>
      </c>
      <c r="S48" s="112" t="s">
        <v>199</v>
      </c>
      <c r="T48" s="112">
        <v>4</v>
      </c>
      <c r="U48" s="112" t="b">
        <v>0</v>
      </c>
      <c r="V48" s="112" t="s">
        <v>200</v>
      </c>
      <c r="W48" s="112" t="s">
        <v>201</v>
      </c>
      <c r="X48" s="112" t="s">
        <v>202</v>
      </c>
      <c r="Y48" s="112">
        <v>0</v>
      </c>
      <c r="Z48" s="112" t="s">
        <v>203</v>
      </c>
      <c r="AA48" s="112">
        <v>8</v>
      </c>
      <c r="AB48" s="112" t="s">
        <v>204</v>
      </c>
      <c r="AC48" s="112">
        <v>8</v>
      </c>
      <c r="AD48" s="112" t="s">
        <v>204</v>
      </c>
      <c r="AG48" s="112">
        <v>3797.2040000000002</v>
      </c>
      <c r="AH48" s="112">
        <v>2683</v>
      </c>
      <c r="AJ48" s="112" t="b">
        <v>1</v>
      </c>
      <c r="AK48" s="112">
        <v>-1</v>
      </c>
      <c r="AL48" s="112" t="s">
        <v>205</v>
      </c>
      <c r="AM48" s="112">
        <v>0</v>
      </c>
      <c r="AN48" s="112">
        <v>8</v>
      </c>
      <c r="AO48" s="112" t="s">
        <v>204</v>
      </c>
      <c r="AR48" s="112">
        <v>2683</v>
      </c>
      <c r="AT48" s="112" t="b">
        <v>0</v>
      </c>
      <c r="AV48" s="112">
        <v>2683</v>
      </c>
      <c r="AX48" s="112" t="b">
        <v>0</v>
      </c>
      <c r="AY48" s="112">
        <v>4228</v>
      </c>
      <c r="AZ48" s="112">
        <v>0</v>
      </c>
      <c r="BB48" s="112" t="b">
        <v>0</v>
      </c>
      <c r="BC48" s="112">
        <v>230374640.12099999</v>
      </c>
      <c r="BD48" s="112">
        <v>229615460.164</v>
      </c>
      <c r="BE48" s="112">
        <v>230374640.12099999</v>
      </c>
      <c r="BF48" s="112" t="b">
        <v>1</v>
      </c>
      <c r="BG48" s="112">
        <v>167770585.40799999</v>
      </c>
      <c r="BH48" s="112">
        <v>-0.27174889857719753</v>
      </c>
      <c r="BI48" s="112">
        <v>0</v>
      </c>
      <c r="BJ48" s="112" t="b">
        <v>0</v>
      </c>
      <c r="BK48" s="112">
        <v>2</v>
      </c>
      <c r="BL48" s="112" t="b">
        <v>0</v>
      </c>
      <c r="BM48" s="112" t="b">
        <v>1</v>
      </c>
    </row>
    <row r="49" spans="1:65">
      <c r="A49" s="112" t="s">
        <v>187</v>
      </c>
      <c r="B49" s="112" t="s">
        <v>188</v>
      </c>
      <c r="C49" s="112">
        <v>20230101</v>
      </c>
      <c r="D49" s="112">
        <v>2023</v>
      </c>
      <c r="E49" s="112">
        <v>52</v>
      </c>
      <c r="F49" s="112" t="s">
        <v>231</v>
      </c>
      <c r="G49" s="112">
        <v>380</v>
      </c>
      <c r="H49" s="112" t="s">
        <v>218</v>
      </c>
      <c r="I49" s="112" t="s">
        <v>219</v>
      </c>
      <c r="J49" s="112" t="s">
        <v>251</v>
      </c>
      <c r="K49" s="112" t="s">
        <v>252</v>
      </c>
      <c r="L49" s="112">
        <v>686</v>
      </c>
      <c r="M49" s="112" t="s">
        <v>190</v>
      </c>
      <c r="N49" s="112" t="s">
        <v>191</v>
      </c>
      <c r="O49" s="112" t="s">
        <v>224</v>
      </c>
      <c r="P49" s="112" t="s">
        <v>197</v>
      </c>
      <c r="Q49" s="112" t="b">
        <v>1</v>
      </c>
      <c r="R49" s="112" t="s">
        <v>198</v>
      </c>
      <c r="S49" s="112" t="s">
        <v>199</v>
      </c>
      <c r="T49" s="112">
        <v>4</v>
      </c>
      <c r="U49" s="112" t="b">
        <v>0</v>
      </c>
      <c r="V49" s="112" t="s">
        <v>200</v>
      </c>
      <c r="W49" s="112" t="s">
        <v>201</v>
      </c>
      <c r="X49" s="112" t="s">
        <v>202</v>
      </c>
      <c r="Y49" s="112">
        <v>0</v>
      </c>
      <c r="Z49" s="112" t="s">
        <v>203</v>
      </c>
      <c r="AA49" s="112">
        <v>8</v>
      </c>
      <c r="AB49" s="112" t="s">
        <v>204</v>
      </c>
      <c r="AC49" s="112">
        <v>8</v>
      </c>
      <c r="AD49" s="112" t="s">
        <v>204</v>
      </c>
      <c r="AG49" s="112">
        <v>28.239000000000001</v>
      </c>
      <c r="AH49" s="112">
        <v>53</v>
      </c>
      <c r="AJ49" s="112" t="b">
        <v>0</v>
      </c>
      <c r="AK49" s="112">
        <v>15</v>
      </c>
      <c r="AL49" s="112" t="s">
        <v>213</v>
      </c>
      <c r="AM49" s="112">
        <v>28239</v>
      </c>
      <c r="AN49" s="112">
        <v>8</v>
      </c>
      <c r="AO49" s="112" t="s">
        <v>204</v>
      </c>
      <c r="AR49" s="112">
        <v>53</v>
      </c>
      <c r="AT49" s="112" t="b">
        <v>0</v>
      </c>
      <c r="AU49" s="112">
        <v>28</v>
      </c>
      <c r="AV49" s="112">
        <v>53</v>
      </c>
      <c r="AX49" s="112" t="b">
        <v>0</v>
      </c>
      <c r="AY49" s="112">
        <v>0</v>
      </c>
      <c r="AZ49" s="112">
        <v>0</v>
      </c>
      <c r="BB49" s="112" t="b">
        <v>0</v>
      </c>
      <c r="BC49" s="112">
        <v>1335454.328</v>
      </c>
      <c r="BE49" s="112">
        <v>1335454.328</v>
      </c>
      <c r="BF49" s="112" t="b">
        <v>1</v>
      </c>
      <c r="BG49" s="112">
        <v>1004493.015</v>
      </c>
      <c r="BH49" s="112">
        <v>-0.24782675533026532</v>
      </c>
      <c r="BI49" s="112">
        <v>0</v>
      </c>
      <c r="BJ49" s="112" t="b">
        <v>0</v>
      </c>
      <c r="BK49" s="112">
        <v>0</v>
      </c>
      <c r="BL49" s="112" t="b">
        <v>0</v>
      </c>
      <c r="BM49" s="112" t="b">
        <v>1</v>
      </c>
    </row>
    <row r="50" spans="1:65">
      <c r="A50" s="112" t="s">
        <v>187</v>
      </c>
      <c r="B50" s="112" t="s">
        <v>188</v>
      </c>
      <c r="C50" s="112">
        <v>20230101</v>
      </c>
      <c r="D50" s="112">
        <v>2023</v>
      </c>
      <c r="E50" s="112">
        <v>52</v>
      </c>
      <c r="F50" s="112" t="s">
        <v>231</v>
      </c>
      <c r="G50" s="112">
        <v>466</v>
      </c>
      <c r="H50" s="112" t="s">
        <v>260</v>
      </c>
      <c r="I50" s="112" t="s">
        <v>261</v>
      </c>
      <c r="J50" s="112" t="s">
        <v>251</v>
      </c>
      <c r="K50" s="112" t="s">
        <v>252</v>
      </c>
      <c r="L50" s="112">
        <v>686</v>
      </c>
      <c r="M50" s="112" t="s">
        <v>190</v>
      </c>
      <c r="N50" s="112" t="s">
        <v>191</v>
      </c>
      <c r="O50" s="112" t="s">
        <v>224</v>
      </c>
      <c r="P50" s="112" t="s">
        <v>197</v>
      </c>
      <c r="Q50" s="112" t="b">
        <v>1</v>
      </c>
      <c r="R50" s="112" t="s">
        <v>198</v>
      </c>
      <c r="S50" s="112" t="s">
        <v>199</v>
      </c>
      <c r="T50" s="112">
        <v>4</v>
      </c>
      <c r="U50" s="112" t="b">
        <v>0</v>
      </c>
      <c r="V50" s="112" t="s">
        <v>200</v>
      </c>
      <c r="W50" s="112" t="s">
        <v>201</v>
      </c>
      <c r="X50" s="112" t="s">
        <v>202</v>
      </c>
      <c r="Y50" s="112">
        <v>0</v>
      </c>
      <c r="Z50" s="112" t="s">
        <v>203</v>
      </c>
      <c r="AA50" s="112">
        <v>8</v>
      </c>
      <c r="AB50" s="112" t="s">
        <v>204</v>
      </c>
      <c r="AG50" s="112">
        <v>6.6109999999999998</v>
      </c>
      <c r="AJ50" s="112" t="b">
        <v>0</v>
      </c>
      <c r="AK50" s="112">
        <v>8</v>
      </c>
      <c r="AL50" s="112" t="s">
        <v>204</v>
      </c>
      <c r="AM50" s="112">
        <v>6.6109999999999998</v>
      </c>
      <c r="AT50" s="112" t="b">
        <v>0</v>
      </c>
      <c r="AU50" s="112">
        <v>6.6109999999999998</v>
      </c>
      <c r="AX50" s="112" t="b">
        <v>0</v>
      </c>
      <c r="AY50" s="112">
        <v>0</v>
      </c>
      <c r="BB50" s="112" t="b">
        <v>0</v>
      </c>
      <c r="BC50" s="112">
        <v>337980.12400000001</v>
      </c>
      <c r="BE50" s="112">
        <v>337980.12400000001</v>
      </c>
      <c r="BF50" s="112" t="b">
        <v>1</v>
      </c>
      <c r="BG50" s="112">
        <v>0</v>
      </c>
      <c r="BH50" s="112">
        <v>-1</v>
      </c>
      <c r="BI50" s="112">
        <v>0</v>
      </c>
      <c r="BJ50" s="112" t="b">
        <v>0</v>
      </c>
      <c r="BK50" s="112">
        <v>0</v>
      </c>
      <c r="BL50" s="112" t="b">
        <v>0</v>
      </c>
      <c r="BM50" s="112" t="b">
        <v>1</v>
      </c>
    </row>
    <row r="51" spans="1:65">
      <c r="A51" s="112" t="s">
        <v>187</v>
      </c>
      <c r="B51" s="112" t="s">
        <v>188</v>
      </c>
      <c r="C51" s="112">
        <v>20230101</v>
      </c>
      <c r="D51" s="112">
        <v>2023</v>
      </c>
      <c r="E51" s="112">
        <v>52</v>
      </c>
      <c r="F51" s="112" t="s">
        <v>231</v>
      </c>
      <c r="G51" s="112">
        <v>757</v>
      </c>
      <c r="H51" s="112" t="s">
        <v>225</v>
      </c>
      <c r="I51" s="112" t="s">
        <v>226</v>
      </c>
      <c r="J51" s="112" t="s">
        <v>251</v>
      </c>
      <c r="K51" s="112" t="s">
        <v>252</v>
      </c>
      <c r="L51" s="112">
        <v>686</v>
      </c>
      <c r="M51" s="112" t="s">
        <v>190</v>
      </c>
      <c r="N51" s="112" t="s">
        <v>191</v>
      </c>
      <c r="O51" s="112" t="s">
        <v>224</v>
      </c>
      <c r="P51" s="112" t="s">
        <v>197</v>
      </c>
      <c r="Q51" s="112" t="b">
        <v>1</v>
      </c>
      <c r="R51" s="112" t="s">
        <v>198</v>
      </c>
      <c r="S51" s="112" t="s">
        <v>199</v>
      </c>
      <c r="T51" s="112">
        <v>4</v>
      </c>
      <c r="U51" s="112" t="b">
        <v>0</v>
      </c>
      <c r="V51" s="112" t="s">
        <v>200</v>
      </c>
      <c r="W51" s="112" t="s">
        <v>201</v>
      </c>
      <c r="X51" s="112" t="s">
        <v>202</v>
      </c>
      <c r="Y51" s="112">
        <v>0</v>
      </c>
      <c r="Z51" s="112" t="s">
        <v>203</v>
      </c>
      <c r="AA51" s="112">
        <v>8</v>
      </c>
      <c r="AB51" s="112" t="s">
        <v>204</v>
      </c>
      <c r="AC51" s="112">
        <v>8</v>
      </c>
      <c r="AD51" s="112" t="s">
        <v>204</v>
      </c>
      <c r="AG51" s="112">
        <v>10566</v>
      </c>
      <c r="AH51" s="112">
        <v>9949</v>
      </c>
      <c r="AJ51" s="112" t="b">
        <v>0</v>
      </c>
      <c r="AK51" s="112">
        <v>8</v>
      </c>
      <c r="AL51" s="112" t="s">
        <v>204</v>
      </c>
      <c r="AM51" s="112">
        <v>10566</v>
      </c>
      <c r="AN51" s="112">
        <v>8</v>
      </c>
      <c r="AO51" s="112" t="s">
        <v>204</v>
      </c>
      <c r="AR51" s="112">
        <v>9949</v>
      </c>
      <c r="AT51" s="112" t="b">
        <v>0</v>
      </c>
      <c r="AU51" s="112">
        <v>10566</v>
      </c>
      <c r="AV51" s="112">
        <v>9949</v>
      </c>
      <c r="AX51" s="112" t="b">
        <v>0</v>
      </c>
      <c r="AY51" s="112">
        <v>0</v>
      </c>
      <c r="AZ51" s="112">
        <v>0</v>
      </c>
      <c r="BB51" s="112" t="b">
        <v>0</v>
      </c>
      <c r="BC51" s="112">
        <v>593906011.35000002</v>
      </c>
      <c r="BE51" s="112">
        <v>593906011.35000002</v>
      </c>
      <c r="BF51" s="112" t="b">
        <v>1</v>
      </c>
      <c r="BG51" s="112">
        <v>622824592.23699999</v>
      </c>
      <c r="BH51" s="112">
        <v>4.869218417450516E-2</v>
      </c>
      <c r="BI51" s="112">
        <v>0</v>
      </c>
      <c r="BJ51" s="112" t="b">
        <v>0</v>
      </c>
      <c r="BK51" s="112">
        <v>0</v>
      </c>
      <c r="BL51" s="112" t="b">
        <v>0</v>
      </c>
      <c r="BM51" s="112" t="b">
        <v>1</v>
      </c>
    </row>
    <row r="52" spans="1:65">
      <c r="A52" s="112" t="s">
        <v>187</v>
      </c>
      <c r="B52" s="112" t="s">
        <v>188</v>
      </c>
      <c r="C52" s="112">
        <v>20230101</v>
      </c>
      <c r="D52" s="112">
        <v>2023</v>
      </c>
      <c r="E52" s="112">
        <v>52</v>
      </c>
      <c r="F52" s="112" t="s">
        <v>231</v>
      </c>
      <c r="G52" s="112">
        <v>784</v>
      </c>
      <c r="H52" s="112" t="s">
        <v>234</v>
      </c>
      <c r="I52" s="112" t="s">
        <v>235</v>
      </c>
      <c r="J52" s="112" t="s">
        <v>251</v>
      </c>
      <c r="K52" s="112" t="s">
        <v>252</v>
      </c>
      <c r="L52" s="112">
        <v>686</v>
      </c>
      <c r="M52" s="112" t="s">
        <v>190</v>
      </c>
      <c r="N52" s="112" t="s">
        <v>191</v>
      </c>
      <c r="O52" s="112" t="s">
        <v>224</v>
      </c>
      <c r="P52" s="112" t="s">
        <v>197</v>
      </c>
      <c r="Q52" s="112" t="b">
        <v>1</v>
      </c>
      <c r="R52" s="112" t="s">
        <v>198</v>
      </c>
      <c r="S52" s="112" t="s">
        <v>199</v>
      </c>
      <c r="T52" s="112">
        <v>4</v>
      </c>
      <c r="U52" s="112" t="b">
        <v>0</v>
      </c>
      <c r="V52" s="112" t="s">
        <v>200</v>
      </c>
      <c r="W52" s="112" t="s">
        <v>201</v>
      </c>
      <c r="X52" s="112" t="s">
        <v>202</v>
      </c>
      <c r="Y52" s="112">
        <v>0</v>
      </c>
      <c r="Z52" s="112" t="s">
        <v>203</v>
      </c>
      <c r="AA52" s="112">
        <v>8</v>
      </c>
      <c r="AB52" s="112" t="s">
        <v>204</v>
      </c>
      <c r="AC52" s="112">
        <v>8</v>
      </c>
      <c r="AD52" s="112" t="s">
        <v>204</v>
      </c>
      <c r="AG52" s="112">
        <v>4014.64</v>
      </c>
      <c r="AH52" s="112">
        <v>4287</v>
      </c>
      <c r="AJ52" s="112" t="b">
        <v>0</v>
      </c>
      <c r="AK52" s="112">
        <v>8</v>
      </c>
      <c r="AL52" s="112" t="s">
        <v>204</v>
      </c>
      <c r="AM52" s="112">
        <v>4014.64</v>
      </c>
      <c r="AN52" s="112">
        <v>8</v>
      </c>
      <c r="AO52" s="112" t="s">
        <v>204</v>
      </c>
      <c r="AR52" s="112">
        <v>4287</v>
      </c>
      <c r="AT52" s="112" t="b">
        <v>0</v>
      </c>
      <c r="AU52" s="112">
        <v>4014.64</v>
      </c>
      <c r="AV52" s="112">
        <v>4287</v>
      </c>
      <c r="AX52" s="112" t="b">
        <v>0</v>
      </c>
      <c r="AY52" s="112">
        <v>0</v>
      </c>
      <c r="AZ52" s="112">
        <v>0</v>
      </c>
      <c r="BB52" s="112" t="b">
        <v>0</v>
      </c>
      <c r="BC52" s="112">
        <v>238406106.84299999</v>
      </c>
      <c r="BE52" s="112">
        <v>238406106.84299999</v>
      </c>
      <c r="BF52" s="112" t="b">
        <v>1</v>
      </c>
      <c r="BG52" s="112">
        <v>82918571.925999999</v>
      </c>
      <c r="BH52" s="112">
        <v>-0.65219610762485536</v>
      </c>
      <c r="BI52" s="112">
        <v>0</v>
      </c>
      <c r="BJ52" s="112" t="b">
        <v>0</v>
      </c>
      <c r="BK52" s="112">
        <v>0</v>
      </c>
      <c r="BL52" s="112" t="b">
        <v>0</v>
      </c>
      <c r="BM52" s="112" t="b">
        <v>1</v>
      </c>
    </row>
    <row r="53" spans="1:65">
      <c r="A53" s="112" t="s">
        <v>187</v>
      </c>
      <c r="B53" s="112" t="s">
        <v>188</v>
      </c>
      <c r="C53" s="112">
        <v>20230101</v>
      </c>
      <c r="D53" s="112">
        <v>2023</v>
      </c>
      <c r="E53" s="112">
        <v>52</v>
      </c>
      <c r="F53" s="112" t="s">
        <v>231</v>
      </c>
      <c r="G53" s="112">
        <v>792</v>
      </c>
      <c r="H53" s="112" t="s">
        <v>211</v>
      </c>
      <c r="I53" s="112" t="s">
        <v>212</v>
      </c>
      <c r="J53" s="112" t="s">
        <v>251</v>
      </c>
      <c r="K53" s="112" t="s">
        <v>252</v>
      </c>
      <c r="L53" s="112">
        <v>686</v>
      </c>
      <c r="M53" s="112" t="s">
        <v>190</v>
      </c>
      <c r="N53" s="112" t="s">
        <v>191</v>
      </c>
      <c r="O53" s="112" t="s">
        <v>224</v>
      </c>
      <c r="P53" s="112" t="s">
        <v>197</v>
      </c>
      <c r="Q53" s="112" t="b">
        <v>1</v>
      </c>
      <c r="R53" s="112" t="s">
        <v>198</v>
      </c>
      <c r="S53" s="112" t="s">
        <v>199</v>
      </c>
      <c r="T53" s="112">
        <v>4</v>
      </c>
      <c r="U53" s="112" t="b">
        <v>0</v>
      </c>
      <c r="V53" s="112" t="s">
        <v>200</v>
      </c>
      <c r="W53" s="112" t="s">
        <v>201</v>
      </c>
      <c r="X53" s="112" t="s">
        <v>202</v>
      </c>
      <c r="Y53" s="112">
        <v>0</v>
      </c>
      <c r="Z53" s="112" t="s">
        <v>203</v>
      </c>
      <c r="AA53" s="112">
        <v>8</v>
      </c>
      <c r="AB53" s="112" t="s">
        <v>204</v>
      </c>
      <c r="AC53" s="112">
        <v>8</v>
      </c>
      <c r="AD53" s="112" t="s">
        <v>204</v>
      </c>
      <c r="AG53" s="112">
        <v>34.648000000000003</v>
      </c>
      <c r="AH53" s="112">
        <v>9</v>
      </c>
      <c r="AJ53" s="112" t="b">
        <v>0</v>
      </c>
      <c r="AK53" s="112">
        <v>8</v>
      </c>
      <c r="AL53" s="112" t="s">
        <v>204</v>
      </c>
      <c r="AM53" s="112">
        <v>34.648000000000003</v>
      </c>
      <c r="AN53" s="112">
        <v>8</v>
      </c>
      <c r="AO53" s="112" t="s">
        <v>204</v>
      </c>
      <c r="AR53" s="112">
        <v>9</v>
      </c>
      <c r="AT53" s="112" t="b">
        <v>0</v>
      </c>
      <c r="AU53" s="112">
        <v>35</v>
      </c>
      <c r="AV53" s="112">
        <v>9</v>
      </c>
      <c r="AX53" s="112" t="b">
        <v>0</v>
      </c>
      <c r="AY53" s="112">
        <v>0</v>
      </c>
      <c r="AZ53" s="112">
        <v>0</v>
      </c>
      <c r="BB53" s="112" t="b">
        <v>0</v>
      </c>
      <c r="BC53" s="112">
        <v>1695971</v>
      </c>
      <c r="BD53" s="112">
        <v>1694377</v>
      </c>
      <c r="BE53" s="112">
        <v>1695971</v>
      </c>
      <c r="BF53" s="112" t="b">
        <v>1</v>
      </c>
      <c r="BG53" s="112">
        <v>176649.51800000001</v>
      </c>
      <c r="BH53" s="112">
        <v>-0.89584166356618122</v>
      </c>
      <c r="BI53" s="112">
        <v>0</v>
      </c>
      <c r="BJ53" s="112" t="b">
        <v>0</v>
      </c>
      <c r="BK53" s="112">
        <v>0</v>
      </c>
      <c r="BL53" s="112" t="b">
        <v>0</v>
      </c>
      <c r="BM53" s="112" t="b">
        <v>1</v>
      </c>
    </row>
    <row r="54" spans="1:65">
      <c r="A54" s="112" t="s">
        <v>187</v>
      </c>
      <c r="B54" s="112" t="s">
        <v>188</v>
      </c>
      <c r="C54" s="112">
        <v>20240101</v>
      </c>
      <c r="D54" s="112">
        <v>2024</v>
      </c>
      <c r="E54" s="112">
        <v>52</v>
      </c>
      <c r="F54" s="112" t="s">
        <v>239</v>
      </c>
      <c r="G54" s="112">
        <v>36</v>
      </c>
      <c r="H54" s="112" t="s">
        <v>194</v>
      </c>
      <c r="I54" s="112" t="s">
        <v>195</v>
      </c>
      <c r="J54" s="112" t="s">
        <v>251</v>
      </c>
      <c r="K54" s="112" t="s">
        <v>252</v>
      </c>
      <c r="L54" s="112">
        <v>686</v>
      </c>
      <c r="M54" s="112" t="s">
        <v>190</v>
      </c>
      <c r="N54" s="112" t="s">
        <v>191</v>
      </c>
      <c r="O54" s="112" t="s">
        <v>224</v>
      </c>
      <c r="P54" s="112" t="s">
        <v>197</v>
      </c>
      <c r="Q54" s="112" t="b">
        <v>1</v>
      </c>
      <c r="R54" s="112" t="s">
        <v>198</v>
      </c>
      <c r="S54" s="112" t="s">
        <v>199</v>
      </c>
      <c r="T54" s="112">
        <v>4</v>
      </c>
      <c r="U54" s="112" t="b">
        <v>0</v>
      </c>
      <c r="V54" s="112" t="s">
        <v>200</v>
      </c>
      <c r="W54" s="112" t="s">
        <v>201</v>
      </c>
      <c r="X54" s="112" t="s">
        <v>202</v>
      </c>
      <c r="Y54" s="112">
        <v>0</v>
      </c>
      <c r="Z54" s="112" t="s">
        <v>203</v>
      </c>
      <c r="AA54" s="112">
        <v>8</v>
      </c>
      <c r="AB54" s="112" t="s">
        <v>204</v>
      </c>
      <c r="AC54" s="112">
        <v>8</v>
      </c>
      <c r="AD54" s="112" t="s">
        <v>204</v>
      </c>
      <c r="AG54" s="112">
        <v>3042.6289999999999</v>
      </c>
      <c r="AH54" s="112">
        <v>1660</v>
      </c>
      <c r="AJ54" s="112" t="b">
        <v>1</v>
      </c>
      <c r="AK54" s="112">
        <v>-1</v>
      </c>
      <c r="AL54" s="112" t="s">
        <v>205</v>
      </c>
      <c r="AM54" s="112">
        <v>0</v>
      </c>
      <c r="AN54" s="112">
        <v>8</v>
      </c>
      <c r="AO54" s="112" t="s">
        <v>204</v>
      </c>
      <c r="AR54" s="112">
        <v>1660</v>
      </c>
      <c r="AT54" s="112" t="b">
        <v>0</v>
      </c>
      <c r="AU54" s="112">
        <v>3042.6289999999999</v>
      </c>
      <c r="AV54" s="112">
        <v>1660</v>
      </c>
      <c r="AX54" s="112" t="b">
        <v>1</v>
      </c>
      <c r="AY54" s="112">
        <v>3.117</v>
      </c>
      <c r="AZ54" s="112">
        <v>0</v>
      </c>
      <c r="BB54" s="112" t="b">
        <v>0</v>
      </c>
      <c r="BC54" s="112">
        <v>201071815.89399999</v>
      </c>
      <c r="BD54" s="112">
        <v>200467702.66499999</v>
      </c>
      <c r="BE54" s="112">
        <v>201071815.89399999</v>
      </c>
      <c r="BF54" s="112" t="b">
        <v>1</v>
      </c>
      <c r="BG54" s="112">
        <v>139181355.19999999</v>
      </c>
      <c r="BH54" s="112">
        <v>-0.30780276399665629</v>
      </c>
      <c r="BI54" s="112">
        <v>0</v>
      </c>
      <c r="BJ54" s="112" t="b">
        <v>0</v>
      </c>
      <c r="BK54" s="112">
        <v>6</v>
      </c>
      <c r="BL54" s="112" t="b">
        <v>0</v>
      </c>
      <c r="BM54" s="112" t="b">
        <v>1</v>
      </c>
    </row>
    <row r="55" spans="1:65">
      <c r="A55" s="112" t="s">
        <v>187</v>
      </c>
      <c r="B55" s="112" t="s">
        <v>188</v>
      </c>
      <c r="C55" s="112">
        <v>20240101</v>
      </c>
      <c r="D55" s="112">
        <v>2024</v>
      </c>
      <c r="E55" s="112">
        <v>52</v>
      </c>
      <c r="F55" s="112" t="s">
        <v>239</v>
      </c>
      <c r="G55" s="112">
        <v>156</v>
      </c>
      <c r="H55" s="112" t="s">
        <v>241</v>
      </c>
      <c r="I55" s="112" t="s">
        <v>242</v>
      </c>
      <c r="J55" s="112" t="s">
        <v>251</v>
      </c>
      <c r="K55" s="112" t="s">
        <v>252</v>
      </c>
      <c r="L55" s="112">
        <v>686</v>
      </c>
      <c r="M55" s="112" t="s">
        <v>190</v>
      </c>
      <c r="N55" s="112" t="s">
        <v>191</v>
      </c>
      <c r="O55" s="112" t="s">
        <v>224</v>
      </c>
      <c r="P55" s="112" t="s">
        <v>197</v>
      </c>
      <c r="Q55" s="112" t="b">
        <v>1</v>
      </c>
      <c r="R55" s="112" t="s">
        <v>198</v>
      </c>
      <c r="S55" s="112" t="s">
        <v>199</v>
      </c>
      <c r="T55" s="112">
        <v>4</v>
      </c>
      <c r="U55" s="112" t="b">
        <v>0</v>
      </c>
      <c r="V55" s="112" t="s">
        <v>200</v>
      </c>
      <c r="W55" s="112" t="s">
        <v>201</v>
      </c>
      <c r="X55" s="112" t="s">
        <v>202</v>
      </c>
      <c r="Y55" s="112">
        <v>0</v>
      </c>
      <c r="Z55" s="112" t="s">
        <v>203</v>
      </c>
      <c r="AA55" s="112">
        <v>8</v>
      </c>
      <c r="AB55" s="112" t="s">
        <v>204</v>
      </c>
      <c r="AG55" s="112">
        <v>10.012</v>
      </c>
      <c r="AJ55" s="112" t="b">
        <v>0</v>
      </c>
      <c r="AK55" s="112">
        <v>15</v>
      </c>
      <c r="AL55" s="112" t="s">
        <v>213</v>
      </c>
      <c r="AM55" s="112">
        <v>10012</v>
      </c>
      <c r="AT55" s="112" t="b">
        <v>0</v>
      </c>
      <c r="AU55" s="112">
        <v>10.012</v>
      </c>
      <c r="AX55" s="112" t="b">
        <v>0</v>
      </c>
      <c r="AY55" s="112">
        <v>0</v>
      </c>
      <c r="BB55" s="112" t="b">
        <v>0</v>
      </c>
      <c r="BC55" s="112">
        <v>819980</v>
      </c>
      <c r="BE55" s="112">
        <v>819980</v>
      </c>
      <c r="BF55" s="112" t="b">
        <v>1</v>
      </c>
      <c r="BG55" s="112">
        <v>0</v>
      </c>
      <c r="BH55" s="112">
        <v>-1</v>
      </c>
      <c r="BI55" s="112">
        <v>0</v>
      </c>
      <c r="BJ55" s="112" t="b">
        <v>0</v>
      </c>
      <c r="BK55" s="112">
        <v>0</v>
      </c>
      <c r="BL55" s="112" t="b">
        <v>0</v>
      </c>
      <c r="BM55" s="112" t="b">
        <v>1</v>
      </c>
    </row>
    <row r="56" spans="1:65">
      <c r="A56" s="112" t="s">
        <v>187</v>
      </c>
      <c r="B56" s="112" t="s">
        <v>188</v>
      </c>
      <c r="C56" s="112">
        <v>20240101</v>
      </c>
      <c r="D56" s="112">
        <v>2024</v>
      </c>
      <c r="E56" s="112">
        <v>52</v>
      </c>
      <c r="F56" s="112" t="s">
        <v>239</v>
      </c>
      <c r="G56" s="112">
        <v>380</v>
      </c>
      <c r="H56" s="112" t="s">
        <v>218</v>
      </c>
      <c r="I56" s="112" t="s">
        <v>219</v>
      </c>
      <c r="J56" s="112" t="s">
        <v>251</v>
      </c>
      <c r="K56" s="112" t="s">
        <v>252</v>
      </c>
      <c r="L56" s="112">
        <v>686</v>
      </c>
      <c r="M56" s="112" t="s">
        <v>190</v>
      </c>
      <c r="N56" s="112" t="s">
        <v>191</v>
      </c>
      <c r="O56" s="112" t="s">
        <v>224</v>
      </c>
      <c r="P56" s="112" t="s">
        <v>197</v>
      </c>
      <c r="Q56" s="112" t="b">
        <v>1</v>
      </c>
      <c r="R56" s="112" t="s">
        <v>198</v>
      </c>
      <c r="S56" s="112" t="s">
        <v>199</v>
      </c>
      <c r="T56" s="112">
        <v>4</v>
      </c>
      <c r="U56" s="112" t="b">
        <v>0</v>
      </c>
      <c r="V56" s="112" t="s">
        <v>200</v>
      </c>
      <c r="W56" s="112" t="s">
        <v>201</v>
      </c>
      <c r="X56" s="112" t="s">
        <v>202</v>
      </c>
      <c r="Y56" s="112">
        <v>0</v>
      </c>
      <c r="Z56" s="112" t="s">
        <v>203</v>
      </c>
      <c r="AA56" s="112">
        <v>8</v>
      </c>
      <c r="AB56" s="112" t="s">
        <v>204</v>
      </c>
      <c r="AC56" s="112">
        <v>8</v>
      </c>
      <c r="AD56" s="112" t="s">
        <v>204</v>
      </c>
      <c r="AG56" s="112">
        <v>10.696999999999999</v>
      </c>
      <c r="AH56" s="112">
        <v>52</v>
      </c>
      <c r="AJ56" s="112" t="b">
        <v>0</v>
      </c>
      <c r="AK56" s="112">
        <v>8</v>
      </c>
      <c r="AL56" s="112" t="s">
        <v>204</v>
      </c>
      <c r="AM56" s="112">
        <v>10.696999999999999</v>
      </c>
      <c r="AN56" s="112">
        <v>8</v>
      </c>
      <c r="AO56" s="112" t="s">
        <v>204</v>
      </c>
      <c r="AR56" s="112">
        <v>52</v>
      </c>
      <c r="AT56" s="112" t="b">
        <v>0</v>
      </c>
      <c r="AU56" s="112">
        <v>12</v>
      </c>
      <c r="AV56" s="112">
        <v>52</v>
      </c>
      <c r="AX56" s="112" t="b">
        <v>0</v>
      </c>
      <c r="AY56" s="112">
        <v>0</v>
      </c>
      <c r="AZ56" s="112">
        <v>0</v>
      </c>
      <c r="BB56" s="112" t="b">
        <v>0</v>
      </c>
      <c r="BC56" s="112">
        <v>676674.71200000006</v>
      </c>
      <c r="BE56" s="112">
        <v>676674.71200000006</v>
      </c>
      <c r="BF56" s="112" t="b">
        <v>1</v>
      </c>
      <c r="BG56" s="112">
        <v>1000287.572</v>
      </c>
      <c r="BH56" s="112">
        <v>0.47823991980359382</v>
      </c>
      <c r="BI56" s="112">
        <v>0</v>
      </c>
      <c r="BJ56" s="112" t="b">
        <v>0</v>
      </c>
      <c r="BK56" s="112">
        <v>0</v>
      </c>
      <c r="BL56" s="112" t="b">
        <v>0</v>
      </c>
      <c r="BM56" s="112" t="b">
        <v>1</v>
      </c>
    </row>
    <row r="57" spans="1:65">
      <c r="A57" s="112" t="s">
        <v>187</v>
      </c>
      <c r="B57" s="112" t="s">
        <v>188</v>
      </c>
      <c r="C57" s="112">
        <v>20240101</v>
      </c>
      <c r="D57" s="112">
        <v>2024</v>
      </c>
      <c r="E57" s="112">
        <v>52</v>
      </c>
      <c r="F57" s="112" t="s">
        <v>239</v>
      </c>
      <c r="G57" s="112">
        <v>757</v>
      </c>
      <c r="H57" s="112" t="s">
        <v>225</v>
      </c>
      <c r="I57" s="112" t="s">
        <v>226</v>
      </c>
      <c r="J57" s="112" t="s">
        <v>251</v>
      </c>
      <c r="K57" s="112" t="s">
        <v>252</v>
      </c>
      <c r="L57" s="112">
        <v>686</v>
      </c>
      <c r="M57" s="112" t="s">
        <v>190</v>
      </c>
      <c r="N57" s="112" t="s">
        <v>191</v>
      </c>
      <c r="O57" s="112" t="s">
        <v>224</v>
      </c>
      <c r="P57" s="112" t="s">
        <v>197</v>
      </c>
      <c r="Q57" s="112" t="b">
        <v>1</v>
      </c>
      <c r="R57" s="112" t="s">
        <v>198</v>
      </c>
      <c r="S57" s="112" t="s">
        <v>199</v>
      </c>
      <c r="T57" s="112">
        <v>4</v>
      </c>
      <c r="U57" s="112" t="b">
        <v>0</v>
      </c>
      <c r="V57" s="112" t="s">
        <v>200</v>
      </c>
      <c r="W57" s="112" t="s">
        <v>201</v>
      </c>
      <c r="X57" s="112" t="s">
        <v>202</v>
      </c>
      <c r="Y57" s="112">
        <v>0</v>
      </c>
      <c r="Z57" s="112" t="s">
        <v>203</v>
      </c>
      <c r="AA57" s="112">
        <v>8</v>
      </c>
      <c r="AB57" s="112" t="s">
        <v>204</v>
      </c>
      <c r="AC57" s="112">
        <v>8</v>
      </c>
      <c r="AD57" s="112" t="s">
        <v>204</v>
      </c>
      <c r="AG57" s="112">
        <v>8103</v>
      </c>
      <c r="AH57" s="112">
        <v>9549</v>
      </c>
      <c r="AJ57" s="112" t="b">
        <v>0</v>
      </c>
      <c r="AK57" s="112">
        <v>8</v>
      </c>
      <c r="AL57" s="112" t="s">
        <v>204</v>
      </c>
      <c r="AM57" s="112">
        <v>8103</v>
      </c>
      <c r="AN57" s="112">
        <v>8</v>
      </c>
      <c r="AO57" s="112" t="s">
        <v>204</v>
      </c>
      <c r="AR57" s="112">
        <v>9549</v>
      </c>
      <c r="AT57" s="112" t="b">
        <v>0</v>
      </c>
      <c r="AU57" s="112">
        <v>8103</v>
      </c>
      <c r="AV57" s="112">
        <v>9549</v>
      </c>
      <c r="AX57" s="112" t="b">
        <v>0</v>
      </c>
      <c r="AY57" s="112">
        <v>0</v>
      </c>
      <c r="AZ57" s="112">
        <v>0</v>
      </c>
      <c r="BB57" s="112" t="b">
        <v>0</v>
      </c>
      <c r="BC57" s="112">
        <v>548487309.28999996</v>
      </c>
      <c r="BE57" s="112">
        <v>548487309.28999996</v>
      </c>
      <c r="BF57" s="112" t="b">
        <v>1</v>
      </c>
      <c r="BG57" s="112">
        <v>724559741.37</v>
      </c>
      <c r="BH57" s="112">
        <v>0.32101459614064809</v>
      </c>
      <c r="BI57" s="112">
        <v>0</v>
      </c>
      <c r="BJ57" s="112" t="b">
        <v>0</v>
      </c>
      <c r="BK57" s="112">
        <v>0</v>
      </c>
      <c r="BL57" s="112" t="b">
        <v>0</v>
      </c>
      <c r="BM57" s="112" t="b">
        <v>1</v>
      </c>
    </row>
    <row r="58" spans="1:65">
      <c r="A58" s="112" t="s">
        <v>187</v>
      </c>
      <c r="B58" s="112" t="s">
        <v>188</v>
      </c>
      <c r="C58" s="112">
        <v>20240101</v>
      </c>
      <c r="D58" s="112">
        <v>2024</v>
      </c>
      <c r="E58" s="112">
        <v>52</v>
      </c>
      <c r="F58" s="112" t="s">
        <v>239</v>
      </c>
      <c r="G58" s="112">
        <v>764</v>
      </c>
      <c r="H58" s="112" t="s">
        <v>262</v>
      </c>
      <c r="I58" s="112" t="s">
        <v>263</v>
      </c>
      <c r="J58" s="112" t="s">
        <v>251</v>
      </c>
      <c r="K58" s="112" t="s">
        <v>252</v>
      </c>
      <c r="L58" s="112">
        <v>686</v>
      </c>
      <c r="M58" s="112" t="s">
        <v>190</v>
      </c>
      <c r="N58" s="112" t="s">
        <v>191</v>
      </c>
      <c r="O58" s="112" t="s">
        <v>224</v>
      </c>
      <c r="P58" s="112" t="s">
        <v>197</v>
      </c>
      <c r="Q58" s="112" t="b">
        <v>1</v>
      </c>
      <c r="R58" s="112" t="s">
        <v>198</v>
      </c>
      <c r="S58" s="112" t="s">
        <v>199</v>
      </c>
      <c r="T58" s="112">
        <v>4</v>
      </c>
      <c r="U58" s="112" t="b">
        <v>0</v>
      </c>
      <c r="V58" s="112" t="s">
        <v>200</v>
      </c>
      <c r="W58" s="112" t="s">
        <v>201</v>
      </c>
      <c r="X58" s="112" t="s">
        <v>202</v>
      </c>
      <c r="Y58" s="112">
        <v>0</v>
      </c>
      <c r="Z58" s="112" t="s">
        <v>203</v>
      </c>
      <c r="AA58" s="112">
        <v>8</v>
      </c>
      <c r="AB58" s="112" t="s">
        <v>204</v>
      </c>
      <c r="AG58" s="112">
        <v>20</v>
      </c>
      <c r="AJ58" s="112" t="b">
        <v>0</v>
      </c>
      <c r="AK58" s="112">
        <v>8</v>
      </c>
      <c r="AL58" s="112" t="s">
        <v>204</v>
      </c>
      <c r="AM58" s="112">
        <v>20</v>
      </c>
      <c r="AT58" s="112" t="b">
        <v>0</v>
      </c>
      <c r="AU58" s="112">
        <v>20</v>
      </c>
      <c r="AX58" s="112" t="b">
        <v>0</v>
      </c>
      <c r="AY58" s="112">
        <v>0</v>
      </c>
      <c r="BB58" s="112" t="b">
        <v>0</v>
      </c>
      <c r="BC58" s="112">
        <v>1764637.62</v>
      </c>
      <c r="BE58" s="112">
        <v>1764637.62</v>
      </c>
      <c r="BF58" s="112" t="b">
        <v>1</v>
      </c>
      <c r="BG58" s="112">
        <v>0</v>
      </c>
      <c r="BH58" s="112">
        <v>-1</v>
      </c>
      <c r="BI58" s="112">
        <v>0</v>
      </c>
      <c r="BJ58" s="112" t="b">
        <v>0</v>
      </c>
      <c r="BK58" s="112">
        <v>0</v>
      </c>
      <c r="BL58" s="112" t="b">
        <v>0</v>
      </c>
      <c r="BM58" s="112" t="b">
        <v>1</v>
      </c>
    </row>
    <row r="59" spans="1:65">
      <c r="A59" s="112" t="s">
        <v>187</v>
      </c>
      <c r="B59" s="112" t="s">
        <v>188</v>
      </c>
      <c r="C59" s="112">
        <v>20240101</v>
      </c>
      <c r="D59" s="112">
        <v>2024</v>
      </c>
      <c r="E59" s="112">
        <v>52</v>
      </c>
      <c r="F59" s="112" t="s">
        <v>239</v>
      </c>
      <c r="G59" s="112">
        <v>792</v>
      </c>
      <c r="H59" s="112" t="s">
        <v>211</v>
      </c>
      <c r="I59" s="112" t="s">
        <v>212</v>
      </c>
      <c r="J59" s="112" t="s">
        <v>251</v>
      </c>
      <c r="K59" s="112" t="s">
        <v>252</v>
      </c>
      <c r="L59" s="112">
        <v>686</v>
      </c>
      <c r="M59" s="112" t="s">
        <v>190</v>
      </c>
      <c r="N59" s="112" t="s">
        <v>191</v>
      </c>
      <c r="O59" s="112" t="s">
        <v>224</v>
      </c>
      <c r="P59" s="112" t="s">
        <v>197</v>
      </c>
      <c r="Q59" s="112" t="b">
        <v>1</v>
      </c>
      <c r="R59" s="112" t="s">
        <v>198</v>
      </c>
      <c r="S59" s="112" t="s">
        <v>199</v>
      </c>
      <c r="T59" s="112">
        <v>4</v>
      </c>
      <c r="U59" s="112" t="b">
        <v>0</v>
      </c>
      <c r="V59" s="112" t="s">
        <v>200</v>
      </c>
      <c r="W59" s="112" t="s">
        <v>201</v>
      </c>
      <c r="X59" s="112" t="s">
        <v>202</v>
      </c>
      <c r="Y59" s="112">
        <v>0</v>
      </c>
      <c r="Z59" s="112" t="s">
        <v>203</v>
      </c>
      <c r="AA59" s="112">
        <v>8</v>
      </c>
      <c r="AB59" s="112" t="s">
        <v>204</v>
      </c>
      <c r="AG59" s="112">
        <v>1.9990000000000001</v>
      </c>
      <c r="AJ59" s="112" t="b">
        <v>0</v>
      </c>
      <c r="AK59" s="112">
        <v>15</v>
      </c>
      <c r="AL59" s="112" t="s">
        <v>213</v>
      </c>
      <c r="AM59" s="112">
        <v>1999</v>
      </c>
      <c r="AT59" s="112" t="b">
        <v>0</v>
      </c>
      <c r="AU59" s="112">
        <v>2</v>
      </c>
      <c r="AX59" s="112" t="b">
        <v>0</v>
      </c>
      <c r="AY59" s="112">
        <v>0</v>
      </c>
      <c r="BB59" s="112" t="b">
        <v>0</v>
      </c>
      <c r="BC59" s="112">
        <v>99765</v>
      </c>
      <c r="BD59" s="112">
        <v>99675</v>
      </c>
      <c r="BE59" s="112">
        <v>99765</v>
      </c>
      <c r="BF59" s="112" t="b">
        <v>1</v>
      </c>
      <c r="BG59" s="112">
        <v>0</v>
      </c>
      <c r="BH59" s="112">
        <v>-1</v>
      </c>
      <c r="BI59" s="112">
        <v>0</v>
      </c>
      <c r="BJ59" s="112" t="b">
        <v>0</v>
      </c>
      <c r="BK59" s="112">
        <v>0</v>
      </c>
      <c r="BL59" s="112" t="b">
        <v>0</v>
      </c>
      <c r="BM59" s="112" t="b">
        <v>1</v>
      </c>
    </row>
    <row r="60" spans="1:65" hidden="1">
      <c r="A60" s="112" t="s">
        <v>187</v>
      </c>
      <c r="B60" s="112" t="s">
        <v>188</v>
      </c>
      <c r="C60" s="112">
        <v>20250101</v>
      </c>
      <c r="D60" s="112">
        <v>2025</v>
      </c>
      <c r="E60" s="112">
        <v>52</v>
      </c>
      <c r="F60" s="112" t="s">
        <v>264</v>
      </c>
      <c r="G60" s="112">
        <v>36</v>
      </c>
      <c r="H60" s="112" t="s">
        <v>194</v>
      </c>
      <c r="I60" s="112" t="s">
        <v>195</v>
      </c>
      <c r="J60" s="112" t="s">
        <v>251</v>
      </c>
      <c r="K60" s="112" t="s">
        <v>252</v>
      </c>
      <c r="L60" s="112">
        <v>686</v>
      </c>
      <c r="M60" s="112" t="s">
        <v>190</v>
      </c>
      <c r="N60" s="112" t="s">
        <v>191</v>
      </c>
      <c r="O60" s="112" t="s">
        <v>224</v>
      </c>
      <c r="P60" s="112" t="s">
        <v>197</v>
      </c>
      <c r="Q60" s="112" t="b">
        <v>1</v>
      </c>
      <c r="R60" s="112" t="s">
        <v>198</v>
      </c>
      <c r="S60" s="112" t="s">
        <v>199</v>
      </c>
      <c r="T60" s="112">
        <v>4</v>
      </c>
      <c r="U60" s="112" t="b">
        <v>0</v>
      </c>
      <c r="V60" s="112" t="s">
        <v>200</v>
      </c>
      <c r="W60" s="112" t="s">
        <v>201</v>
      </c>
      <c r="X60" s="112" t="s">
        <v>202</v>
      </c>
      <c r="Y60" s="112">
        <v>0</v>
      </c>
      <c r="Z60" s="112" t="s">
        <v>203</v>
      </c>
      <c r="AA60" s="112">
        <v>8</v>
      </c>
      <c r="AB60" s="112" t="s">
        <v>204</v>
      </c>
      <c r="AG60" s="112">
        <v>3556.0329999999999</v>
      </c>
      <c r="AJ60" s="112" t="b">
        <v>1</v>
      </c>
      <c r="AK60" s="112">
        <v>-1</v>
      </c>
      <c r="AL60" s="112" t="s">
        <v>205</v>
      </c>
      <c r="AM60" s="112">
        <v>0</v>
      </c>
      <c r="AT60" s="112" t="b">
        <v>0</v>
      </c>
      <c r="AU60" s="112">
        <v>3556.0329999999999</v>
      </c>
      <c r="AX60" s="112" t="b">
        <v>1</v>
      </c>
      <c r="AY60" s="112">
        <v>3.4329999999999998</v>
      </c>
      <c r="BB60" s="112" t="b">
        <v>0</v>
      </c>
      <c r="BC60" s="112">
        <v>329735619.51700002</v>
      </c>
      <c r="BD60" s="112">
        <v>328821987.85399997</v>
      </c>
      <c r="BE60" s="112">
        <v>329735619.51700002</v>
      </c>
      <c r="BF60" s="112" t="b">
        <v>0</v>
      </c>
      <c r="BG60" s="112">
        <v>0</v>
      </c>
      <c r="BH60" s="112">
        <v>-1</v>
      </c>
      <c r="BI60" s="112">
        <v>0</v>
      </c>
      <c r="BJ60" s="112" t="b">
        <v>0</v>
      </c>
      <c r="BK60" s="112">
        <v>6</v>
      </c>
      <c r="BL60" s="112" t="b">
        <v>0</v>
      </c>
      <c r="BM60" s="112" t="b">
        <v>1</v>
      </c>
    </row>
    <row r="61" spans="1:65" hidden="1">
      <c r="A61" s="112" t="s">
        <v>187</v>
      </c>
      <c r="B61" s="112" t="s">
        <v>188</v>
      </c>
      <c r="C61" s="112">
        <v>20250101</v>
      </c>
      <c r="D61" s="112">
        <v>2025</v>
      </c>
      <c r="E61" s="112">
        <v>52</v>
      </c>
      <c r="F61" s="112" t="s">
        <v>264</v>
      </c>
      <c r="G61" s="112">
        <v>380</v>
      </c>
      <c r="H61" s="112" t="s">
        <v>218</v>
      </c>
      <c r="I61" s="112" t="s">
        <v>219</v>
      </c>
      <c r="J61" s="112" t="s">
        <v>251</v>
      </c>
      <c r="K61" s="112" t="s">
        <v>252</v>
      </c>
      <c r="L61" s="112">
        <v>686</v>
      </c>
      <c r="M61" s="112" t="s">
        <v>190</v>
      </c>
      <c r="N61" s="112" t="s">
        <v>191</v>
      </c>
      <c r="O61" s="112" t="s">
        <v>224</v>
      </c>
      <c r="P61" s="112" t="s">
        <v>197</v>
      </c>
      <c r="Q61" s="112" t="b">
        <v>1</v>
      </c>
      <c r="R61" s="112" t="s">
        <v>198</v>
      </c>
      <c r="S61" s="112" t="s">
        <v>199</v>
      </c>
      <c r="T61" s="112">
        <v>4</v>
      </c>
      <c r="U61" s="112" t="b">
        <v>0</v>
      </c>
      <c r="V61" s="112" t="s">
        <v>200</v>
      </c>
      <c r="W61" s="112" t="s">
        <v>201</v>
      </c>
      <c r="X61" s="112" t="s">
        <v>202</v>
      </c>
      <c r="Y61" s="112">
        <v>0</v>
      </c>
      <c r="Z61" s="112" t="s">
        <v>203</v>
      </c>
      <c r="AA61" s="112">
        <v>8</v>
      </c>
      <c r="AB61" s="112" t="s">
        <v>204</v>
      </c>
      <c r="AG61" s="112">
        <v>769.14499999999998</v>
      </c>
      <c r="AJ61" s="112" t="b">
        <v>0</v>
      </c>
      <c r="AK61" s="112">
        <v>15</v>
      </c>
      <c r="AL61" s="112" t="s">
        <v>213</v>
      </c>
      <c r="AM61" s="112">
        <v>769145</v>
      </c>
      <c r="AT61" s="112" t="b">
        <v>0</v>
      </c>
      <c r="AU61" s="112">
        <v>771</v>
      </c>
      <c r="AX61" s="112" t="b">
        <v>0</v>
      </c>
      <c r="AY61" s="112">
        <v>0</v>
      </c>
      <c r="BB61" s="112" t="b">
        <v>0</v>
      </c>
      <c r="BC61" s="112">
        <v>88775184.427000001</v>
      </c>
      <c r="BE61" s="112">
        <v>88775184.427000001</v>
      </c>
      <c r="BF61" s="112" t="b">
        <v>0</v>
      </c>
      <c r="BG61" s="112">
        <v>0</v>
      </c>
      <c r="BH61" s="112">
        <v>-1</v>
      </c>
      <c r="BI61" s="112">
        <v>0</v>
      </c>
      <c r="BJ61" s="112" t="b">
        <v>0</v>
      </c>
      <c r="BK61" s="112">
        <v>0</v>
      </c>
      <c r="BL61" s="112" t="b">
        <v>0</v>
      </c>
      <c r="BM61" s="112" t="b">
        <v>1</v>
      </c>
    </row>
  </sheetData>
  <pageMargins left="0.7" right="0.7" top="0.75" bottom="0.75" header="0.3" footer="0.3"/>
  <drawing r:id="rId1"/>
  <tableParts count="1">
    <tablePart r:id="rId2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EEBC5-6272-49D8-8672-3BBCFD2E9B54}">
  <dimension ref="B2:BW29"/>
  <sheetViews>
    <sheetView showOutlineSymbols="0" defaultGridColor="0" workbookViewId="0"/>
  </sheetViews>
  <sheetFormatPr baseColWidth="10" defaultColWidth="10.81640625" defaultRowHeight="21"/>
  <cols>
    <col min="1" max="2" width="10.81640625" style="16"/>
    <col min="3" max="3" width="10.453125" style="16" bestFit="1" customWidth="1"/>
    <col min="4" max="4" width="15.54296875" style="16" customWidth="1"/>
    <col min="5" max="5" width="23.81640625" style="16" bestFit="1" customWidth="1"/>
    <col min="6" max="7" width="23.81640625" style="16" customWidth="1"/>
    <col min="8" max="8" width="21.453125" style="29" customWidth="1"/>
    <col min="9" max="9" width="26.54296875" style="29" bestFit="1" customWidth="1"/>
    <col min="10" max="10" width="23.453125" style="28" bestFit="1" customWidth="1"/>
    <col min="11" max="11" width="18.26953125" style="28" bestFit="1" customWidth="1"/>
    <col min="12" max="12" width="19.453125" style="16" bestFit="1" customWidth="1"/>
    <col min="13" max="13" width="18.26953125" style="16" bestFit="1" customWidth="1"/>
    <col min="14" max="14" width="21" style="16" customWidth="1"/>
    <col min="15" max="15" width="22.1796875" style="16" customWidth="1"/>
    <col min="16" max="16" width="19.54296875" style="16" customWidth="1"/>
    <col min="17" max="17" width="22" style="16" bestFit="1" customWidth="1"/>
    <col min="18" max="21" width="10.81640625" style="16"/>
    <col min="22" max="22" width="22" style="16" bestFit="1" customWidth="1"/>
    <col min="23" max="23" width="19" style="16" customWidth="1"/>
    <col min="24" max="24" width="16.81640625" style="16" bestFit="1" customWidth="1"/>
    <col min="25" max="25" width="19.1796875" style="16" customWidth="1"/>
    <col min="26" max="26" width="12.453125" style="16" bestFit="1" customWidth="1"/>
    <col min="27" max="28" width="20.7265625" style="16" bestFit="1" customWidth="1"/>
    <col min="29" max="30" width="22" style="16" bestFit="1" customWidth="1"/>
    <col min="31" max="32" width="20.7265625" style="16" bestFit="1" customWidth="1"/>
    <col min="33" max="33" width="14.7265625" style="16" customWidth="1"/>
    <col min="34" max="34" width="17.81640625" style="16" customWidth="1"/>
    <col min="35" max="35" width="18.7265625" style="16" bestFit="1" customWidth="1"/>
    <col min="36" max="38" width="10.81640625" style="16"/>
    <col min="39" max="39" width="22" style="16" bestFit="1" customWidth="1"/>
    <col min="40" max="40" width="15.453125" style="16" bestFit="1" customWidth="1"/>
    <col min="41" max="41" width="12.453125" style="16" bestFit="1" customWidth="1"/>
    <col min="42" max="42" width="18" style="16" bestFit="1" customWidth="1"/>
    <col min="43" max="43" width="15.453125" style="16" bestFit="1" customWidth="1"/>
    <col min="44" max="44" width="19.453125" style="16" bestFit="1" customWidth="1"/>
    <col min="45" max="45" width="18" style="16" bestFit="1" customWidth="1"/>
    <col min="46" max="46" width="16.81640625" style="16" bestFit="1" customWidth="1"/>
    <col min="47" max="48" width="14.453125" style="16" bestFit="1" customWidth="1"/>
    <col min="49" max="49" width="15.453125" style="16" bestFit="1" customWidth="1"/>
    <col min="50" max="50" width="16.81640625" style="16" bestFit="1" customWidth="1"/>
    <col min="51" max="51" width="10.81640625" style="16"/>
    <col min="52" max="52" width="16.81640625" style="16" bestFit="1" customWidth="1"/>
    <col min="53" max="53" width="10.81640625" style="16"/>
    <col min="54" max="54" width="15.453125" style="16" bestFit="1" customWidth="1"/>
    <col min="55" max="55" width="11.26953125" style="16" bestFit="1" customWidth="1"/>
    <col min="56" max="56" width="14.26953125" style="16" bestFit="1" customWidth="1"/>
    <col min="57" max="57" width="16.54296875" style="16" bestFit="1" customWidth="1"/>
    <col min="58" max="58" width="11.26953125" style="16" bestFit="1" customWidth="1"/>
    <col min="59" max="59" width="16.54296875" style="16" bestFit="1" customWidth="1"/>
    <col min="60" max="60" width="12.453125" style="16" bestFit="1" customWidth="1"/>
    <col min="61" max="61" width="18.26953125" style="16" bestFit="1" customWidth="1"/>
    <col min="62" max="65" width="10.81640625" style="16"/>
    <col min="66" max="66" width="17.81640625" style="16" customWidth="1"/>
    <col min="67" max="67" width="28.81640625" style="16" bestFit="1" customWidth="1"/>
    <col min="68" max="68" width="21.453125" style="16" bestFit="1" customWidth="1"/>
    <col min="69" max="69" width="27.1796875" style="16" bestFit="1" customWidth="1"/>
    <col min="70" max="70" width="22" style="16" bestFit="1" customWidth="1"/>
    <col min="71" max="71" width="14.26953125" style="16" bestFit="1" customWidth="1"/>
    <col min="72" max="74" width="10.81640625" style="16"/>
    <col min="75" max="75" width="23.453125" style="16" bestFit="1" customWidth="1"/>
    <col min="76" max="16384" width="10.81640625" style="16"/>
  </cols>
  <sheetData>
    <row r="2" spans="2:75" s="8" customFormat="1" ht="90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2" t="s">
        <v>6</v>
      </c>
      <c r="I2" s="2" t="s">
        <v>7</v>
      </c>
      <c r="J2" s="3" t="s">
        <v>8</v>
      </c>
      <c r="K2" s="4" t="s">
        <v>9</v>
      </c>
      <c r="L2" s="3" t="s">
        <v>10</v>
      </c>
      <c r="M2" s="4" t="s">
        <v>11</v>
      </c>
      <c r="N2" s="3" t="s">
        <v>12</v>
      </c>
      <c r="O2" s="5" t="s">
        <v>13</v>
      </c>
      <c r="P2" s="3" t="s">
        <v>14</v>
      </c>
      <c r="Q2" s="4" t="s">
        <v>15</v>
      </c>
      <c r="R2" s="3" t="s">
        <v>16</v>
      </c>
      <c r="S2" s="4" t="s">
        <v>17</v>
      </c>
      <c r="T2" s="3" t="s">
        <v>18</v>
      </c>
      <c r="U2" s="4" t="s">
        <v>19</v>
      </c>
      <c r="V2" s="3" t="s">
        <v>20</v>
      </c>
      <c r="W2" s="4" t="s">
        <v>21</v>
      </c>
      <c r="X2" s="3" t="s">
        <v>22</v>
      </c>
      <c r="Y2" s="4" t="s">
        <v>23</v>
      </c>
      <c r="Z2" s="5" t="s">
        <v>24</v>
      </c>
      <c r="AA2" s="3" t="s">
        <v>25</v>
      </c>
      <c r="AB2" s="4" t="s">
        <v>26</v>
      </c>
      <c r="AC2" s="3" t="s">
        <v>27</v>
      </c>
      <c r="AD2" s="4" t="s">
        <v>28</v>
      </c>
      <c r="AE2" s="3" t="s">
        <v>29</v>
      </c>
      <c r="AF2" s="4" t="s">
        <v>30</v>
      </c>
      <c r="AG2" s="3" t="s">
        <v>31</v>
      </c>
      <c r="AH2" s="4" t="s">
        <v>32</v>
      </c>
      <c r="AI2" s="3" t="s">
        <v>33</v>
      </c>
      <c r="AJ2" s="4" t="s">
        <v>34</v>
      </c>
      <c r="AK2" s="3" t="s">
        <v>35</v>
      </c>
      <c r="AL2" s="4" t="s">
        <v>36</v>
      </c>
      <c r="AM2" s="3" t="s">
        <v>37</v>
      </c>
      <c r="AN2" s="6" t="s">
        <v>38</v>
      </c>
      <c r="AO2" s="5" t="s">
        <v>39</v>
      </c>
      <c r="AP2" s="3" t="s">
        <v>40</v>
      </c>
      <c r="AQ2" s="4" t="s">
        <v>41</v>
      </c>
      <c r="AR2" s="3" t="s">
        <v>42</v>
      </c>
      <c r="AS2" s="4" t="s">
        <v>43</v>
      </c>
      <c r="AT2" s="3" t="s">
        <v>44</v>
      </c>
      <c r="AU2" s="4" t="s">
        <v>45</v>
      </c>
      <c r="AV2" s="3" t="s">
        <v>46</v>
      </c>
      <c r="AW2" s="4" t="s">
        <v>47</v>
      </c>
      <c r="AX2" s="3" t="s">
        <v>48</v>
      </c>
      <c r="AY2" s="5" t="s">
        <v>49</v>
      </c>
      <c r="AZ2" s="4" t="s">
        <v>50</v>
      </c>
      <c r="BA2" s="3" t="s">
        <v>51</v>
      </c>
      <c r="BB2" s="4" t="s">
        <v>52</v>
      </c>
      <c r="BC2" s="5" t="s">
        <v>53</v>
      </c>
      <c r="BD2" s="3" t="s">
        <v>54</v>
      </c>
      <c r="BE2" s="4" t="s">
        <v>55</v>
      </c>
      <c r="BF2" s="5" t="s">
        <v>56</v>
      </c>
      <c r="BG2" s="3" t="s">
        <v>57</v>
      </c>
      <c r="BH2" s="5" t="s">
        <v>58</v>
      </c>
      <c r="BI2" s="4" t="s">
        <v>59</v>
      </c>
      <c r="BJ2" s="5" t="s">
        <v>60</v>
      </c>
      <c r="BK2" s="4" t="s">
        <v>61</v>
      </c>
      <c r="BL2" s="5" t="s">
        <v>62</v>
      </c>
      <c r="BM2" s="4" t="s">
        <v>63</v>
      </c>
      <c r="BN2" s="5" t="s">
        <v>64</v>
      </c>
      <c r="BO2" s="7" t="s">
        <v>65</v>
      </c>
      <c r="BP2" s="1" t="s">
        <v>66</v>
      </c>
      <c r="BQ2" s="1" t="s">
        <v>67</v>
      </c>
      <c r="BR2" s="1" t="s">
        <v>68</v>
      </c>
      <c r="BS2" s="1" t="s">
        <v>69</v>
      </c>
    </row>
    <row r="3" spans="2:75" ht="39.75" customHeight="1">
      <c r="B3" s="9" t="s">
        <v>70</v>
      </c>
      <c r="C3" s="10">
        <v>2017</v>
      </c>
      <c r="D3" s="9">
        <v>7.1873198399999998</v>
      </c>
      <c r="E3" s="11">
        <v>168626111466.75</v>
      </c>
      <c r="F3" s="11">
        <f>+E3/D3</f>
        <v>23461612286.722725</v>
      </c>
      <c r="G3" s="11"/>
      <c r="H3" s="11">
        <v>8410964582.4034996</v>
      </c>
      <c r="I3" s="11">
        <v>406819818.68000001</v>
      </c>
      <c r="J3" s="11">
        <v>2479808997</v>
      </c>
      <c r="K3" s="11">
        <v>9100000</v>
      </c>
      <c r="L3" s="11"/>
      <c r="M3" s="11"/>
      <c r="N3" s="11"/>
      <c r="O3" s="11"/>
      <c r="P3" s="11"/>
      <c r="Q3" s="11"/>
      <c r="R3" s="11"/>
      <c r="S3" s="12"/>
      <c r="T3" s="12"/>
      <c r="U3" s="12"/>
      <c r="V3" s="13"/>
      <c r="W3" s="13"/>
      <c r="X3" s="13"/>
      <c r="Y3" s="13"/>
      <c r="Z3" s="13"/>
      <c r="AA3" s="13">
        <v>782693</v>
      </c>
      <c r="AB3" s="13">
        <v>2137933345</v>
      </c>
      <c r="AC3" s="13"/>
      <c r="AD3" s="13"/>
      <c r="AE3" s="13"/>
      <c r="AF3" s="13">
        <v>139425849</v>
      </c>
      <c r="AG3" s="13"/>
      <c r="AH3" s="13">
        <v>5783535</v>
      </c>
      <c r="AI3" s="13"/>
      <c r="AJ3" s="13"/>
      <c r="AK3" s="13"/>
      <c r="AL3" s="13"/>
      <c r="AM3" s="13">
        <v>7557669</v>
      </c>
      <c r="AN3" s="13"/>
      <c r="AO3" s="13"/>
      <c r="AP3" s="13"/>
      <c r="AQ3" s="13"/>
      <c r="AR3" s="13"/>
      <c r="AS3" s="13">
        <v>331647642</v>
      </c>
      <c r="AT3" s="13"/>
      <c r="AU3" s="13"/>
      <c r="AV3" s="13"/>
      <c r="AW3" s="13"/>
      <c r="AX3" s="13"/>
      <c r="AY3" s="13"/>
      <c r="AZ3" s="13">
        <v>9736200</v>
      </c>
      <c r="BA3" s="13"/>
      <c r="BB3" s="13"/>
      <c r="BC3" s="13"/>
      <c r="BD3" s="13"/>
      <c r="BE3" s="13"/>
      <c r="BF3" s="13"/>
      <c r="BG3" s="13">
        <v>62695166</v>
      </c>
      <c r="BH3" s="13"/>
      <c r="BI3" s="13">
        <v>448178395</v>
      </c>
      <c r="BJ3" s="13"/>
      <c r="BK3" s="13"/>
      <c r="BL3" s="13"/>
      <c r="BM3" s="13"/>
      <c r="BN3" s="13"/>
      <c r="BO3" s="14"/>
      <c r="BP3" s="15">
        <f t="shared" ref="BP3:BP17" si="0">+SUM(J3:BO3)</f>
        <v>5632649491</v>
      </c>
      <c r="BQ3" s="182"/>
      <c r="BR3" s="185"/>
      <c r="BS3" s="185"/>
    </row>
    <row r="4" spans="2:75" ht="39.75" customHeight="1">
      <c r="B4" s="9" t="s">
        <v>70</v>
      </c>
      <c r="C4" s="17">
        <v>2018</v>
      </c>
      <c r="D4" s="9">
        <v>6.968</v>
      </c>
      <c r="E4" s="11">
        <v>173717982000</v>
      </c>
      <c r="F4" s="11">
        <f t="shared" ref="F4:F17" si="1">+E4/D4</f>
        <v>24930824052.812859</v>
      </c>
      <c r="G4" s="11"/>
      <c r="H4" s="11">
        <v>8662737321.3855</v>
      </c>
      <c r="I4" s="11">
        <v>463235572.28999996</v>
      </c>
      <c r="J4" s="11">
        <v>8910427032</v>
      </c>
      <c r="K4" s="11">
        <v>362016085.72000003</v>
      </c>
      <c r="L4" s="11"/>
      <c r="M4" s="11"/>
      <c r="N4" s="11"/>
      <c r="O4" s="11"/>
      <c r="P4" s="11"/>
      <c r="Q4" s="11"/>
      <c r="R4" s="11"/>
      <c r="S4" s="12"/>
      <c r="T4" s="12"/>
      <c r="U4" s="12"/>
      <c r="V4" s="13"/>
      <c r="W4" s="13"/>
      <c r="X4" s="13"/>
      <c r="Y4" s="13"/>
      <c r="Z4" s="13"/>
      <c r="AA4" s="13">
        <v>1224083825</v>
      </c>
      <c r="AB4" s="13">
        <v>2076603631</v>
      </c>
      <c r="AC4" s="13"/>
      <c r="AD4" s="13">
        <v>4054035730</v>
      </c>
      <c r="AE4" s="13"/>
      <c r="AF4" s="13">
        <v>357095620</v>
      </c>
      <c r="AG4" s="13"/>
      <c r="AH4" s="13">
        <v>15512539</v>
      </c>
      <c r="AI4" s="13"/>
      <c r="AJ4" s="13"/>
      <c r="AK4" s="13"/>
      <c r="AL4" s="13"/>
      <c r="AM4" s="13">
        <v>64477064</v>
      </c>
      <c r="AN4" s="13"/>
      <c r="AO4" s="13"/>
      <c r="AP4" s="13"/>
      <c r="AQ4" s="13"/>
      <c r="AR4" s="13"/>
      <c r="AS4" s="13">
        <v>1436326081</v>
      </c>
      <c r="AT4" s="13"/>
      <c r="AU4" s="13"/>
      <c r="AV4" s="13"/>
      <c r="AW4" s="13"/>
      <c r="AX4" s="13"/>
      <c r="AY4" s="13"/>
      <c r="AZ4" s="13">
        <v>101670000</v>
      </c>
      <c r="BA4" s="13"/>
      <c r="BB4" s="13"/>
      <c r="BC4" s="13"/>
      <c r="BD4" s="13"/>
      <c r="BE4" s="13">
        <v>88454020</v>
      </c>
      <c r="BF4" s="13"/>
      <c r="BG4" s="13">
        <v>22846320</v>
      </c>
      <c r="BH4" s="13"/>
      <c r="BI4" s="13">
        <v>216583245</v>
      </c>
      <c r="BJ4" s="13"/>
      <c r="BK4" s="13"/>
      <c r="BL4" s="13"/>
      <c r="BM4" s="13"/>
      <c r="BN4" s="13"/>
      <c r="BO4" s="14"/>
      <c r="BP4" s="15">
        <f t="shared" si="0"/>
        <v>18930131192.720001</v>
      </c>
      <c r="BQ4" s="183"/>
      <c r="BR4" s="185"/>
      <c r="BS4" s="185"/>
    </row>
    <row r="5" spans="2:75" ht="39.75" customHeight="1">
      <c r="B5" s="9" t="s">
        <v>70</v>
      </c>
      <c r="C5" s="10">
        <v>2019</v>
      </c>
      <c r="D5" s="9">
        <v>6.61</v>
      </c>
      <c r="E5" s="11">
        <v>187153240000</v>
      </c>
      <c r="F5" s="11">
        <f t="shared" si="1"/>
        <v>28313652042.360058</v>
      </c>
      <c r="G5" s="11"/>
      <c r="H5" s="11">
        <v>9328166761.8085003</v>
      </c>
      <c r="I5" s="11">
        <v>589904763.83000004</v>
      </c>
      <c r="J5" s="11">
        <v>9509162069</v>
      </c>
      <c r="K5" s="11">
        <v>322273120</v>
      </c>
      <c r="L5" s="11">
        <v>1000000</v>
      </c>
      <c r="M5" s="11"/>
      <c r="N5" s="11"/>
      <c r="O5" s="11"/>
      <c r="P5" s="11"/>
      <c r="Q5" s="11">
        <v>700210162</v>
      </c>
      <c r="R5" s="11"/>
      <c r="S5" s="12"/>
      <c r="T5" s="12"/>
      <c r="U5" s="12"/>
      <c r="V5" s="13"/>
      <c r="W5" s="13"/>
      <c r="X5" s="13"/>
      <c r="Y5" s="13"/>
      <c r="Z5" s="13"/>
      <c r="AA5" s="13">
        <v>832010864</v>
      </c>
      <c r="AB5" s="13">
        <v>2484239231</v>
      </c>
      <c r="AC5" s="13">
        <v>5000070562</v>
      </c>
      <c r="AD5" s="13"/>
      <c r="AE5" s="13">
        <v>7298587337</v>
      </c>
      <c r="AF5" s="13">
        <v>393361415</v>
      </c>
      <c r="AG5" s="13"/>
      <c r="AH5" s="13">
        <v>19995187</v>
      </c>
      <c r="AI5" s="13"/>
      <c r="AJ5" s="13"/>
      <c r="AK5" s="13"/>
      <c r="AL5" s="13"/>
      <c r="AM5" s="13">
        <v>47637296</v>
      </c>
      <c r="AN5" s="13"/>
      <c r="AO5" s="13"/>
      <c r="AP5" s="13">
        <v>197063568</v>
      </c>
      <c r="AQ5" s="13">
        <v>128405812</v>
      </c>
      <c r="AR5" s="13">
        <v>160501755</v>
      </c>
      <c r="AS5" s="13">
        <v>1073636380</v>
      </c>
      <c r="AT5" s="13">
        <v>80203586</v>
      </c>
      <c r="AU5" s="13">
        <v>60533931</v>
      </c>
      <c r="AV5" s="13">
        <v>4053977</v>
      </c>
      <c r="AW5" s="13"/>
      <c r="AX5" s="13">
        <v>352157</v>
      </c>
      <c r="AY5" s="13"/>
      <c r="AZ5" s="13">
        <v>101670000</v>
      </c>
      <c r="BA5" s="13"/>
      <c r="BB5" s="13"/>
      <c r="BC5" s="13"/>
      <c r="BD5" s="13"/>
      <c r="BE5" s="13">
        <v>176714059</v>
      </c>
      <c r="BF5" s="13"/>
      <c r="BG5" s="13">
        <v>27760320</v>
      </c>
      <c r="BH5" s="13"/>
      <c r="BI5" s="13">
        <v>267853395</v>
      </c>
      <c r="BJ5" s="13"/>
      <c r="BK5" s="13"/>
      <c r="BL5" s="13"/>
      <c r="BM5" s="13"/>
      <c r="BN5" s="13"/>
      <c r="BO5" s="14">
        <v>88369155</v>
      </c>
      <c r="BP5" s="15">
        <f t="shared" si="0"/>
        <v>28975665338</v>
      </c>
      <c r="BQ5" s="183"/>
      <c r="BR5" s="185"/>
      <c r="BS5" s="185"/>
    </row>
    <row r="6" spans="2:75" ht="39.75" customHeight="1">
      <c r="B6" s="9" t="s">
        <v>70</v>
      </c>
      <c r="C6" s="10">
        <v>2020</v>
      </c>
      <c r="D6" s="9">
        <v>7.04</v>
      </c>
      <c r="E6" s="11">
        <v>231645211062.66</v>
      </c>
      <c r="F6" s="11">
        <f t="shared" si="1"/>
        <v>32904149298.673294</v>
      </c>
      <c r="G6" s="11"/>
      <c r="H6" s="11">
        <v>11517025517</v>
      </c>
      <c r="I6" s="11">
        <v>1304700722.6600001</v>
      </c>
      <c r="J6" s="11">
        <v>9540850131</v>
      </c>
      <c r="K6" s="11">
        <v>186233247</v>
      </c>
      <c r="L6" s="11"/>
      <c r="M6" s="11"/>
      <c r="N6" s="11"/>
      <c r="O6" s="11"/>
      <c r="P6" s="11"/>
      <c r="Q6" s="11">
        <v>700212162</v>
      </c>
      <c r="R6" s="11"/>
      <c r="S6" s="12"/>
      <c r="T6" s="12"/>
      <c r="U6" s="12"/>
      <c r="V6" s="13"/>
      <c r="W6" s="13"/>
      <c r="X6" s="13">
        <v>8943645000</v>
      </c>
      <c r="Y6" s="13"/>
      <c r="Z6" s="13"/>
      <c r="AA6" s="13">
        <v>246192713</v>
      </c>
      <c r="AB6" s="13">
        <v>3409680254</v>
      </c>
      <c r="AC6" s="13">
        <v>50000000</v>
      </c>
      <c r="AD6" s="13">
        <v>9388018145</v>
      </c>
      <c r="AE6" s="13"/>
      <c r="AF6" s="13">
        <v>387349761</v>
      </c>
      <c r="AG6" s="13"/>
      <c r="AH6" s="13">
        <v>30370439</v>
      </c>
      <c r="AI6" s="13"/>
      <c r="AJ6" s="13"/>
      <c r="AK6" s="13"/>
      <c r="AL6" s="13"/>
      <c r="AM6" s="13">
        <v>96697263</v>
      </c>
      <c r="AN6" s="13">
        <v>342009500</v>
      </c>
      <c r="AO6" s="13"/>
      <c r="AP6" s="13"/>
      <c r="AQ6" s="13"/>
      <c r="AR6" s="13"/>
      <c r="AS6" s="13">
        <v>1027439597</v>
      </c>
      <c r="AT6" s="13"/>
      <c r="AU6" s="13"/>
      <c r="AV6" s="13"/>
      <c r="AW6" s="13"/>
      <c r="AX6" s="13"/>
      <c r="AY6" s="13"/>
      <c r="AZ6" s="13">
        <v>101670000</v>
      </c>
      <c r="BA6" s="13"/>
      <c r="BB6" s="13"/>
      <c r="BC6" s="13"/>
      <c r="BD6" s="13"/>
      <c r="BE6" s="13">
        <v>91247209</v>
      </c>
      <c r="BF6" s="13"/>
      <c r="BG6" s="13">
        <v>36915282</v>
      </c>
      <c r="BH6" s="13"/>
      <c r="BI6" s="13">
        <v>349602388</v>
      </c>
      <c r="BJ6" s="13"/>
      <c r="BK6" s="13"/>
      <c r="BL6" s="13"/>
      <c r="BM6" s="13"/>
      <c r="BN6" s="13"/>
      <c r="BO6" s="14">
        <v>13981000</v>
      </c>
      <c r="BP6" s="15">
        <f t="shared" si="0"/>
        <v>34942114091</v>
      </c>
      <c r="BQ6" s="183"/>
      <c r="BR6" s="185"/>
      <c r="BS6" s="185"/>
    </row>
    <row r="7" spans="2:75" ht="39.75" customHeight="1">
      <c r="B7" s="9" t="s">
        <v>70</v>
      </c>
      <c r="C7" s="10">
        <v>2021</v>
      </c>
      <c r="D7" s="9">
        <v>12.16</v>
      </c>
      <c r="E7" s="11">
        <v>390739103000</v>
      </c>
      <c r="F7" s="11">
        <f t="shared" si="1"/>
        <v>32133149917.763157</v>
      </c>
      <c r="G7" s="11"/>
      <c r="H7" s="11">
        <v>19491926231.734631</v>
      </c>
      <c r="I7" s="11">
        <v>900578365</v>
      </c>
      <c r="J7" s="11">
        <v>18095052888</v>
      </c>
      <c r="K7" s="11">
        <v>381674925</v>
      </c>
      <c r="L7" s="11">
        <v>2000000</v>
      </c>
      <c r="M7" s="11"/>
      <c r="N7" s="11">
        <v>99930000</v>
      </c>
      <c r="O7" s="11"/>
      <c r="P7" s="11"/>
      <c r="Q7" s="11">
        <v>700210162</v>
      </c>
      <c r="R7" s="11"/>
      <c r="S7" s="12"/>
      <c r="T7" s="12"/>
      <c r="U7" s="12"/>
      <c r="V7" s="13">
        <v>930240585</v>
      </c>
      <c r="W7" s="13"/>
      <c r="X7" s="13"/>
      <c r="Y7" s="13"/>
      <c r="Z7" s="13"/>
      <c r="AA7" s="13">
        <v>101736910</v>
      </c>
      <c r="AB7" s="13">
        <v>5623462277</v>
      </c>
      <c r="AC7" s="13"/>
      <c r="AD7" s="13">
        <v>10470001250</v>
      </c>
      <c r="AE7" s="13"/>
      <c r="AF7" s="13">
        <v>739979589</v>
      </c>
      <c r="AG7" s="13"/>
      <c r="AH7" s="13">
        <v>184824593</v>
      </c>
      <c r="AI7" s="13"/>
      <c r="AJ7" s="13"/>
      <c r="AK7" s="13"/>
      <c r="AL7" s="13"/>
      <c r="AM7" s="13">
        <v>1074843449</v>
      </c>
      <c r="AN7" s="13"/>
      <c r="AO7" s="13"/>
      <c r="AP7" s="13"/>
      <c r="AQ7" s="13"/>
      <c r="AR7" s="13"/>
      <c r="AS7" s="13">
        <v>601569229</v>
      </c>
      <c r="AT7" s="13"/>
      <c r="AU7" s="13"/>
      <c r="AV7" s="13"/>
      <c r="AW7" s="13"/>
      <c r="AX7" s="13"/>
      <c r="AY7" s="13"/>
      <c r="AZ7" s="13">
        <v>102506250</v>
      </c>
      <c r="BA7" s="13"/>
      <c r="BB7" s="13"/>
      <c r="BC7" s="13"/>
      <c r="BD7" s="13"/>
      <c r="BE7" s="13">
        <v>244113282</v>
      </c>
      <c r="BF7" s="13"/>
      <c r="BG7" s="13">
        <v>91733040</v>
      </c>
      <c r="BH7" s="13"/>
      <c r="BI7" s="13">
        <v>739969819</v>
      </c>
      <c r="BJ7" s="13"/>
      <c r="BK7" s="13"/>
      <c r="BL7" s="13"/>
      <c r="BM7" s="13"/>
      <c r="BN7" s="13"/>
      <c r="BO7" s="14">
        <v>12875000</v>
      </c>
      <c r="BP7" s="15">
        <f t="shared" si="0"/>
        <v>40196723248</v>
      </c>
      <c r="BQ7" s="183"/>
      <c r="BR7" s="185"/>
      <c r="BS7" s="185"/>
    </row>
    <row r="8" spans="2:75" ht="39.75" customHeight="1">
      <c r="B8" s="9" t="s">
        <v>70</v>
      </c>
      <c r="C8" s="10">
        <v>2022</v>
      </c>
      <c r="D8" s="9">
        <v>10.89</v>
      </c>
      <c r="E8" s="11">
        <v>392586705000</v>
      </c>
      <c r="F8" s="11">
        <f t="shared" si="1"/>
        <v>36050202479.338844</v>
      </c>
      <c r="G8" s="11"/>
      <c r="H8" s="11">
        <v>19583213628.882149</v>
      </c>
      <c r="I8" s="11">
        <v>922432422</v>
      </c>
      <c r="J8" s="11">
        <v>19563971740</v>
      </c>
      <c r="K8" s="11">
        <v>344657753</v>
      </c>
      <c r="L8" s="11"/>
      <c r="M8" s="11"/>
      <c r="N8" s="11">
        <v>81430000</v>
      </c>
      <c r="O8" s="11"/>
      <c r="P8" s="11"/>
      <c r="Q8" s="11">
        <v>700210162</v>
      </c>
      <c r="R8" s="11"/>
      <c r="S8" s="12"/>
      <c r="T8" s="12"/>
      <c r="U8" s="12"/>
      <c r="V8" s="13">
        <v>13745906089</v>
      </c>
      <c r="W8" s="13"/>
      <c r="X8" s="13"/>
      <c r="Y8" s="13"/>
      <c r="Z8" s="13"/>
      <c r="AA8" s="13">
        <v>1159716473</v>
      </c>
      <c r="AB8" s="13">
        <v>5214687204</v>
      </c>
      <c r="AC8" s="13">
        <v>300000</v>
      </c>
      <c r="AD8" s="13">
        <v>10209148561</v>
      </c>
      <c r="AE8" s="13"/>
      <c r="AF8" s="13">
        <v>1272817806</v>
      </c>
      <c r="AG8" s="13"/>
      <c r="AH8" s="13">
        <v>23197229</v>
      </c>
      <c r="AI8" s="13"/>
      <c r="AJ8" s="13"/>
      <c r="AK8" s="13"/>
      <c r="AL8" s="13"/>
      <c r="AM8" s="13">
        <v>19512723643</v>
      </c>
      <c r="AN8" s="13"/>
      <c r="AO8" s="13"/>
      <c r="AP8" s="13">
        <v>5060698358</v>
      </c>
      <c r="AQ8" s="13">
        <v>82821682</v>
      </c>
      <c r="AR8" s="13">
        <v>103417232</v>
      </c>
      <c r="AS8" s="13">
        <v>432572906</v>
      </c>
      <c r="AT8" s="13">
        <v>51435059</v>
      </c>
      <c r="AU8" s="13">
        <v>33147645</v>
      </c>
      <c r="AV8" s="13">
        <v>28354930</v>
      </c>
      <c r="AW8" s="13">
        <v>197604113</v>
      </c>
      <c r="AX8" s="13">
        <v>71300044</v>
      </c>
      <c r="AY8" s="13"/>
      <c r="AZ8" s="13">
        <v>102506250</v>
      </c>
      <c r="BA8" s="13"/>
      <c r="BB8" s="13"/>
      <c r="BC8" s="13"/>
      <c r="BD8" s="13">
        <v>2539000</v>
      </c>
      <c r="BE8" s="13">
        <v>273526547</v>
      </c>
      <c r="BF8" s="13"/>
      <c r="BG8" s="13">
        <v>92413440</v>
      </c>
      <c r="BH8" s="13"/>
      <c r="BI8" s="13">
        <v>824145628</v>
      </c>
      <c r="BJ8" s="13"/>
      <c r="BK8" s="13"/>
      <c r="BL8" s="13"/>
      <c r="BM8" s="13"/>
      <c r="BN8" s="13"/>
      <c r="BO8" s="14">
        <v>177051978</v>
      </c>
      <c r="BP8" s="15">
        <f t="shared" si="0"/>
        <v>79362301472</v>
      </c>
      <c r="BQ8" s="183"/>
      <c r="BR8" s="185"/>
      <c r="BS8" s="185"/>
    </row>
    <row r="9" spans="2:75" ht="39.75" customHeight="1">
      <c r="B9" s="9" t="s">
        <v>70</v>
      </c>
      <c r="C9" s="10">
        <v>2023</v>
      </c>
      <c r="D9" s="9">
        <v>9.14</v>
      </c>
      <c r="E9" s="11">
        <v>350506489000</v>
      </c>
      <c r="F9" s="11">
        <f t="shared" si="1"/>
        <v>38348631181.619255</v>
      </c>
      <c r="G9" s="11"/>
      <c r="H9" s="11">
        <v>17483287112.941906</v>
      </c>
      <c r="I9" s="11">
        <v>840746741</v>
      </c>
      <c r="J9" s="11">
        <v>17983379589</v>
      </c>
      <c r="K9" s="11">
        <v>394603655.20999998</v>
      </c>
      <c r="L9" s="11">
        <v>2000000</v>
      </c>
      <c r="M9" s="11"/>
      <c r="N9" s="11">
        <v>339510000</v>
      </c>
      <c r="O9" s="11"/>
      <c r="P9" s="11"/>
      <c r="Q9" s="11">
        <v>700210162</v>
      </c>
      <c r="R9" s="11"/>
      <c r="S9" s="12"/>
      <c r="T9" s="12"/>
      <c r="U9" s="12"/>
      <c r="V9" s="13">
        <v>3780409704</v>
      </c>
      <c r="W9" s="13"/>
      <c r="X9" s="13"/>
      <c r="Y9" s="13"/>
      <c r="Z9" s="13"/>
      <c r="AA9" s="13">
        <v>3552753938</v>
      </c>
      <c r="AB9" s="13">
        <v>6547939856</v>
      </c>
      <c r="AC9" s="13">
        <v>14165870891</v>
      </c>
      <c r="AD9" s="13">
        <v>56031664385</v>
      </c>
      <c r="AE9" s="13"/>
      <c r="AF9" s="13">
        <v>2416973413</v>
      </c>
      <c r="AG9" s="13"/>
      <c r="AH9" s="13">
        <v>355809766</v>
      </c>
      <c r="AI9" s="13"/>
      <c r="AJ9" s="13"/>
      <c r="AK9" s="13"/>
      <c r="AL9" s="13"/>
      <c r="AM9" s="13">
        <v>598684575</v>
      </c>
      <c r="AN9" s="13"/>
      <c r="AO9" s="13"/>
      <c r="AP9" s="13"/>
      <c r="AQ9" s="13"/>
      <c r="AR9" s="13"/>
      <c r="AS9" s="13">
        <v>14790586394</v>
      </c>
      <c r="AT9" s="13"/>
      <c r="AU9" s="13"/>
      <c r="AV9" s="13"/>
      <c r="AW9" s="13"/>
      <c r="AX9" s="13">
        <v>1356080521</v>
      </c>
      <c r="AY9" s="13"/>
      <c r="AZ9" s="13">
        <v>1200349100</v>
      </c>
      <c r="BA9" s="13"/>
      <c r="BB9" s="13"/>
      <c r="BC9" s="13"/>
      <c r="BD9" s="13"/>
      <c r="BE9" s="13">
        <v>278981251</v>
      </c>
      <c r="BF9" s="13"/>
      <c r="BG9" s="13">
        <v>101160360</v>
      </c>
      <c r="BH9" s="13"/>
      <c r="BI9" s="13">
        <v>982516892</v>
      </c>
      <c r="BJ9" s="13"/>
      <c r="BK9" s="13"/>
      <c r="BL9" s="13"/>
      <c r="BM9" s="13"/>
      <c r="BO9" s="13">
        <v>20996063</v>
      </c>
      <c r="BP9" s="15">
        <f>+SUM(J9:BO9)</f>
        <v>125600480515.20999</v>
      </c>
      <c r="BQ9" s="183"/>
      <c r="BR9" s="185"/>
      <c r="BS9" s="185"/>
    </row>
    <row r="10" spans="2:75" ht="39.75" customHeight="1">
      <c r="B10" s="9" t="s">
        <v>70</v>
      </c>
      <c r="C10" s="10">
        <v>2024</v>
      </c>
      <c r="D10" s="9">
        <v>7.25</v>
      </c>
      <c r="E10" s="11">
        <v>340686627000</v>
      </c>
      <c r="F10" s="11">
        <f t="shared" si="1"/>
        <v>46991258896.551727</v>
      </c>
      <c r="G10" s="11"/>
      <c r="H10" s="11">
        <f>E10*0.05</f>
        <v>17034331350</v>
      </c>
      <c r="I10" s="18" t="s">
        <v>71</v>
      </c>
      <c r="J10" s="11">
        <v>12982245458</v>
      </c>
      <c r="K10" s="11">
        <v>0</v>
      </c>
      <c r="L10" s="11">
        <v>10000000</v>
      </c>
      <c r="M10" s="11"/>
      <c r="N10" s="11">
        <v>165308750</v>
      </c>
      <c r="O10" s="11"/>
      <c r="P10" s="11"/>
      <c r="Q10" s="11">
        <v>5156057429</v>
      </c>
      <c r="R10" s="11"/>
      <c r="S10" s="12"/>
      <c r="T10" s="12"/>
      <c r="U10" s="12"/>
      <c r="V10" s="13">
        <v>8550085532</v>
      </c>
      <c r="W10" s="13"/>
      <c r="X10" s="13"/>
      <c r="Y10" s="13"/>
      <c r="Z10" s="13"/>
      <c r="AA10" s="13">
        <v>2961595410</v>
      </c>
      <c r="AB10" s="13">
        <v>7765358367</v>
      </c>
      <c r="AC10" s="13"/>
      <c r="AD10" s="13">
        <v>37354442924</v>
      </c>
      <c r="AE10" s="13">
        <v>8753036627</v>
      </c>
      <c r="AF10" s="13">
        <v>2798450495</v>
      </c>
      <c r="AG10" s="13"/>
      <c r="AH10" s="13">
        <v>17817365</v>
      </c>
      <c r="AI10" s="13">
        <v>189710162</v>
      </c>
      <c r="AJ10" s="13"/>
      <c r="AK10" s="13"/>
      <c r="AL10" s="13"/>
      <c r="AM10" s="13">
        <v>9719760854</v>
      </c>
      <c r="AN10" s="13"/>
      <c r="AO10" s="13"/>
      <c r="AP10" s="13">
        <v>12479862303</v>
      </c>
      <c r="AQ10" s="13">
        <v>47512057</v>
      </c>
      <c r="AR10" s="13">
        <v>59390072</v>
      </c>
      <c r="AS10" s="13">
        <v>360813765</v>
      </c>
      <c r="AT10" s="13">
        <v>29695037</v>
      </c>
      <c r="AU10" s="13">
        <v>51467044</v>
      </c>
      <c r="AV10" s="13">
        <v>39601445</v>
      </c>
      <c r="AW10" s="13">
        <v>118255043</v>
      </c>
      <c r="AX10" s="13">
        <v>8101133842</v>
      </c>
      <c r="AY10" s="13"/>
      <c r="AZ10" s="13">
        <v>645548107</v>
      </c>
      <c r="BA10" s="13"/>
      <c r="BB10" s="13">
        <v>272585030</v>
      </c>
      <c r="BC10" s="13"/>
      <c r="BD10" s="13"/>
      <c r="BE10" s="13"/>
      <c r="BF10" s="13"/>
      <c r="BG10" s="13">
        <v>109702542</v>
      </c>
      <c r="BH10" s="13"/>
      <c r="BI10" s="13">
        <v>1054051350</v>
      </c>
      <c r="BJ10" s="13"/>
      <c r="BK10" s="13"/>
      <c r="BL10" s="13"/>
      <c r="BM10" s="13"/>
      <c r="BN10" s="13"/>
      <c r="BO10" s="14"/>
      <c r="BP10" s="15">
        <f t="shared" si="0"/>
        <v>119793487010</v>
      </c>
      <c r="BQ10" s="184"/>
      <c r="BR10" s="185"/>
      <c r="BS10" s="185"/>
    </row>
    <row r="11" spans="2:75" ht="39.75" customHeight="1">
      <c r="B11" s="9" t="s">
        <v>72</v>
      </c>
      <c r="C11" s="17">
        <v>2018</v>
      </c>
      <c r="D11" s="9">
        <v>4.452</v>
      </c>
      <c r="E11" s="11">
        <v>100183726000</v>
      </c>
      <c r="F11" s="11">
        <f t="shared" si="1"/>
        <v>22503083108.715183</v>
      </c>
      <c r="G11" s="11"/>
      <c r="H11" s="11">
        <v>5008589699</v>
      </c>
      <c r="I11" s="19">
        <f>E11-H11/0.05</f>
        <v>11932020</v>
      </c>
      <c r="J11" s="11">
        <v>3248958243</v>
      </c>
      <c r="K11" s="11">
        <v>99386000</v>
      </c>
      <c r="L11" s="11"/>
      <c r="M11" s="11"/>
      <c r="N11" s="11"/>
      <c r="O11" s="11"/>
      <c r="P11" s="11"/>
      <c r="Q11" s="11"/>
      <c r="R11" s="11"/>
      <c r="S11" s="12"/>
      <c r="T11" s="12"/>
      <c r="U11" s="12"/>
      <c r="V11" s="13"/>
      <c r="W11" s="13"/>
      <c r="X11" s="13"/>
      <c r="Y11" s="13"/>
      <c r="Z11" s="13"/>
      <c r="AA11" s="13"/>
      <c r="AB11" s="13">
        <v>1017412247</v>
      </c>
      <c r="AC11" s="13"/>
      <c r="AD11" s="13"/>
      <c r="AE11" s="13"/>
      <c r="AF11" s="13">
        <v>362594359</v>
      </c>
      <c r="AG11" s="13"/>
      <c r="AH11" s="13">
        <v>9074720</v>
      </c>
      <c r="AI11" s="13"/>
      <c r="AJ11" s="13"/>
      <c r="AK11" s="13"/>
      <c r="AL11" s="13"/>
      <c r="AM11" s="13">
        <v>44148316</v>
      </c>
      <c r="AN11" s="13"/>
      <c r="AO11" s="13"/>
      <c r="AP11" s="13"/>
      <c r="AQ11" s="13"/>
      <c r="AR11" s="13"/>
      <c r="AS11" s="13">
        <v>225016261</v>
      </c>
      <c r="AT11" s="13"/>
      <c r="AU11" s="13"/>
      <c r="AV11" s="13"/>
      <c r="AW11" s="13"/>
      <c r="AX11" s="13"/>
      <c r="AY11" s="13"/>
      <c r="AZ11" s="13">
        <v>123768300</v>
      </c>
      <c r="BA11" s="13"/>
      <c r="BB11" s="13"/>
      <c r="BC11" s="13"/>
      <c r="BD11" s="13"/>
      <c r="BE11" s="13"/>
      <c r="BF11" s="13"/>
      <c r="BG11" s="13">
        <v>24151176</v>
      </c>
      <c r="BH11" s="13"/>
      <c r="BI11" s="13">
        <v>202387738</v>
      </c>
      <c r="BJ11" s="13"/>
      <c r="BK11" s="13"/>
      <c r="BL11" s="13"/>
      <c r="BM11" s="13"/>
      <c r="BN11" s="13"/>
      <c r="BO11" s="14"/>
      <c r="BP11" s="15">
        <f t="shared" si="0"/>
        <v>5356897360</v>
      </c>
      <c r="BQ11" s="13" t="e">
        <f>SUMIF([1]!Government_revenues_table[Devise],"XOF",[1]!Government_revenues_table[Valeur des revenus])+(IFERROR(SUMIF([1]!Government_revenues_table[Devise],"&lt;&gt;XOF",[1]!Government_revenues_table[Valeur des revenus])/'[1]Partie 1 - Présentation'!$E$51,0))</f>
        <v>#REF!</v>
      </c>
      <c r="BR11" s="15">
        <f>+BP11+BP4</f>
        <v>24287028552.720001</v>
      </c>
      <c r="BS11" s="20" t="e">
        <f>+BR11/BQ11</f>
        <v>#REF!</v>
      </c>
    </row>
    <row r="12" spans="2:75" ht="39.75" customHeight="1">
      <c r="B12" s="9" t="s">
        <v>72</v>
      </c>
      <c r="C12" s="10">
        <v>2019</v>
      </c>
      <c r="D12" s="9">
        <v>5.7919</v>
      </c>
      <c r="E12" s="11">
        <v>151790543701.83826</v>
      </c>
      <c r="F12" s="11">
        <f t="shared" si="1"/>
        <v>26207383363.28981</v>
      </c>
      <c r="G12" s="11"/>
      <c r="H12" s="11">
        <v>7576735998</v>
      </c>
      <c r="I12" s="11">
        <v>255823739.503295</v>
      </c>
      <c r="J12" s="11">
        <v>7491544126</v>
      </c>
      <c r="K12" s="11">
        <v>113941440</v>
      </c>
      <c r="L12" s="11"/>
      <c r="M12" s="11"/>
      <c r="N12" s="11"/>
      <c r="O12" s="11"/>
      <c r="P12" s="11"/>
      <c r="Q12" s="11"/>
      <c r="R12" s="11"/>
      <c r="S12" s="12"/>
      <c r="T12" s="12"/>
      <c r="U12" s="12"/>
      <c r="V12" s="13"/>
      <c r="W12" s="13"/>
      <c r="X12" s="13"/>
      <c r="Y12" s="13"/>
      <c r="Z12" s="13"/>
      <c r="AA12" s="13"/>
      <c r="AB12" s="13">
        <v>3891381765</v>
      </c>
      <c r="AC12" s="13"/>
      <c r="AD12" s="13"/>
      <c r="AE12" s="13"/>
      <c r="AF12" s="13">
        <v>682759738</v>
      </c>
      <c r="AG12" s="13"/>
      <c r="AH12" s="13">
        <v>5797753</v>
      </c>
      <c r="AI12" s="13"/>
      <c r="AJ12" s="13"/>
      <c r="AK12" s="13"/>
      <c r="AL12" s="13"/>
      <c r="AM12" s="13">
        <v>39774221</v>
      </c>
      <c r="AN12" s="13"/>
      <c r="AO12" s="13"/>
      <c r="AP12" s="13">
        <v>5811395</v>
      </c>
      <c r="AQ12" s="13">
        <v>90404467</v>
      </c>
      <c r="AR12" s="13">
        <v>112863713</v>
      </c>
      <c r="AS12" s="13">
        <v>3788630</v>
      </c>
      <c r="AT12" s="13">
        <v>56408654</v>
      </c>
      <c r="AU12" s="13">
        <v>573846</v>
      </c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>
        <v>22099694</v>
      </c>
      <c r="BH12" s="13"/>
      <c r="BI12" s="13">
        <v>171008028</v>
      </c>
      <c r="BJ12" s="13"/>
      <c r="BK12" s="13"/>
      <c r="BL12" s="13"/>
      <c r="BM12" s="13"/>
      <c r="BN12" s="13"/>
      <c r="BO12" s="14">
        <v>96210</v>
      </c>
      <c r="BP12" s="15">
        <f t="shared" si="0"/>
        <v>12688253680</v>
      </c>
      <c r="BQ12" s="15">
        <v>147576129768</v>
      </c>
      <c r="BR12" s="15">
        <f t="shared" ref="BR12:BR17" si="2">+BP12+BP5</f>
        <v>41663919018</v>
      </c>
      <c r="BS12" s="20">
        <f t="shared" ref="BS12:BS17" si="3">+BR12/BQ12</f>
        <v>0.2823215318324081</v>
      </c>
    </row>
    <row r="13" spans="2:75" ht="39.75" customHeight="1">
      <c r="B13" s="9" t="s">
        <v>72</v>
      </c>
      <c r="C13" s="10">
        <v>2020</v>
      </c>
      <c r="D13" s="9">
        <v>5.3128000000000002</v>
      </c>
      <c r="E13" s="11">
        <v>156789785059.60001</v>
      </c>
      <c r="F13" s="11">
        <f t="shared" si="1"/>
        <v>29511704762.008732</v>
      </c>
      <c r="G13" s="11"/>
      <c r="H13" s="11">
        <v>8679348430</v>
      </c>
      <c r="I13" s="11">
        <v>488750421.1055975</v>
      </c>
      <c r="J13" s="11">
        <v>8306948342</v>
      </c>
      <c r="K13" s="11">
        <v>137579025</v>
      </c>
      <c r="L13" s="11"/>
      <c r="M13" s="11"/>
      <c r="N13" s="11"/>
      <c r="O13" s="11"/>
      <c r="P13" s="11"/>
      <c r="Q13" s="11"/>
      <c r="R13" s="11"/>
      <c r="S13" s="12"/>
      <c r="T13" s="12"/>
      <c r="U13" s="12"/>
      <c r="V13" s="13">
        <v>3780000000</v>
      </c>
      <c r="W13" s="13"/>
      <c r="X13" s="13"/>
      <c r="Y13" s="13"/>
      <c r="Z13" s="13"/>
      <c r="AA13" s="13"/>
      <c r="AB13" s="13">
        <v>3169904533</v>
      </c>
      <c r="AC13" s="13"/>
      <c r="AD13" s="13"/>
      <c r="AE13" s="13"/>
      <c r="AF13" s="13">
        <v>683472246</v>
      </c>
      <c r="AG13" s="13"/>
      <c r="AH13" s="13">
        <v>6996835</v>
      </c>
      <c r="AI13" s="13"/>
      <c r="AJ13" s="13"/>
      <c r="AK13" s="13"/>
      <c r="AL13" s="13"/>
      <c r="AM13" s="13">
        <v>5250761904</v>
      </c>
      <c r="AN13" s="13"/>
      <c r="AO13" s="13"/>
      <c r="AP13" s="13"/>
      <c r="AQ13" s="13"/>
      <c r="AR13" s="13"/>
      <c r="AS13" s="13"/>
      <c r="AT13" s="13">
        <v>304667880</v>
      </c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>
        <v>22819482</v>
      </c>
      <c r="BH13" s="13"/>
      <c r="BI13" s="13">
        <v>59159110</v>
      </c>
      <c r="BJ13" s="13"/>
      <c r="BK13" s="13"/>
      <c r="BL13" s="13"/>
      <c r="BM13" s="13"/>
      <c r="BN13" s="13"/>
      <c r="BO13" s="14"/>
      <c r="BP13" s="15">
        <f t="shared" si="0"/>
        <v>21722309357</v>
      </c>
      <c r="BQ13" s="21">
        <v>167753230229</v>
      </c>
      <c r="BR13" s="15">
        <f t="shared" si="2"/>
        <v>56664423448</v>
      </c>
      <c r="BS13" s="20">
        <f t="shared" si="3"/>
        <v>0.33778439539225191</v>
      </c>
      <c r="BW13" s="22"/>
    </row>
    <row r="14" spans="2:75" ht="39.75" customHeight="1">
      <c r="B14" s="9" t="s">
        <v>72</v>
      </c>
      <c r="C14" s="10">
        <v>2021</v>
      </c>
      <c r="D14" s="9">
        <v>3.9935</v>
      </c>
      <c r="E14" s="11">
        <v>123373492000</v>
      </c>
      <c r="F14" s="11">
        <f t="shared" si="1"/>
        <v>30893575059.471642</v>
      </c>
      <c r="G14" s="11"/>
      <c r="H14" s="11">
        <v>6168674600</v>
      </c>
      <c r="I14" s="18" t="s">
        <v>71</v>
      </c>
      <c r="J14" s="11">
        <v>6906222357</v>
      </c>
      <c r="K14" s="11">
        <v>166923900</v>
      </c>
      <c r="L14" s="11"/>
      <c r="M14" s="11"/>
      <c r="N14" s="11"/>
      <c r="O14" s="11"/>
      <c r="P14" s="11"/>
      <c r="Q14" s="11"/>
      <c r="R14" s="11"/>
      <c r="S14" s="12"/>
      <c r="T14" s="12"/>
      <c r="U14" s="12"/>
      <c r="V14" s="13">
        <v>2889000000</v>
      </c>
      <c r="W14" s="13"/>
      <c r="X14" s="13"/>
      <c r="Y14" s="13"/>
      <c r="Z14" s="13"/>
      <c r="AA14" s="13"/>
      <c r="AB14" s="13">
        <v>2947069880</v>
      </c>
      <c r="AC14" s="13">
        <v>5011458749</v>
      </c>
      <c r="AD14" s="13"/>
      <c r="AE14" s="13"/>
      <c r="AF14" s="13">
        <v>313859540</v>
      </c>
      <c r="AG14" s="13"/>
      <c r="AH14" s="13">
        <v>2289333</v>
      </c>
      <c r="AI14" s="13"/>
      <c r="AJ14" s="13"/>
      <c r="AK14" s="13"/>
      <c r="AL14" s="13"/>
      <c r="AM14" s="13">
        <v>3601523810</v>
      </c>
      <c r="AN14" s="13"/>
      <c r="AO14" s="13"/>
      <c r="AP14" s="13"/>
      <c r="AQ14" s="13"/>
      <c r="AR14" s="13"/>
      <c r="AS14" s="13">
        <v>237349568</v>
      </c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>
        <v>23344848</v>
      </c>
      <c r="BH14" s="13"/>
      <c r="BI14" s="13">
        <v>63131627</v>
      </c>
      <c r="BJ14" s="13"/>
      <c r="BK14" s="13"/>
      <c r="BL14" s="13"/>
      <c r="BM14" s="13"/>
      <c r="BN14" s="13"/>
      <c r="BO14" s="14"/>
      <c r="BP14" s="15">
        <f t="shared" si="0"/>
        <v>22162173612</v>
      </c>
      <c r="BQ14" s="21">
        <v>206035594541</v>
      </c>
      <c r="BR14" s="15">
        <f t="shared" si="2"/>
        <v>62358896860</v>
      </c>
      <c r="BS14" s="20">
        <f t="shared" si="3"/>
        <v>0.30266079508699117</v>
      </c>
    </row>
    <row r="15" spans="2:75" ht="39.75" customHeight="1">
      <c r="B15" s="9" t="s">
        <v>72</v>
      </c>
      <c r="C15" s="10">
        <v>2022</v>
      </c>
      <c r="D15" s="9">
        <v>4.0319337419999997</v>
      </c>
      <c r="E15" s="11">
        <v>147862816000</v>
      </c>
      <c r="F15" s="11">
        <f t="shared" si="1"/>
        <v>36672928044.361702</v>
      </c>
      <c r="G15" s="11"/>
      <c r="H15" s="11">
        <v>7393140800</v>
      </c>
      <c r="I15" s="18" t="s">
        <v>71</v>
      </c>
      <c r="J15" s="11">
        <v>7519284055</v>
      </c>
      <c r="K15" s="11">
        <v>67395700</v>
      </c>
      <c r="L15" s="11"/>
      <c r="M15" s="11"/>
      <c r="N15" s="11"/>
      <c r="O15" s="11"/>
      <c r="P15" s="11"/>
      <c r="Q15" s="11"/>
      <c r="R15" s="11"/>
      <c r="S15" s="12"/>
      <c r="T15" s="12"/>
      <c r="U15" s="12"/>
      <c r="V15" s="13">
        <v>2854000000</v>
      </c>
      <c r="W15" s="13"/>
      <c r="X15" s="13"/>
      <c r="Y15" s="13"/>
      <c r="Z15" s="13"/>
      <c r="AA15" s="13"/>
      <c r="AB15" s="13">
        <v>4017092953</v>
      </c>
      <c r="AC15" s="13"/>
      <c r="AD15" s="13"/>
      <c r="AE15" s="13"/>
      <c r="AF15" s="13">
        <v>366124044</v>
      </c>
      <c r="AG15" s="13"/>
      <c r="AH15" s="13">
        <v>2452751</v>
      </c>
      <c r="AI15" s="13"/>
      <c r="AJ15" s="13"/>
      <c r="AK15" s="13"/>
      <c r="AL15" s="13"/>
      <c r="AM15" s="13">
        <v>2700640000</v>
      </c>
      <c r="AN15" s="13"/>
      <c r="AO15" s="13"/>
      <c r="AP15" s="13">
        <v>46982080</v>
      </c>
      <c r="AQ15" s="13">
        <v>92565977</v>
      </c>
      <c r="AR15" s="13">
        <v>115733943</v>
      </c>
      <c r="AS15" s="13">
        <v>29117848</v>
      </c>
      <c r="AT15" s="13">
        <v>57671634</v>
      </c>
      <c r="AU15" s="13">
        <v>1406632</v>
      </c>
      <c r="AV15" s="13">
        <v>162957</v>
      </c>
      <c r="AW15" s="13">
        <v>5331137</v>
      </c>
      <c r="AX15" s="13">
        <v>329737</v>
      </c>
      <c r="AY15" s="13"/>
      <c r="AZ15" s="13"/>
      <c r="BA15" s="13"/>
      <c r="BB15" s="13"/>
      <c r="BC15" s="13"/>
      <c r="BD15" s="13"/>
      <c r="BE15" s="13"/>
      <c r="BF15" s="13"/>
      <c r="BG15" s="13">
        <v>23806442</v>
      </c>
      <c r="BH15" s="13"/>
      <c r="BI15" s="13">
        <v>208157611</v>
      </c>
      <c r="BJ15" s="13"/>
      <c r="BK15" s="13"/>
      <c r="BL15" s="13"/>
      <c r="BM15" s="13"/>
      <c r="BN15" s="13"/>
      <c r="BO15" s="14">
        <v>3051789</v>
      </c>
      <c r="BP15" s="15">
        <f t="shared" si="0"/>
        <v>18111307290</v>
      </c>
      <c r="BQ15" s="15">
        <v>242300744937</v>
      </c>
      <c r="BR15" s="15">
        <f t="shared" si="2"/>
        <v>97473608762</v>
      </c>
      <c r="BS15" s="20">
        <f t="shared" si="3"/>
        <v>0.40228357030988027</v>
      </c>
    </row>
    <row r="16" spans="2:75" ht="39.75" customHeight="1">
      <c r="B16" s="9" t="s">
        <v>72</v>
      </c>
      <c r="C16" s="10">
        <v>2023</v>
      </c>
      <c r="D16" s="9">
        <v>3.7307999999999999</v>
      </c>
      <c r="E16" s="11">
        <v>141473181133.46954</v>
      </c>
      <c r="F16" s="11">
        <f t="shared" si="1"/>
        <v>37920333744.363014</v>
      </c>
      <c r="G16" s="11"/>
      <c r="H16" s="11">
        <v>7073659453</v>
      </c>
      <c r="I16" s="18" t="s">
        <v>71</v>
      </c>
      <c r="J16" s="11">
        <v>7008278087</v>
      </c>
      <c r="K16" s="11">
        <v>760258440</v>
      </c>
      <c r="L16" s="11"/>
      <c r="M16" s="11"/>
      <c r="N16" s="11"/>
      <c r="O16" s="11"/>
      <c r="P16" s="11"/>
      <c r="Q16" s="11"/>
      <c r="R16" s="11"/>
      <c r="S16" s="12"/>
      <c r="T16" s="12"/>
      <c r="U16" s="12"/>
      <c r="V16" s="13">
        <v>872000000</v>
      </c>
      <c r="W16" s="13"/>
      <c r="X16" s="13"/>
      <c r="Y16" s="13"/>
      <c r="Z16" s="13"/>
      <c r="AA16" s="13"/>
      <c r="AB16" s="13">
        <v>2855678236</v>
      </c>
      <c r="AC16" s="13"/>
      <c r="AD16" s="13">
        <v>2417260000</v>
      </c>
      <c r="AE16" s="13"/>
      <c r="AF16" s="13">
        <v>207284343</v>
      </c>
      <c r="AG16" s="13"/>
      <c r="AH16" s="13">
        <v>5898351</v>
      </c>
      <c r="AI16" s="13"/>
      <c r="AJ16" s="13"/>
      <c r="AK16" s="13"/>
      <c r="AL16" s="13"/>
      <c r="AM16" s="13">
        <v>2492341</v>
      </c>
      <c r="AN16" s="13"/>
      <c r="AO16" s="13"/>
      <c r="AP16" s="13">
        <v>26926197</v>
      </c>
      <c r="AQ16" s="13">
        <v>46802333</v>
      </c>
      <c r="AR16" s="13">
        <v>58501550</v>
      </c>
      <c r="AS16" s="13">
        <v>14114945</v>
      </c>
      <c r="AT16" s="13">
        <v>29242348</v>
      </c>
      <c r="AU16" s="13">
        <v>237106</v>
      </c>
      <c r="AV16" s="13">
        <v>124975</v>
      </c>
      <c r="AW16" s="13">
        <v>3131508</v>
      </c>
      <c r="AX16" s="13">
        <v>306905</v>
      </c>
      <c r="AY16" s="13"/>
      <c r="AZ16" s="13"/>
      <c r="BA16" s="13"/>
      <c r="BB16" s="13"/>
      <c r="BC16" s="13"/>
      <c r="BD16" s="13"/>
      <c r="BE16" s="13"/>
      <c r="BF16" s="13"/>
      <c r="BG16" s="13">
        <v>25200924</v>
      </c>
      <c r="BH16" s="13"/>
      <c r="BI16" s="13">
        <v>246360435</v>
      </c>
      <c r="BJ16" s="13"/>
      <c r="BK16" s="13"/>
      <c r="BL16" s="13"/>
      <c r="BM16" s="13"/>
      <c r="BO16" s="13">
        <v>809852</v>
      </c>
      <c r="BP16" s="15">
        <f>+SUM(J16:BO16)</f>
        <v>14580908876</v>
      </c>
      <c r="BQ16" s="23">
        <v>380028721353.51093</v>
      </c>
      <c r="BR16" s="15">
        <f t="shared" si="2"/>
        <v>140181389391.20999</v>
      </c>
      <c r="BS16" s="20">
        <f t="shared" si="3"/>
        <v>0.36887051297580803</v>
      </c>
    </row>
    <row r="17" spans="2:71" ht="39.75" customHeight="1">
      <c r="B17" s="9" t="s">
        <v>72</v>
      </c>
      <c r="C17" s="10">
        <v>2024</v>
      </c>
      <c r="D17" s="9">
        <v>3.7669999999999999</v>
      </c>
      <c r="E17" s="11">
        <v>174778072792</v>
      </c>
      <c r="F17" s="11">
        <f t="shared" si="1"/>
        <v>46397152320.679588</v>
      </c>
      <c r="G17" s="11"/>
      <c r="H17" s="11">
        <f>+E17*0.05</f>
        <v>8738903639.6000004</v>
      </c>
      <c r="I17" s="18" t="s">
        <v>71</v>
      </c>
      <c r="J17" s="11">
        <v>8454646351</v>
      </c>
      <c r="K17" s="11"/>
      <c r="L17" s="11"/>
      <c r="M17" s="11"/>
      <c r="N17" s="11"/>
      <c r="O17" s="11"/>
      <c r="P17" s="11"/>
      <c r="Q17" s="11">
        <v>756332380</v>
      </c>
      <c r="R17" s="11"/>
      <c r="S17" s="12"/>
      <c r="T17" s="12"/>
      <c r="U17" s="12"/>
      <c r="V17" s="13">
        <v>3368856498</v>
      </c>
      <c r="W17" s="13"/>
      <c r="X17" s="13"/>
      <c r="Y17" s="13"/>
      <c r="Z17" s="13"/>
      <c r="AA17" s="13">
        <v>209733459</v>
      </c>
      <c r="AB17" s="13">
        <v>2377240218</v>
      </c>
      <c r="AC17" s="13">
        <v>3000000000</v>
      </c>
      <c r="AD17" s="13">
        <v>10226889219</v>
      </c>
      <c r="AE17" s="13"/>
      <c r="AF17" s="13">
        <v>223062855</v>
      </c>
      <c r="AG17" s="13"/>
      <c r="AH17" s="13">
        <v>1358135</v>
      </c>
      <c r="AI17" s="13"/>
      <c r="AJ17" s="13"/>
      <c r="AK17" s="13"/>
      <c r="AL17" s="13"/>
      <c r="AM17" s="13">
        <v>8299828097</v>
      </c>
      <c r="AN17" s="13"/>
      <c r="AO17" s="13"/>
      <c r="AP17" s="13">
        <v>758414389</v>
      </c>
      <c r="AQ17" s="13">
        <v>63440364</v>
      </c>
      <c r="AR17" s="13">
        <v>79300466</v>
      </c>
      <c r="AS17" s="13">
        <v>292634038</v>
      </c>
      <c r="AT17" s="13">
        <v>39424980</v>
      </c>
      <c r="AU17" s="13">
        <v>11585412</v>
      </c>
      <c r="AV17" s="13">
        <v>7911392</v>
      </c>
      <c r="AW17" s="13">
        <v>79642143</v>
      </c>
      <c r="AX17" s="13">
        <v>7818637552</v>
      </c>
      <c r="AY17" s="13"/>
      <c r="AZ17" s="13">
        <v>433189050</v>
      </c>
      <c r="BA17" s="13"/>
      <c r="BB17" s="13"/>
      <c r="BC17" s="13"/>
      <c r="BD17" s="13"/>
      <c r="BE17" s="13"/>
      <c r="BF17" s="13"/>
      <c r="BG17" s="13">
        <v>22716501</v>
      </c>
      <c r="BH17" s="13"/>
      <c r="BI17" s="13">
        <v>240972402</v>
      </c>
      <c r="BJ17" s="13"/>
      <c r="BK17" s="13"/>
      <c r="BL17" s="13"/>
      <c r="BM17" s="13"/>
      <c r="BN17" s="13"/>
      <c r="BO17" s="14"/>
      <c r="BP17" s="24">
        <f t="shared" si="0"/>
        <v>46765815901</v>
      </c>
      <c r="BQ17" s="25">
        <v>225488878262</v>
      </c>
      <c r="BR17" s="26">
        <f t="shared" si="2"/>
        <v>166559302911</v>
      </c>
      <c r="BS17" s="20">
        <f t="shared" si="3"/>
        <v>0.73865861675657207</v>
      </c>
    </row>
    <row r="18" spans="2:71">
      <c r="E18" s="27">
        <f>SUM(E3:E17)</f>
        <v>3231913085216.3184</v>
      </c>
      <c r="F18" s="27"/>
      <c r="G18" s="27"/>
      <c r="H18" s="28"/>
      <c r="BO18" s="30"/>
      <c r="BP18" s="15">
        <f>SUM(BP3:BP17)</f>
        <v>594821218433.92993</v>
      </c>
    </row>
    <row r="20" spans="2:71">
      <c r="E20" s="31"/>
      <c r="F20" s="31"/>
      <c r="G20" s="31"/>
    </row>
    <row r="22" spans="2:71">
      <c r="D22" s="1"/>
      <c r="E22" s="1" t="s">
        <v>1</v>
      </c>
      <c r="F22" s="1" t="s">
        <v>4</v>
      </c>
    </row>
    <row r="23" spans="2:71">
      <c r="D23" s="9" t="s">
        <v>72</v>
      </c>
      <c r="E23" s="17">
        <v>2018</v>
      </c>
      <c r="F23" s="11">
        <f t="shared" ref="F23:F29" si="4">+F11</f>
        <v>22503083108.715183</v>
      </c>
    </row>
    <row r="24" spans="2:71">
      <c r="D24" s="9" t="s">
        <v>72</v>
      </c>
      <c r="E24" s="10">
        <v>2019</v>
      </c>
      <c r="F24" s="11">
        <f t="shared" si="4"/>
        <v>26207383363.28981</v>
      </c>
    </row>
    <row r="25" spans="2:71">
      <c r="D25" s="9" t="s">
        <v>72</v>
      </c>
      <c r="E25" s="10">
        <v>2020</v>
      </c>
      <c r="F25" s="11">
        <f t="shared" si="4"/>
        <v>29511704762.008732</v>
      </c>
    </row>
    <row r="26" spans="2:71">
      <c r="D26" s="9" t="s">
        <v>72</v>
      </c>
      <c r="E26" s="10">
        <v>2021</v>
      </c>
      <c r="F26" s="11">
        <f t="shared" si="4"/>
        <v>30893575059.471642</v>
      </c>
    </row>
    <row r="27" spans="2:71">
      <c r="D27" s="9" t="s">
        <v>72</v>
      </c>
      <c r="E27" s="10">
        <v>2022</v>
      </c>
      <c r="F27" s="11">
        <f t="shared" si="4"/>
        <v>36672928044.361702</v>
      </c>
    </row>
    <row r="28" spans="2:71">
      <c r="D28" s="9" t="s">
        <v>72</v>
      </c>
      <c r="E28" s="10">
        <v>2023</v>
      </c>
      <c r="F28" s="11">
        <f t="shared" si="4"/>
        <v>37920333744.363014</v>
      </c>
    </row>
    <row r="29" spans="2:71">
      <c r="D29" s="9" t="s">
        <v>72</v>
      </c>
      <c r="E29" s="10">
        <v>2024</v>
      </c>
      <c r="F29" s="11">
        <f t="shared" si="4"/>
        <v>46397152320.679588</v>
      </c>
    </row>
  </sheetData>
  <autoFilter ref="B2:BS18" xr:uid="{00000000-0001-0000-0000-000000000000}"/>
  <mergeCells count="3">
    <mergeCell ref="BQ3:BQ10"/>
    <mergeCell ref="BR3:BR10"/>
    <mergeCell ref="BS3:BS10"/>
  </mergeCells>
  <dataValidations count="2">
    <dataValidation type="whole" errorStyle="warning" allowBlank="1" showInputMessage="1" showErrorMessage="1" errorTitle="Veuillez ne pas remplir" error="Ces cellules seront complétées automatiquement" sqref="BQ11" xr:uid="{889CD0FA-FECF-4434-A103-02185FFE8663}">
      <formula1>44444</formula1>
      <formula2>44445</formula2>
    </dataValidation>
    <dataValidation type="decimal" operator="notBetween" allowBlank="1" showInputMessage="1" showErrorMessage="1" errorTitle="Nombre" error="Veuillez inscrire un nombre dans cette cellule" promptTitle="Montant du flux de revenus" prompt="Veuillez inscrire le montant total réconcilié du flux de revenus comme reporté par le gouvernement, " sqref="J4:K4 AA4:AB4 AD4 AF4 AH4 AM4 AS4 AZ4 BE4 BG4 BI4 J11:K11 AB11 AF11 AH11 AM11 AS11 AZ11 BG11 BI11" xr:uid="{1AD15341-BD31-44B0-85D7-E0E4AAC11F38}">
      <formula1>0.1</formula1>
      <formula2>0.2</formula2>
    </dataValidation>
  </dataValidation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42172-BD2E-4C55-B855-27B96F0A6DA0}">
  <dimension ref="A3:C12"/>
  <sheetViews>
    <sheetView showOutlineSymbols="0" defaultGridColor="0" workbookViewId="0"/>
  </sheetViews>
  <sheetFormatPr baseColWidth="10" defaultRowHeight="21.75"/>
  <cols>
    <col min="1" max="1" width="21" bestFit="1" customWidth="1"/>
    <col min="2" max="2" width="35.7265625" bestFit="1" customWidth="1"/>
    <col min="3" max="3" width="33.81640625" bestFit="1" customWidth="1"/>
  </cols>
  <sheetData>
    <row r="3" spans="1:3">
      <c r="A3" s="113" t="s">
        <v>265</v>
      </c>
      <c r="B3" t="s">
        <v>267</v>
      </c>
      <c r="C3" t="s">
        <v>268</v>
      </c>
    </row>
    <row r="4" spans="1:3">
      <c r="A4" s="114">
        <v>2017</v>
      </c>
      <c r="B4" s="115">
        <v>7.1873198399999998</v>
      </c>
      <c r="C4" s="115">
        <v>168626111466.75</v>
      </c>
    </row>
    <row r="5" spans="1:3">
      <c r="A5" s="114">
        <v>2018</v>
      </c>
      <c r="B5" s="115">
        <v>11.42</v>
      </c>
      <c r="C5" s="115">
        <v>273901708000</v>
      </c>
    </row>
    <row r="6" spans="1:3">
      <c r="A6" s="114">
        <v>2019</v>
      </c>
      <c r="B6" s="115">
        <v>12.401900000000001</v>
      </c>
      <c r="C6" s="115">
        <v>338943783701.83826</v>
      </c>
    </row>
    <row r="7" spans="1:3">
      <c r="A7" s="114">
        <v>2020</v>
      </c>
      <c r="B7" s="115">
        <v>12.3528</v>
      </c>
      <c r="C7" s="115">
        <v>388434996122.26001</v>
      </c>
    </row>
    <row r="8" spans="1:3">
      <c r="A8" s="114">
        <v>2021</v>
      </c>
      <c r="B8" s="115">
        <v>16.153500000000001</v>
      </c>
      <c r="C8" s="115">
        <v>514112595000</v>
      </c>
    </row>
    <row r="9" spans="1:3">
      <c r="A9" s="114">
        <v>2022</v>
      </c>
      <c r="B9" s="115">
        <v>14.921933742</v>
      </c>
      <c r="C9" s="115">
        <v>540449521000</v>
      </c>
    </row>
    <row r="10" spans="1:3">
      <c r="A10" s="114">
        <v>2023</v>
      </c>
      <c r="B10" s="115">
        <v>12.870800000000001</v>
      </c>
      <c r="C10" s="115">
        <v>491979670133.46954</v>
      </c>
    </row>
    <row r="11" spans="1:3">
      <c r="A11" s="114">
        <v>2024</v>
      </c>
      <c r="B11" s="115">
        <v>11.016999999999999</v>
      </c>
      <c r="C11" s="115">
        <v>515464699792</v>
      </c>
    </row>
    <row r="12" spans="1:3">
      <c r="A12" s="114" t="s">
        <v>266</v>
      </c>
      <c r="B12" s="115">
        <v>98.325253582000002</v>
      </c>
      <c r="C12" s="115">
        <v>3231913085216.3179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E4235-7E05-4B4E-BA84-65E8C3AD5BD5}">
  <dimension ref="A1"/>
  <sheetViews>
    <sheetView showOutlineSymbols="0" defaultGridColor="0" workbookViewId="0"/>
  </sheetViews>
  <sheetFormatPr baseColWidth="10" defaultRowHeight="21.75"/>
  <sheetData/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1E331-6258-4F97-835C-51ACBCB41E5E}">
  <dimension ref="B2:BR29"/>
  <sheetViews>
    <sheetView showOutlineSymbols="0" defaultGridColor="0" workbookViewId="0"/>
  </sheetViews>
  <sheetFormatPr baseColWidth="10" defaultColWidth="10.81640625" defaultRowHeight="21"/>
  <cols>
    <col min="1" max="3" width="10.81640625" style="16"/>
    <col min="4" max="4" width="24.26953125" style="16" customWidth="1"/>
    <col min="5" max="5" width="30.81640625" style="16" customWidth="1"/>
    <col min="6" max="6" width="28.54296875" style="16" customWidth="1"/>
    <col min="7" max="7" width="26.26953125" style="29" bestFit="1" customWidth="1"/>
    <col min="8" max="9" width="23.1796875" style="29" customWidth="1"/>
    <col min="10" max="10" width="20.81640625" style="28" customWidth="1"/>
    <col min="11" max="11" width="18.26953125" style="28" bestFit="1" customWidth="1"/>
    <col min="12" max="12" width="19.453125" style="16" bestFit="1" customWidth="1"/>
    <col min="13" max="13" width="18.26953125" style="16" bestFit="1" customWidth="1"/>
    <col min="14" max="14" width="21" style="16" customWidth="1"/>
    <col min="15" max="15" width="22.1796875" style="16" customWidth="1"/>
    <col min="16" max="16" width="19.54296875" style="16" customWidth="1"/>
    <col min="17" max="17" width="12.81640625" style="16" bestFit="1" customWidth="1"/>
    <col min="18" max="21" width="10.81640625" style="16"/>
    <col min="22" max="22" width="18" style="16" bestFit="1" customWidth="1"/>
    <col min="23" max="23" width="10.81640625" style="16"/>
    <col min="24" max="24" width="16.81640625" style="16" bestFit="1" customWidth="1"/>
    <col min="25" max="25" width="10.81640625" style="16"/>
    <col min="26" max="26" width="12.453125" style="16" bestFit="1" customWidth="1"/>
    <col min="27" max="28" width="16.81640625" style="16" bestFit="1" customWidth="1"/>
    <col min="29" max="30" width="18" style="16" bestFit="1" customWidth="1"/>
    <col min="31" max="32" width="16.81640625" style="16" bestFit="1" customWidth="1"/>
    <col min="33" max="33" width="14.7265625" style="16" customWidth="1"/>
    <col min="34" max="34" width="17.81640625" style="16" customWidth="1"/>
    <col min="35" max="35" width="15.453125" style="16" bestFit="1" customWidth="1"/>
    <col min="36" max="38" width="10.81640625" style="16"/>
    <col min="39" max="39" width="18" style="16" bestFit="1" customWidth="1"/>
    <col min="40" max="40" width="15.453125" style="16" bestFit="1" customWidth="1"/>
    <col min="41" max="41" width="12.453125" style="16" bestFit="1" customWidth="1"/>
    <col min="42" max="42" width="18" style="16" bestFit="1" customWidth="1"/>
    <col min="43" max="44" width="15.453125" style="16" bestFit="1" customWidth="1"/>
    <col min="45" max="45" width="18" style="16" bestFit="1" customWidth="1"/>
    <col min="46" max="46" width="15.453125" style="16" bestFit="1" customWidth="1"/>
    <col min="47" max="48" width="14.453125" style="16" bestFit="1" customWidth="1"/>
    <col min="49" max="49" width="15.453125" style="16" bestFit="1" customWidth="1"/>
    <col min="50" max="50" width="16.81640625" style="16" bestFit="1" customWidth="1"/>
    <col min="51" max="51" width="10.81640625" style="16"/>
    <col min="52" max="52" width="16.81640625" style="16" bestFit="1" customWidth="1"/>
    <col min="53" max="53" width="10.81640625" style="16"/>
    <col min="54" max="54" width="15.453125" style="16" bestFit="1" customWidth="1"/>
    <col min="55" max="55" width="11.26953125" style="16" bestFit="1" customWidth="1"/>
    <col min="56" max="56" width="13.26953125" style="16" bestFit="1" customWidth="1"/>
    <col min="57" max="57" width="15.453125" style="16" bestFit="1" customWidth="1"/>
    <col min="58" max="58" width="11.26953125" style="16" bestFit="1" customWidth="1"/>
    <col min="59" max="59" width="15.453125" style="16" bestFit="1" customWidth="1"/>
    <col min="60" max="60" width="12.453125" style="16" bestFit="1" customWidth="1"/>
    <col min="61" max="61" width="16.81640625" style="16" bestFit="1" customWidth="1"/>
    <col min="62" max="65" width="10.81640625" style="16"/>
    <col min="66" max="66" width="14.453125" style="16" bestFit="1" customWidth="1"/>
    <col min="67" max="67" width="43.81640625" style="16" customWidth="1"/>
    <col min="68" max="68" width="21.453125" style="16" bestFit="1" customWidth="1"/>
    <col min="69" max="69" width="13.54296875" style="16" bestFit="1" customWidth="1"/>
    <col min="70" max="70" width="20.1796875" style="16" bestFit="1" customWidth="1"/>
    <col min="71" max="16384" width="10.81640625" style="16"/>
  </cols>
  <sheetData>
    <row r="2" spans="2:70" s="8" customFormat="1" ht="126">
      <c r="B2" s="1" t="s">
        <v>0</v>
      </c>
      <c r="C2" s="1" t="s">
        <v>1</v>
      </c>
      <c r="D2" s="1" t="s">
        <v>73</v>
      </c>
      <c r="E2" s="1" t="s">
        <v>2</v>
      </c>
      <c r="F2" s="1" t="s">
        <v>3</v>
      </c>
      <c r="G2" s="2" t="s">
        <v>6</v>
      </c>
      <c r="H2" s="2" t="s">
        <v>7</v>
      </c>
      <c r="I2" s="32" t="s">
        <v>74</v>
      </c>
      <c r="J2" s="3" t="s">
        <v>8</v>
      </c>
      <c r="K2" s="4" t="s">
        <v>9</v>
      </c>
      <c r="L2" s="3" t="s">
        <v>10</v>
      </c>
      <c r="M2" s="4" t="s">
        <v>11</v>
      </c>
      <c r="N2" s="3" t="s">
        <v>12</v>
      </c>
      <c r="O2" s="5" t="s">
        <v>13</v>
      </c>
      <c r="P2" s="3" t="s">
        <v>14</v>
      </c>
      <c r="Q2" s="4" t="s">
        <v>75</v>
      </c>
      <c r="R2" s="3" t="s">
        <v>16</v>
      </c>
      <c r="S2" s="4" t="s">
        <v>17</v>
      </c>
      <c r="T2" s="3" t="s">
        <v>18</v>
      </c>
      <c r="U2" s="4" t="s">
        <v>19</v>
      </c>
      <c r="V2" s="3" t="s">
        <v>76</v>
      </c>
      <c r="W2" s="4" t="s">
        <v>21</v>
      </c>
      <c r="X2" s="3" t="s">
        <v>22</v>
      </c>
      <c r="Y2" s="4" t="s">
        <v>23</v>
      </c>
      <c r="Z2" s="5" t="s">
        <v>24</v>
      </c>
      <c r="AA2" s="3" t="s">
        <v>25</v>
      </c>
      <c r="AB2" s="4" t="s">
        <v>26</v>
      </c>
      <c r="AC2" s="3" t="s">
        <v>27</v>
      </c>
      <c r="AD2" s="4" t="s">
        <v>77</v>
      </c>
      <c r="AE2" s="3" t="s">
        <v>29</v>
      </c>
      <c r="AF2" s="4" t="s">
        <v>30</v>
      </c>
      <c r="AG2" s="3" t="s">
        <v>31</v>
      </c>
      <c r="AH2" s="4" t="s">
        <v>32</v>
      </c>
      <c r="AI2" s="3" t="s">
        <v>33</v>
      </c>
      <c r="AJ2" s="4" t="s">
        <v>34</v>
      </c>
      <c r="AK2" s="3" t="s">
        <v>35</v>
      </c>
      <c r="AL2" s="4" t="s">
        <v>36</v>
      </c>
      <c r="AM2" s="3" t="s">
        <v>37</v>
      </c>
      <c r="AN2" s="33" t="s">
        <v>38</v>
      </c>
      <c r="AO2" s="5" t="s">
        <v>39</v>
      </c>
      <c r="AP2" s="3" t="s">
        <v>78</v>
      </c>
      <c r="AQ2" s="4" t="s">
        <v>41</v>
      </c>
      <c r="AR2" s="3" t="s">
        <v>42</v>
      </c>
      <c r="AS2" s="4" t="s">
        <v>43</v>
      </c>
      <c r="AT2" s="3" t="s">
        <v>44</v>
      </c>
      <c r="AU2" s="4" t="s">
        <v>45</v>
      </c>
      <c r="AV2" s="3" t="s">
        <v>46</v>
      </c>
      <c r="AW2" s="4" t="s">
        <v>47</v>
      </c>
      <c r="AX2" s="3" t="s">
        <v>48</v>
      </c>
      <c r="AY2" s="5" t="s">
        <v>49</v>
      </c>
      <c r="AZ2" s="4" t="s">
        <v>79</v>
      </c>
      <c r="BA2" s="3" t="s">
        <v>51</v>
      </c>
      <c r="BB2" s="4" t="s">
        <v>52</v>
      </c>
      <c r="BC2" s="5" t="s">
        <v>53</v>
      </c>
      <c r="BD2" s="3" t="s">
        <v>54</v>
      </c>
      <c r="BE2" s="4" t="s">
        <v>55</v>
      </c>
      <c r="BF2" s="5" t="s">
        <v>56</v>
      </c>
      <c r="BG2" s="3" t="s">
        <v>57</v>
      </c>
      <c r="BH2" s="5" t="s">
        <v>58</v>
      </c>
      <c r="BI2" s="4" t="s">
        <v>59</v>
      </c>
      <c r="BJ2" s="5" t="s">
        <v>60</v>
      </c>
      <c r="BK2" s="4" t="s">
        <v>61</v>
      </c>
      <c r="BL2" s="5" t="s">
        <v>62</v>
      </c>
      <c r="BM2" s="4" t="s">
        <v>63</v>
      </c>
      <c r="BN2" s="5" t="s">
        <v>64</v>
      </c>
      <c r="BO2" s="3" t="s">
        <v>65</v>
      </c>
    </row>
    <row r="3" spans="2:70" ht="39.75" customHeight="1">
      <c r="B3" s="9" t="s">
        <v>70</v>
      </c>
      <c r="C3" s="10">
        <v>2012</v>
      </c>
      <c r="D3" s="10"/>
      <c r="E3" s="9">
        <v>6.4676879999999999</v>
      </c>
      <c r="F3" s="11">
        <v>180096958956</v>
      </c>
      <c r="G3" s="11">
        <v>5388707154</v>
      </c>
      <c r="H3" s="11">
        <v>473387141</v>
      </c>
      <c r="I3" s="11"/>
      <c r="J3" s="13"/>
      <c r="K3" s="13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27">
        <f>+SUM(I3:BO3)</f>
        <v>0</v>
      </c>
      <c r="BR3" s="27"/>
    </row>
    <row r="4" spans="2:70" ht="39.75" customHeight="1">
      <c r="B4" s="9" t="s">
        <v>70</v>
      </c>
      <c r="C4" s="10">
        <v>2013</v>
      </c>
      <c r="D4" s="10"/>
      <c r="E4" s="9">
        <v>6.4821</v>
      </c>
      <c r="F4" s="11"/>
      <c r="G4" s="11"/>
      <c r="H4" s="11"/>
      <c r="I4" s="11"/>
      <c r="J4" s="13"/>
      <c r="K4" s="13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27">
        <f t="shared" ref="BP4:BP7" si="0">+SUM(I4:BO4)</f>
        <v>0</v>
      </c>
    </row>
    <row r="5" spans="2:70" ht="39.75" customHeight="1">
      <c r="B5" s="9" t="s">
        <v>70</v>
      </c>
      <c r="C5" s="34">
        <v>2014</v>
      </c>
      <c r="D5" s="10"/>
      <c r="E5" s="9">
        <v>6.6101000000000001</v>
      </c>
      <c r="F5" s="11">
        <v>132595148693</v>
      </c>
      <c r="G5" s="11">
        <v>6603818508</v>
      </c>
      <c r="H5" s="11">
        <v>518778538</v>
      </c>
      <c r="I5" s="35">
        <v>8460648482</v>
      </c>
      <c r="J5" s="13"/>
      <c r="K5" s="13"/>
      <c r="L5" s="12"/>
      <c r="M5" s="12"/>
      <c r="N5" s="12"/>
      <c r="O5" s="35">
        <v>488923000</v>
      </c>
      <c r="P5" s="12"/>
      <c r="Q5" s="12"/>
      <c r="R5" s="12"/>
      <c r="S5" s="12"/>
      <c r="T5" s="12"/>
      <c r="U5" s="12"/>
      <c r="V5" s="12"/>
      <c r="W5" s="12"/>
      <c r="X5" s="12"/>
      <c r="Y5" s="12"/>
      <c r="Z5" s="35">
        <v>834456284</v>
      </c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35">
        <v>426877937</v>
      </c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35">
        <v>46539849</v>
      </c>
      <c r="BD5" s="12"/>
      <c r="BE5" s="12"/>
      <c r="BF5" s="35">
        <v>21757680</v>
      </c>
      <c r="BG5" s="12"/>
      <c r="BH5" s="35">
        <v>117001650</v>
      </c>
      <c r="BI5" s="12"/>
      <c r="BJ5" s="12"/>
      <c r="BK5" s="12"/>
      <c r="BL5" s="12"/>
      <c r="BM5" s="12"/>
      <c r="BN5" s="12"/>
      <c r="BO5" s="12"/>
      <c r="BP5" s="27">
        <f t="shared" si="0"/>
        <v>10396204882</v>
      </c>
    </row>
    <row r="6" spans="2:70" ht="39.75" customHeight="1">
      <c r="B6" s="9" t="s">
        <v>70</v>
      </c>
      <c r="C6" s="10">
        <v>2015</v>
      </c>
      <c r="D6" s="10"/>
      <c r="E6" s="9">
        <v>6.0096999999999996</v>
      </c>
      <c r="F6" s="11">
        <v>132757898080</v>
      </c>
      <c r="G6" s="11">
        <v>6620965441.1617002</v>
      </c>
      <c r="H6" s="11">
        <v>338589256.76600003</v>
      </c>
      <c r="I6" s="11"/>
      <c r="J6" s="13"/>
      <c r="K6" s="13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27">
        <f t="shared" si="0"/>
        <v>0</v>
      </c>
    </row>
    <row r="7" spans="2:70" ht="39.75" customHeight="1">
      <c r="B7" s="9" t="s">
        <v>70</v>
      </c>
      <c r="C7" s="10">
        <v>2016</v>
      </c>
      <c r="D7" s="10"/>
      <c r="E7" s="9">
        <v>6.76970049</v>
      </c>
      <c r="F7" s="11">
        <v>160566448654</v>
      </c>
      <c r="G7" s="11">
        <v>8004572222.1000004</v>
      </c>
      <c r="H7" s="11">
        <v>475004212</v>
      </c>
      <c r="I7" s="11"/>
      <c r="J7" s="13"/>
      <c r="K7" s="13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27">
        <f t="shared" si="0"/>
        <v>0</v>
      </c>
    </row>
    <row r="8" spans="2:70" ht="39.75" customHeight="1">
      <c r="B8" s="9" t="s">
        <v>70</v>
      </c>
      <c r="C8" s="10">
        <v>2017</v>
      </c>
      <c r="D8" s="10"/>
      <c r="E8" s="9">
        <v>7.1873198399999998</v>
      </c>
      <c r="F8" s="11">
        <v>168626111466.75</v>
      </c>
      <c r="G8" s="11">
        <v>8410964582.4034996</v>
      </c>
      <c r="H8" s="11">
        <v>406819818.68000001</v>
      </c>
      <c r="I8" s="11"/>
      <c r="J8" s="36">
        <v>2479808997</v>
      </c>
      <c r="K8" s="37">
        <v>9100000</v>
      </c>
      <c r="L8" s="12"/>
      <c r="M8" s="12"/>
      <c r="N8" s="12"/>
      <c r="O8" s="12"/>
      <c r="P8" s="12"/>
      <c r="Q8" s="12"/>
      <c r="R8" s="12"/>
      <c r="S8" s="12"/>
      <c r="T8" s="12"/>
      <c r="U8" s="12"/>
      <c r="V8" s="13"/>
      <c r="W8" s="13"/>
      <c r="X8" s="13"/>
      <c r="Y8" s="13"/>
      <c r="Z8" s="13"/>
      <c r="AA8" s="13">
        <v>782693</v>
      </c>
      <c r="AB8" s="13">
        <v>2137933345</v>
      </c>
      <c r="AC8" s="13"/>
      <c r="AD8" s="13"/>
      <c r="AE8" s="13"/>
      <c r="AF8" s="13">
        <v>139425849</v>
      </c>
      <c r="AG8" s="13"/>
      <c r="AH8" s="13">
        <v>5783535</v>
      </c>
      <c r="AI8" s="13"/>
      <c r="AJ8" s="13"/>
      <c r="AK8" s="13"/>
      <c r="AL8" s="13"/>
      <c r="AM8" s="13">
        <v>7557669</v>
      </c>
      <c r="AN8" s="13"/>
      <c r="AO8" s="13"/>
      <c r="AP8" s="13"/>
      <c r="AQ8" s="13"/>
      <c r="AR8" s="13"/>
      <c r="AS8" s="13">
        <v>331647642</v>
      </c>
      <c r="AT8" s="13"/>
      <c r="AU8" s="13"/>
      <c r="AV8" s="13"/>
      <c r="AW8" s="13"/>
      <c r="AX8" s="13"/>
      <c r="AY8" s="13"/>
      <c r="AZ8" s="13">
        <v>9736200</v>
      </c>
      <c r="BA8" s="13"/>
      <c r="BB8" s="13"/>
      <c r="BC8" s="13"/>
      <c r="BD8" s="13"/>
      <c r="BE8" s="13"/>
      <c r="BF8" s="13"/>
      <c r="BG8" s="13">
        <v>62695166</v>
      </c>
      <c r="BH8" s="13"/>
      <c r="BI8" s="13">
        <v>448178395</v>
      </c>
      <c r="BJ8" s="13"/>
      <c r="BK8" s="13"/>
      <c r="BL8" s="13"/>
      <c r="BM8" s="13"/>
      <c r="BN8" s="13"/>
      <c r="BO8" s="13"/>
      <c r="BP8" s="31">
        <f t="shared" ref="BP8:BP25" si="1">+SUM(J8:BO8)</f>
        <v>5632649491</v>
      </c>
    </row>
    <row r="9" spans="2:70" ht="39.75" customHeight="1">
      <c r="B9" s="9" t="s">
        <v>70</v>
      </c>
      <c r="C9" s="34">
        <v>2018</v>
      </c>
      <c r="D9" s="10"/>
      <c r="E9" s="9">
        <v>6.968</v>
      </c>
      <c r="F9" s="11">
        <v>173717982000</v>
      </c>
      <c r="G9" s="11">
        <v>8662737321.3855</v>
      </c>
      <c r="H9" s="11">
        <v>463235572.28999996</v>
      </c>
      <c r="I9" s="11"/>
      <c r="J9" s="38">
        <v>8910427032</v>
      </c>
      <c r="K9" s="39">
        <v>362016085.72000003</v>
      </c>
      <c r="L9" s="12"/>
      <c r="M9" s="12"/>
      <c r="N9" s="12"/>
      <c r="O9" s="12"/>
      <c r="P9" s="12"/>
      <c r="Q9" s="12"/>
      <c r="R9" s="12"/>
      <c r="S9" s="12"/>
      <c r="T9" s="12"/>
      <c r="U9" s="12"/>
      <c r="V9" s="13"/>
      <c r="W9" s="13"/>
      <c r="X9" s="13"/>
      <c r="Y9" s="13"/>
      <c r="Z9" s="13"/>
      <c r="AA9" s="13">
        <v>1224083825</v>
      </c>
      <c r="AB9" s="13">
        <v>2076603631</v>
      </c>
      <c r="AC9" s="13"/>
      <c r="AD9" s="13">
        <v>4054035730</v>
      </c>
      <c r="AE9" s="13"/>
      <c r="AF9" s="13">
        <v>357095620</v>
      </c>
      <c r="AG9" s="13"/>
      <c r="AH9" s="13">
        <v>15512539</v>
      </c>
      <c r="AI9" s="13"/>
      <c r="AJ9" s="13"/>
      <c r="AK9" s="13"/>
      <c r="AL9" s="13"/>
      <c r="AM9" s="13">
        <v>64477064</v>
      </c>
      <c r="AN9" s="13"/>
      <c r="AO9" s="13"/>
      <c r="AP9" s="13"/>
      <c r="AQ9" s="13"/>
      <c r="AR9" s="13"/>
      <c r="AS9" s="13">
        <v>1436326081</v>
      </c>
      <c r="AT9" s="13"/>
      <c r="AU9" s="13"/>
      <c r="AV9" s="13"/>
      <c r="AW9" s="13"/>
      <c r="AX9" s="13"/>
      <c r="AY9" s="13"/>
      <c r="AZ9" s="13">
        <v>101670000</v>
      </c>
      <c r="BA9" s="13"/>
      <c r="BB9" s="13"/>
      <c r="BC9" s="13"/>
      <c r="BD9" s="13"/>
      <c r="BE9" s="13">
        <v>88454020</v>
      </c>
      <c r="BF9" s="13"/>
      <c r="BG9" s="13">
        <v>22846320</v>
      </c>
      <c r="BH9" s="13"/>
      <c r="BI9" s="13">
        <v>216583245</v>
      </c>
      <c r="BJ9" s="13"/>
      <c r="BK9" s="13"/>
      <c r="BL9" s="13"/>
      <c r="BM9" s="13"/>
      <c r="BN9" s="13"/>
      <c r="BO9" s="13"/>
      <c r="BP9" s="31">
        <f t="shared" si="1"/>
        <v>18930131192.720001</v>
      </c>
    </row>
    <row r="10" spans="2:70" ht="39.75" customHeight="1">
      <c r="B10" s="9" t="s">
        <v>70</v>
      </c>
      <c r="C10" s="10">
        <v>2019</v>
      </c>
      <c r="D10" s="10"/>
      <c r="E10" s="9">
        <v>6.61</v>
      </c>
      <c r="F10" s="11">
        <v>187153240000</v>
      </c>
      <c r="G10" s="11">
        <v>9328166761.8085003</v>
      </c>
      <c r="H10" s="11">
        <v>589904763.83000004</v>
      </c>
      <c r="I10" s="11"/>
      <c r="J10" s="40">
        <v>9509162069</v>
      </c>
      <c r="K10" s="41">
        <v>322273120</v>
      </c>
      <c r="L10" s="40">
        <v>1000000</v>
      </c>
      <c r="M10" s="42"/>
      <c r="N10" s="12"/>
      <c r="O10" s="12"/>
      <c r="P10" s="12"/>
      <c r="Q10" s="41">
        <v>700210162</v>
      </c>
      <c r="R10" s="12"/>
      <c r="S10" s="12"/>
      <c r="T10" s="12"/>
      <c r="U10" s="12"/>
      <c r="V10" s="13"/>
      <c r="W10" s="13"/>
      <c r="X10" s="13"/>
      <c r="Y10" s="13"/>
      <c r="Z10" s="13"/>
      <c r="AA10" s="13">
        <v>832010864</v>
      </c>
      <c r="AB10" s="13">
        <v>2484239231</v>
      </c>
      <c r="AC10" s="13">
        <v>5000070562</v>
      </c>
      <c r="AD10" s="13"/>
      <c r="AE10" s="13">
        <v>7298587337</v>
      </c>
      <c r="AF10" s="13">
        <v>393361415</v>
      </c>
      <c r="AG10" s="13"/>
      <c r="AH10" s="13">
        <v>19995187</v>
      </c>
      <c r="AI10" s="13"/>
      <c r="AJ10" s="13"/>
      <c r="AK10" s="13"/>
      <c r="AL10" s="13"/>
      <c r="AM10" s="13">
        <v>47637296</v>
      </c>
      <c r="AN10" s="13"/>
      <c r="AO10" s="13"/>
      <c r="AP10" s="13">
        <v>197063568</v>
      </c>
      <c r="AQ10" s="13">
        <v>128405812</v>
      </c>
      <c r="AR10" s="13">
        <v>160501755</v>
      </c>
      <c r="AS10" s="13">
        <v>1073636380</v>
      </c>
      <c r="AT10" s="13">
        <v>80203586</v>
      </c>
      <c r="AU10" s="13">
        <v>60533931</v>
      </c>
      <c r="AV10" s="13">
        <v>4053977</v>
      </c>
      <c r="AW10" s="13"/>
      <c r="AX10" s="13">
        <v>352157</v>
      </c>
      <c r="AY10" s="13"/>
      <c r="AZ10" s="13">
        <v>101670000</v>
      </c>
      <c r="BA10" s="13"/>
      <c r="BB10" s="13"/>
      <c r="BC10" s="13"/>
      <c r="BD10" s="13"/>
      <c r="BE10" s="13">
        <v>176714059</v>
      </c>
      <c r="BF10" s="13"/>
      <c r="BG10" s="13">
        <v>27760320</v>
      </c>
      <c r="BH10" s="13"/>
      <c r="BI10" s="13">
        <v>267853395</v>
      </c>
      <c r="BJ10" s="13"/>
      <c r="BK10" s="13"/>
      <c r="BL10" s="13"/>
      <c r="BM10" s="13"/>
      <c r="BN10" s="13"/>
      <c r="BO10" s="13">
        <v>88369155</v>
      </c>
      <c r="BP10" s="31">
        <f t="shared" si="1"/>
        <v>28975665338</v>
      </c>
    </row>
    <row r="11" spans="2:70" ht="39.75" customHeight="1">
      <c r="B11" s="9" t="s">
        <v>70</v>
      </c>
      <c r="C11" s="10">
        <v>2020</v>
      </c>
      <c r="D11" s="10"/>
      <c r="E11" s="9">
        <v>7.04</v>
      </c>
      <c r="F11" s="11">
        <v>231645211062.66</v>
      </c>
      <c r="G11" s="11">
        <v>11517025517</v>
      </c>
      <c r="H11" s="11">
        <v>1304700722.6600001</v>
      </c>
      <c r="I11" s="11"/>
      <c r="J11" s="43">
        <v>9540850131</v>
      </c>
      <c r="K11" s="44">
        <v>186233247</v>
      </c>
      <c r="L11" s="12"/>
      <c r="M11" s="42"/>
      <c r="N11" s="12"/>
      <c r="O11" s="12"/>
      <c r="P11" s="12"/>
      <c r="Q11" s="44">
        <v>700212162</v>
      </c>
      <c r="R11" s="12"/>
      <c r="S11" s="12"/>
      <c r="T11" s="12"/>
      <c r="U11" s="12"/>
      <c r="V11" s="13"/>
      <c r="W11" s="13"/>
      <c r="X11" s="13">
        <v>8943645000</v>
      </c>
      <c r="Y11" s="13"/>
      <c r="Z11" s="13"/>
      <c r="AA11" s="13">
        <v>246192713</v>
      </c>
      <c r="AB11" s="13">
        <v>3409680254</v>
      </c>
      <c r="AC11" s="13">
        <v>50000000</v>
      </c>
      <c r="AD11" s="13">
        <v>9388018145</v>
      </c>
      <c r="AE11" s="13"/>
      <c r="AF11" s="13">
        <v>387349761</v>
      </c>
      <c r="AG11" s="13"/>
      <c r="AH11" s="13">
        <v>30370439</v>
      </c>
      <c r="AI11" s="13"/>
      <c r="AJ11" s="13"/>
      <c r="AK11" s="13"/>
      <c r="AL11" s="13"/>
      <c r="AM11" s="13">
        <v>96697263</v>
      </c>
      <c r="AN11" s="13">
        <v>342009500</v>
      </c>
      <c r="AO11" s="13"/>
      <c r="AP11" s="13"/>
      <c r="AQ11" s="13"/>
      <c r="AR11" s="13"/>
      <c r="AS11" s="13">
        <v>1027439597</v>
      </c>
      <c r="AT11" s="13"/>
      <c r="AU11" s="13"/>
      <c r="AV11" s="13"/>
      <c r="AW11" s="13"/>
      <c r="AX11" s="13"/>
      <c r="AY11" s="13"/>
      <c r="AZ11" s="13">
        <v>101670000</v>
      </c>
      <c r="BA11" s="13"/>
      <c r="BB11" s="13"/>
      <c r="BC11" s="13"/>
      <c r="BD11" s="13"/>
      <c r="BE11" s="13">
        <v>91247209</v>
      </c>
      <c r="BF11" s="13"/>
      <c r="BG11" s="13">
        <v>36915282</v>
      </c>
      <c r="BH11" s="13"/>
      <c r="BI11" s="13">
        <v>349602388</v>
      </c>
      <c r="BJ11" s="13"/>
      <c r="BK11" s="13"/>
      <c r="BL11" s="13"/>
      <c r="BM11" s="13"/>
      <c r="BN11" s="13"/>
      <c r="BO11" s="13">
        <v>13981000</v>
      </c>
      <c r="BP11" s="31">
        <f t="shared" si="1"/>
        <v>34942114091</v>
      </c>
    </row>
    <row r="12" spans="2:70" ht="39.75" customHeight="1">
      <c r="B12" s="9" t="s">
        <v>70</v>
      </c>
      <c r="C12" s="10">
        <v>2021</v>
      </c>
      <c r="D12" s="10"/>
      <c r="E12" s="9">
        <v>12.16</v>
      </c>
      <c r="F12" s="11">
        <v>390739103000</v>
      </c>
      <c r="G12" s="11">
        <v>19491926231.734631</v>
      </c>
      <c r="H12" s="11">
        <v>900578365</v>
      </c>
      <c r="I12" s="11"/>
      <c r="J12" s="45">
        <v>18095052888</v>
      </c>
      <c r="K12" s="46">
        <v>381674925</v>
      </c>
      <c r="L12" s="45">
        <v>2000000</v>
      </c>
      <c r="M12" s="42"/>
      <c r="N12" s="47">
        <v>99930000</v>
      </c>
      <c r="O12" s="12"/>
      <c r="P12" s="12"/>
      <c r="Q12" s="46">
        <v>700210162</v>
      </c>
      <c r="R12" s="12"/>
      <c r="S12" s="12"/>
      <c r="T12" s="12"/>
      <c r="U12" s="12"/>
      <c r="V12" s="13">
        <v>930240585</v>
      </c>
      <c r="W12" s="13"/>
      <c r="X12" s="13"/>
      <c r="Y12" s="13"/>
      <c r="Z12" s="13"/>
      <c r="AA12" s="13">
        <v>101736910</v>
      </c>
      <c r="AB12" s="13">
        <v>5623462277</v>
      </c>
      <c r="AC12" s="13"/>
      <c r="AD12" s="13">
        <v>10470001250</v>
      </c>
      <c r="AE12" s="13"/>
      <c r="AF12" s="13">
        <v>739979589</v>
      </c>
      <c r="AG12" s="13"/>
      <c r="AH12" s="13">
        <v>184824593</v>
      </c>
      <c r="AI12" s="13"/>
      <c r="AJ12" s="13"/>
      <c r="AK12" s="13"/>
      <c r="AL12" s="13"/>
      <c r="AM12" s="13">
        <v>1074843449</v>
      </c>
      <c r="AN12" s="13"/>
      <c r="AO12" s="13"/>
      <c r="AP12" s="13"/>
      <c r="AQ12" s="13"/>
      <c r="AR12" s="13"/>
      <c r="AS12" s="13">
        <v>601569229</v>
      </c>
      <c r="AT12" s="13"/>
      <c r="AU12" s="13"/>
      <c r="AV12" s="13"/>
      <c r="AW12" s="13"/>
      <c r="AX12" s="13"/>
      <c r="AY12" s="13"/>
      <c r="AZ12" s="13">
        <v>102506250</v>
      </c>
      <c r="BA12" s="13"/>
      <c r="BB12" s="13"/>
      <c r="BC12" s="13"/>
      <c r="BD12" s="13"/>
      <c r="BE12" s="13">
        <v>244113282</v>
      </c>
      <c r="BF12" s="13"/>
      <c r="BG12" s="13">
        <v>91733040</v>
      </c>
      <c r="BH12" s="13"/>
      <c r="BI12" s="13">
        <v>739969819</v>
      </c>
      <c r="BJ12" s="13"/>
      <c r="BK12" s="13"/>
      <c r="BL12" s="13"/>
      <c r="BM12" s="13"/>
      <c r="BN12" s="13"/>
      <c r="BO12" s="13">
        <v>12875000</v>
      </c>
      <c r="BP12" s="31">
        <f t="shared" si="1"/>
        <v>40196723248</v>
      </c>
      <c r="BR12" s="31"/>
    </row>
    <row r="13" spans="2:70" ht="39.75" customHeight="1">
      <c r="B13" s="9" t="s">
        <v>70</v>
      </c>
      <c r="C13" s="10">
        <v>2022</v>
      </c>
      <c r="D13" s="10"/>
      <c r="E13" s="9">
        <v>10.89</v>
      </c>
      <c r="F13" s="11">
        <v>392586705000</v>
      </c>
      <c r="G13" s="11">
        <v>19583213628.882149</v>
      </c>
      <c r="H13" s="11">
        <v>922432422</v>
      </c>
      <c r="I13" s="11"/>
      <c r="J13" s="48">
        <v>19563971740</v>
      </c>
      <c r="K13" s="49">
        <v>344657753</v>
      </c>
      <c r="L13" s="12"/>
      <c r="M13" s="42"/>
      <c r="N13" s="50">
        <v>81430000</v>
      </c>
      <c r="O13" s="12"/>
      <c r="P13" s="12"/>
      <c r="Q13" s="49">
        <v>700210162</v>
      </c>
      <c r="R13" s="12"/>
      <c r="S13" s="12"/>
      <c r="T13" s="12"/>
      <c r="U13" s="12"/>
      <c r="V13" s="13">
        <v>13745906089</v>
      </c>
      <c r="W13" s="13"/>
      <c r="X13" s="13"/>
      <c r="Y13" s="13"/>
      <c r="Z13" s="13"/>
      <c r="AA13" s="13">
        <v>1159716473</v>
      </c>
      <c r="AB13" s="13">
        <v>5214687204</v>
      </c>
      <c r="AC13" s="13">
        <v>300000</v>
      </c>
      <c r="AD13" s="13">
        <v>10209148561</v>
      </c>
      <c r="AE13" s="13"/>
      <c r="AF13" s="13">
        <v>1272817806</v>
      </c>
      <c r="AG13" s="13"/>
      <c r="AH13" s="13">
        <v>23197229</v>
      </c>
      <c r="AI13" s="13"/>
      <c r="AJ13" s="13"/>
      <c r="AK13" s="13"/>
      <c r="AL13" s="13"/>
      <c r="AM13" s="13">
        <v>19512723643</v>
      </c>
      <c r="AN13" s="13"/>
      <c r="AO13" s="13"/>
      <c r="AP13" s="13">
        <v>5060698358</v>
      </c>
      <c r="AQ13" s="13">
        <v>82821682</v>
      </c>
      <c r="AR13" s="13">
        <v>103417232</v>
      </c>
      <c r="AS13" s="13">
        <v>432572906</v>
      </c>
      <c r="AT13" s="13">
        <v>51435059</v>
      </c>
      <c r="AU13" s="13">
        <v>33147645</v>
      </c>
      <c r="AV13" s="13">
        <v>28354930</v>
      </c>
      <c r="AW13" s="13">
        <v>197604113</v>
      </c>
      <c r="AX13" s="13">
        <v>71300044</v>
      </c>
      <c r="AY13" s="13"/>
      <c r="AZ13" s="13">
        <v>102506250</v>
      </c>
      <c r="BA13" s="13"/>
      <c r="BB13" s="13"/>
      <c r="BC13" s="13"/>
      <c r="BD13" s="13">
        <v>2539000</v>
      </c>
      <c r="BE13" s="13">
        <v>273526547</v>
      </c>
      <c r="BF13" s="13"/>
      <c r="BG13" s="13">
        <v>92413440</v>
      </c>
      <c r="BH13" s="13"/>
      <c r="BI13" s="13">
        <v>824145628</v>
      </c>
      <c r="BJ13" s="13"/>
      <c r="BK13" s="13"/>
      <c r="BL13" s="13"/>
      <c r="BM13" s="13"/>
      <c r="BN13" s="13"/>
      <c r="BO13" s="13">
        <v>177051978</v>
      </c>
      <c r="BP13" s="31">
        <f t="shared" si="1"/>
        <v>79362301472</v>
      </c>
    </row>
    <row r="14" spans="2:70" ht="39.75" customHeight="1">
      <c r="B14" s="9" t="s">
        <v>70</v>
      </c>
      <c r="C14" s="10">
        <v>2023</v>
      </c>
      <c r="D14" s="10"/>
      <c r="E14" s="9">
        <v>9.14</v>
      </c>
      <c r="F14" s="11">
        <v>350506489000</v>
      </c>
      <c r="G14" s="11">
        <v>17483287112.941906</v>
      </c>
      <c r="H14" s="11">
        <v>840746741</v>
      </c>
      <c r="I14" s="11"/>
      <c r="J14" s="51">
        <v>17983379589</v>
      </c>
      <c r="K14" s="52">
        <v>394603655.20999998</v>
      </c>
      <c r="L14" s="51">
        <v>2000000</v>
      </c>
      <c r="M14" s="53"/>
      <c r="N14" s="54">
        <v>339510000</v>
      </c>
      <c r="O14" s="12"/>
      <c r="P14" s="12"/>
      <c r="Q14" s="52">
        <v>700210162</v>
      </c>
      <c r="R14" s="12"/>
      <c r="S14" s="12"/>
      <c r="T14" s="12"/>
      <c r="U14" s="12"/>
      <c r="V14" s="13">
        <v>3780409704</v>
      </c>
      <c r="W14" s="13"/>
      <c r="X14" s="13"/>
      <c r="Y14" s="13"/>
      <c r="Z14" s="13"/>
      <c r="AA14" s="13">
        <v>3552753938</v>
      </c>
      <c r="AB14" s="13">
        <v>6547939856</v>
      </c>
      <c r="AC14" s="13">
        <v>14165870891</v>
      </c>
      <c r="AD14" s="13">
        <v>56031664385</v>
      </c>
      <c r="AE14" s="13"/>
      <c r="AF14" s="13">
        <v>2416973413</v>
      </c>
      <c r="AG14" s="13"/>
      <c r="AH14" s="13">
        <v>355809766</v>
      </c>
      <c r="AI14" s="13"/>
      <c r="AJ14" s="13"/>
      <c r="AK14" s="13"/>
      <c r="AL14" s="13"/>
      <c r="AM14" s="13">
        <v>598684575</v>
      </c>
      <c r="AN14" s="13"/>
      <c r="AO14" s="13"/>
      <c r="AP14" s="13"/>
      <c r="AQ14" s="13"/>
      <c r="AR14" s="13"/>
      <c r="AS14" s="13">
        <v>14790586394</v>
      </c>
      <c r="AT14" s="13"/>
      <c r="AU14" s="13"/>
      <c r="AV14" s="13"/>
      <c r="AW14" s="13"/>
      <c r="AX14" s="13">
        <v>1356080521</v>
      </c>
      <c r="AY14" s="13"/>
      <c r="AZ14" s="13">
        <v>1200349100</v>
      </c>
      <c r="BA14" s="13"/>
      <c r="BB14" s="13"/>
      <c r="BC14" s="13"/>
      <c r="BD14" s="13"/>
      <c r="BE14" s="13">
        <v>278981251</v>
      </c>
      <c r="BF14" s="13"/>
      <c r="BG14" s="13">
        <v>101160360</v>
      </c>
      <c r="BH14" s="13"/>
      <c r="BI14" s="13">
        <v>982516892</v>
      </c>
      <c r="BJ14" s="13"/>
      <c r="BK14" s="13"/>
      <c r="BL14" s="13"/>
      <c r="BM14" s="13"/>
      <c r="BN14" s="13">
        <v>20996063</v>
      </c>
      <c r="BO14" s="13"/>
      <c r="BP14" s="31">
        <f t="shared" si="1"/>
        <v>125600480515.20999</v>
      </c>
    </row>
    <row r="15" spans="2:70" ht="39.75" customHeight="1">
      <c r="B15" s="9" t="s">
        <v>70</v>
      </c>
      <c r="C15" s="10">
        <v>2024</v>
      </c>
      <c r="D15" s="10"/>
      <c r="E15" s="9">
        <v>7.25</v>
      </c>
      <c r="F15" s="11">
        <v>340686627000</v>
      </c>
      <c r="G15" s="11">
        <f>F15*0.05</f>
        <v>17034331350</v>
      </c>
      <c r="H15" s="18" t="s">
        <v>71</v>
      </c>
      <c r="I15" s="18"/>
      <c r="J15" s="55">
        <v>12982245458</v>
      </c>
      <c r="K15" s="13">
        <v>0</v>
      </c>
      <c r="L15" s="55">
        <v>10000000</v>
      </c>
      <c r="M15" s="12"/>
      <c r="N15" s="56">
        <v>165308750</v>
      </c>
      <c r="O15" s="12"/>
      <c r="P15" s="12"/>
      <c r="Q15" s="55">
        <v>5156057429</v>
      </c>
      <c r="R15" s="12"/>
      <c r="S15" s="12"/>
      <c r="T15" s="12"/>
      <c r="U15" s="12"/>
      <c r="V15" s="13">
        <v>8550085532</v>
      </c>
      <c r="W15" s="13"/>
      <c r="X15" s="13"/>
      <c r="Y15" s="13"/>
      <c r="Z15" s="13"/>
      <c r="AA15" s="13">
        <v>2961595410</v>
      </c>
      <c r="AB15" s="13">
        <v>7765358367</v>
      </c>
      <c r="AC15" s="13"/>
      <c r="AD15" s="13">
        <v>37354442924</v>
      </c>
      <c r="AE15" s="13">
        <v>8753036627</v>
      </c>
      <c r="AF15" s="13">
        <v>2798450495</v>
      </c>
      <c r="AG15" s="13"/>
      <c r="AH15" s="13">
        <v>17817365</v>
      </c>
      <c r="AI15" s="13">
        <v>189710162</v>
      </c>
      <c r="AJ15" s="13"/>
      <c r="AK15" s="13"/>
      <c r="AL15" s="13"/>
      <c r="AM15" s="13">
        <v>9719760854</v>
      </c>
      <c r="AN15" s="13"/>
      <c r="AO15" s="13"/>
      <c r="AP15" s="13">
        <v>12479862303</v>
      </c>
      <c r="AQ15" s="13">
        <v>47512057</v>
      </c>
      <c r="AR15" s="13">
        <v>59390072</v>
      </c>
      <c r="AS15" s="13">
        <v>360813765</v>
      </c>
      <c r="AT15" s="13">
        <v>29695037</v>
      </c>
      <c r="AU15" s="13">
        <v>51467044</v>
      </c>
      <c r="AV15" s="13">
        <v>39601445</v>
      </c>
      <c r="AW15" s="13">
        <v>118255043</v>
      </c>
      <c r="AX15" s="13">
        <v>8101133842</v>
      </c>
      <c r="AY15" s="13"/>
      <c r="AZ15" s="13">
        <v>645548107</v>
      </c>
      <c r="BA15" s="13"/>
      <c r="BB15" s="13">
        <v>272585030</v>
      </c>
      <c r="BC15" s="13"/>
      <c r="BD15" s="13"/>
      <c r="BE15" s="13"/>
      <c r="BF15" s="13"/>
      <c r="BG15" s="13">
        <v>109702542</v>
      </c>
      <c r="BH15" s="13"/>
      <c r="BI15" s="13">
        <v>1054051350</v>
      </c>
      <c r="BJ15" s="13"/>
      <c r="BK15" s="13"/>
      <c r="BL15" s="13"/>
      <c r="BM15" s="13"/>
      <c r="BN15" s="13"/>
      <c r="BO15" s="13"/>
      <c r="BP15" s="31">
        <f t="shared" si="1"/>
        <v>119793487010</v>
      </c>
    </row>
    <row r="16" spans="2:70" ht="39.75" customHeight="1">
      <c r="B16" s="9" t="s">
        <v>70</v>
      </c>
      <c r="C16" s="10">
        <v>2025</v>
      </c>
      <c r="D16" s="10"/>
      <c r="E16" s="9">
        <v>8.5289609744902002</v>
      </c>
      <c r="F16" s="11">
        <v>556090522892</v>
      </c>
      <c r="G16" s="11">
        <f>F16*0.05</f>
        <v>27804526144.600002</v>
      </c>
      <c r="H16" s="18" t="s">
        <v>71</v>
      </c>
      <c r="I16" s="18"/>
      <c r="J16" s="13"/>
      <c r="K16" s="13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31">
        <f t="shared" si="1"/>
        <v>0</v>
      </c>
    </row>
    <row r="17" spans="2:68" ht="39.75" customHeight="1">
      <c r="B17" s="9" t="s">
        <v>72</v>
      </c>
      <c r="C17" s="34">
        <v>2018</v>
      </c>
      <c r="D17" s="10"/>
      <c r="E17" s="9">
        <v>4.452</v>
      </c>
      <c r="F17" s="11">
        <v>100183726000</v>
      </c>
      <c r="G17" s="11">
        <v>5008589699</v>
      </c>
      <c r="H17" s="19">
        <f>F17-G17/0.05</f>
        <v>11932020</v>
      </c>
      <c r="I17" s="57"/>
      <c r="J17" s="38">
        <v>3248958243</v>
      </c>
      <c r="K17" s="39">
        <v>99386000</v>
      </c>
      <c r="L17" s="13"/>
      <c r="M17" s="13"/>
      <c r="N17" s="12"/>
      <c r="O17" s="12"/>
      <c r="P17" s="12"/>
      <c r="Q17" s="12"/>
      <c r="R17" s="12"/>
      <c r="S17" s="12"/>
      <c r="T17" s="12"/>
      <c r="U17" s="12"/>
      <c r="V17" s="13"/>
      <c r="W17" s="13"/>
      <c r="X17" s="13"/>
      <c r="Y17" s="13"/>
      <c r="Z17" s="13"/>
      <c r="AA17" s="13"/>
      <c r="AB17" s="13">
        <v>1017412247</v>
      </c>
      <c r="AC17" s="13"/>
      <c r="AD17" s="13"/>
      <c r="AE17" s="13"/>
      <c r="AF17" s="13">
        <v>362594359</v>
      </c>
      <c r="AG17" s="13"/>
      <c r="AH17" s="13">
        <v>9074720</v>
      </c>
      <c r="AI17" s="13"/>
      <c r="AJ17" s="13"/>
      <c r="AK17" s="13"/>
      <c r="AL17" s="13"/>
      <c r="AM17" s="13">
        <v>44148316</v>
      </c>
      <c r="AN17" s="13"/>
      <c r="AO17" s="13"/>
      <c r="AP17" s="13"/>
      <c r="AQ17" s="13"/>
      <c r="AR17" s="13"/>
      <c r="AS17" s="13">
        <v>225016261</v>
      </c>
      <c r="AT17" s="13"/>
      <c r="AU17" s="13"/>
      <c r="AV17" s="13"/>
      <c r="AW17" s="13"/>
      <c r="AX17" s="13"/>
      <c r="AY17" s="13"/>
      <c r="AZ17" s="13">
        <v>123768300</v>
      </c>
      <c r="BA17" s="13"/>
      <c r="BB17" s="13"/>
      <c r="BC17" s="13"/>
      <c r="BD17" s="13"/>
      <c r="BE17" s="13"/>
      <c r="BF17" s="13"/>
      <c r="BG17" s="13">
        <v>24151176</v>
      </c>
      <c r="BH17" s="13"/>
      <c r="BI17" s="13">
        <v>202387738</v>
      </c>
      <c r="BJ17" s="13"/>
      <c r="BK17" s="13"/>
      <c r="BL17" s="13"/>
      <c r="BM17" s="13"/>
      <c r="BN17" s="13"/>
      <c r="BO17" s="13"/>
      <c r="BP17" s="31">
        <f t="shared" si="1"/>
        <v>5356897360</v>
      </c>
    </row>
    <row r="18" spans="2:68" ht="39.75" customHeight="1">
      <c r="B18" s="9" t="s">
        <v>72</v>
      </c>
      <c r="C18" s="10">
        <v>2019</v>
      </c>
      <c r="D18" s="10"/>
      <c r="E18" s="9">
        <v>5.7919</v>
      </c>
      <c r="F18" s="11">
        <v>151790543701.83826</v>
      </c>
      <c r="G18" s="11">
        <v>7576735998</v>
      </c>
      <c r="H18" s="11">
        <v>255823739.503295</v>
      </c>
      <c r="I18" s="11"/>
      <c r="J18" s="40">
        <v>7491544126</v>
      </c>
      <c r="K18" s="41">
        <v>113941440</v>
      </c>
      <c r="L18" s="13"/>
      <c r="M18" s="13"/>
      <c r="N18" s="12"/>
      <c r="O18" s="12"/>
      <c r="P18" s="12"/>
      <c r="Q18" s="12"/>
      <c r="R18" s="12"/>
      <c r="S18" s="12"/>
      <c r="T18" s="12"/>
      <c r="U18" s="12"/>
      <c r="V18" s="13"/>
      <c r="W18" s="13"/>
      <c r="X18" s="13"/>
      <c r="Y18" s="13"/>
      <c r="Z18" s="13"/>
      <c r="AA18" s="13"/>
      <c r="AB18" s="13">
        <v>3891381765</v>
      </c>
      <c r="AC18" s="13"/>
      <c r="AD18" s="13"/>
      <c r="AE18" s="13"/>
      <c r="AF18" s="13">
        <v>682759738</v>
      </c>
      <c r="AG18" s="13"/>
      <c r="AH18" s="13">
        <v>5797753</v>
      </c>
      <c r="AI18" s="13"/>
      <c r="AJ18" s="13"/>
      <c r="AK18" s="13"/>
      <c r="AL18" s="13"/>
      <c r="AM18" s="13">
        <v>39774221</v>
      </c>
      <c r="AN18" s="13"/>
      <c r="AO18" s="13"/>
      <c r="AP18" s="13">
        <v>5811395</v>
      </c>
      <c r="AQ18" s="13">
        <v>90404467</v>
      </c>
      <c r="AR18" s="13">
        <v>112863713</v>
      </c>
      <c r="AS18" s="13">
        <v>3788630</v>
      </c>
      <c r="AT18" s="13">
        <v>56408654</v>
      </c>
      <c r="AU18" s="13">
        <v>573846</v>
      </c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>
        <v>22099694</v>
      </c>
      <c r="BH18" s="13"/>
      <c r="BI18" s="13">
        <v>171008028</v>
      </c>
      <c r="BJ18" s="13"/>
      <c r="BK18" s="13"/>
      <c r="BL18" s="13"/>
      <c r="BM18" s="13"/>
      <c r="BN18" s="13"/>
      <c r="BO18" s="13">
        <v>96210</v>
      </c>
      <c r="BP18" s="31">
        <f t="shared" si="1"/>
        <v>12688253680</v>
      </c>
    </row>
    <row r="19" spans="2:68" ht="39.75" customHeight="1">
      <c r="B19" s="9" t="s">
        <v>72</v>
      </c>
      <c r="C19" s="10">
        <v>2020</v>
      </c>
      <c r="D19" s="10"/>
      <c r="E19" s="9">
        <v>5.3128000000000002</v>
      </c>
      <c r="F19" s="11">
        <v>156789785059.60001</v>
      </c>
      <c r="G19" s="11">
        <v>8679348430</v>
      </c>
      <c r="H19" s="11">
        <v>488750421.1055975</v>
      </c>
      <c r="I19" s="11"/>
      <c r="J19" s="40">
        <v>8306948342</v>
      </c>
      <c r="K19" s="41">
        <v>137579025</v>
      </c>
      <c r="L19" s="13"/>
      <c r="M19" s="13"/>
      <c r="N19" s="12"/>
      <c r="O19" s="12"/>
      <c r="P19" s="12"/>
      <c r="Q19" s="12"/>
      <c r="R19" s="12"/>
      <c r="S19" s="12"/>
      <c r="T19" s="12"/>
      <c r="U19" s="12"/>
      <c r="V19" s="13">
        <v>3780000000</v>
      </c>
      <c r="W19" s="13"/>
      <c r="X19" s="13"/>
      <c r="Y19" s="13"/>
      <c r="Z19" s="13"/>
      <c r="AA19" s="13"/>
      <c r="AB19" s="13">
        <v>3169904533</v>
      </c>
      <c r="AC19" s="13"/>
      <c r="AD19" s="13"/>
      <c r="AE19" s="13"/>
      <c r="AF19" s="13">
        <v>683472246</v>
      </c>
      <c r="AG19" s="13"/>
      <c r="AH19" s="13">
        <v>6996835</v>
      </c>
      <c r="AI19" s="13"/>
      <c r="AJ19" s="13"/>
      <c r="AK19" s="13"/>
      <c r="AL19" s="13"/>
      <c r="AM19" s="13">
        <v>5250761904</v>
      </c>
      <c r="AN19" s="13"/>
      <c r="AO19" s="13"/>
      <c r="AP19" s="13"/>
      <c r="AQ19" s="13"/>
      <c r="AR19" s="13"/>
      <c r="AS19" s="13"/>
      <c r="AT19" s="13">
        <v>304667880</v>
      </c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>
        <v>22819482</v>
      </c>
      <c r="BH19" s="13"/>
      <c r="BI19" s="13">
        <v>59159110</v>
      </c>
      <c r="BJ19" s="13"/>
      <c r="BK19" s="13"/>
      <c r="BL19" s="13"/>
      <c r="BM19" s="13"/>
      <c r="BN19" s="13"/>
      <c r="BO19" s="13"/>
      <c r="BP19" s="31">
        <f t="shared" si="1"/>
        <v>21722309357</v>
      </c>
    </row>
    <row r="20" spans="2:68" ht="39.75" customHeight="1">
      <c r="B20" s="9" t="s">
        <v>72</v>
      </c>
      <c r="C20" s="10">
        <v>2021</v>
      </c>
      <c r="D20" s="10"/>
      <c r="E20" s="9">
        <v>3.9935</v>
      </c>
      <c r="F20" s="11">
        <v>123373492000</v>
      </c>
      <c r="G20" s="11">
        <v>6168674600</v>
      </c>
      <c r="H20" s="18" t="s">
        <v>71</v>
      </c>
      <c r="I20" s="18"/>
      <c r="J20" s="45">
        <v>6906222357</v>
      </c>
      <c r="K20" s="46">
        <v>166923900</v>
      </c>
      <c r="L20" s="58"/>
      <c r="M20" s="58"/>
      <c r="N20" s="12"/>
      <c r="O20" s="12"/>
      <c r="P20" s="12"/>
      <c r="Q20" s="12"/>
      <c r="R20" s="12"/>
      <c r="S20" s="12"/>
      <c r="T20" s="12"/>
      <c r="U20" s="12"/>
      <c r="V20" s="13">
        <v>2889000000</v>
      </c>
      <c r="W20" s="13"/>
      <c r="X20" s="13"/>
      <c r="Y20" s="13"/>
      <c r="Z20" s="13"/>
      <c r="AA20" s="13"/>
      <c r="AB20" s="13">
        <v>2947069880</v>
      </c>
      <c r="AC20" s="13">
        <v>5011458749</v>
      </c>
      <c r="AD20" s="13"/>
      <c r="AE20" s="13"/>
      <c r="AF20" s="13">
        <v>313859540</v>
      </c>
      <c r="AG20" s="13"/>
      <c r="AH20" s="13">
        <v>2289333</v>
      </c>
      <c r="AI20" s="13"/>
      <c r="AJ20" s="13"/>
      <c r="AK20" s="13"/>
      <c r="AL20" s="13"/>
      <c r="AM20" s="13">
        <v>3601523810</v>
      </c>
      <c r="AN20" s="13"/>
      <c r="AO20" s="13"/>
      <c r="AP20" s="13"/>
      <c r="AQ20" s="13"/>
      <c r="AR20" s="13"/>
      <c r="AS20" s="13">
        <v>237349568</v>
      </c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>
        <v>23344848</v>
      </c>
      <c r="BH20" s="13"/>
      <c r="BI20" s="13">
        <v>63131627</v>
      </c>
      <c r="BJ20" s="13"/>
      <c r="BK20" s="13"/>
      <c r="BL20" s="13"/>
      <c r="BM20" s="13"/>
      <c r="BN20" s="13"/>
      <c r="BO20" s="13"/>
      <c r="BP20" s="31">
        <f t="shared" si="1"/>
        <v>22162173612</v>
      </c>
    </row>
    <row r="21" spans="2:68" ht="39.75" customHeight="1">
      <c r="B21" s="9" t="s">
        <v>72</v>
      </c>
      <c r="C21" s="10">
        <v>2022</v>
      </c>
      <c r="D21" s="10"/>
      <c r="E21" s="9">
        <v>4.0319337419999997</v>
      </c>
      <c r="F21" s="11">
        <v>147862816000</v>
      </c>
      <c r="G21" s="11">
        <v>7393140800</v>
      </c>
      <c r="H21" s="18" t="s">
        <v>71</v>
      </c>
      <c r="I21" s="18"/>
      <c r="J21" s="48">
        <v>7519284055</v>
      </c>
      <c r="K21" s="49">
        <v>67395700</v>
      </c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3">
        <v>2854000000</v>
      </c>
      <c r="W21" s="13"/>
      <c r="X21" s="13"/>
      <c r="Y21" s="13"/>
      <c r="Z21" s="13"/>
      <c r="AA21" s="13"/>
      <c r="AB21" s="13">
        <v>4017092953</v>
      </c>
      <c r="AC21" s="13"/>
      <c r="AD21" s="13"/>
      <c r="AE21" s="13"/>
      <c r="AF21" s="13">
        <v>366124044</v>
      </c>
      <c r="AG21" s="13"/>
      <c r="AH21" s="13">
        <v>2452751</v>
      </c>
      <c r="AI21" s="13"/>
      <c r="AJ21" s="13"/>
      <c r="AK21" s="13"/>
      <c r="AL21" s="13"/>
      <c r="AM21" s="13">
        <v>2700640000</v>
      </c>
      <c r="AN21" s="13"/>
      <c r="AO21" s="13"/>
      <c r="AP21" s="13">
        <v>46982080</v>
      </c>
      <c r="AQ21" s="13">
        <v>92565977</v>
      </c>
      <c r="AR21" s="13">
        <v>115733943</v>
      </c>
      <c r="AS21" s="13">
        <v>29117848</v>
      </c>
      <c r="AT21" s="13">
        <v>57671634</v>
      </c>
      <c r="AU21" s="13">
        <v>1406632</v>
      </c>
      <c r="AV21" s="13">
        <v>162957</v>
      </c>
      <c r="AW21" s="13">
        <v>5331137</v>
      </c>
      <c r="AX21" s="13">
        <v>329737</v>
      </c>
      <c r="AY21" s="13"/>
      <c r="AZ21" s="13"/>
      <c r="BA21" s="13"/>
      <c r="BB21" s="13"/>
      <c r="BC21" s="13"/>
      <c r="BD21" s="13"/>
      <c r="BE21" s="13"/>
      <c r="BF21" s="13"/>
      <c r="BG21" s="13">
        <v>23806442</v>
      </c>
      <c r="BH21" s="13"/>
      <c r="BI21" s="13">
        <v>208157611</v>
      </c>
      <c r="BJ21" s="13"/>
      <c r="BK21" s="13"/>
      <c r="BL21" s="13"/>
      <c r="BM21" s="13"/>
      <c r="BN21" s="13"/>
      <c r="BO21" s="13">
        <v>3051789</v>
      </c>
      <c r="BP21" s="31">
        <f t="shared" si="1"/>
        <v>18111307290</v>
      </c>
    </row>
    <row r="22" spans="2:68" ht="39.75" customHeight="1">
      <c r="B22" s="9" t="s">
        <v>72</v>
      </c>
      <c r="C22" s="10">
        <v>2023</v>
      </c>
      <c r="D22" s="10"/>
      <c r="E22" s="9">
        <v>3.7307999999999999</v>
      </c>
      <c r="F22" s="11">
        <v>141473181133.46954</v>
      </c>
      <c r="G22" s="11">
        <v>7073659453</v>
      </c>
      <c r="H22" s="18" t="s">
        <v>71</v>
      </c>
      <c r="I22" s="18"/>
      <c r="J22" s="51">
        <v>7008278087</v>
      </c>
      <c r="K22" s="52">
        <v>760258440</v>
      </c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3">
        <v>872000000</v>
      </c>
      <c r="W22" s="13"/>
      <c r="X22" s="13"/>
      <c r="Y22" s="13"/>
      <c r="Z22" s="13"/>
      <c r="AA22" s="13"/>
      <c r="AB22" s="13">
        <v>2855678236</v>
      </c>
      <c r="AC22" s="13"/>
      <c r="AD22" s="13">
        <v>2417260000</v>
      </c>
      <c r="AE22" s="13"/>
      <c r="AF22" s="13">
        <v>207284343</v>
      </c>
      <c r="AG22" s="13"/>
      <c r="AH22" s="13">
        <v>5898351</v>
      </c>
      <c r="AI22" s="13"/>
      <c r="AJ22" s="13"/>
      <c r="AK22" s="13"/>
      <c r="AL22" s="13"/>
      <c r="AM22" s="13">
        <v>2492341</v>
      </c>
      <c r="AN22" s="13"/>
      <c r="AO22" s="13"/>
      <c r="AP22" s="13">
        <v>26926197</v>
      </c>
      <c r="AQ22" s="13">
        <v>46802333</v>
      </c>
      <c r="AR22" s="13">
        <v>58501550</v>
      </c>
      <c r="AS22" s="13">
        <v>14114945</v>
      </c>
      <c r="AT22" s="13">
        <v>29242348</v>
      </c>
      <c r="AU22" s="13">
        <v>237106</v>
      </c>
      <c r="AV22" s="13">
        <v>124975</v>
      </c>
      <c r="AW22" s="13">
        <v>3131508</v>
      </c>
      <c r="AX22" s="13">
        <v>306905</v>
      </c>
      <c r="AY22" s="13"/>
      <c r="AZ22" s="13"/>
      <c r="BA22" s="13"/>
      <c r="BB22" s="13"/>
      <c r="BC22" s="13"/>
      <c r="BD22" s="13"/>
      <c r="BE22" s="13"/>
      <c r="BF22" s="13"/>
      <c r="BG22" s="13">
        <v>25200924</v>
      </c>
      <c r="BH22" s="13"/>
      <c r="BI22" s="13">
        <v>246360435</v>
      </c>
      <c r="BJ22" s="13"/>
      <c r="BK22" s="13"/>
      <c r="BL22" s="13"/>
      <c r="BM22" s="13"/>
      <c r="BN22" s="13">
        <v>809852</v>
      </c>
      <c r="BO22" s="13"/>
      <c r="BP22" s="31">
        <f t="shared" si="1"/>
        <v>14580908876</v>
      </c>
    </row>
    <row r="23" spans="2:68" ht="39.75" customHeight="1">
      <c r="B23" s="9" t="s">
        <v>72</v>
      </c>
      <c r="C23" s="10">
        <v>2024</v>
      </c>
      <c r="D23" s="10"/>
      <c r="E23" s="9">
        <v>3.7669999999999999</v>
      </c>
      <c r="F23" s="11">
        <v>174778072792</v>
      </c>
      <c r="G23" s="11">
        <f t="shared" ref="G23:G24" si="2">+F23*0.05</f>
        <v>8738903639.6000004</v>
      </c>
      <c r="H23" s="18" t="s">
        <v>71</v>
      </c>
      <c r="I23" s="18"/>
      <c r="J23" s="56">
        <v>8454646351</v>
      </c>
      <c r="K23" s="13"/>
      <c r="L23" s="12"/>
      <c r="M23" s="12"/>
      <c r="N23" s="12"/>
      <c r="O23" s="12"/>
      <c r="P23" s="12"/>
      <c r="Q23" s="59">
        <v>756332380</v>
      </c>
      <c r="R23" s="12"/>
      <c r="S23" s="12"/>
      <c r="T23" s="12"/>
      <c r="U23" s="12"/>
      <c r="V23" s="13">
        <v>3368856498</v>
      </c>
      <c r="W23" s="13"/>
      <c r="X23" s="13"/>
      <c r="Y23" s="13"/>
      <c r="Z23" s="13"/>
      <c r="AA23" s="13">
        <v>209733459</v>
      </c>
      <c r="AB23" s="13">
        <v>2377240218</v>
      </c>
      <c r="AC23" s="13">
        <v>3000000000</v>
      </c>
      <c r="AD23" s="13">
        <v>10226889219</v>
      </c>
      <c r="AE23" s="13"/>
      <c r="AF23" s="13">
        <v>223062855</v>
      </c>
      <c r="AG23" s="13"/>
      <c r="AH23" s="13">
        <v>1358135</v>
      </c>
      <c r="AI23" s="13"/>
      <c r="AJ23" s="13"/>
      <c r="AK23" s="13"/>
      <c r="AL23" s="13"/>
      <c r="AM23" s="13">
        <v>8299828097</v>
      </c>
      <c r="AN23" s="13"/>
      <c r="AO23" s="13"/>
      <c r="AP23" s="13">
        <v>758414389</v>
      </c>
      <c r="AQ23" s="13">
        <v>63440364</v>
      </c>
      <c r="AR23" s="13">
        <v>79300466</v>
      </c>
      <c r="AS23" s="13">
        <v>292634038</v>
      </c>
      <c r="AT23" s="13">
        <v>39424980</v>
      </c>
      <c r="AU23" s="13">
        <v>11585412</v>
      </c>
      <c r="AV23" s="13">
        <v>7911392</v>
      </c>
      <c r="AW23" s="13">
        <v>79642143</v>
      </c>
      <c r="AX23" s="13">
        <v>7818637552</v>
      </c>
      <c r="AY23" s="13"/>
      <c r="AZ23" s="13">
        <v>433189050</v>
      </c>
      <c r="BA23" s="13"/>
      <c r="BB23" s="13"/>
      <c r="BC23" s="13"/>
      <c r="BD23" s="13"/>
      <c r="BE23" s="13"/>
      <c r="BF23" s="13"/>
      <c r="BG23" s="13">
        <v>22716501</v>
      </c>
      <c r="BH23" s="13"/>
      <c r="BI23" s="13">
        <v>240972402</v>
      </c>
      <c r="BJ23" s="13"/>
      <c r="BK23" s="13"/>
      <c r="BL23" s="13"/>
      <c r="BM23" s="13"/>
      <c r="BN23" s="13"/>
      <c r="BO23" s="13"/>
      <c r="BP23" s="31">
        <f t="shared" si="1"/>
        <v>46765815901</v>
      </c>
    </row>
    <row r="24" spans="2:68" ht="39.75" customHeight="1">
      <c r="B24" s="9" t="s">
        <v>72</v>
      </c>
      <c r="C24" s="10">
        <v>2025</v>
      </c>
      <c r="D24" s="10"/>
      <c r="E24" s="9">
        <v>3.0437676825827999</v>
      </c>
      <c r="F24" s="11">
        <v>190858956408.66034</v>
      </c>
      <c r="G24" s="11">
        <f t="shared" si="2"/>
        <v>9542947820.4330177</v>
      </c>
      <c r="H24" s="18" t="s">
        <v>71</v>
      </c>
      <c r="I24" s="18"/>
      <c r="J24" s="13"/>
      <c r="K24" s="13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31">
        <f t="shared" si="1"/>
        <v>0</v>
      </c>
    </row>
    <row r="25" spans="2:68" ht="39.75" customHeight="1">
      <c r="B25" s="9" t="s">
        <v>80</v>
      </c>
      <c r="C25" s="10">
        <v>2025</v>
      </c>
      <c r="D25" s="10"/>
      <c r="E25" s="9">
        <v>0.73799999999999999</v>
      </c>
      <c r="F25" s="11">
        <v>51642287329.268799</v>
      </c>
      <c r="G25" s="11">
        <f>F25*0.05</f>
        <v>2582114366.4634399</v>
      </c>
      <c r="H25" s="18" t="s">
        <v>71</v>
      </c>
      <c r="I25" s="18"/>
      <c r="J25" s="13"/>
      <c r="K25" s="13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31">
        <f t="shared" si="1"/>
        <v>0</v>
      </c>
    </row>
    <row r="26" spans="2:68" ht="39.75" customHeight="1">
      <c r="E26" s="60">
        <f>SUM(E3:E25)</f>
        <v>142.97527072907297</v>
      </c>
      <c r="F26" s="27">
        <f>SUM(F3:F25)</f>
        <v>4636521306229.2471</v>
      </c>
      <c r="G26" s="27">
        <f>SUM(G3:G25)</f>
        <v>228698356782.51437</v>
      </c>
    </row>
    <row r="29" spans="2:68">
      <c r="F29" s="31">
        <f>+F15-BP15</f>
        <v>220893139990</v>
      </c>
    </row>
  </sheetData>
  <dataValidations count="1">
    <dataValidation type="decimal" operator="notBetween" allowBlank="1" showInputMessage="1" showErrorMessage="1" errorTitle="Nombre" error="Veuillez inscrire un nombre dans cette cellule" promptTitle="Montant du flux de revenus" prompt="Veuillez inscrire le montant total réconcilié du flux de revenus comme reporté par le gouvernement, " sqref="J9:K9 AA9:AB9 AD9 AF9 AH9 AM9 AS9 AZ9 BE9 BG9 BI9 J17:K17 AB17 AF17 AH17 AM17 AS17 AZ17 BG17 BI17" xr:uid="{E448BDAF-A357-4848-AE6C-79ACBF08907A}">
      <formula1>0.1</formula1>
      <formula2>0.2</formula2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ECBB4-E35A-4C65-B629-43895813AC27}">
  <dimension ref="B2:BR29"/>
  <sheetViews>
    <sheetView showOutlineSymbols="0" defaultGridColor="0" workbookViewId="0"/>
  </sheetViews>
  <sheetFormatPr baseColWidth="10" defaultColWidth="10.81640625" defaultRowHeight="21"/>
  <cols>
    <col min="1" max="3" width="10.81640625" style="16"/>
    <col min="4" max="4" width="24.26953125" style="16" customWidth="1"/>
    <col min="5" max="5" width="30.81640625" style="16" customWidth="1"/>
    <col min="6" max="6" width="28.54296875" style="16" customWidth="1"/>
    <col min="7" max="7" width="26.26953125" style="29" bestFit="1" customWidth="1"/>
    <col min="8" max="9" width="23.1796875" style="29" customWidth="1"/>
    <col min="10" max="10" width="20.81640625" style="28" customWidth="1"/>
    <col min="11" max="11" width="18.26953125" style="28" bestFit="1" customWidth="1"/>
    <col min="12" max="12" width="19.453125" style="16" bestFit="1" customWidth="1"/>
    <col min="13" max="13" width="18.26953125" style="16" bestFit="1" customWidth="1"/>
    <col min="14" max="14" width="21" style="16" customWidth="1"/>
    <col min="15" max="15" width="22.1796875" style="16" customWidth="1"/>
    <col min="16" max="16" width="19.54296875" style="16" customWidth="1"/>
    <col min="17" max="17" width="12.81640625" style="16" bestFit="1" customWidth="1"/>
    <col min="18" max="21" width="10.81640625" style="16"/>
    <col min="22" max="22" width="12.81640625" style="16" bestFit="1" customWidth="1"/>
    <col min="23" max="23" width="10.81640625" style="16"/>
    <col min="24" max="24" width="11.453125" style="16" bestFit="1" customWidth="1"/>
    <col min="25" max="25" width="10.81640625" style="16"/>
    <col min="26" max="26" width="12.453125" style="16" bestFit="1" customWidth="1"/>
    <col min="27" max="28" width="16.1796875" style="16" bestFit="1" customWidth="1"/>
    <col min="29" max="29" width="12.7265625" style="16" bestFit="1" customWidth="1"/>
    <col min="30" max="30" width="16.1796875" style="16" bestFit="1" customWidth="1"/>
    <col min="31" max="31" width="13.81640625" style="16" customWidth="1"/>
    <col min="32" max="32" width="14.453125" style="16" bestFit="1" customWidth="1"/>
    <col min="33" max="33" width="14.7265625" style="16" customWidth="1"/>
    <col min="34" max="34" width="17.81640625" style="16" customWidth="1"/>
    <col min="35" max="35" width="11.54296875" style="16" bestFit="1" customWidth="1"/>
    <col min="36" max="38" width="10.81640625" style="16"/>
    <col min="39" max="39" width="12.81640625" style="16" bestFit="1" customWidth="1"/>
    <col min="40" max="40" width="12.81640625" style="16" customWidth="1"/>
    <col min="41" max="41" width="12.453125" style="16" bestFit="1" customWidth="1"/>
    <col min="42" max="42" width="13.54296875" style="16" bestFit="1" customWidth="1"/>
    <col min="43" max="44" width="10.81640625" style="16"/>
    <col min="45" max="45" width="16.1796875" style="16" bestFit="1" customWidth="1"/>
    <col min="46" max="49" width="10.81640625" style="16"/>
    <col min="50" max="50" width="12.453125" style="16" bestFit="1" customWidth="1"/>
    <col min="51" max="51" width="10.81640625" style="16"/>
    <col min="52" max="52" width="14.453125" style="16" bestFit="1" customWidth="1"/>
    <col min="53" max="54" width="10.81640625" style="16"/>
    <col min="55" max="55" width="11.26953125" style="16" bestFit="1" customWidth="1"/>
    <col min="56" max="56" width="11.54296875" style="16" bestFit="1" customWidth="1"/>
    <col min="57" max="57" width="13.1796875" style="16" bestFit="1" customWidth="1"/>
    <col min="58" max="58" width="11.26953125" style="16" bestFit="1" customWidth="1"/>
    <col min="59" max="59" width="13.1796875" style="16" bestFit="1" customWidth="1"/>
    <col min="60" max="60" width="12.453125" style="16" bestFit="1" customWidth="1"/>
    <col min="61" max="61" width="14.453125" style="16" bestFit="1" customWidth="1"/>
    <col min="62" max="65" width="10.81640625" style="16"/>
    <col min="66" max="66" width="13" style="16" bestFit="1" customWidth="1"/>
    <col min="67" max="67" width="43.81640625" style="16" customWidth="1"/>
    <col min="68" max="68" width="21.453125" style="16" bestFit="1" customWidth="1"/>
    <col min="69" max="69" width="13.54296875" style="16" bestFit="1" customWidth="1"/>
    <col min="70" max="70" width="20.1796875" style="16" bestFit="1" customWidth="1"/>
    <col min="71" max="16384" width="10.81640625" style="16"/>
  </cols>
  <sheetData>
    <row r="2" spans="2:70" s="8" customFormat="1" ht="126">
      <c r="B2" s="1" t="s">
        <v>0</v>
      </c>
      <c r="C2" s="1" t="s">
        <v>1</v>
      </c>
      <c r="D2" s="1" t="s">
        <v>73</v>
      </c>
      <c r="E2" s="1" t="s">
        <v>2</v>
      </c>
      <c r="F2" s="1" t="s">
        <v>3</v>
      </c>
      <c r="G2" s="2" t="s">
        <v>6</v>
      </c>
      <c r="H2" s="2" t="s">
        <v>7</v>
      </c>
      <c r="I2" s="32" t="s">
        <v>74</v>
      </c>
      <c r="J2" s="3" t="s">
        <v>8</v>
      </c>
      <c r="K2" s="4" t="s">
        <v>81</v>
      </c>
      <c r="L2" s="3" t="s">
        <v>10</v>
      </c>
      <c r="M2" s="4" t="s">
        <v>11</v>
      </c>
      <c r="N2" s="3" t="s">
        <v>82</v>
      </c>
      <c r="O2" s="5" t="s">
        <v>13</v>
      </c>
      <c r="P2" s="3" t="s">
        <v>14</v>
      </c>
      <c r="Q2" s="4" t="s">
        <v>75</v>
      </c>
      <c r="R2" s="3" t="s">
        <v>16</v>
      </c>
      <c r="S2" s="4" t="s">
        <v>17</v>
      </c>
      <c r="T2" s="3" t="s">
        <v>18</v>
      </c>
      <c r="U2" s="4" t="s">
        <v>19</v>
      </c>
      <c r="V2" s="3" t="s">
        <v>76</v>
      </c>
      <c r="W2" s="4" t="s">
        <v>21</v>
      </c>
      <c r="X2" s="3" t="s">
        <v>22</v>
      </c>
      <c r="Y2" s="4" t="s">
        <v>23</v>
      </c>
      <c r="Z2" s="5" t="s">
        <v>24</v>
      </c>
      <c r="AA2" s="3" t="s">
        <v>25</v>
      </c>
      <c r="AB2" s="4" t="s">
        <v>26</v>
      </c>
      <c r="AC2" s="3" t="s">
        <v>27</v>
      </c>
      <c r="AD2" s="4" t="s">
        <v>77</v>
      </c>
      <c r="AE2" s="3" t="s">
        <v>29</v>
      </c>
      <c r="AF2" s="4" t="s">
        <v>30</v>
      </c>
      <c r="AG2" s="3" t="s">
        <v>31</v>
      </c>
      <c r="AH2" s="4" t="s">
        <v>32</v>
      </c>
      <c r="AI2" s="3" t="s">
        <v>33</v>
      </c>
      <c r="AJ2" s="4" t="s">
        <v>34</v>
      </c>
      <c r="AK2" s="3" t="s">
        <v>35</v>
      </c>
      <c r="AL2" s="4" t="s">
        <v>36</v>
      </c>
      <c r="AM2" s="3" t="s">
        <v>37</v>
      </c>
      <c r="AN2" s="33" t="s">
        <v>38</v>
      </c>
      <c r="AO2" s="5" t="s">
        <v>39</v>
      </c>
      <c r="AP2" s="3" t="s">
        <v>78</v>
      </c>
      <c r="AQ2" s="4" t="s">
        <v>41</v>
      </c>
      <c r="AR2" s="3" t="s">
        <v>42</v>
      </c>
      <c r="AS2" s="4" t="s">
        <v>43</v>
      </c>
      <c r="AT2" s="3" t="s">
        <v>44</v>
      </c>
      <c r="AU2" s="4" t="s">
        <v>45</v>
      </c>
      <c r="AV2" s="3" t="s">
        <v>46</v>
      </c>
      <c r="AW2" s="4" t="s">
        <v>47</v>
      </c>
      <c r="AX2" s="3" t="s">
        <v>48</v>
      </c>
      <c r="AY2" s="5" t="s">
        <v>49</v>
      </c>
      <c r="AZ2" s="4" t="s">
        <v>79</v>
      </c>
      <c r="BA2" s="3" t="s">
        <v>51</v>
      </c>
      <c r="BB2" s="4" t="s">
        <v>52</v>
      </c>
      <c r="BC2" s="5" t="s">
        <v>53</v>
      </c>
      <c r="BD2" s="3" t="s">
        <v>54</v>
      </c>
      <c r="BE2" s="4" t="s">
        <v>55</v>
      </c>
      <c r="BF2" s="5" t="s">
        <v>56</v>
      </c>
      <c r="BG2" s="3" t="s">
        <v>57</v>
      </c>
      <c r="BH2" s="5" t="s">
        <v>58</v>
      </c>
      <c r="BI2" s="4" t="s">
        <v>59</v>
      </c>
      <c r="BJ2" s="5" t="s">
        <v>60</v>
      </c>
      <c r="BK2" s="4" t="s">
        <v>61</v>
      </c>
      <c r="BL2" s="5" t="s">
        <v>62</v>
      </c>
      <c r="BM2" s="4" t="s">
        <v>63</v>
      </c>
      <c r="BN2" s="5" t="s">
        <v>64</v>
      </c>
      <c r="BO2" s="3" t="s">
        <v>65</v>
      </c>
    </row>
    <row r="3" spans="2:70" ht="39.75" customHeight="1">
      <c r="B3" s="9" t="s">
        <v>70</v>
      </c>
      <c r="C3" s="10">
        <v>2012</v>
      </c>
      <c r="D3" s="10"/>
      <c r="E3" s="9">
        <v>6.4676879999999999</v>
      </c>
      <c r="F3" s="11">
        <v>180096958956</v>
      </c>
      <c r="G3" s="11">
        <v>5388707154</v>
      </c>
      <c r="H3" s="11">
        <v>473387141</v>
      </c>
      <c r="I3" s="11"/>
      <c r="J3" s="13"/>
      <c r="K3" s="13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27">
        <f>+SUM(I3:BO3)</f>
        <v>0</v>
      </c>
      <c r="BR3" s="27"/>
    </row>
    <row r="4" spans="2:70" ht="39.75" customHeight="1">
      <c r="B4" s="9" t="s">
        <v>70</v>
      </c>
      <c r="C4" s="10">
        <v>2013</v>
      </c>
      <c r="D4" s="10"/>
      <c r="E4" s="9">
        <v>6.4821</v>
      </c>
      <c r="F4" s="11"/>
      <c r="G4" s="11"/>
      <c r="H4" s="11"/>
      <c r="I4" s="11"/>
      <c r="J4" s="13"/>
      <c r="K4" s="13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27">
        <f t="shared" ref="BP4:BP7" si="0">+SUM(I4:BO4)</f>
        <v>0</v>
      </c>
    </row>
    <row r="5" spans="2:70" ht="39.75" customHeight="1">
      <c r="B5" s="9" t="s">
        <v>70</v>
      </c>
      <c r="C5" s="34">
        <v>2014</v>
      </c>
      <c r="D5" s="10"/>
      <c r="E5" s="9">
        <v>6.6101000000000001</v>
      </c>
      <c r="F5" s="11">
        <v>132595148693</v>
      </c>
      <c r="G5" s="11">
        <v>6603818508</v>
      </c>
      <c r="H5" s="11">
        <v>518778538</v>
      </c>
      <c r="I5" s="35">
        <v>8460648482</v>
      </c>
      <c r="J5" s="13"/>
      <c r="K5" s="13"/>
      <c r="L5" s="12"/>
      <c r="M5" s="12"/>
      <c r="N5" s="12"/>
      <c r="O5" s="35">
        <v>488923000</v>
      </c>
      <c r="P5" s="12"/>
      <c r="Q5" s="12"/>
      <c r="R5" s="12"/>
      <c r="S5" s="12"/>
      <c r="T5" s="12"/>
      <c r="U5" s="12"/>
      <c r="V5" s="12"/>
      <c r="W5" s="12"/>
      <c r="X5" s="12"/>
      <c r="Y5" s="12"/>
      <c r="Z5" s="35">
        <v>834456284</v>
      </c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35">
        <v>426877937</v>
      </c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35">
        <v>46539849</v>
      </c>
      <c r="BD5" s="12"/>
      <c r="BE5" s="12"/>
      <c r="BF5" s="35">
        <v>21757680</v>
      </c>
      <c r="BG5" s="12"/>
      <c r="BH5" s="35">
        <v>117001650</v>
      </c>
      <c r="BI5" s="12"/>
      <c r="BJ5" s="12"/>
      <c r="BK5" s="12"/>
      <c r="BL5" s="12"/>
      <c r="BM5" s="12"/>
      <c r="BN5" s="12"/>
      <c r="BO5" s="12"/>
      <c r="BP5" s="27">
        <f t="shared" si="0"/>
        <v>10396204882</v>
      </c>
    </row>
    <row r="6" spans="2:70" ht="39.75" customHeight="1">
      <c r="B6" s="9" t="s">
        <v>70</v>
      </c>
      <c r="C6" s="10">
        <v>2015</v>
      </c>
      <c r="D6" s="10"/>
      <c r="E6" s="9">
        <v>6.0096999999999996</v>
      </c>
      <c r="F6" s="11">
        <v>132757898080</v>
      </c>
      <c r="G6" s="11">
        <v>6620965441.1617002</v>
      </c>
      <c r="H6" s="11">
        <v>338589256.76600003</v>
      </c>
      <c r="I6" s="11"/>
      <c r="J6" s="13"/>
      <c r="K6" s="13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27">
        <f t="shared" si="0"/>
        <v>0</v>
      </c>
    </row>
    <row r="7" spans="2:70" ht="39.75" customHeight="1">
      <c r="B7" s="9" t="s">
        <v>70</v>
      </c>
      <c r="C7" s="10">
        <v>2016</v>
      </c>
      <c r="D7" s="10"/>
      <c r="E7" s="9">
        <v>6.76970049</v>
      </c>
      <c r="F7" s="11">
        <v>160566448654</v>
      </c>
      <c r="G7" s="11">
        <v>8004572222.1000004</v>
      </c>
      <c r="H7" s="11">
        <v>475004212</v>
      </c>
      <c r="I7" s="11"/>
      <c r="J7" s="13"/>
      <c r="K7" s="13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27">
        <f t="shared" si="0"/>
        <v>0</v>
      </c>
    </row>
    <row r="8" spans="2:70" ht="39.75" customHeight="1">
      <c r="B8" s="9" t="s">
        <v>70</v>
      </c>
      <c r="C8" s="10">
        <v>2017</v>
      </c>
      <c r="D8" s="10"/>
      <c r="E8" s="9">
        <v>7.1873198399999998</v>
      </c>
      <c r="F8" s="11">
        <v>168626111466.75</v>
      </c>
      <c r="G8" s="11">
        <v>8410964582.4034996</v>
      </c>
      <c r="H8" s="11">
        <v>406819818.68000001</v>
      </c>
      <c r="I8" s="11"/>
      <c r="J8" s="36">
        <v>2479808997</v>
      </c>
      <c r="K8" s="37">
        <v>9100000</v>
      </c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36">
        <v>782693</v>
      </c>
      <c r="AB8" s="37">
        <v>2137933345</v>
      </c>
      <c r="AC8" s="12"/>
      <c r="AD8" s="12"/>
      <c r="AE8" s="12"/>
      <c r="AF8" s="37">
        <v>139425849</v>
      </c>
      <c r="AG8" s="12"/>
      <c r="AH8" s="37">
        <v>5783535</v>
      </c>
      <c r="AI8" s="12"/>
      <c r="AJ8" s="12"/>
      <c r="AK8" s="12"/>
      <c r="AL8" s="12"/>
      <c r="AM8" s="36">
        <v>7557669</v>
      </c>
      <c r="AN8" s="12"/>
      <c r="AO8" s="12"/>
      <c r="AP8" s="12"/>
      <c r="AQ8" s="12"/>
      <c r="AR8" s="12"/>
      <c r="AS8" s="36">
        <v>331647642</v>
      </c>
      <c r="AT8" s="12"/>
      <c r="AU8" s="12"/>
      <c r="AV8" s="12"/>
      <c r="AW8" s="12"/>
      <c r="AX8" s="12"/>
      <c r="AY8" s="12"/>
      <c r="AZ8" s="36">
        <v>9736200</v>
      </c>
      <c r="BA8" s="12"/>
      <c r="BB8" s="12"/>
      <c r="BC8" s="12"/>
      <c r="BD8" s="12"/>
      <c r="BE8" s="12"/>
      <c r="BF8" s="12"/>
      <c r="BG8" s="37">
        <v>62695166</v>
      </c>
      <c r="BH8" s="12"/>
      <c r="BI8" s="36">
        <v>448178395</v>
      </c>
      <c r="BJ8" s="12"/>
      <c r="BK8" s="12"/>
      <c r="BL8" s="12"/>
      <c r="BM8" s="12"/>
      <c r="BN8" s="12"/>
      <c r="BO8" s="12"/>
      <c r="BP8" s="31">
        <f t="shared" ref="BP8:BP25" si="1">+SUM(J8:BO8)</f>
        <v>5632649491</v>
      </c>
    </row>
    <row r="9" spans="2:70" ht="39.75" customHeight="1">
      <c r="B9" s="9" t="s">
        <v>70</v>
      </c>
      <c r="C9" s="34">
        <v>2018</v>
      </c>
      <c r="D9" s="10"/>
      <c r="E9" s="9">
        <v>6.968</v>
      </c>
      <c r="F9" s="11">
        <v>173717982000</v>
      </c>
      <c r="G9" s="11">
        <v>8662737321.3855</v>
      </c>
      <c r="H9" s="11">
        <v>463235572.28999996</v>
      </c>
      <c r="I9" s="11"/>
      <c r="J9" s="38">
        <v>8910427032</v>
      </c>
      <c r="K9" s="39">
        <v>362016085.72000003</v>
      </c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38">
        <v>1224083825</v>
      </c>
      <c r="AB9" s="39">
        <v>2076603631</v>
      </c>
      <c r="AC9" s="12"/>
      <c r="AD9" s="38">
        <v>4054035730</v>
      </c>
      <c r="AE9" s="12"/>
      <c r="AF9" s="39">
        <v>357095620</v>
      </c>
      <c r="AG9" s="12"/>
      <c r="AH9" s="38">
        <v>15512539</v>
      </c>
      <c r="AI9" s="12"/>
      <c r="AJ9" s="12"/>
      <c r="AK9" s="12"/>
      <c r="AL9" s="12"/>
      <c r="AM9" s="39">
        <v>64477064</v>
      </c>
      <c r="AN9" s="12"/>
      <c r="AO9" s="12"/>
      <c r="AP9" s="12"/>
      <c r="AQ9" s="12"/>
      <c r="AR9" s="12"/>
      <c r="AS9" s="38">
        <v>1436326081</v>
      </c>
      <c r="AT9" s="12"/>
      <c r="AU9" s="12"/>
      <c r="AV9" s="12"/>
      <c r="AW9" s="12"/>
      <c r="AX9" s="12"/>
      <c r="AY9" s="12"/>
      <c r="AZ9" s="39">
        <v>101670000</v>
      </c>
      <c r="BA9" s="12"/>
      <c r="BB9" s="12"/>
      <c r="BC9" s="12"/>
      <c r="BD9" s="12"/>
      <c r="BE9" s="38">
        <v>88454020</v>
      </c>
      <c r="BF9" s="12"/>
      <c r="BG9" s="39">
        <v>22846320</v>
      </c>
      <c r="BH9" s="12"/>
      <c r="BI9" s="38">
        <v>216583245</v>
      </c>
      <c r="BJ9" s="12"/>
      <c r="BK9" s="12"/>
      <c r="BL9" s="12"/>
      <c r="BM9" s="12"/>
      <c r="BN9" s="12"/>
      <c r="BO9" s="12"/>
      <c r="BP9" s="31">
        <f t="shared" si="1"/>
        <v>18930131192.720001</v>
      </c>
    </row>
    <row r="10" spans="2:70" ht="39.75" customHeight="1">
      <c r="B10" s="9" t="s">
        <v>70</v>
      </c>
      <c r="C10" s="10">
        <v>2019</v>
      </c>
      <c r="D10" s="10"/>
      <c r="E10" s="9">
        <v>6.61</v>
      </c>
      <c r="F10" s="11">
        <v>187153240000</v>
      </c>
      <c r="G10" s="11">
        <v>9328166761.8085003</v>
      </c>
      <c r="H10" s="11">
        <v>589904763.83000004</v>
      </c>
      <c r="I10" s="11"/>
      <c r="J10" s="40">
        <v>9509162069</v>
      </c>
      <c r="K10" s="41">
        <v>322273120</v>
      </c>
      <c r="L10" s="40">
        <v>1000000</v>
      </c>
      <c r="M10" s="42"/>
      <c r="N10" s="12"/>
      <c r="O10" s="12"/>
      <c r="P10" s="12"/>
      <c r="Q10" s="41">
        <v>700210162</v>
      </c>
      <c r="R10" s="12"/>
      <c r="S10" s="12"/>
      <c r="T10" s="12"/>
      <c r="U10" s="12"/>
      <c r="V10" s="12"/>
      <c r="W10" s="12"/>
      <c r="X10" s="12"/>
      <c r="Y10" s="12"/>
      <c r="Z10" s="12"/>
      <c r="AA10" s="40">
        <v>832010864</v>
      </c>
      <c r="AB10" s="41">
        <v>2484239231</v>
      </c>
      <c r="AC10" s="40">
        <v>5000070562</v>
      </c>
      <c r="AD10" s="12"/>
      <c r="AE10" s="40">
        <v>7298587337</v>
      </c>
      <c r="AF10" s="41">
        <v>393361415</v>
      </c>
      <c r="AG10" s="12"/>
      <c r="AH10" s="41">
        <v>19995187</v>
      </c>
      <c r="AI10" s="12"/>
      <c r="AJ10" s="12"/>
      <c r="AK10" s="12"/>
      <c r="AL10" s="12"/>
      <c r="AM10" s="40">
        <v>47637296</v>
      </c>
      <c r="AN10" s="12"/>
      <c r="AO10" s="12"/>
      <c r="AP10" s="40">
        <v>197063568</v>
      </c>
      <c r="AQ10" s="41">
        <v>128405812</v>
      </c>
      <c r="AR10" s="40">
        <v>160501755</v>
      </c>
      <c r="AS10" s="41">
        <v>1073636380</v>
      </c>
      <c r="AT10" s="40">
        <v>80203586</v>
      </c>
      <c r="AU10" s="41">
        <v>60533931</v>
      </c>
      <c r="AV10" s="40">
        <v>4053977</v>
      </c>
      <c r="AW10" s="12"/>
      <c r="AX10" s="41">
        <v>352157</v>
      </c>
      <c r="AY10" s="12"/>
      <c r="AZ10" s="40">
        <v>101670000</v>
      </c>
      <c r="BA10" s="12"/>
      <c r="BB10" s="12"/>
      <c r="BC10" s="12"/>
      <c r="BD10" s="12"/>
      <c r="BE10" s="41">
        <v>176714059</v>
      </c>
      <c r="BF10" s="12"/>
      <c r="BG10" s="40">
        <v>27760320</v>
      </c>
      <c r="BH10" s="12"/>
      <c r="BI10" s="41">
        <v>267853395</v>
      </c>
      <c r="BJ10" s="12"/>
      <c r="BK10" s="12"/>
      <c r="BL10" s="12"/>
      <c r="BM10" s="12"/>
      <c r="BN10" s="12"/>
      <c r="BO10" s="40">
        <v>88369155</v>
      </c>
      <c r="BP10" s="31">
        <f t="shared" si="1"/>
        <v>28975665338</v>
      </c>
    </row>
    <row r="11" spans="2:70" ht="39.75" customHeight="1">
      <c r="B11" s="9" t="s">
        <v>70</v>
      </c>
      <c r="C11" s="10">
        <v>2020</v>
      </c>
      <c r="D11" s="10"/>
      <c r="E11" s="9">
        <v>7.04</v>
      </c>
      <c r="F11" s="11">
        <v>231645211062.66</v>
      </c>
      <c r="G11" s="11">
        <v>11517025517</v>
      </c>
      <c r="H11" s="11">
        <v>1304700722.6600001</v>
      </c>
      <c r="I11" s="11"/>
      <c r="J11" s="43">
        <v>9540850131</v>
      </c>
      <c r="K11" s="44">
        <v>186233247</v>
      </c>
      <c r="L11" s="12"/>
      <c r="M11" s="42"/>
      <c r="N11" s="12"/>
      <c r="O11" s="12"/>
      <c r="P11" s="12"/>
      <c r="Q11" s="44">
        <v>700212162</v>
      </c>
      <c r="R11" s="12"/>
      <c r="S11" s="12"/>
      <c r="T11" s="12"/>
      <c r="U11" s="12"/>
      <c r="V11" s="12"/>
      <c r="W11" s="12"/>
      <c r="X11" s="40">
        <v>8943645000</v>
      </c>
      <c r="Y11" s="12"/>
      <c r="Z11" s="12"/>
      <c r="AA11" s="40">
        <v>246192713</v>
      </c>
      <c r="AB11" s="41">
        <v>3409680254</v>
      </c>
      <c r="AC11" s="40">
        <v>50000000</v>
      </c>
      <c r="AD11" s="41">
        <v>9388018145</v>
      </c>
      <c r="AE11" s="12"/>
      <c r="AF11" s="41">
        <v>387349761</v>
      </c>
      <c r="AG11" s="12"/>
      <c r="AH11" s="44">
        <v>30370439</v>
      </c>
      <c r="AI11" s="12"/>
      <c r="AJ11" s="12"/>
      <c r="AK11" s="12"/>
      <c r="AL11" s="12"/>
      <c r="AM11" s="43">
        <v>96697263</v>
      </c>
      <c r="AN11" s="40">
        <v>342009500</v>
      </c>
      <c r="AO11" s="12"/>
      <c r="AP11" s="12"/>
      <c r="AQ11" s="12"/>
      <c r="AR11" s="12"/>
      <c r="AS11" s="41">
        <v>1027439597</v>
      </c>
      <c r="AT11" s="12"/>
      <c r="AU11" s="12"/>
      <c r="AV11" s="12"/>
      <c r="AW11" s="12"/>
      <c r="AX11" s="12"/>
      <c r="AY11" s="12"/>
      <c r="AZ11" s="40">
        <v>101670000</v>
      </c>
      <c r="BA11" s="12"/>
      <c r="BB11" s="12"/>
      <c r="BC11" s="12"/>
      <c r="BD11" s="12"/>
      <c r="BE11" s="41">
        <v>91247209</v>
      </c>
      <c r="BF11" s="12"/>
      <c r="BG11" s="40">
        <v>36915282</v>
      </c>
      <c r="BH11" s="12"/>
      <c r="BI11" s="41">
        <v>349602388</v>
      </c>
      <c r="BJ11" s="12"/>
      <c r="BK11" s="12"/>
      <c r="BL11" s="12"/>
      <c r="BM11" s="12"/>
      <c r="BN11" s="12"/>
      <c r="BO11" s="40">
        <v>13981000</v>
      </c>
      <c r="BP11" s="31">
        <f t="shared" si="1"/>
        <v>34942114091</v>
      </c>
    </row>
    <row r="12" spans="2:70" ht="39.75" customHeight="1">
      <c r="B12" s="9" t="s">
        <v>70</v>
      </c>
      <c r="C12" s="10">
        <v>2021</v>
      </c>
      <c r="D12" s="10"/>
      <c r="E12" s="9">
        <v>12.16</v>
      </c>
      <c r="F12" s="11">
        <v>390739103000</v>
      </c>
      <c r="G12" s="11">
        <v>19491926231.734631</v>
      </c>
      <c r="H12" s="11">
        <v>900578365</v>
      </c>
      <c r="I12" s="11"/>
      <c r="J12" s="45">
        <v>18095052888</v>
      </c>
      <c r="K12" s="46">
        <v>381674925</v>
      </c>
      <c r="L12" s="45">
        <v>2000000</v>
      </c>
      <c r="M12" s="42"/>
      <c r="N12" s="47">
        <v>99930000</v>
      </c>
      <c r="O12" s="12"/>
      <c r="P12" s="12"/>
      <c r="Q12" s="46">
        <v>700210162</v>
      </c>
      <c r="R12" s="12"/>
      <c r="S12" s="12"/>
      <c r="T12" s="12"/>
      <c r="U12" s="12"/>
      <c r="V12" s="45">
        <v>930240585</v>
      </c>
      <c r="W12" s="12"/>
      <c r="X12" s="12"/>
      <c r="Y12" s="12"/>
      <c r="Z12" s="12"/>
      <c r="AA12" s="47">
        <v>101736910</v>
      </c>
      <c r="AB12" s="61">
        <v>5623462277</v>
      </c>
      <c r="AC12" s="12"/>
      <c r="AD12" s="61">
        <v>10470001250</v>
      </c>
      <c r="AE12" s="12"/>
      <c r="AF12" s="61">
        <v>739979589</v>
      </c>
      <c r="AG12" s="12"/>
      <c r="AH12" s="46">
        <v>184824593</v>
      </c>
      <c r="AI12" s="12"/>
      <c r="AJ12" s="12"/>
      <c r="AK12" s="12"/>
      <c r="AL12" s="12"/>
      <c r="AM12" s="45">
        <v>1074843449</v>
      </c>
      <c r="AN12" s="45"/>
      <c r="AO12" s="12"/>
      <c r="AP12" s="12"/>
      <c r="AQ12" s="12"/>
      <c r="AR12" s="62"/>
      <c r="AS12" s="46">
        <v>601569229</v>
      </c>
      <c r="AT12" s="42"/>
      <c r="AU12" s="12"/>
      <c r="AV12" s="12"/>
      <c r="AW12" s="12"/>
      <c r="AX12" s="12"/>
      <c r="AY12" s="12"/>
      <c r="AZ12" s="47">
        <v>102506250</v>
      </c>
      <c r="BA12" s="12"/>
      <c r="BB12" s="12"/>
      <c r="BC12" s="12"/>
      <c r="BD12" s="12"/>
      <c r="BE12" s="47">
        <v>244113282</v>
      </c>
      <c r="BF12" s="12"/>
      <c r="BG12" s="61">
        <v>91733040</v>
      </c>
      <c r="BH12" s="12"/>
      <c r="BI12" s="47">
        <v>739969819</v>
      </c>
      <c r="BJ12" s="12"/>
      <c r="BK12" s="12"/>
      <c r="BL12" s="12"/>
      <c r="BM12" s="12"/>
      <c r="BN12" s="61"/>
      <c r="BO12" s="61">
        <v>12875000</v>
      </c>
      <c r="BP12" s="31">
        <f t="shared" si="1"/>
        <v>40196723248</v>
      </c>
      <c r="BR12" s="31"/>
    </row>
    <row r="13" spans="2:70" ht="39.75" customHeight="1">
      <c r="B13" s="9" t="s">
        <v>70</v>
      </c>
      <c r="C13" s="10">
        <v>2022</v>
      </c>
      <c r="D13" s="10"/>
      <c r="E13" s="9">
        <v>10.89</v>
      </c>
      <c r="F13" s="11">
        <v>392586705000</v>
      </c>
      <c r="G13" s="11">
        <v>19583213628.882149</v>
      </c>
      <c r="H13" s="11">
        <v>922432422</v>
      </c>
      <c r="I13" s="11"/>
      <c r="J13" s="48">
        <v>19563971740</v>
      </c>
      <c r="K13" s="49">
        <v>344657753</v>
      </c>
      <c r="L13" s="12"/>
      <c r="M13" s="42"/>
      <c r="N13" s="50">
        <v>81430000</v>
      </c>
      <c r="O13" s="12"/>
      <c r="P13" s="12"/>
      <c r="Q13" s="49">
        <v>700210162</v>
      </c>
      <c r="R13" s="12"/>
      <c r="S13" s="12"/>
      <c r="T13" s="12"/>
      <c r="U13" s="12"/>
      <c r="V13" s="48">
        <v>13745906089</v>
      </c>
      <c r="W13" s="12"/>
      <c r="X13" s="12"/>
      <c r="Y13" s="12"/>
      <c r="Z13" s="12"/>
      <c r="AA13" s="50">
        <v>1159716473</v>
      </c>
      <c r="AB13" s="63">
        <v>5214687204</v>
      </c>
      <c r="AC13" s="50">
        <v>300000</v>
      </c>
      <c r="AD13" s="63">
        <v>10209148561</v>
      </c>
      <c r="AE13" s="12"/>
      <c r="AF13" s="63">
        <v>1272817806</v>
      </c>
      <c r="AG13" s="12"/>
      <c r="AH13" s="49">
        <v>23197229</v>
      </c>
      <c r="AI13" s="12"/>
      <c r="AJ13" s="12"/>
      <c r="AK13" s="12"/>
      <c r="AL13" s="12"/>
      <c r="AM13" s="48">
        <v>19512723643</v>
      </c>
      <c r="AN13" s="48"/>
      <c r="AO13" s="12"/>
      <c r="AP13" s="50">
        <v>5060698358</v>
      </c>
      <c r="AQ13" s="63">
        <v>82821682</v>
      </c>
      <c r="AR13" s="50">
        <v>103417232</v>
      </c>
      <c r="AS13" s="49">
        <v>432572906</v>
      </c>
      <c r="AT13" s="50">
        <v>51435059</v>
      </c>
      <c r="AU13" s="63">
        <v>33147645</v>
      </c>
      <c r="AV13" s="50">
        <v>28354930</v>
      </c>
      <c r="AW13" s="63">
        <v>197604113</v>
      </c>
      <c r="AX13" s="50">
        <v>71300044</v>
      </c>
      <c r="AY13" s="12"/>
      <c r="AZ13" s="63">
        <v>102506250</v>
      </c>
      <c r="BA13" s="12"/>
      <c r="BB13" s="12"/>
      <c r="BC13" s="12"/>
      <c r="BD13" s="50">
        <v>2539000</v>
      </c>
      <c r="BE13" s="63">
        <v>273526547</v>
      </c>
      <c r="BF13" s="12"/>
      <c r="BG13" s="50">
        <v>92413440</v>
      </c>
      <c r="BH13" s="12"/>
      <c r="BI13" s="63">
        <v>824145628</v>
      </c>
      <c r="BJ13" s="12"/>
      <c r="BK13" s="12"/>
      <c r="BL13" s="12"/>
      <c r="BM13" s="12"/>
      <c r="BN13" s="12"/>
      <c r="BO13" s="50">
        <v>177051978</v>
      </c>
      <c r="BP13" s="31">
        <f t="shared" si="1"/>
        <v>79362301472</v>
      </c>
    </row>
    <row r="14" spans="2:70" ht="39.75" customHeight="1">
      <c r="B14" s="9" t="s">
        <v>70</v>
      </c>
      <c r="C14" s="10">
        <v>2023</v>
      </c>
      <c r="D14" s="10"/>
      <c r="E14" s="9">
        <v>9.14</v>
      </c>
      <c r="F14" s="11">
        <v>350506489000</v>
      </c>
      <c r="G14" s="11">
        <v>17483287112.941906</v>
      </c>
      <c r="H14" s="11">
        <v>840746741</v>
      </c>
      <c r="I14" s="11"/>
      <c r="J14" s="51">
        <v>17983379589</v>
      </c>
      <c r="K14" s="52">
        <v>394603655.20999998</v>
      </c>
      <c r="L14" s="51">
        <v>2000000</v>
      </c>
      <c r="M14" s="53"/>
      <c r="N14" s="54">
        <v>339510000</v>
      </c>
      <c r="O14" s="12"/>
      <c r="P14" s="12"/>
      <c r="Q14" s="52">
        <v>700210162</v>
      </c>
      <c r="R14" s="12"/>
      <c r="S14" s="12"/>
      <c r="T14" s="12"/>
      <c r="U14" s="12"/>
      <c r="V14" s="51">
        <v>3780409704</v>
      </c>
      <c r="W14" s="12"/>
      <c r="X14" s="12"/>
      <c r="Y14" s="12"/>
      <c r="Z14" s="12"/>
      <c r="AA14" s="54">
        <v>3552753938</v>
      </c>
      <c r="AB14" s="64">
        <v>6547939856</v>
      </c>
      <c r="AC14" s="54">
        <v>14165870891</v>
      </c>
      <c r="AD14" s="64">
        <v>56031664385</v>
      </c>
      <c r="AE14" s="12"/>
      <c r="AF14" s="64">
        <v>2416973413</v>
      </c>
      <c r="AG14" s="12"/>
      <c r="AH14" s="52">
        <v>355809766</v>
      </c>
      <c r="AI14" s="12"/>
      <c r="AJ14" s="12"/>
      <c r="AK14" s="12"/>
      <c r="AL14" s="12"/>
      <c r="AM14" s="51">
        <v>598684575</v>
      </c>
      <c r="AN14" s="51"/>
      <c r="AO14" s="12"/>
      <c r="AP14" s="12"/>
      <c r="AQ14" s="12"/>
      <c r="AR14" s="62"/>
      <c r="AS14" s="52">
        <v>14790586394</v>
      </c>
      <c r="AT14" s="42"/>
      <c r="AU14" s="12"/>
      <c r="AV14" s="12"/>
      <c r="AW14" s="12"/>
      <c r="AX14" s="54">
        <v>1356080521</v>
      </c>
      <c r="AY14" s="12"/>
      <c r="AZ14" s="64">
        <v>1200349100</v>
      </c>
      <c r="BA14" s="12"/>
      <c r="BB14" s="12"/>
      <c r="BC14" s="12"/>
      <c r="BD14" s="12"/>
      <c r="BE14" s="64">
        <v>278981251</v>
      </c>
      <c r="BF14" s="12"/>
      <c r="BG14" s="54">
        <v>101160360</v>
      </c>
      <c r="BH14" s="12"/>
      <c r="BI14" s="64">
        <v>982516892</v>
      </c>
      <c r="BJ14" s="12"/>
      <c r="BK14" s="12"/>
      <c r="BL14" s="12"/>
      <c r="BM14" s="12"/>
      <c r="BN14" s="65">
        <v>20996063</v>
      </c>
      <c r="BO14" s="12"/>
      <c r="BP14" s="31">
        <f t="shared" si="1"/>
        <v>125600480515.20999</v>
      </c>
    </row>
    <row r="15" spans="2:70" ht="39.75" customHeight="1">
      <c r="B15" s="9" t="s">
        <v>70</v>
      </c>
      <c r="C15" s="10">
        <v>2024</v>
      </c>
      <c r="D15" s="10"/>
      <c r="E15" s="9">
        <v>7.25</v>
      </c>
      <c r="F15" s="11">
        <v>340686627000</v>
      </c>
      <c r="G15" s="11">
        <f>F15*0.05</f>
        <v>17034331350</v>
      </c>
      <c r="H15" s="18" t="s">
        <v>71</v>
      </c>
      <c r="I15" s="18"/>
      <c r="J15" s="55">
        <v>12982245458</v>
      </c>
      <c r="K15" s="13">
        <v>0</v>
      </c>
      <c r="L15" s="55">
        <v>10000000</v>
      </c>
      <c r="M15" s="12"/>
      <c r="N15" s="56">
        <v>165308750</v>
      </c>
      <c r="O15" s="12"/>
      <c r="P15" s="12"/>
      <c r="Q15" s="55">
        <v>5156057429</v>
      </c>
      <c r="R15" s="12"/>
      <c r="S15" s="12"/>
      <c r="T15" s="12"/>
      <c r="U15" s="12"/>
      <c r="V15" s="56">
        <v>8550085532</v>
      </c>
      <c r="W15" s="12"/>
      <c r="X15" s="12"/>
      <c r="Y15" s="12"/>
      <c r="Z15" s="12"/>
      <c r="AA15" s="55">
        <v>2961595410</v>
      </c>
      <c r="AB15" s="59">
        <v>7765358367</v>
      </c>
      <c r="AC15" s="12"/>
      <c r="AD15" s="56">
        <v>37354442924</v>
      </c>
      <c r="AE15" s="55">
        <v>8753036627</v>
      </c>
      <c r="AF15" s="56">
        <v>2798450495</v>
      </c>
      <c r="AG15" s="12"/>
      <c r="AH15" s="55">
        <v>17817365</v>
      </c>
      <c r="AI15" s="56">
        <v>189710162</v>
      </c>
      <c r="AJ15" s="12"/>
      <c r="AK15" s="12"/>
      <c r="AL15" s="12"/>
      <c r="AM15" s="55">
        <v>9719760854</v>
      </c>
      <c r="AN15" s="55"/>
      <c r="AO15" s="12"/>
      <c r="AP15" s="56">
        <v>12479862303</v>
      </c>
      <c r="AQ15" s="55">
        <v>47512057</v>
      </c>
      <c r="AR15" s="56">
        <v>59390072</v>
      </c>
      <c r="AS15" s="55">
        <v>360813765</v>
      </c>
      <c r="AT15" s="56">
        <v>29695037</v>
      </c>
      <c r="AU15" s="55">
        <v>51467044</v>
      </c>
      <c r="AV15" s="56">
        <v>39601445</v>
      </c>
      <c r="AW15" s="55">
        <v>118255043</v>
      </c>
      <c r="AX15" s="56">
        <v>8101133842</v>
      </c>
      <c r="AY15" s="12"/>
      <c r="AZ15" s="55">
        <v>645548107</v>
      </c>
      <c r="BA15" s="12"/>
      <c r="BB15" s="56">
        <v>272585030</v>
      </c>
      <c r="BC15" s="12"/>
      <c r="BD15" s="55"/>
      <c r="BE15" s="12"/>
      <c r="BF15" s="12"/>
      <c r="BG15" s="55">
        <v>109702542</v>
      </c>
      <c r="BH15" s="12"/>
      <c r="BI15" s="56">
        <v>1054051350</v>
      </c>
      <c r="BJ15" s="12"/>
      <c r="BK15" s="12"/>
      <c r="BL15" s="12"/>
      <c r="BM15" s="12"/>
      <c r="BN15" s="12"/>
      <c r="BO15" s="12"/>
      <c r="BP15" s="31">
        <f t="shared" si="1"/>
        <v>119793487010</v>
      </c>
    </row>
    <row r="16" spans="2:70" ht="39.75" customHeight="1">
      <c r="B16" s="9" t="s">
        <v>70</v>
      </c>
      <c r="C16" s="10">
        <v>2025</v>
      </c>
      <c r="D16" s="10"/>
      <c r="E16" s="9">
        <v>8.5289609744902002</v>
      </c>
      <c r="F16" s="11">
        <v>556090522892</v>
      </c>
      <c r="G16" s="11">
        <f>F16*0.05</f>
        <v>27804526144.600002</v>
      </c>
      <c r="H16" s="18" t="s">
        <v>71</v>
      </c>
      <c r="I16" s="18"/>
      <c r="J16" s="13"/>
      <c r="K16" s="13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31">
        <f t="shared" si="1"/>
        <v>0</v>
      </c>
    </row>
    <row r="17" spans="2:68" ht="39.75" customHeight="1">
      <c r="B17" s="9" t="s">
        <v>72</v>
      </c>
      <c r="C17" s="34">
        <v>2018</v>
      </c>
      <c r="D17" s="10"/>
      <c r="E17" s="9">
        <v>4.452</v>
      </c>
      <c r="F17" s="11">
        <v>100183726000</v>
      </c>
      <c r="G17" s="11">
        <v>5008589699</v>
      </c>
      <c r="H17" s="19">
        <f>F17-G17/0.05</f>
        <v>11932020</v>
      </c>
      <c r="I17" s="57"/>
      <c r="J17" s="38">
        <v>3248958243</v>
      </c>
      <c r="K17" s="39">
        <v>99386000</v>
      </c>
      <c r="L17" s="13"/>
      <c r="M17" s="13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38">
        <v>1017412247</v>
      </c>
      <c r="AC17" s="12"/>
      <c r="AD17" s="12"/>
      <c r="AE17" s="12"/>
      <c r="AF17" s="39">
        <v>362594359</v>
      </c>
      <c r="AG17" s="12"/>
      <c r="AH17" s="38">
        <v>9074720</v>
      </c>
      <c r="AI17" s="12"/>
      <c r="AJ17" s="12"/>
      <c r="AK17" s="12"/>
      <c r="AL17" s="12"/>
      <c r="AM17" s="39">
        <v>44148316</v>
      </c>
      <c r="AN17" s="12"/>
      <c r="AO17" s="12"/>
      <c r="AP17" s="12"/>
      <c r="AQ17" s="12"/>
      <c r="AR17" s="12"/>
      <c r="AS17" s="38">
        <v>225016261</v>
      </c>
      <c r="AT17" s="12"/>
      <c r="AU17" s="12"/>
      <c r="AV17" s="12"/>
      <c r="AW17" s="12"/>
      <c r="AX17" s="12"/>
      <c r="AY17" s="12"/>
      <c r="AZ17" s="39">
        <v>123768300</v>
      </c>
      <c r="BA17" s="12"/>
      <c r="BB17" s="12"/>
      <c r="BC17" s="12"/>
      <c r="BD17" s="12"/>
      <c r="BE17" s="12"/>
      <c r="BF17" s="12"/>
      <c r="BG17" s="38">
        <v>24151176</v>
      </c>
      <c r="BH17" s="12"/>
      <c r="BI17" s="39">
        <v>202387738</v>
      </c>
      <c r="BJ17" s="12"/>
      <c r="BK17" s="12"/>
      <c r="BL17" s="12"/>
      <c r="BM17" s="12"/>
      <c r="BN17" s="12"/>
      <c r="BO17" s="12"/>
      <c r="BP17" s="31">
        <f t="shared" si="1"/>
        <v>5356897360</v>
      </c>
    </row>
    <row r="18" spans="2:68" ht="39.75" customHeight="1">
      <c r="B18" s="9" t="s">
        <v>72</v>
      </c>
      <c r="C18" s="10">
        <v>2019</v>
      </c>
      <c r="D18" s="10"/>
      <c r="E18" s="9">
        <v>5.7919</v>
      </c>
      <c r="F18" s="11">
        <v>151790543701.83826</v>
      </c>
      <c r="G18" s="11">
        <v>7576735998</v>
      </c>
      <c r="H18" s="11">
        <v>255823739.503295</v>
      </c>
      <c r="I18" s="11"/>
      <c r="J18" s="40">
        <v>7491544126</v>
      </c>
      <c r="K18" s="41">
        <v>113941440</v>
      </c>
      <c r="L18" s="13"/>
      <c r="M18" s="13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41">
        <v>3891381765</v>
      </c>
      <c r="AC18" s="12"/>
      <c r="AD18" s="12"/>
      <c r="AE18" s="41"/>
      <c r="AF18" s="41">
        <v>682759738</v>
      </c>
      <c r="AG18" s="12"/>
      <c r="AH18" s="41">
        <v>5797753</v>
      </c>
      <c r="AI18" s="12"/>
      <c r="AJ18" s="12"/>
      <c r="AK18" s="12"/>
      <c r="AL18" s="12"/>
      <c r="AM18" s="40">
        <v>39774221</v>
      </c>
      <c r="AN18" s="12"/>
      <c r="AO18" s="12"/>
      <c r="AP18" s="40">
        <v>5811395</v>
      </c>
      <c r="AQ18" s="41">
        <v>90404467</v>
      </c>
      <c r="AR18" s="40">
        <v>112863713</v>
      </c>
      <c r="AS18" s="41">
        <v>3788630</v>
      </c>
      <c r="AT18" s="40">
        <v>56408654</v>
      </c>
      <c r="AU18" s="41">
        <v>573846</v>
      </c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40">
        <v>22099694</v>
      </c>
      <c r="BH18" s="12"/>
      <c r="BI18" s="41">
        <v>171008028</v>
      </c>
      <c r="BJ18" s="12"/>
      <c r="BK18" s="12"/>
      <c r="BL18" s="12"/>
      <c r="BM18" s="12"/>
      <c r="BN18" s="12"/>
      <c r="BO18" s="40">
        <v>96210</v>
      </c>
      <c r="BP18" s="31">
        <f t="shared" si="1"/>
        <v>12688253680</v>
      </c>
    </row>
    <row r="19" spans="2:68" ht="39.75" customHeight="1">
      <c r="B19" s="9" t="s">
        <v>72</v>
      </c>
      <c r="C19" s="10">
        <v>2020</v>
      </c>
      <c r="D19" s="10"/>
      <c r="E19" s="9">
        <v>5.3128000000000002</v>
      </c>
      <c r="F19" s="11">
        <v>156789785059.60001</v>
      </c>
      <c r="G19" s="11">
        <v>8679348430</v>
      </c>
      <c r="H19" s="11">
        <v>488750421.1055975</v>
      </c>
      <c r="I19" s="11"/>
      <c r="J19" s="40">
        <v>8306948342</v>
      </c>
      <c r="K19" s="41">
        <v>137579025</v>
      </c>
      <c r="L19" s="13"/>
      <c r="M19" s="13"/>
      <c r="N19" s="12"/>
      <c r="O19" s="12"/>
      <c r="P19" s="12"/>
      <c r="Q19" s="12"/>
      <c r="R19" s="12"/>
      <c r="S19" s="12"/>
      <c r="T19" s="12"/>
      <c r="U19" s="12"/>
      <c r="V19" s="40">
        <v>3780000000</v>
      </c>
      <c r="W19" s="12"/>
      <c r="X19" s="12"/>
      <c r="Y19" s="12"/>
      <c r="Z19" s="12"/>
      <c r="AA19" s="12"/>
      <c r="AB19" s="41">
        <v>3169904533</v>
      </c>
      <c r="AC19" s="12"/>
      <c r="AD19" s="12"/>
      <c r="AE19" s="12"/>
      <c r="AF19" s="41">
        <v>683472246</v>
      </c>
      <c r="AG19" s="12"/>
      <c r="AH19" s="41">
        <v>6996835</v>
      </c>
      <c r="AI19" s="12"/>
      <c r="AJ19" s="12"/>
      <c r="AK19" s="12"/>
      <c r="AL19" s="12"/>
      <c r="AM19" s="40">
        <v>5250761904</v>
      </c>
      <c r="AN19" s="12"/>
      <c r="AO19" s="12"/>
      <c r="AP19" s="12"/>
      <c r="AQ19" s="12"/>
      <c r="AR19" s="12"/>
      <c r="AS19" s="12"/>
      <c r="AT19" s="41">
        <v>304667880</v>
      </c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40">
        <v>22819482</v>
      </c>
      <c r="BH19" s="12"/>
      <c r="BI19" s="41">
        <v>59159110</v>
      </c>
      <c r="BJ19" s="12"/>
      <c r="BK19" s="12"/>
      <c r="BL19" s="12"/>
      <c r="BM19" s="12"/>
      <c r="BN19" s="12"/>
      <c r="BO19" s="12"/>
      <c r="BP19" s="31">
        <f t="shared" si="1"/>
        <v>21722309357</v>
      </c>
    </row>
    <row r="20" spans="2:68" ht="39.75" customHeight="1">
      <c r="B20" s="9" t="s">
        <v>72</v>
      </c>
      <c r="C20" s="10">
        <v>2021</v>
      </c>
      <c r="D20" s="10"/>
      <c r="E20" s="9">
        <v>3.9935</v>
      </c>
      <c r="F20" s="11">
        <v>123373492000</v>
      </c>
      <c r="G20" s="11">
        <v>6168674600</v>
      </c>
      <c r="H20" s="18" t="s">
        <v>71</v>
      </c>
      <c r="I20" s="18"/>
      <c r="J20" s="45">
        <v>6906222357</v>
      </c>
      <c r="K20" s="46">
        <v>166923900</v>
      </c>
      <c r="L20" s="58"/>
      <c r="M20" s="58"/>
      <c r="N20" s="12"/>
      <c r="O20" s="12"/>
      <c r="P20" s="12"/>
      <c r="Q20" s="12"/>
      <c r="R20" s="12"/>
      <c r="S20" s="12"/>
      <c r="T20" s="12"/>
      <c r="U20" s="12"/>
      <c r="V20" s="45">
        <v>2889000000</v>
      </c>
      <c r="W20" s="12"/>
      <c r="X20" s="12"/>
      <c r="Y20" s="12"/>
      <c r="Z20" s="12"/>
      <c r="AA20" s="12"/>
      <c r="AB20" s="46">
        <v>2947069880</v>
      </c>
      <c r="AC20" s="45">
        <v>5011458749</v>
      </c>
      <c r="AD20" s="12"/>
      <c r="AE20" s="12"/>
      <c r="AF20" s="46">
        <v>313859540</v>
      </c>
      <c r="AG20" s="12"/>
      <c r="AH20" s="46">
        <v>2289333</v>
      </c>
      <c r="AI20" s="12"/>
      <c r="AJ20" s="12"/>
      <c r="AK20" s="12"/>
      <c r="AL20" s="12"/>
      <c r="AM20" s="45">
        <v>3601523810</v>
      </c>
      <c r="AN20" s="45"/>
      <c r="AO20" s="12"/>
      <c r="AP20" s="12"/>
      <c r="AQ20" s="12"/>
      <c r="AR20" s="62"/>
      <c r="AS20" s="46">
        <v>237349568</v>
      </c>
      <c r="AT20" s="4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47">
        <v>23344848</v>
      </c>
      <c r="BH20" s="12"/>
      <c r="BI20" s="46">
        <v>63131627</v>
      </c>
      <c r="BJ20" s="12"/>
      <c r="BK20" s="12"/>
      <c r="BL20" s="12"/>
      <c r="BM20" s="12"/>
      <c r="BN20" s="12"/>
      <c r="BO20" s="12"/>
      <c r="BP20" s="31">
        <f t="shared" si="1"/>
        <v>22162173612</v>
      </c>
    </row>
    <row r="21" spans="2:68" ht="39.75" customHeight="1">
      <c r="B21" s="9" t="s">
        <v>72</v>
      </c>
      <c r="C21" s="10">
        <v>2022</v>
      </c>
      <c r="D21" s="10"/>
      <c r="E21" s="9">
        <v>4.0319337419999997</v>
      </c>
      <c r="F21" s="11">
        <v>147862816000</v>
      </c>
      <c r="G21" s="11">
        <v>7393140800</v>
      </c>
      <c r="H21" s="18" t="s">
        <v>71</v>
      </c>
      <c r="I21" s="18"/>
      <c r="J21" s="48">
        <v>7519284055</v>
      </c>
      <c r="K21" s="49">
        <v>67395700</v>
      </c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48">
        <v>2854000000</v>
      </c>
      <c r="W21" s="12"/>
      <c r="X21" s="12"/>
      <c r="Y21" s="12"/>
      <c r="Z21" s="12"/>
      <c r="AA21" s="12"/>
      <c r="AB21" s="49">
        <v>4017092953</v>
      </c>
      <c r="AC21" s="49"/>
      <c r="AD21" s="12"/>
      <c r="AE21" s="12"/>
      <c r="AF21" s="49">
        <v>366124044</v>
      </c>
      <c r="AG21" s="12"/>
      <c r="AH21" s="49">
        <v>2452751</v>
      </c>
      <c r="AI21" s="12"/>
      <c r="AJ21" s="12"/>
      <c r="AK21" s="12"/>
      <c r="AL21" s="12"/>
      <c r="AM21" s="48">
        <v>2700640000</v>
      </c>
      <c r="AN21" s="48"/>
      <c r="AO21" s="12"/>
      <c r="AP21" s="50">
        <v>46982080</v>
      </c>
      <c r="AQ21" s="63">
        <v>92565977</v>
      </c>
      <c r="AR21" s="50">
        <v>115733943</v>
      </c>
      <c r="AS21" s="49">
        <v>29117848</v>
      </c>
      <c r="AT21" s="48">
        <v>57671634</v>
      </c>
      <c r="AU21" s="49">
        <v>1406632</v>
      </c>
      <c r="AV21" s="48">
        <v>162957</v>
      </c>
      <c r="AW21" s="49">
        <v>5331137</v>
      </c>
      <c r="AX21" s="48">
        <v>329737</v>
      </c>
      <c r="AY21" s="12"/>
      <c r="AZ21" s="12"/>
      <c r="BA21" s="12"/>
      <c r="BB21" s="12"/>
      <c r="BC21" s="12"/>
      <c r="BD21" s="12"/>
      <c r="BE21" s="12"/>
      <c r="BF21" s="12"/>
      <c r="BG21" s="50">
        <v>23806442</v>
      </c>
      <c r="BH21" s="12"/>
      <c r="BI21" s="49">
        <v>208157611</v>
      </c>
      <c r="BJ21" s="12"/>
      <c r="BK21" s="12"/>
      <c r="BL21" s="12"/>
      <c r="BM21" s="12"/>
      <c r="BN21" s="12"/>
      <c r="BO21" s="50">
        <v>3051789</v>
      </c>
      <c r="BP21" s="31">
        <f t="shared" si="1"/>
        <v>18111307290</v>
      </c>
    </row>
    <row r="22" spans="2:68" ht="39.75" customHeight="1">
      <c r="B22" s="9" t="s">
        <v>72</v>
      </c>
      <c r="C22" s="10">
        <v>2023</v>
      </c>
      <c r="D22" s="10"/>
      <c r="E22" s="9">
        <v>3.7307999999999999</v>
      </c>
      <c r="F22" s="11">
        <v>141473181133.46954</v>
      </c>
      <c r="G22" s="11">
        <v>7073659453</v>
      </c>
      <c r="H22" s="18" t="s">
        <v>71</v>
      </c>
      <c r="I22" s="18"/>
      <c r="J22" s="51">
        <v>7008278087</v>
      </c>
      <c r="K22" s="52">
        <v>760258440</v>
      </c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51">
        <v>872000000</v>
      </c>
      <c r="W22" s="12"/>
      <c r="X22" s="12"/>
      <c r="Y22" s="12"/>
      <c r="Z22" s="12"/>
      <c r="AA22" s="12"/>
      <c r="AB22" s="52">
        <v>2855678236</v>
      </c>
      <c r="AC22" s="12"/>
      <c r="AD22" s="52">
        <v>2417260000</v>
      </c>
      <c r="AE22" s="12"/>
      <c r="AF22" s="52">
        <v>207284343</v>
      </c>
      <c r="AG22" s="12"/>
      <c r="AH22" s="52">
        <v>5898351</v>
      </c>
      <c r="AI22" s="12"/>
      <c r="AJ22" s="12"/>
      <c r="AK22" s="12"/>
      <c r="AL22" s="12"/>
      <c r="AM22" s="51">
        <v>2492341</v>
      </c>
      <c r="AN22" s="51"/>
      <c r="AO22" s="12"/>
      <c r="AP22" s="54">
        <v>26926197</v>
      </c>
      <c r="AQ22" s="64">
        <v>46802333</v>
      </c>
      <c r="AR22" s="54">
        <v>58501550</v>
      </c>
      <c r="AS22" s="52">
        <v>14114945</v>
      </c>
      <c r="AT22" s="51">
        <v>29242348</v>
      </c>
      <c r="AU22" s="52">
        <v>237106</v>
      </c>
      <c r="AV22" s="51">
        <v>124975</v>
      </c>
      <c r="AW22" s="52">
        <v>3131508</v>
      </c>
      <c r="AX22" s="51">
        <v>306905</v>
      </c>
      <c r="AY22" s="12"/>
      <c r="AZ22" s="12"/>
      <c r="BA22" s="12"/>
      <c r="BB22" s="12"/>
      <c r="BC22" s="12"/>
      <c r="BD22" s="12"/>
      <c r="BE22" s="12"/>
      <c r="BF22" s="12"/>
      <c r="BG22" s="54">
        <v>25200924</v>
      </c>
      <c r="BH22" s="12"/>
      <c r="BI22" s="52">
        <v>246360435</v>
      </c>
      <c r="BJ22" s="12"/>
      <c r="BK22" s="12"/>
      <c r="BL22" s="12"/>
      <c r="BM22" s="12"/>
      <c r="BN22" s="65">
        <v>809852</v>
      </c>
      <c r="BO22" s="12"/>
      <c r="BP22" s="31">
        <f t="shared" si="1"/>
        <v>14580908876</v>
      </c>
    </row>
    <row r="23" spans="2:68" ht="39.75" customHeight="1">
      <c r="B23" s="9" t="s">
        <v>72</v>
      </c>
      <c r="C23" s="10">
        <v>2024</v>
      </c>
      <c r="D23" s="10"/>
      <c r="E23" s="9">
        <v>3.7669999999999999</v>
      </c>
      <c r="F23" s="11">
        <v>174778072792</v>
      </c>
      <c r="G23" s="11">
        <f t="shared" ref="G23:G24" si="2">+F23*0.05</f>
        <v>8738903639.6000004</v>
      </c>
      <c r="H23" s="18" t="s">
        <v>71</v>
      </c>
      <c r="I23" s="18"/>
      <c r="J23" s="56">
        <v>8454646351</v>
      </c>
      <c r="K23" s="13"/>
      <c r="L23" s="12"/>
      <c r="M23" s="12"/>
      <c r="N23" s="12"/>
      <c r="O23" s="12"/>
      <c r="P23" s="12"/>
      <c r="Q23" s="59">
        <v>756332380</v>
      </c>
      <c r="R23" s="12"/>
      <c r="S23" s="12"/>
      <c r="T23" s="12"/>
      <c r="U23" s="12"/>
      <c r="V23" s="55">
        <v>3368856498</v>
      </c>
      <c r="W23" s="12"/>
      <c r="X23" s="12"/>
      <c r="Y23" s="12"/>
      <c r="Z23" s="12"/>
      <c r="AA23" s="55">
        <v>209733459</v>
      </c>
      <c r="AB23" s="56">
        <v>2377240218</v>
      </c>
      <c r="AC23" s="55">
        <v>3000000000</v>
      </c>
      <c r="AD23" s="56">
        <v>10226889219</v>
      </c>
      <c r="AE23" s="12"/>
      <c r="AF23" s="55">
        <v>223062855</v>
      </c>
      <c r="AG23" s="12"/>
      <c r="AH23" s="56">
        <v>1358135</v>
      </c>
      <c r="AI23" s="12"/>
      <c r="AJ23" s="12"/>
      <c r="AK23" s="12"/>
      <c r="AL23" s="12"/>
      <c r="AM23" s="56">
        <v>8299828097</v>
      </c>
      <c r="AN23" s="56"/>
      <c r="AO23" s="12"/>
      <c r="AP23" s="66">
        <v>758414389</v>
      </c>
      <c r="AQ23" s="59">
        <v>63440364</v>
      </c>
      <c r="AR23" s="66">
        <v>79300466</v>
      </c>
      <c r="AS23" s="56">
        <v>292634038</v>
      </c>
      <c r="AT23" s="55">
        <v>39424980</v>
      </c>
      <c r="AU23" s="56">
        <v>11585412</v>
      </c>
      <c r="AV23" s="55">
        <v>7911392</v>
      </c>
      <c r="AW23" s="56">
        <v>79642143</v>
      </c>
      <c r="AX23" s="55">
        <v>7818637552</v>
      </c>
      <c r="AY23" s="12"/>
      <c r="AZ23" s="59">
        <v>433189050</v>
      </c>
      <c r="BA23" s="12"/>
      <c r="BB23" s="12"/>
      <c r="BC23" s="12"/>
      <c r="BD23" s="12"/>
      <c r="BE23" s="12"/>
      <c r="BF23" s="12"/>
      <c r="BG23" s="66">
        <v>22716501</v>
      </c>
      <c r="BH23" s="12"/>
      <c r="BI23" s="56">
        <v>240972402</v>
      </c>
      <c r="BJ23" s="12"/>
      <c r="BK23" s="12"/>
      <c r="BL23" s="12"/>
      <c r="BM23" s="12"/>
      <c r="BN23" s="12"/>
      <c r="BO23" s="12"/>
      <c r="BP23" s="31">
        <f t="shared" si="1"/>
        <v>46765815901</v>
      </c>
    </row>
    <row r="24" spans="2:68" ht="39.75" customHeight="1">
      <c r="B24" s="9" t="s">
        <v>72</v>
      </c>
      <c r="C24" s="10">
        <v>2025</v>
      </c>
      <c r="D24" s="10"/>
      <c r="E24" s="9">
        <v>3.0437676825827999</v>
      </c>
      <c r="F24" s="11">
        <v>190858956408.66034</v>
      </c>
      <c r="G24" s="11">
        <f t="shared" si="2"/>
        <v>9542947820.4330177</v>
      </c>
      <c r="H24" s="18" t="s">
        <v>71</v>
      </c>
      <c r="I24" s="18"/>
      <c r="J24" s="13"/>
      <c r="K24" s="13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31">
        <f t="shared" si="1"/>
        <v>0</v>
      </c>
    </row>
    <row r="25" spans="2:68" ht="39.75" customHeight="1">
      <c r="B25" s="9" t="s">
        <v>80</v>
      </c>
      <c r="C25" s="10">
        <v>2025</v>
      </c>
      <c r="D25" s="10"/>
      <c r="E25" s="9">
        <v>0.73799999999999999</v>
      </c>
      <c r="F25" s="11">
        <v>51642287329.268799</v>
      </c>
      <c r="G25" s="11">
        <f>F25*0.05</f>
        <v>2582114366.4634399</v>
      </c>
      <c r="H25" s="18" t="s">
        <v>71</v>
      </c>
      <c r="I25" s="18"/>
      <c r="J25" s="13"/>
      <c r="K25" s="13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31">
        <f t="shared" si="1"/>
        <v>0</v>
      </c>
    </row>
    <row r="26" spans="2:68" ht="39.75" customHeight="1">
      <c r="E26" s="60">
        <f>SUM(E3:E25)</f>
        <v>142.97527072907297</v>
      </c>
      <c r="F26" s="27">
        <f>SUM(F3:F25)</f>
        <v>4636521306229.2471</v>
      </c>
      <c r="G26" s="27">
        <f>SUM(G3:G25)</f>
        <v>228698356782.51437</v>
      </c>
    </row>
    <row r="29" spans="2:68">
      <c r="F29" s="31">
        <f>+F15-BP15</f>
        <v>220893139990</v>
      </c>
    </row>
  </sheetData>
  <dataValidations count="1">
    <dataValidation type="decimal" operator="notBetween" allowBlank="1" showInputMessage="1" showErrorMessage="1" errorTitle="Nombre" error="Veuillez inscrire un nombre dans cette cellule" promptTitle="Montant du flux de revenus" prompt="Veuillez inscrire le montant total réconcilié du flux de revenus comme reporté par le gouvernement, " sqref="J9:K9 AA9:AB9 AD9 AF9 AH9 AM9 AS9 AZ9 BE9 BG9 BI9 J17:K17 AB17 AF17 AH17 AM17 AS17 AZ17 BG17 BI17" xr:uid="{744F2FE2-F294-4D8D-A8C6-788690333340}">
      <formula1>0.1</formula1>
      <formula2>0.2</formula2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BA734-8A0E-465A-86B0-C50FEF3F6FFA}">
  <dimension ref="A1:P69"/>
  <sheetViews>
    <sheetView showOutlineSymbols="0" defaultGridColor="0" workbookViewId="0"/>
  </sheetViews>
  <sheetFormatPr baseColWidth="10" defaultColWidth="10.81640625" defaultRowHeight="21.75"/>
  <cols>
    <col min="1" max="1" width="21" style="67" hidden="1" customWidth="1"/>
    <col min="2" max="2" width="56" style="68" customWidth="1"/>
    <col min="3" max="4" width="20.26953125" style="68" bestFit="1" customWidth="1"/>
    <col min="5" max="5" width="19.453125" style="68" bestFit="1" customWidth="1"/>
    <col min="6" max="6" width="20.26953125" style="68" bestFit="1" customWidth="1"/>
    <col min="7" max="7" width="21.54296875" style="68" bestFit="1" customWidth="1"/>
    <col min="8" max="8" width="22.54296875" bestFit="1" customWidth="1"/>
    <col min="9" max="9" width="23.54296875" bestFit="1" customWidth="1"/>
    <col min="10" max="10" width="23.1796875" customWidth="1"/>
    <col min="11" max="13" width="25" bestFit="1" customWidth="1"/>
    <col min="14" max="14" width="23" bestFit="1" customWidth="1"/>
    <col min="15" max="15" width="12.54296875" bestFit="1" customWidth="1"/>
    <col min="16" max="16" width="12.453125" bestFit="1" customWidth="1"/>
  </cols>
  <sheetData>
    <row r="1" spans="1:14">
      <c r="M1" t="s">
        <v>83</v>
      </c>
    </row>
    <row r="2" spans="1:14" ht="47.65" customHeight="1">
      <c r="A2" s="69"/>
      <c r="B2" s="70" t="s">
        <v>84</v>
      </c>
      <c r="C2" s="71">
        <v>2014</v>
      </c>
      <c r="D2" s="72">
        <v>2015</v>
      </c>
      <c r="E2" s="72">
        <v>2016</v>
      </c>
      <c r="F2" s="72">
        <v>2017</v>
      </c>
      <c r="G2" s="72">
        <v>2018</v>
      </c>
      <c r="H2" s="72">
        <v>2019</v>
      </c>
      <c r="I2" s="72">
        <v>2020</v>
      </c>
      <c r="J2" s="72">
        <v>2021</v>
      </c>
      <c r="K2" s="72">
        <v>2022</v>
      </c>
      <c r="L2" s="72">
        <v>2023</v>
      </c>
      <c r="M2" s="72">
        <v>2024</v>
      </c>
    </row>
    <row r="3" spans="1:14" ht="43.15" customHeight="1">
      <c r="A3" s="73"/>
      <c r="B3" s="74" t="s">
        <v>85</v>
      </c>
      <c r="C3" s="75"/>
      <c r="D3" s="76">
        <v>34800000</v>
      </c>
      <c r="E3" s="76">
        <v>39203085</v>
      </c>
      <c r="F3" s="76">
        <v>45063012</v>
      </c>
      <c r="G3" s="76">
        <v>46981866</v>
      </c>
      <c r="H3" s="77">
        <v>49376536</v>
      </c>
      <c r="I3" s="77">
        <v>49185682</v>
      </c>
      <c r="J3" s="77">
        <v>50379335</v>
      </c>
      <c r="K3" s="77">
        <v>47623145</v>
      </c>
      <c r="L3" s="78">
        <v>40441234.576669917</v>
      </c>
      <c r="M3" s="78">
        <v>48096676</v>
      </c>
    </row>
    <row r="4" spans="1:14" ht="43.15" customHeight="1">
      <c r="A4" s="73"/>
      <c r="B4" s="74" t="s">
        <v>86</v>
      </c>
      <c r="C4" s="75"/>
      <c r="D4" s="76">
        <v>633000</v>
      </c>
      <c r="E4" s="76">
        <v>613745</v>
      </c>
      <c r="F4" s="76">
        <v>724754</v>
      </c>
      <c r="G4" s="76">
        <v>773736</v>
      </c>
      <c r="H4" s="77">
        <v>735377</v>
      </c>
      <c r="I4" s="77">
        <v>761661</v>
      </c>
      <c r="J4" s="77">
        <v>804374</v>
      </c>
      <c r="K4" s="77">
        <v>741667</v>
      </c>
      <c r="L4" s="78">
        <v>628228.63350488152</v>
      </c>
      <c r="M4" s="78">
        <v>883462</v>
      </c>
    </row>
    <row r="5" spans="1:14" ht="43.15" customHeight="1">
      <c r="A5" s="79"/>
      <c r="B5" s="80" t="s">
        <v>87</v>
      </c>
      <c r="C5" s="81"/>
      <c r="D5" s="82">
        <f t="shared" ref="D5:M5" si="0">D4/D3</f>
        <v>1.8189655172413794E-2</v>
      </c>
      <c r="E5" s="82">
        <f t="shared" si="0"/>
        <v>1.5655528129992831E-2</v>
      </c>
      <c r="F5" s="82">
        <f t="shared" si="0"/>
        <v>1.6083123782316192E-2</v>
      </c>
      <c r="G5" s="82">
        <f t="shared" si="0"/>
        <v>1.6468822247290051E-2</v>
      </c>
      <c r="H5" s="83">
        <f t="shared" si="0"/>
        <v>1.4893248080424273E-2</v>
      </c>
      <c r="I5" s="83">
        <f t="shared" si="0"/>
        <v>1.5485421143494564E-2</v>
      </c>
      <c r="J5" s="83">
        <f t="shared" si="0"/>
        <v>1.5966348106818004E-2</v>
      </c>
      <c r="K5" s="83">
        <f t="shared" si="0"/>
        <v>1.5573666963826097E-2</v>
      </c>
      <c r="L5" s="84">
        <f t="shared" si="0"/>
        <v>1.5534358435914303E-2</v>
      </c>
      <c r="M5" s="84">
        <f t="shared" si="0"/>
        <v>1.8368462718712619E-2</v>
      </c>
    </row>
    <row r="6" spans="1:14" ht="43.15" customHeight="1">
      <c r="A6" s="73"/>
      <c r="B6" s="85" t="s">
        <v>88</v>
      </c>
      <c r="C6" s="86">
        <f t="shared" ref="C6:G6" si="1">+SUM(C7:C14)</f>
        <v>82253</v>
      </c>
      <c r="D6" s="86">
        <f t="shared" si="1"/>
        <v>479300</v>
      </c>
      <c r="E6" s="86">
        <f t="shared" si="1"/>
        <v>487933</v>
      </c>
      <c r="F6" s="86">
        <f t="shared" si="1"/>
        <v>584161</v>
      </c>
      <c r="G6" s="86">
        <f t="shared" si="1"/>
        <v>610112</v>
      </c>
      <c r="H6" s="86">
        <f t="shared" ref="H6:J6" si="2">+SUM(H7:H14)</f>
        <v>582482</v>
      </c>
      <c r="I6" s="86">
        <f t="shared" si="2"/>
        <v>616064</v>
      </c>
      <c r="J6" s="86">
        <f t="shared" si="2"/>
        <v>645216</v>
      </c>
      <c r="K6" s="86">
        <f>+SUM(K7:K14)</f>
        <v>592646</v>
      </c>
      <c r="L6" s="86">
        <f>+SUM(L7:L14)</f>
        <v>502743.01712465216</v>
      </c>
      <c r="M6" s="86">
        <f>+SUM(M7:M14)</f>
        <v>683434</v>
      </c>
      <c r="N6" s="87"/>
    </row>
    <row r="7" spans="1:14" ht="43.15" customHeight="1">
      <c r="A7" s="188" t="s">
        <v>88</v>
      </c>
      <c r="B7" s="74" t="s">
        <v>89</v>
      </c>
      <c r="C7" s="88">
        <v>59614</v>
      </c>
      <c r="D7" s="76">
        <v>321000</v>
      </c>
      <c r="E7" s="76">
        <v>298437</v>
      </c>
      <c r="F7" s="76">
        <v>357416</v>
      </c>
      <c r="G7" s="76">
        <v>369845</v>
      </c>
      <c r="H7" s="76">
        <v>325017</v>
      </c>
      <c r="I7" s="76">
        <v>353869</v>
      </c>
      <c r="J7" s="76">
        <v>377507</v>
      </c>
      <c r="K7" s="76">
        <v>328742</v>
      </c>
      <c r="L7" s="89">
        <v>292629.95600000006</v>
      </c>
      <c r="M7" s="78">
        <v>388925</v>
      </c>
    </row>
    <row r="8" spans="1:14" ht="43.15" customHeight="1">
      <c r="A8" s="189"/>
      <c r="B8" s="74" t="s">
        <v>90</v>
      </c>
      <c r="C8" s="88">
        <v>0</v>
      </c>
      <c r="D8" s="76"/>
      <c r="E8" s="76"/>
      <c r="F8" s="76"/>
      <c r="G8" s="76"/>
      <c r="H8" s="76">
        <v>36119</v>
      </c>
      <c r="I8" s="76">
        <v>26777</v>
      </c>
      <c r="J8" s="76">
        <v>19510</v>
      </c>
      <c r="K8" s="76">
        <v>35551</v>
      </c>
      <c r="L8" s="89">
        <v>18238.264999999999</v>
      </c>
      <c r="M8" s="78">
        <v>27041</v>
      </c>
    </row>
    <row r="9" spans="1:14" ht="43.15" customHeight="1">
      <c r="A9" s="189"/>
      <c r="B9" s="74" t="s">
        <v>91</v>
      </c>
      <c r="C9" s="88">
        <v>15310</v>
      </c>
      <c r="D9" s="76">
        <v>107000</v>
      </c>
      <c r="E9" s="76">
        <v>117913</v>
      </c>
      <c r="F9" s="76">
        <v>135022</v>
      </c>
      <c r="G9" s="76">
        <v>137092</v>
      </c>
      <c r="H9" s="76">
        <v>130468</v>
      </c>
      <c r="I9" s="76">
        <v>140812</v>
      </c>
      <c r="J9" s="76">
        <v>146044</v>
      </c>
      <c r="K9" s="76">
        <v>133804</v>
      </c>
      <c r="L9" s="89">
        <v>110526.746</v>
      </c>
      <c r="M9" s="78">
        <v>154180</v>
      </c>
    </row>
    <row r="10" spans="1:14" ht="43.15" customHeight="1">
      <c r="A10" s="189"/>
      <c r="B10" s="74" t="s">
        <v>92</v>
      </c>
      <c r="C10" s="88">
        <v>243</v>
      </c>
      <c r="D10" s="76">
        <v>24000</v>
      </c>
      <c r="E10" s="76">
        <v>27404</v>
      </c>
      <c r="F10" s="76">
        <v>36856</v>
      </c>
      <c r="G10" s="76">
        <v>44038</v>
      </c>
      <c r="H10" s="76">
        <v>36805</v>
      </c>
      <c r="I10" s="76">
        <v>33349</v>
      </c>
      <c r="J10" s="76">
        <v>37873</v>
      </c>
      <c r="K10" s="76">
        <v>34583</v>
      </c>
      <c r="L10" s="89">
        <v>28956.267792968749</v>
      </c>
      <c r="M10" s="78">
        <v>39119</v>
      </c>
    </row>
    <row r="11" spans="1:14" ht="43.15" customHeight="1">
      <c r="A11" s="189"/>
      <c r="B11" s="74" t="s">
        <v>93</v>
      </c>
      <c r="C11" s="88">
        <v>6924</v>
      </c>
      <c r="D11" s="76">
        <v>22000</v>
      </c>
      <c r="E11" s="76">
        <v>25223</v>
      </c>
      <c r="F11" s="76">
        <v>24706</v>
      </c>
      <c r="G11" s="76">
        <v>20240</v>
      </c>
      <c r="H11" s="76">
        <v>21628</v>
      </c>
      <c r="I11" s="76">
        <v>25872</v>
      </c>
      <c r="J11" s="76">
        <v>25856</v>
      </c>
      <c r="K11" s="76">
        <v>22498</v>
      </c>
      <c r="L11" s="89">
        <v>19442.150215624999</v>
      </c>
      <c r="M11" s="78">
        <v>28497</v>
      </c>
    </row>
    <row r="12" spans="1:14" ht="43.15" customHeight="1">
      <c r="A12" s="189"/>
      <c r="B12" s="74" t="s">
        <v>94</v>
      </c>
      <c r="C12" s="88"/>
      <c r="D12" s="76"/>
      <c r="E12" s="76">
        <v>9291</v>
      </c>
      <c r="F12" s="76">
        <v>20186</v>
      </c>
      <c r="G12" s="76">
        <v>29291</v>
      </c>
      <c r="H12" s="76">
        <v>22314</v>
      </c>
      <c r="I12" s="76">
        <v>25839</v>
      </c>
      <c r="J12" s="76">
        <v>27031</v>
      </c>
      <c r="K12" s="76">
        <v>26981</v>
      </c>
      <c r="L12" s="89">
        <v>24926.782116058348</v>
      </c>
      <c r="M12" s="78">
        <v>35430</v>
      </c>
    </row>
    <row r="13" spans="1:14" ht="43.15" customHeight="1">
      <c r="A13" s="189"/>
      <c r="B13" s="74" t="s">
        <v>95</v>
      </c>
      <c r="C13" s="88">
        <v>162</v>
      </c>
      <c r="D13" s="76">
        <v>2100</v>
      </c>
      <c r="E13" s="76">
        <v>2892</v>
      </c>
      <c r="F13" s="76">
        <v>2729</v>
      </c>
      <c r="G13" s="76">
        <v>3961</v>
      </c>
      <c r="H13" s="76">
        <v>3615</v>
      </c>
      <c r="I13" s="76">
        <v>4044</v>
      </c>
      <c r="J13" s="76">
        <v>4430</v>
      </c>
      <c r="K13" s="76">
        <v>4203</v>
      </c>
      <c r="L13" s="89">
        <v>3080.85</v>
      </c>
      <c r="M13" s="78">
        <v>3790</v>
      </c>
    </row>
    <row r="14" spans="1:14" ht="43.15" customHeight="1">
      <c r="A14" s="190"/>
      <c r="B14" s="80" t="s">
        <v>96</v>
      </c>
      <c r="C14" s="90"/>
      <c r="D14" s="91">
        <v>3200</v>
      </c>
      <c r="E14" s="91">
        <v>6773</v>
      </c>
      <c r="F14" s="91">
        <v>7246</v>
      </c>
      <c r="G14" s="91">
        <v>5645</v>
      </c>
      <c r="H14" s="91">
        <v>6516</v>
      </c>
      <c r="I14" s="91">
        <v>5502</v>
      </c>
      <c r="J14" s="91">
        <v>6965</v>
      </c>
      <c r="K14" s="91">
        <v>6284</v>
      </c>
      <c r="L14" s="92">
        <v>4941.9999999999991</v>
      </c>
      <c r="M14" s="93">
        <v>6452</v>
      </c>
    </row>
    <row r="15" spans="1:14" ht="43.15" customHeight="1">
      <c r="A15" s="94"/>
      <c r="B15" s="85" t="s">
        <v>97</v>
      </c>
      <c r="C15" s="95">
        <f>SUM(C16:C23)</f>
        <v>82253</v>
      </c>
      <c r="D15" s="86">
        <f>+SUM(D16:D23)</f>
        <v>466864</v>
      </c>
      <c r="E15" s="86">
        <f>+SUM(E16:E23)</f>
        <v>482035</v>
      </c>
      <c r="F15" s="86">
        <f>+SUM(F16:F23)</f>
        <v>553145</v>
      </c>
      <c r="G15" s="86">
        <f>+SUM(G16:G23)</f>
        <v>634820</v>
      </c>
      <c r="H15" s="86">
        <f t="shared" ref="H15:J15" si="3">+SUM(H16:H23)</f>
        <v>601924</v>
      </c>
      <c r="I15" s="86">
        <f t="shared" si="3"/>
        <v>604876</v>
      </c>
      <c r="J15" s="86">
        <f t="shared" si="3"/>
        <v>658027</v>
      </c>
      <c r="K15" s="86">
        <f>+SUM(K16:K23)</f>
        <v>627992</v>
      </c>
      <c r="L15" s="86">
        <f>+SUM(L16:L23)</f>
        <v>502049.61493394111</v>
      </c>
      <c r="M15" s="86">
        <f>+SUM(M16:M23)</f>
        <v>668144</v>
      </c>
      <c r="N15" s="87"/>
    </row>
    <row r="16" spans="1:14" ht="43.15" customHeight="1">
      <c r="A16" s="186" t="s">
        <v>97</v>
      </c>
      <c r="B16" s="74" t="s">
        <v>89</v>
      </c>
      <c r="C16" s="88">
        <v>59614</v>
      </c>
      <c r="D16" s="76">
        <v>340021</v>
      </c>
      <c r="E16" s="76">
        <v>331124</v>
      </c>
      <c r="F16" s="76">
        <v>328617</v>
      </c>
      <c r="G16" s="76">
        <v>390610</v>
      </c>
      <c r="H16" s="76">
        <v>330240</v>
      </c>
      <c r="I16" s="76">
        <v>345531</v>
      </c>
      <c r="J16" s="76">
        <v>385620</v>
      </c>
      <c r="K16" s="76">
        <v>356935</v>
      </c>
      <c r="L16" s="76">
        <v>292907.07100000005</v>
      </c>
      <c r="M16" s="89">
        <v>387783</v>
      </c>
      <c r="N16" s="87"/>
    </row>
    <row r="17" spans="1:14" ht="43.15" customHeight="1">
      <c r="A17" s="191"/>
      <c r="B17" s="74" t="s">
        <v>90</v>
      </c>
      <c r="C17" s="88">
        <v>0</v>
      </c>
      <c r="D17" s="76"/>
      <c r="E17" s="76"/>
      <c r="F17" s="76"/>
      <c r="G17" s="76"/>
      <c r="H17" s="76">
        <v>34299</v>
      </c>
      <c r="I17" s="76">
        <v>26700</v>
      </c>
      <c r="J17" s="76">
        <v>19600</v>
      </c>
      <c r="K17" s="76">
        <v>35216</v>
      </c>
      <c r="L17" s="76">
        <v>17001.116999999998</v>
      </c>
      <c r="M17" s="89">
        <v>20001</v>
      </c>
      <c r="N17" s="87"/>
    </row>
    <row r="18" spans="1:14" ht="43.15" customHeight="1">
      <c r="A18" s="191"/>
      <c r="B18" s="74" t="s">
        <v>91</v>
      </c>
      <c r="C18" s="88">
        <v>15310</v>
      </c>
      <c r="D18" s="76">
        <v>80398</v>
      </c>
      <c r="E18" s="76">
        <v>79701</v>
      </c>
      <c r="F18" s="76">
        <v>135260</v>
      </c>
      <c r="G18" s="76">
        <v>140083</v>
      </c>
      <c r="H18" s="76">
        <v>137663</v>
      </c>
      <c r="I18" s="76">
        <v>139768</v>
      </c>
      <c r="J18" s="76">
        <v>151185</v>
      </c>
      <c r="K18" s="76">
        <v>134596</v>
      </c>
      <c r="L18" s="76">
        <v>111716.09199999999</v>
      </c>
      <c r="M18" s="89">
        <v>153286</v>
      </c>
      <c r="N18" s="87"/>
    </row>
    <row r="19" spans="1:14" ht="43.15" customHeight="1">
      <c r="A19" s="191"/>
      <c r="B19" s="74" t="s">
        <v>92</v>
      </c>
      <c r="C19" s="88">
        <v>243</v>
      </c>
      <c r="D19" s="76">
        <v>19409</v>
      </c>
      <c r="E19" s="76">
        <v>28122</v>
      </c>
      <c r="F19" s="76">
        <v>34933</v>
      </c>
      <c r="G19" s="76">
        <v>44463</v>
      </c>
      <c r="H19" s="76">
        <v>36514</v>
      </c>
      <c r="I19" s="76">
        <v>34924</v>
      </c>
      <c r="J19" s="76">
        <v>37937</v>
      </c>
      <c r="K19" s="76">
        <v>35715</v>
      </c>
      <c r="L19" s="76">
        <v>28177.395033941</v>
      </c>
      <c r="M19" s="89">
        <v>39376</v>
      </c>
      <c r="N19" s="87"/>
    </row>
    <row r="20" spans="1:14" ht="43.15" customHeight="1">
      <c r="A20" s="191"/>
      <c r="B20" s="74" t="s">
        <v>93</v>
      </c>
      <c r="C20" s="88">
        <v>6924</v>
      </c>
      <c r="D20" s="76">
        <v>22427</v>
      </c>
      <c r="E20" s="76">
        <v>24978</v>
      </c>
      <c r="F20" s="76">
        <v>25763</v>
      </c>
      <c r="G20" s="76">
        <v>20543</v>
      </c>
      <c r="H20" s="76">
        <v>21882</v>
      </c>
      <c r="I20" s="76">
        <v>26917</v>
      </c>
      <c r="J20" s="76">
        <v>25482</v>
      </c>
      <c r="K20" s="76">
        <v>23581</v>
      </c>
      <c r="L20" s="76">
        <v>19379.056899999996</v>
      </c>
      <c r="M20" s="89">
        <v>27523</v>
      </c>
      <c r="N20" s="87"/>
    </row>
    <row r="21" spans="1:14" ht="43.15" customHeight="1">
      <c r="A21" s="191"/>
      <c r="B21" s="74" t="s">
        <v>94</v>
      </c>
      <c r="C21" s="88">
        <v>0</v>
      </c>
      <c r="D21" s="76"/>
      <c r="E21" s="76">
        <v>9291</v>
      </c>
      <c r="F21" s="76">
        <v>18314</v>
      </c>
      <c r="G21" s="76">
        <v>28418</v>
      </c>
      <c r="H21" s="76">
        <v>31025</v>
      </c>
      <c r="I21" s="76">
        <v>21416</v>
      </c>
      <c r="J21" s="76">
        <v>26781</v>
      </c>
      <c r="K21" s="76">
        <v>31449</v>
      </c>
      <c r="L21" s="76">
        <v>24986.882999999998</v>
      </c>
      <c r="M21" s="89">
        <v>31443</v>
      </c>
      <c r="N21" s="87"/>
    </row>
    <row r="22" spans="1:14" ht="43.15" customHeight="1">
      <c r="A22" s="191"/>
      <c r="B22" s="74" t="s">
        <v>95</v>
      </c>
      <c r="C22" s="88">
        <v>162</v>
      </c>
      <c r="D22" s="76">
        <v>1971</v>
      </c>
      <c r="E22" s="76">
        <v>2641</v>
      </c>
      <c r="F22" s="76">
        <v>3078</v>
      </c>
      <c r="G22" s="76">
        <v>3943</v>
      </c>
      <c r="H22" s="76">
        <v>3769</v>
      </c>
      <c r="I22" s="76">
        <v>3980</v>
      </c>
      <c r="J22" s="76">
        <v>4462</v>
      </c>
      <c r="K22" s="76">
        <v>4160</v>
      </c>
      <c r="L22" s="76">
        <v>3062</v>
      </c>
      <c r="M22" s="89">
        <v>2640</v>
      </c>
      <c r="N22" s="87"/>
    </row>
    <row r="23" spans="1:14" ht="43.15" customHeight="1">
      <c r="A23" s="187"/>
      <c r="B23" s="74" t="s">
        <v>96</v>
      </c>
      <c r="C23" s="88">
        <v>0</v>
      </c>
      <c r="D23" s="76">
        <v>2638</v>
      </c>
      <c r="E23" s="76">
        <v>6178</v>
      </c>
      <c r="F23" s="76">
        <v>7180</v>
      </c>
      <c r="G23" s="76">
        <v>6760</v>
      </c>
      <c r="H23" s="76">
        <v>6532</v>
      </c>
      <c r="I23" s="76">
        <v>5640</v>
      </c>
      <c r="J23" s="76">
        <v>6960</v>
      </c>
      <c r="K23" s="76">
        <v>6340</v>
      </c>
      <c r="L23" s="76">
        <v>4820</v>
      </c>
      <c r="M23" s="89">
        <v>6092</v>
      </c>
      <c r="N23" s="87"/>
    </row>
    <row r="24" spans="1:14" ht="43.15" customHeight="1">
      <c r="A24" s="96"/>
      <c r="B24" s="85" t="s">
        <v>98</v>
      </c>
      <c r="C24" s="95">
        <f>SUM(C25:C32)</f>
        <v>8988696803</v>
      </c>
      <c r="D24" s="97">
        <f>SUM(D25:D32)</f>
        <v>51474833624</v>
      </c>
      <c r="E24" s="97">
        <f>SUM(E25:E32)</f>
        <v>59675222646</v>
      </c>
      <c r="F24" s="97">
        <f>SUM(F25:F32)</f>
        <v>85776044037</v>
      </c>
      <c r="G24" s="97">
        <f>SUM(G25:G32)</f>
        <v>113513527160</v>
      </c>
      <c r="H24" s="86">
        <f t="shared" ref="H24:K24" si="4">+SUM(H25:H32)</f>
        <v>114684020839</v>
      </c>
      <c r="I24" s="86">
        <f t="shared" si="4"/>
        <v>115173341389</v>
      </c>
      <c r="J24" s="86">
        <f t="shared" si="4"/>
        <v>147604340693</v>
      </c>
      <c r="K24" s="86">
        <f t="shared" si="4"/>
        <v>213796016210.27505</v>
      </c>
      <c r="L24" s="86">
        <f>+SUM(L25:L32)</f>
        <v>145211316586.75565</v>
      </c>
      <c r="M24" s="86">
        <f>+SUM(M25:M32)</f>
        <v>176050279823</v>
      </c>
      <c r="N24" s="87"/>
    </row>
    <row r="25" spans="1:14" ht="43.15" customHeight="1">
      <c r="A25" s="186" t="s">
        <v>98</v>
      </c>
      <c r="B25" s="74" t="s">
        <v>89</v>
      </c>
      <c r="C25" s="88">
        <v>3906632160</v>
      </c>
      <c r="D25" s="76">
        <v>16972269323</v>
      </c>
      <c r="E25" s="76">
        <v>19506887304</v>
      </c>
      <c r="F25" s="76">
        <v>31843493659</v>
      </c>
      <c r="G25" s="76">
        <v>34703379801</v>
      </c>
      <c r="H25" s="76">
        <v>30284176791</v>
      </c>
      <c r="I25" s="76">
        <v>36866336232</v>
      </c>
      <c r="J25" s="76">
        <v>54216941469</v>
      </c>
      <c r="K25" s="76">
        <v>74667844800.941315</v>
      </c>
      <c r="L25" s="76">
        <v>55580048788.103104</v>
      </c>
      <c r="M25" s="89">
        <v>59069840702</v>
      </c>
    </row>
    <row r="26" spans="1:14" ht="43.15" customHeight="1">
      <c r="A26" s="191"/>
      <c r="B26" s="74" t="s">
        <v>90</v>
      </c>
      <c r="C26" s="98">
        <v>0</v>
      </c>
      <c r="D26" s="76">
        <v>0</v>
      </c>
      <c r="E26" s="76">
        <v>0</v>
      </c>
      <c r="F26" s="76">
        <v>0</v>
      </c>
      <c r="G26" s="76">
        <v>0</v>
      </c>
      <c r="H26" s="76">
        <v>3968128541</v>
      </c>
      <c r="I26" s="76">
        <v>3513689437</v>
      </c>
      <c r="J26" s="76">
        <v>3690588362</v>
      </c>
      <c r="K26" s="76">
        <v>7860379020.0975552</v>
      </c>
      <c r="L26" s="76">
        <v>2565529911.2125888</v>
      </c>
      <c r="M26" s="89">
        <v>2864298635</v>
      </c>
    </row>
    <row r="27" spans="1:14" ht="43.15" customHeight="1">
      <c r="A27" s="191"/>
      <c r="B27" s="74" t="s">
        <v>91</v>
      </c>
      <c r="C27" s="88">
        <v>1282958156</v>
      </c>
      <c r="D27" s="76">
        <v>7630093611</v>
      </c>
      <c r="E27" s="76">
        <v>7463386009</v>
      </c>
      <c r="F27" s="76">
        <v>11425296984</v>
      </c>
      <c r="G27" s="76">
        <v>12871343306</v>
      </c>
      <c r="H27" s="76">
        <v>15752286949</v>
      </c>
      <c r="I27" s="76">
        <v>17700857102</v>
      </c>
      <c r="J27" s="76">
        <v>20728624548</v>
      </c>
      <c r="K27" s="76">
        <v>29918671930.679695</v>
      </c>
      <c r="L27" s="76">
        <v>20377449977.153992</v>
      </c>
      <c r="M27" s="89">
        <v>27329743876</v>
      </c>
    </row>
    <row r="28" spans="1:14" ht="43.15" customHeight="1">
      <c r="A28" s="191"/>
      <c r="B28" s="74" t="s">
        <v>92</v>
      </c>
      <c r="C28" s="88">
        <v>138998624</v>
      </c>
      <c r="D28" s="76">
        <v>13935879099</v>
      </c>
      <c r="E28" s="76">
        <v>15631577866</v>
      </c>
      <c r="F28" s="76">
        <v>21351242220</v>
      </c>
      <c r="G28" s="76">
        <v>36922154353</v>
      </c>
      <c r="H28" s="76">
        <v>33693660433</v>
      </c>
      <c r="I28" s="76">
        <v>27822870212</v>
      </c>
      <c r="J28" s="76">
        <v>33867923004</v>
      </c>
      <c r="K28" s="76">
        <v>50087165473.334457</v>
      </c>
      <c r="L28" s="76">
        <v>33009873091.270748</v>
      </c>
      <c r="M28" s="89">
        <v>45013027025</v>
      </c>
    </row>
    <row r="29" spans="1:14" ht="43.15" customHeight="1">
      <c r="A29" s="191"/>
      <c r="B29" s="74" t="s">
        <v>93</v>
      </c>
      <c r="C29" s="88">
        <v>3588255854</v>
      </c>
      <c r="D29" s="76">
        <v>11359055125</v>
      </c>
      <c r="E29" s="76">
        <v>12616415416</v>
      </c>
      <c r="F29" s="76">
        <v>14735427994</v>
      </c>
      <c r="G29" s="76">
        <v>16451231718</v>
      </c>
      <c r="H29" s="76">
        <v>18974197019</v>
      </c>
      <c r="I29" s="76">
        <v>20328016978</v>
      </c>
      <c r="J29" s="76">
        <v>21177898265</v>
      </c>
      <c r="K29" s="76">
        <v>31560044000.58165</v>
      </c>
      <c r="L29" s="76">
        <v>21004409350.484169</v>
      </c>
      <c r="M29" s="89">
        <v>29662840478</v>
      </c>
    </row>
    <row r="30" spans="1:14" ht="43.15" customHeight="1">
      <c r="A30" s="191"/>
      <c r="B30" s="74" t="s">
        <v>94</v>
      </c>
      <c r="C30" s="88">
        <v>0</v>
      </c>
      <c r="D30" s="76">
        <v>0</v>
      </c>
      <c r="E30" s="76">
        <v>1776429164</v>
      </c>
      <c r="F30" s="76">
        <v>3222232112</v>
      </c>
      <c r="G30" s="76">
        <v>8565752220</v>
      </c>
      <c r="H30" s="76">
        <v>7005808615</v>
      </c>
      <c r="I30" s="76">
        <v>3775434542</v>
      </c>
      <c r="J30" s="76">
        <v>6696786033</v>
      </c>
      <c r="K30" s="76">
        <v>8622925737.8330116</v>
      </c>
      <c r="L30" s="76">
        <v>3469670771.4778118</v>
      </c>
      <c r="M30" s="89">
        <v>4470372677</v>
      </c>
    </row>
    <row r="31" spans="1:14" ht="43.15" customHeight="1">
      <c r="A31" s="191"/>
      <c r="B31" s="74" t="s">
        <v>95</v>
      </c>
      <c r="C31" s="88">
        <v>71852009</v>
      </c>
      <c r="D31" s="76">
        <v>949878277</v>
      </c>
      <c r="E31" s="76">
        <v>1179623736</v>
      </c>
      <c r="F31" s="76">
        <v>1352865294</v>
      </c>
      <c r="G31" s="76">
        <v>1934974016</v>
      </c>
      <c r="H31" s="76">
        <v>2414292710</v>
      </c>
      <c r="I31" s="76">
        <v>2786713473</v>
      </c>
      <c r="J31" s="76">
        <v>3629677988</v>
      </c>
      <c r="K31" s="76">
        <v>5411571748.2485771</v>
      </c>
      <c r="L31" s="76">
        <v>4678617225.4620075</v>
      </c>
      <c r="M31" s="89">
        <v>2952478816</v>
      </c>
    </row>
    <row r="32" spans="1:14" ht="43.15" customHeight="1">
      <c r="A32" s="187"/>
      <c r="B32" s="74" t="s">
        <v>96</v>
      </c>
      <c r="C32" s="88">
        <v>0</v>
      </c>
      <c r="D32" s="76">
        <v>627658189</v>
      </c>
      <c r="E32" s="76">
        <v>1500903151</v>
      </c>
      <c r="F32" s="76">
        <v>1845485774</v>
      </c>
      <c r="G32" s="76">
        <v>2064691746</v>
      </c>
      <c r="H32" s="76">
        <v>2591469781</v>
      </c>
      <c r="I32" s="76">
        <v>2379423413</v>
      </c>
      <c r="J32" s="76">
        <v>3595901024</v>
      </c>
      <c r="K32" s="76">
        <v>5667413498.5587664</v>
      </c>
      <c r="L32" s="76">
        <v>4525717471.5912046</v>
      </c>
      <c r="M32" s="89">
        <v>4687677614</v>
      </c>
    </row>
    <row r="33" spans="1:16" ht="43.15" customHeight="1">
      <c r="A33" s="96"/>
      <c r="B33" s="85" t="s">
        <v>99</v>
      </c>
      <c r="C33" s="99"/>
      <c r="D33" s="85"/>
      <c r="E33" s="85"/>
      <c r="F33" s="85"/>
      <c r="G33" s="85"/>
      <c r="H33" s="86">
        <f>+SUM(H34:H41)</f>
        <v>3374808.7465630379</v>
      </c>
      <c r="I33" s="86">
        <f t="shared" ref="I33:K33" si="5">+SUM(I34:I41)</f>
        <v>3215171.5143600665</v>
      </c>
      <c r="J33" s="86">
        <f t="shared" si="5"/>
        <v>3770007.648012273</v>
      </c>
      <c r="K33" s="86">
        <f t="shared" si="5"/>
        <v>5864421.5566368997</v>
      </c>
      <c r="L33" s="86">
        <f>+SUM(L34:L41)</f>
        <v>5384200.6565985503</v>
      </c>
      <c r="M33" s="86">
        <f>+SUM(M34:M41)</f>
        <v>4724751.5745837977</v>
      </c>
    </row>
    <row r="34" spans="1:16" ht="43.15" customHeight="1">
      <c r="A34" s="186" t="s">
        <v>99</v>
      </c>
      <c r="B34" s="74" t="s">
        <v>89</v>
      </c>
      <c r="C34" s="100">
        <f t="shared" ref="C34:J41" si="6">+C25/C16</f>
        <v>65532.126010668631</v>
      </c>
      <c r="D34" s="76">
        <f t="shared" si="6"/>
        <v>49915.356178000773</v>
      </c>
      <c r="E34" s="76">
        <f t="shared" si="6"/>
        <v>58911.124847489162</v>
      </c>
      <c r="F34" s="76">
        <f t="shared" si="6"/>
        <v>96901.540878895496</v>
      </c>
      <c r="G34" s="76">
        <f t="shared" si="6"/>
        <v>88844.063902613867</v>
      </c>
      <c r="H34" s="76">
        <f t="shared" si="6"/>
        <v>91703.539216933146</v>
      </c>
      <c r="I34" s="76">
        <f t="shared" si="6"/>
        <v>106694.72849614073</v>
      </c>
      <c r="J34" s="76">
        <f t="shared" si="6"/>
        <v>140596.80895441107</v>
      </c>
      <c r="K34" s="76">
        <f t="shared" ref="K34:M41" si="7">K25/K16</f>
        <v>209191.71502077777</v>
      </c>
      <c r="L34" s="76">
        <f t="shared" si="7"/>
        <v>189753.18212138038</v>
      </c>
      <c r="M34" s="89">
        <f>M25/M16</f>
        <v>152327.05070103641</v>
      </c>
      <c r="N34" s="87"/>
    </row>
    <row r="35" spans="1:16" ht="43.15" customHeight="1">
      <c r="A35" s="191"/>
      <c r="B35" s="74" t="s">
        <v>90</v>
      </c>
      <c r="C35" s="100"/>
      <c r="D35" s="76"/>
      <c r="E35" s="76"/>
      <c r="F35" s="76"/>
      <c r="G35" s="76"/>
      <c r="H35" s="76">
        <f t="shared" si="6"/>
        <v>115692.25169830024</v>
      </c>
      <c r="I35" s="76">
        <f t="shared" si="6"/>
        <v>131598.85531835206</v>
      </c>
      <c r="J35" s="76">
        <f t="shared" si="6"/>
        <v>188295.32459183675</v>
      </c>
      <c r="K35" s="76">
        <f t="shared" si="7"/>
        <v>223204.76545029404</v>
      </c>
      <c r="L35" s="76">
        <f t="shared" si="7"/>
        <v>150903.60893420057</v>
      </c>
      <c r="M35" s="89">
        <f t="shared" si="7"/>
        <v>143207.77136143192</v>
      </c>
      <c r="N35" s="87"/>
    </row>
    <row r="36" spans="1:16" ht="43.15" customHeight="1">
      <c r="A36" s="191"/>
      <c r="B36" s="74" t="s">
        <v>91</v>
      </c>
      <c r="C36" s="100">
        <f t="shared" ref="C36:G41" si="8">+C27/C18</f>
        <v>83798.7038536904</v>
      </c>
      <c r="D36" s="76">
        <f t="shared" si="8"/>
        <v>94904.022624940917</v>
      </c>
      <c r="E36" s="76">
        <f t="shared" si="8"/>
        <v>93642.313258302907</v>
      </c>
      <c r="F36" s="76">
        <f t="shared" si="8"/>
        <v>84469.148188673658</v>
      </c>
      <c r="G36" s="76">
        <f t="shared" si="8"/>
        <v>91883.69256797756</v>
      </c>
      <c r="H36" s="76">
        <f t="shared" si="6"/>
        <v>114426.43955892288</v>
      </c>
      <c r="I36" s="76">
        <f t="shared" si="6"/>
        <v>126644.56171655886</v>
      </c>
      <c r="J36" s="76">
        <f t="shared" si="6"/>
        <v>137107.679650759</v>
      </c>
      <c r="K36" s="76">
        <f t="shared" si="7"/>
        <v>222285.00052512478</v>
      </c>
      <c r="L36" s="76">
        <f t="shared" si="7"/>
        <v>182403.89197604579</v>
      </c>
      <c r="M36" s="89">
        <f t="shared" si="7"/>
        <v>178292.49817987293</v>
      </c>
      <c r="N36" s="87"/>
    </row>
    <row r="37" spans="1:16" ht="43.15" customHeight="1">
      <c r="A37" s="191"/>
      <c r="B37" s="74" t="s">
        <v>92</v>
      </c>
      <c r="C37" s="100">
        <f t="shared" si="8"/>
        <v>572010.79835390951</v>
      </c>
      <c r="D37" s="76">
        <f t="shared" si="8"/>
        <v>718011.18548096239</v>
      </c>
      <c r="E37" s="76">
        <f t="shared" si="8"/>
        <v>555848.72576630395</v>
      </c>
      <c r="F37" s="76">
        <f t="shared" si="8"/>
        <v>611205.51398391207</v>
      </c>
      <c r="G37" s="76">
        <f t="shared" si="8"/>
        <v>830401.78019926685</v>
      </c>
      <c r="H37" s="76">
        <f t="shared" si="6"/>
        <v>922760.04910445306</v>
      </c>
      <c r="I37" s="76">
        <f t="shared" si="6"/>
        <v>796669.05887069064</v>
      </c>
      <c r="J37" s="76">
        <f t="shared" si="6"/>
        <v>892741.20262540528</v>
      </c>
      <c r="K37" s="76">
        <f t="shared" si="7"/>
        <v>1402412.5850016647</v>
      </c>
      <c r="L37" s="76">
        <f t="shared" si="7"/>
        <v>1171501.9451410891</v>
      </c>
      <c r="M37" s="89">
        <f t="shared" si="7"/>
        <v>1143158.9553281188</v>
      </c>
      <c r="N37" s="87"/>
    </row>
    <row r="38" spans="1:16" ht="43.15" customHeight="1">
      <c r="A38" s="191"/>
      <c r="B38" s="74" t="s">
        <v>93</v>
      </c>
      <c r="C38" s="100">
        <f t="shared" si="8"/>
        <v>518234.52541883307</v>
      </c>
      <c r="D38" s="76">
        <f t="shared" si="8"/>
        <v>506490.17367458867</v>
      </c>
      <c r="E38" s="76">
        <f t="shared" si="8"/>
        <v>505101.1056129394</v>
      </c>
      <c r="F38" s="76">
        <f t="shared" si="8"/>
        <v>571960.8738889104</v>
      </c>
      <c r="G38" s="76">
        <f t="shared" si="8"/>
        <v>800819.34079735191</v>
      </c>
      <c r="H38" s="76">
        <f t="shared" si="6"/>
        <v>867114.38712183526</v>
      </c>
      <c r="I38" s="76">
        <f t="shared" si="6"/>
        <v>755211.09254374565</v>
      </c>
      <c r="J38" s="76">
        <f t="shared" si="6"/>
        <v>831092.46782042226</v>
      </c>
      <c r="K38" s="76">
        <f t="shared" si="7"/>
        <v>1338367.4992825431</v>
      </c>
      <c r="L38" s="76">
        <f t="shared" si="7"/>
        <v>1083871.5969962487</v>
      </c>
      <c r="M38" s="89">
        <f t="shared" si="7"/>
        <v>1077747.3559568361</v>
      </c>
      <c r="N38" s="87"/>
    </row>
    <row r="39" spans="1:16" ht="43.15" customHeight="1">
      <c r="A39" s="191"/>
      <c r="B39" s="74" t="s">
        <v>94</v>
      </c>
      <c r="C39" s="100"/>
      <c r="D39" s="76"/>
      <c r="E39" s="76">
        <f t="shared" si="8"/>
        <v>191198.91981487462</v>
      </c>
      <c r="F39" s="76">
        <f t="shared" si="8"/>
        <v>175943.65578246152</v>
      </c>
      <c r="G39" s="76">
        <f t="shared" si="8"/>
        <v>301419.95284678723</v>
      </c>
      <c r="H39" s="76">
        <f t="shared" si="6"/>
        <v>225811.72006446414</v>
      </c>
      <c r="I39" s="76">
        <f t="shared" si="6"/>
        <v>176290.36897646618</v>
      </c>
      <c r="J39" s="76">
        <f t="shared" si="6"/>
        <v>250057.35532653748</v>
      </c>
      <c r="K39" s="76">
        <f t="shared" si="7"/>
        <v>274187.5969930049</v>
      </c>
      <c r="L39" s="76">
        <f t="shared" si="7"/>
        <v>138859.68776008644</v>
      </c>
      <c r="M39" s="89">
        <f t="shared" si="7"/>
        <v>142173.85990522534</v>
      </c>
      <c r="N39" s="87"/>
    </row>
    <row r="40" spans="1:16" ht="43.15" customHeight="1">
      <c r="A40" s="191"/>
      <c r="B40" s="74" t="s">
        <v>95</v>
      </c>
      <c r="C40" s="100">
        <f t="shared" ref="C40:D41" si="9">+C31/C22</f>
        <v>443530.9197530864</v>
      </c>
      <c r="D40" s="76">
        <f t="shared" si="9"/>
        <v>481927.08117706748</v>
      </c>
      <c r="E40" s="76">
        <f t="shared" si="8"/>
        <v>446657.98409693298</v>
      </c>
      <c r="F40" s="76">
        <f t="shared" si="8"/>
        <v>439527.3859649123</v>
      </c>
      <c r="G40" s="76">
        <f t="shared" si="8"/>
        <v>490736.49911235098</v>
      </c>
      <c r="H40" s="76">
        <f t="shared" si="6"/>
        <v>640565.85566463252</v>
      </c>
      <c r="I40" s="76">
        <f t="shared" si="6"/>
        <v>700179.26457286428</v>
      </c>
      <c r="J40" s="76">
        <f t="shared" si="6"/>
        <v>813464.36306588969</v>
      </c>
      <c r="K40" s="76">
        <f t="shared" si="7"/>
        <v>1300858.5933289849</v>
      </c>
      <c r="L40" s="76">
        <f t="shared" si="7"/>
        <v>1527961.2101443526</v>
      </c>
      <c r="M40" s="89">
        <f t="shared" si="7"/>
        <v>1118363.187878788</v>
      </c>
      <c r="N40" s="87"/>
      <c r="O40" s="101"/>
      <c r="P40" s="87"/>
    </row>
    <row r="41" spans="1:16" ht="43.15" customHeight="1">
      <c r="A41" s="187"/>
      <c r="B41" s="74" t="s">
        <v>96</v>
      </c>
      <c r="C41" s="100"/>
      <c r="D41" s="76">
        <f t="shared" si="9"/>
        <v>237929.56368460954</v>
      </c>
      <c r="E41" s="76">
        <f t="shared" si="8"/>
        <v>242943.20993849143</v>
      </c>
      <c r="F41" s="76">
        <f t="shared" si="8"/>
        <v>257031.44484679666</v>
      </c>
      <c r="G41" s="76">
        <f t="shared" si="8"/>
        <v>305427.7730769231</v>
      </c>
      <c r="H41" s="76">
        <f t="shared" si="6"/>
        <v>396734.50413349661</v>
      </c>
      <c r="I41" s="76">
        <f t="shared" si="6"/>
        <v>421883.58386524825</v>
      </c>
      <c r="J41" s="76">
        <f t="shared" si="6"/>
        <v>516652.44597701152</v>
      </c>
      <c r="K41" s="76">
        <f t="shared" si="7"/>
        <v>893913.80103450571</v>
      </c>
      <c r="L41" s="76">
        <f t="shared" si="7"/>
        <v>938945.53352514619</v>
      </c>
      <c r="M41" s="89">
        <f t="shared" si="7"/>
        <v>769480.89527248847</v>
      </c>
      <c r="N41" s="87"/>
    </row>
    <row r="42" spans="1:16" ht="43.15" customHeight="1">
      <c r="A42" s="96"/>
      <c r="B42" s="85" t="s">
        <v>100</v>
      </c>
      <c r="C42" s="102">
        <f t="shared" ref="C42:D42" si="10">+SUM(C44:C50)</f>
        <v>2491772723</v>
      </c>
      <c r="D42" s="86">
        <f t="shared" si="10"/>
        <v>6730330600</v>
      </c>
      <c r="E42" s="86"/>
      <c r="F42" s="86">
        <f>SUM(F44:F50)</f>
        <v>9353011108</v>
      </c>
      <c r="G42" s="86">
        <f t="shared" ref="G42:L42" si="11">+SUM(G44:G50)</f>
        <v>13895235700</v>
      </c>
      <c r="H42" s="86">
        <f t="shared" si="11"/>
        <v>15025239544</v>
      </c>
      <c r="I42" s="86">
        <f>+SUM(I44:I50)</f>
        <v>13277756267</v>
      </c>
      <c r="J42" s="86">
        <f t="shared" si="11"/>
        <v>13654438003</v>
      </c>
      <c r="K42" s="86">
        <f t="shared" si="11"/>
        <v>8727343819</v>
      </c>
      <c r="L42" s="86">
        <f t="shared" si="11"/>
        <v>6162319997</v>
      </c>
      <c r="M42" s="86">
        <f>+SUM(M44:M50)</f>
        <v>7328864354</v>
      </c>
    </row>
    <row r="43" spans="1:16" ht="43.15" customHeight="1">
      <c r="A43" s="96"/>
      <c r="B43" s="85" t="s">
        <v>101</v>
      </c>
      <c r="C43" s="102"/>
      <c r="D43" s="86">
        <v>16677</v>
      </c>
      <c r="E43" s="86"/>
      <c r="F43" s="86"/>
      <c r="G43" s="86">
        <f>+G42/G15</f>
        <v>21888.465549289562</v>
      </c>
      <c r="H43" s="86">
        <f>+H42/H15</f>
        <v>24962.02102591025</v>
      </c>
      <c r="I43" s="86">
        <f t="shared" ref="I43:M43" si="12">+I42/I15</f>
        <v>21951.20366323015</v>
      </c>
      <c r="J43" s="86">
        <f t="shared" si="12"/>
        <v>20750.574069149137</v>
      </c>
      <c r="K43" s="86">
        <f t="shared" si="12"/>
        <v>13897.221332437355</v>
      </c>
      <c r="L43" s="86">
        <f t="shared" si="12"/>
        <v>12274.324715518063</v>
      </c>
      <c r="M43" s="86">
        <f t="shared" si="12"/>
        <v>10968.989250820183</v>
      </c>
    </row>
    <row r="44" spans="1:16" ht="43.15" customHeight="1">
      <c r="A44" s="186" t="s">
        <v>100</v>
      </c>
      <c r="B44" s="74" t="s">
        <v>102</v>
      </c>
      <c r="C44" s="88">
        <f>20747027+1391765280</f>
        <v>1412512307</v>
      </c>
      <c r="D44" s="76">
        <f>1194*D6+3309*D6</f>
        <v>2158287900</v>
      </c>
      <c r="E44" s="76"/>
      <c r="F44" s="76">
        <f>1084820646+1553799065</f>
        <v>2638619711</v>
      </c>
      <c r="G44" s="76">
        <f>1240225906+1389038537</f>
        <v>2629264443</v>
      </c>
      <c r="H44" s="76">
        <f>1239379397+2109684284</f>
        <v>3349063681</v>
      </c>
      <c r="I44" s="76">
        <v>3533527163</v>
      </c>
      <c r="J44" s="76">
        <v>2060472798</v>
      </c>
      <c r="K44" s="76">
        <v>2263203375</v>
      </c>
      <c r="L44" s="76">
        <v>904386542</v>
      </c>
      <c r="M44" s="89">
        <v>2401941946</v>
      </c>
    </row>
    <row r="45" spans="1:16" ht="43.15" customHeight="1">
      <c r="A45" s="191"/>
      <c r="B45" s="74" t="s">
        <v>103</v>
      </c>
      <c r="C45" s="103"/>
      <c r="D45" s="68">
        <f>+D6*1565</f>
        <v>750104500</v>
      </c>
      <c r="E45" s="76"/>
      <c r="F45" s="76">
        <v>910267284</v>
      </c>
      <c r="G45" s="76">
        <v>3605592626</v>
      </c>
      <c r="H45" s="76">
        <v>3350450115</v>
      </c>
      <c r="I45" s="76">
        <v>2377924686</v>
      </c>
      <c r="J45" s="76">
        <v>1816650546</v>
      </c>
      <c r="K45" s="76">
        <v>4075187493</v>
      </c>
      <c r="L45" s="76">
        <v>3814396261</v>
      </c>
      <c r="M45" s="89">
        <v>3909863258</v>
      </c>
    </row>
    <row r="46" spans="1:16" ht="43.15" customHeight="1">
      <c r="A46" s="191"/>
      <c r="B46" s="74" t="s">
        <v>104</v>
      </c>
      <c r="C46" s="88">
        <v>123392025</v>
      </c>
      <c r="D46" s="76">
        <v>0</v>
      </c>
      <c r="E46" s="76"/>
      <c r="F46" s="76">
        <v>0</v>
      </c>
      <c r="G46" s="76">
        <v>0</v>
      </c>
      <c r="H46" s="76">
        <v>0</v>
      </c>
      <c r="I46" s="76">
        <v>0</v>
      </c>
      <c r="J46" s="76">
        <v>0</v>
      </c>
      <c r="K46" s="76">
        <v>8793186</v>
      </c>
      <c r="L46" s="76">
        <v>0</v>
      </c>
      <c r="M46" s="89">
        <v>0</v>
      </c>
    </row>
    <row r="47" spans="1:16" ht="43.15" customHeight="1">
      <c r="A47" s="191"/>
      <c r="B47" s="74" t="s">
        <v>105</v>
      </c>
      <c r="C47" s="88">
        <v>700745903</v>
      </c>
      <c r="D47" s="76">
        <f>3309*D6</f>
        <v>1586003700</v>
      </c>
      <c r="E47" s="76"/>
      <c r="F47" s="76">
        <v>3850393994</v>
      </c>
      <c r="G47" s="76">
        <v>5379095054</v>
      </c>
      <c r="H47" s="76">
        <v>4907503593</v>
      </c>
      <c r="I47" s="76">
        <v>4011803853</v>
      </c>
      <c r="J47" s="76">
        <v>7222689173</v>
      </c>
      <c r="K47" s="76">
        <v>926867226</v>
      </c>
      <c r="L47" s="76">
        <v>0</v>
      </c>
      <c r="M47" s="89">
        <v>0</v>
      </c>
    </row>
    <row r="48" spans="1:16" ht="43.15" customHeight="1">
      <c r="A48" s="191"/>
      <c r="B48" s="74" t="s">
        <v>106</v>
      </c>
      <c r="C48" s="88">
        <v>255122488</v>
      </c>
      <c r="D48" s="76">
        <f>D6*4079</f>
        <v>1955064700</v>
      </c>
      <c r="E48" s="76"/>
      <c r="F48" s="76">
        <v>1953730119</v>
      </c>
      <c r="G48" s="76">
        <v>1844099823</v>
      </c>
      <c r="H48" s="76">
        <v>2478725715</v>
      </c>
      <c r="I48" s="76">
        <v>2437730761</v>
      </c>
      <c r="J48" s="76">
        <v>1676204117</v>
      </c>
      <c r="K48" s="76">
        <v>1498292539</v>
      </c>
      <c r="L48" s="76">
        <v>1443537194</v>
      </c>
      <c r="M48" s="89">
        <v>1017059150</v>
      </c>
    </row>
    <row r="49" spans="1:14" ht="43.15" customHeight="1">
      <c r="A49" s="191"/>
      <c r="B49" s="74" t="s">
        <v>107</v>
      </c>
      <c r="C49" s="75"/>
      <c r="D49" s="76">
        <f>+D6*586</f>
        <v>280869800</v>
      </c>
      <c r="E49" s="76"/>
      <c r="F49" s="76">
        <v>0</v>
      </c>
      <c r="G49" s="76">
        <v>437183754</v>
      </c>
      <c r="H49" s="76">
        <v>939496440</v>
      </c>
      <c r="I49" s="76">
        <v>916769804</v>
      </c>
      <c r="J49" s="76">
        <v>878421369</v>
      </c>
      <c r="K49" s="76">
        <v>0</v>
      </c>
      <c r="L49" s="76">
        <v>0</v>
      </c>
      <c r="M49" s="89"/>
    </row>
    <row r="50" spans="1:14" ht="43.15" customHeight="1">
      <c r="A50" s="187"/>
      <c r="B50" s="80" t="s">
        <v>108</v>
      </c>
      <c r="C50" s="81"/>
      <c r="D50" s="91"/>
      <c r="E50" s="91"/>
      <c r="F50" s="91"/>
      <c r="G50" s="91"/>
      <c r="H50" s="76">
        <v>0</v>
      </c>
      <c r="I50" s="76">
        <v>0</v>
      </c>
      <c r="J50" s="76">
        <v>0</v>
      </c>
      <c r="K50" s="76">
        <v>-45000000</v>
      </c>
      <c r="L50" s="76">
        <v>0</v>
      </c>
      <c r="M50" s="89"/>
    </row>
    <row r="51" spans="1:14" ht="43.15" customHeight="1">
      <c r="A51" s="186"/>
      <c r="B51" s="104" t="s">
        <v>109</v>
      </c>
      <c r="C51" s="105"/>
      <c r="D51" s="76">
        <v>31776069299</v>
      </c>
      <c r="E51" s="76">
        <v>28108205322</v>
      </c>
      <c r="F51" s="76">
        <v>30355578481</v>
      </c>
      <c r="G51" s="106"/>
      <c r="H51" s="107"/>
      <c r="I51" s="107">
        <v>30248955348</v>
      </c>
      <c r="J51" s="107">
        <v>43284023764</v>
      </c>
      <c r="K51" s="107">
        <v>55724210544</v>
      </c>
      <c r="L51" s="107">
        <v>48093746456.151421</v>
      </c>
      <c r="M51" s="108">
        <v>45484371703</v>
      </c>
    </row>
    <row r="52" spans="1:14" ht="43.15" customHeight="1">
      <c r="A52" s="191"/>
      <c r="B52" s="74" t="s">
        <v>110</v>
      </c>
      <c r="C52" s="75"/>
      <c r="D52" s="76">
        <f>15325723624+10067615119</f>
        <v>25393338743</v>
      </c>
      <c r="E52" s="76">
        <f>11595060921+12859895978</f>
        <v>24454956899</v>
      </c>
      <c r="F52" s="76">
        <f>16940175941+7896206453</f>
        <v>24836382394</v>
      </c>
      <c r="G52" s="109"/>
      <c r="H52" s="76"/>
      <c r="I52" s="76">
        <v>21593635791</v>
      </c>
      <c r="J52" s="76">
        <f>9644007042+15862398025</f>
        <v>25506405067</v>
      </c>
      <c r="K52" s="76">
        <v>21981682001</v>
      </c>
      <c r="L52" s="76">
        <f>8903040445.33883+7168996995.64353</f>
        <v>16072037440.982361</v>
      </c>
      <c r="M52" s="89">
        <f>9233370325+10286909211</f>
        <v>19520279536</v>
      </c>
    </row>
    <row r="53" spans="1:14" ht="43.15" customHeight="1">
      <c r="A53" s="191"/>
      <c r="B53" s="74" t="s">
        <v>111</v>
      </c>
      <c r="C53" s="75"/>
      <c r="D53" s="76"/>
      <c r="E53" s="76"/>
      <c r="F53" s="76"/>
      <c r="G53" s="109"/>
      <c r="H53" s="76"/>
      <c r="I53" s="76">
        <v>19791475150</v>
      </c>
      <c r="J53" s="76">
        <v>14015895451</v>
      </c>
      <c r="K53" s="76">
        <v>23328355692</v>
      </c>
      <c r="L53" s="76">
        <v>24946894092</v>
      </c>
      <c r="M53" s="89">
        <v>26954027101</v>
      </c>
    </row>
    <row r="54" spans="1:14" ht="43.15" customHeight="1">
      <c r="A54" s="191"/>
      <c r="B54" s="74" t="s">
        <v>112</v>
      </c>
      <c r="C54" s="75"/>
      <c r="D54" s="76">
        <v>57169408042</v>
      </c>
      <c r="E54" s="76">
        <v>52563162220</v>
      </c>
      <c r="F54" s="76">
        <v>55191960874</v>
      </c>
      <c r="G54" s="109"/>
      <c r="H54" s="76">
        <f t="shared" ref="H54:M54" si="13">SUM(H51:H53)</f>
        <v>0</v>
      </c>
      <c r="I54" s="76">
        <f t="shared" si="13"/>
        <v>71634066289</v>
      </c>
      <c r="J54" s="76">
        <f t="shared" si="13"/>
        <v>82806324282</v>
      </c>
      <c r="K54" s="76">
        <f t="shared" si="13"/>
        <v>101034248237</v>
      </c>
      <c r="L54" s="76">
        <f t="shared" si="13"/>
        <v>89112677989.133789</v>
      </c>
      <c r="M54" s="89">
        <f t="shared" si="13"/>
        <v>91958678340</v>
      </c>
    </row>
    <row r="55" spans="1:14" ht="43.15" customHeight="1">
      <c r="A55" s="191"/>
      <c r="B55" s="74" t="s">
        <v>113</v>
      </c>
      <c r="C55" s="75"/>
      <c r="D55" s="76">
        <v>12160364968</v>
      </c>
      <c r="E55" s="76">
        <v>15640244318</v>
      </c>
      <c r="F55" s="76">
        <v>27074494820</v>
      </c>
      <c r="G55" s="109"/>
      <c r="H55" s="76"/>
      <c r="I55" s="76">
        <v>20966038795</v>
      </c>
      <c r="J55" s="76">
        <v>20975391940</v>
      </c>
      <c r="K55" s="76">
        <v>21443617274</v>
      </c>
      <c r="L55" s="76">
        <v>22265941215.389999</v>
      </c>
      <c r="M55" s="89">
        <v>20122930344</v>
      </c>
    </row>
    <row r="56" spans="1:14" ht="43.15" customHeight="1">
      <c r="A56" s="191"/>
      <c r="B56" s="74" t="s">
        <v>114</v>
      </c>
      <c r="C56" s="75"/>
      <c r="D56" s="76">
        <v>245054611</v>
      </c>
      <c r="E56" s="76">
        <v>1444450641</v>
      </c>
      <c r="F56" s="76">
        <v>5878757114</v>
      </c>
      <c r="G56" s="109"/>
      <c r="H56" s="76"/>
      <c r="I56" s="76">
        <v>4234614506</v>
      </c>
      <c r="J56" s="76">
        <v>6822970097</v>
      </c>
      <c r="K56" s="76">
        <v>21313054512</v>
      </c>
      <c r="L56" s="76">
        <v>9695108983.3800011</v>
      </c>
      <c r="M56" s="89">
        <v>11951720019</v>
      </c>
    </row>
    <row r="57" spans="1:14" ht="43.15" customHeight="1">
      <c r="A57" s="191"/>
      <c r="B57" s="74" t="s">
        <v>115</v>
      </c>
      <c r="C57" s="75"/>
      <c r="D57" s="76">
        <v>69574827621</v>
      </c>
      <c r="E57" s="76">
        <v>69647857180</v>
      </c>
      <c r="F57" s="76">
        <v>88145212808</v>
      </c>
      <c r="G57" s="109"/>
      <c r="H57" s="76">
        <f t="shared" ref="H57:M57" si="14">SUM(H54:H56)</f>
        <v>0</v>
      </c>
      <c r="I57" s="76">
        <f t="shared" si="14"/>
        <v>96834719590</v>
      </c>
      <c r="J57" s="76">
        <f t="shared" si="14"/>
        <v>110604686319</v>
      </c>
      <c r="K57" s="76">
        <f t="shared" si="14"/>
        <v>143790920023</v>
      </c>
      <c r="L57" s="76">
        <f t="shared" si="14"/>
        <v>121073728187.90379</v>
      </c>
      <c r="M57" s="89">
        <f t="shared" si="14"/>
        <v>124033328703</v>
      </c>
      <c r="N57" s="87"/>
    </row>
    <row r="58" spans="1:14" ht="43.15" customHeight="1">
      <c r="A58" s="191"/>
      <c r="B58" s="74" t="s">
        <v>116</v>
      </c>
      <c r="C58" s="75"/>
      <c r="D58" s="76"/>
      <c r="E58" s="76"/>
      <c r="F58" s="76"/>
      <c r="G58" s="109"/>
      <c r="H58" s="76"/>
      <c r="I58" s="76">
        <v>104097323559</v>
      </c>
      <c r="J58" s="76">
        <f>+J57*1.075</f>
        <v>118900037792.92499</v>
      </c>
      <c r="K58" s="76">
        <v>154575239025</v>
      </c>
      <c r="L58" s="76">
        <v>130154257802</v>
      </c>
      <c r="M58" s="89">
        <f>+M57*1.075</f>
        <v>133335828355.72499</v>
      </c>
      <c r="N58" s="87"/>
    </row>
    <row r="59" spans="1:14" ht="43.15" customHeight="1">
      <c r="A59" s="191"/>
      <c r="B59" s="74" t="s">
        <v>117</v>
      </c>
      <c r="C59" s="75"/>
      <c r="D59" s="76"/>
      <c r="E59" s="76"/>
      <c r="F59" s="76"/>
      <c r="G59" s="109"/>
      <c r="H59" s="76"/>
      <c r="I59" s="76">
        <v>115971323559</v>
      </c>
      <c r="J59" s="76">
        <f>148319386139</f>
        <v>148319386139</v>
      </c>
      <c r="K59" s="76">
        <v>214147512030</v>
      </c>
      <c r="L59" s="76">
        <v>142036687952</v>
      </c>
      <c r="M59" s="89">
        <v>172022992065</v>
      </c>
      <c r="N59" s="87"/>
    </row>
    <row r="60" spans="1:14" ht="43.15" customHeight="1">
      <c r="A60" s="187"/>
      <c r="B60" s="80" t="s">
        <v>118</v>
      </c>
      <c r="C60" s="81"/>
      <c r="D60" s="76"/>
      <c r="E60" s="76"/>
      <c r="F60" s="76"/>
      <c r="G60" s="110"/>
      <c r="H60" s="76"/>
      <c r="I60" s="76">
        <v>11874170074</v>
      </c>
      <c r="J60" s="76">
        <v>29419348346.075012</v>
      </c>
      <c r="K60" s="76">
        <v>59572273005</v>
      </c>
      <c r="L60" s="76">
        <v>11882430150</v>
      </c>
      <c r="M60" s="89">
        <f>+M59-M58</f>
        <v>38687163709.275009</v>
      </c>
      <c r="N60" s="87"/>
    </row>
    <row r="61" spans="1:14" ht="43.15" customHeight="1">
      <c r="A61" s="96"/>
      <c r="B61" s="85" t="s">
        <v>119</v>
      </c>
      <c r="C61" s="99">
        <f t="shared" ref="C61:M61" si="15">+C62+C63</f>
        <v>324846204</v>
      </c>
      <c r="D61" s="85">
        <f t="shared" si="15"/>
        <v>2187969533</v>
      </c>
      <c r="E61" s="85">
        <f t="shared" si="15"/>
        <v>0</v>
      </c>
      <c r="F61" s="85">
        <f t="shared" si="15"/>
        <v>3827636536</v>
      </c>
      <c r="G61" s="85">
        <f t="shared" si="15"/>
        <v>4980914573</v>
      </c>
      <c r="H61" s="86">
        <f t="shared" si="15"/>
        <v>5646666030</v>
      </c>
      <c r="I61" s="102">
        <f t="shared" si="15"/>
        <v>6320547463</v>
      </c>
      <c r="J61" s="86">
        <f t="shared" si="15"/>
        <v>9668021560.607502</v>
      </c>
      <c r="K61" s="86">
        <f t="shared" si="15"/>
        <v>16210660921</v>
      </c>
      <c r="L61" s="86">
        <f t="shared" si="15"/>
        <v>8140692845</v>
      </c>
      <c r="M61" s="86">
        <f t="shared" si="15"/>
        <v>12304787143.927502</v>
      </c>
      <c r="N61" s="87"/>
    </row>
    <row r="62" spans="1:14" ht="43.15" customHeight="1">
      <c r="A62" s="186" t="s">
        <v>119</v>
      </c>
      <c r="B62" s="74" t="s">
        <v>120</v>
      </c>
      <c r="C62" s="75">
        <v>324846204</v>
      </c>
      <c r="D62" s="109">
        <v>2187969533</v>
      </c>
      <c r="E62" s="109"/>
      <c r="F62" s="109">
        <v>3827636536</v>
      </c>
      <c r="G62" s="109">
        <v>4980914573</v>
      </c>
      <c r="H62" s="77">
        <v>5008666030</v>
      </c>
      <c r="I62" s="78">
        <v>5133130456</v>
      </c>
      <c r="J62" s="78">
        <v>6726086726</v>
      </c>
      <c r="K62" s="78">
        <v>10253433620</v>
      </c>
      <c r="L62" s="78">
        <v>6952449830</v>
      </c>
      <c r="M62" s="78">
        <v>8436070773</v>
      </c>
    </row>
    <row r="63" spans="1:14" ht="43.15" customHeight="1">
      <c r="A63" s="187"/>
      <c r="B63" s="80" t="s">
        <v>121</v>
      </c>
      <c r="C63" s="81"/>
      <c r="D63" s="110"/>
      <c r="E63" s="110"/>
      <c r="F63" s="110"/>
      <c r="G63" s="110"/>
      <c r="H63" s="111">
        <v>638000000</v>
      </c>
      <c r="I63" s="93">
        <v>1187417007</v>
      </c>
      <c r="J63" s="93">
        <v>2941934834.6075015</v>
      </c>
      <c r="K63" s="93">
        <v>5957227301</v>
      </c>
      <c r="L63" s="93">
        <v>1188243015</v>
      </c>
      <c r="M63" s="93">
        <f>+M60*0.1</f>
        <v>3868716370.9275012</v>
      </c>
    </row>
    <row r="66" spans="12:13">
      <c r="L66" s="101"/>
      <c r="M66" s="101"/>
    </row>
    <row r="69" spans="12:13">
      <c r="L69" s="87"/>
      <c r="M69" s="87"/>
    </row>
  </sheetData>
  <mergeCells count="7">
    <mergeCell ref="A62:A63"/>
    <mergeCell ref="A7:A14"/>
    <mergeCell ref="A16:A23"/>
    <mergeCell ref="A25:A32"/>
    <mergeCell ref="A34:A41"/>
    <mergeCell ref="A44:A50"/>
    <mergeCell ref="A51:A60"/>
  </mergeCell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19</vt:i4>
      </vt:variant>
    </vt:vector>
  </HeadingPairs>
  <TitlesOfParts>
    <vt:vector size="19" baseType="lpstr">
      <vt:lpstr>data_exp</vt:lpstr>
      <vt:lpstr>data_imp</vt:lpstr>
      <vt:lpstr>table</vt:lpstr>
      <vt:lpstr>data_merge</vt:lpstr>
      <vt:lpstr>Export_Comtrade</vt:lpstr>
      <vt:lpstr>Export_Rapport</vt:lpstr>
      <vt:lpstr>Export_Import</vt:lpstr>
      <vt:lpstr>data2_exp</vt:lpstr>
      <vt:lpstr>data1_imp</vt:lpstr>
      <vt:lpstr>Import_comtrade</vt:lpstr>
      <vt:lpstr>Tableau 11_2022</vt:lpstr>
      <vt:lpstr>34_2024</vt:lpstr>
      <vt:lpstr>Import_OR</vt:lpstr>
      <vt:lpstr>Or vf (2)</vt:lpstr>
      <vt:lpstr>Feuil2</vt:lpstr>
      <vt:lpstr>Feuil1 (2)</vt:lpstr>
      <vt:lpstr>Or vf</vt:lpstr>
      <vt:lpstr>Or</vt:lpstr>
      <vt:lpstr>Zircon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Bmd</dc:creator>
  <cp:lastModifiedBy>sie rachid traore</cp:lastModifiedBy>
  <dcterms:created xsi:type="dcterms:W3CDTF">2015-06-05T18:19:34Z</dcterms:created>
  <dcterms:modified xsi:type="dcterms:W3CDTF">2026-05-18T14:22:32Z</dcterms:modified>
</cp:coreProperties>
</file>