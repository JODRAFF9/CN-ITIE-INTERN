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md\Documents\ISE\Cours\ISE3\Stage ITIE\Analyse miroir\"/>
    </mc:Choice>
  </mc:AlternateContent>
  <xr:revisionPtr revIDLastSave="0" documentId="13_ncr:1_{ED08EAEA-B70B-4E32-A73E-5367DF4C8EE4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data_exp" sheetId="1" r:id="rId1"/>
    <sheet name="data_imp" sheetId="2" r:id="rId2"/>
    <sheet name="table" sheetId="4" r:id="rId3"/>
    <sheet name="data_merge" sheetId="3" r:id="rId4"/>
  </sheets>
  <calcPr calcId="191029"/>
  <pivotCaches>
    <pivotCache cacheId="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3" l="1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2" i="3"/>
</calcChain>
</file>

<file path=xl/sharedStrings.xml><?xml version="1.0" encoding="utf-8"?>
<sst xmlns="http://schemas.openxmlformats.org/spreadsheetml/2006/main" count="339" uniqueCount="49">
  <si>
    <t>Substance</t>
  </si>
  <si>
    <t>Opérateur</t>
  </si>
  <si>
    <t>Projet</t>
  </si>
  <si>
    <t>Pays_x000D_
destinataire</t>
  </si>
  <si>
    <t>Unité</t>
  </si>
  <si>
    <t>Poids</t>
  </si>
  <si>
    <t>Valeur_x000D_
Total FCFA</t>
  </si>
  <si>
    <t>Valeur_x000D_
Total USD (**)</t>
  </si>
  <si>
    <t>cours moyen annuel</t>
  </si>
  <si>
    <t>Année</t>
  </si>
  <si>
    <t>Pays</t>
  </si>
  <si>
    <t>Or</t>
  </si>
  <si>
    <t>SGO</t>
  </si>
  <si>
    <t>Sabodala</t>
  </si>
  <si>
    <t>Suisse</t>
  </si>
  <si>
    <t>tonnes</t>
  </si>
  <si>
    <t>PMC</t>
  </si>
  <si>
    <t>Mako</t>
  </si>
  <si>
    <t>Australie</t>
  </si>
  <si>
    <t>Senegal</t>
  </si>
  <si>
    <t>Sénégal</t>
  </si>
  <si>
    <t>reporterDesc</t>
  </si>
  <si>
    <t>Unite</t>
  </si>
  <si>
    <t>Quantite</t>
  </si>
  <si>
    <t>Valeur_CIF_USD</t>
  </si>
  <si>
    <t>Valeur_USD</t>
  </si>
  <si>
    <t>Australia</t>
  </si>
  <si>
    <t>China</t>
  </si>
  <si>
    <t>Chine</t>
  </si>
  <si>
    <t>Italy</t>
  </si>
  <si>
    <t>Italie</t>
  </si>
  <si>
    <t>Switzerland</t>
  </si>
  <si>
    <t>Thailand</t>
  </si>
  <si>
    <t>Thaïlande</t>
  </si>
  <si>
    <t>Türkiye</t>
  </si>
  <si>
    <t>Turquie</t>
  </si>
  <si>
    <t>Mali</t>
  </si>
  <si>
    <t>United Arab Emirates</t>
  </si>
  <si>
    <t>Émirats arabes unis</t>
  </si>
  <si>
    <t>Spain</t>
  </si>
  <si>
    <t>Espagne</t>
  </si>
  <si>
    <t>Poids_exp</t>
  </si>
  <si>
    <t>Poids_imp</t>
  </si>
  <si>
    <t>ecart</t>
  </si>
  <si>
    <t>Étiquettes de lignes</t>
  </si>
  <si>
    <t>Total général</t>
  </si>
  <si>
    <t>Importation déclarée par les pays partenaires</t>
  </si>
  <si>
    <t>Exportation déclarée par le Sénégal</t>
  </si>
  <si>
    <t>Ecart entre les déclarations (EMAPE non déclarée)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</si>
</sst>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[mes_bases.xlsx]table!Tableau croisé dynamique2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</c:pivotFmt>
      <c:pivotFmt>
        <c:idx val="6"/>
        <c:spPr>
          <a:solidFill>
            <a:schemeClr val="accent3"/>
          </a:solidFill>
          <a:ln>
            <a:noFill/>
          </a:ln>
          <a:effectLst/>
          <a:sp3d/>
        </c:spPr>
      </c:pivotFmt>
      <c:pivotFmt>
        <c:idx val="7"/>
        <c:spPr>
          <a:solidFill>
            <a:schemeClr val="accent3"/>
          </a:solidFill>
          <a:ln>
            <a:noFill/>
          </a:ln>
          <a:effectLst/>
          <a:sp3d/>
        </c:spPr>
      </c:pivotFmt>
      <c:pivotFmt>
        <c:idx val="8"/>
        <c:spPr>
          <a:solidFill>
            <a:schemeClr val="accent2"/>
          </a:solidFill>
          <a:ln>
            <a:noFill/>
          </a:ln>
          <a:effectLst/>
          <a:sp3d/>
        </c:spP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table!$B$3</c:f>
              <c:strCache>
                <c:ptCount val="1"/>
                <c:pt idx="0">
                  <c:v>Importation déclarée par les pays partenaires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table!$A$4:$A$9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table!$B$4:$B$9</c:f>
              <c:numCache>
                <c:formatCode>General</c:formatCode>
                <c:ptCount val="5"/>
                <c:pt idx="0">
                  <c:v>24.897390000000005</c:v>
                </c:pt>
                <c:pt idx="1">
                  <c:v>20.127113000000001</c:v>
                </c:pt>
                <c:pt idx="2">
                  <c:v>18.989317</c:v>
                </c:pt>
                <c:pt idx="3">
                  <c:v>18.447341999999999</c:v>
                </c:pt>
                <c:pt idx="4">
                  <c:v>11.188336999999999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5E-4912-B742-06551EDFF441}"/>
            </c:ext>
          </c:extLst>
        </c:ser>
        <c:ser>
          <c:idx val="1"/>
          <c:order val="1"/>
          <c:tx>
            <c:strRef>
              <c:f>table!$C$3</c:f>
              <c:strCache>
                <c:ptCount val="1"/>
                <c:pt idx="0">
                  <c:v>Exportation déclarée par le Sénégal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table!$A$4:$A$9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table!$C$4:$C$9</c:f>
              <c:numCache>
                <c:formatCode>General</c:formatCode>
                <c:ptCount val="5"/>
                <c:pt idx="0">
                  <c:v>12.354299666415248</c:v>
                </c:pt>
                <c:pt idx="1">
                  <c:v>15.873222242093886</c:v>
                </c:pt>
                <c:pt idx="2">
                  <c:v>16.371563062136971</c:v>
                </c:pt>
                <c:pt idx="3">
                  <c:v>12.959168915188604</c:v>
                </c:pt>
                <c:pt idx="4">
                  <c:v>10.669797749663696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5E-4912-B742-06551EDFF441}"/>
            </c:ext>
          </c:extLst>
        </c:ser>
        <c:ser>
          <c:idx val="2"/>
          <c:order val="2"/>
          <c:tx>
            <c:strRef>
              <c:f>table!$D$3</c:f>
              <c:strCache>
                <c:ptCount val="1"/>
                <c:pt idx="0">
                  <c:v>Ecart entre les déclarations (EMAPE non déclarée)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table!$A$4:$A$9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table!$D$4:$D$9</c:f>
              <c:numCache>
                <c:formatCode>General</c:formatCode>
                <c:ptCount val="5"/>
                <c:pt idx="0">
                  <c:v>12.543090333584752</c:v>
                </c:pt>
                <c:pt idx="1">
                  <c:v>4.2538907579061132</c:v>
                </c:pt>
                <c:pt idx="2">
                  <c:v>2.6177539378630303</c:v>
                </c:pt>
                <c:pt idx="3">
                  <c:v>5.4881730848113968</c:v>
                </c:pt>
                <c:pt idx="4">
                  <c:v>0.51853925033630488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5E-4912-B742-06551EDFF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4692688"/>
        <c:axId val="184697488"/>
        <c:axId val="0"/>
      </c:bar3DChart>
      <c:catAx>
        <c:axId val="184692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4697488"/>
        <c:crosses val="autoZero"/>
        <c:auto val="1"/>
        <c:lblAlgn val="ctr"/>
        <c:lblOffset val="100"/>
        <c:noMultiLvlLbl val="0"/>
      </c:catAx>
      <c:valAx>
        <c:axId val="18469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4692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[mes_bases.xlsx]table!Tableau croisé dynamique3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table!$B$28</c:f>
              <c:strCache>
                <c:ptCount val="1"/>
                <c:pt idx="0">
                  <c:v>Importation déclarée par les pays partenaires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numFmt formatCode="0.##0;\-0.##0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table!$A$29:$A$30</c:f>
              <c:strCache>
                <c:ptCount val="1"/>
                <c:pt idx="0">
                  <c:v>2024</c:v>
                </c:pt>
              </c:strCache>
            </c:strRef>
          </c:cat>
          <c:val>
            <c:numRef>
              <c:f>table!$B$29:$B$30</c:f>
              <c:numCache>
                <c:formatCode>General</c:formatCode>
                <c:ptCount val="1"/>
                <c:pt idx="0">
                  <c:v>11.188336999999999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42-4B32-8642-0D9D679495AC}"/>
            </c:ext>
          </c:extLst>
        </c:ser>
        <c:ser>
          <c:idx val="1"/>
          <c:order val="1"/>
          <c:tx>
            <c:strRef>
              <c:f>table!$C$28</c:f>
              <c:strCache>
                <c:ptCount val="1"/>
                <c:pt idx="0">
                  <c:v>Exportation déclarée par le Sénégal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numFmt formatCode="0.##0;\-0.##0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table!$A$29:$A$30</c:f>
              <c:strCache>
                <c:ptCount val="1"/>
                <c:pt idx="0">
                  <c:v>2024</c:v>
                </c:pt>
              </c:strCache>
            </c:strRef>
          </c:cat>
          <c:val>
            <c:numRef>
              <c:f>table!$C$29:$C$30</c:f>
              <c:numCache>
                <c:formatCode>General</c:formatCode>
                <c:ptCount val="1"/>
                <c:pt idx="0">
                  <c:v>10.669797749663696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42-4B32-8642-0D9D679495AC}"/>
            </c:ext>
          </c:extLst>
        </c:ser>
        <c:ser>
          <c:idx val="2"/>
          <c:order val="2"/>
          <c:tx>
            <c:strRef>
              <c:f>table!$D$28</c:f>
              <c:strCache>
                <c:ptCount val="1"/>
                <c:pt idx="0">
                  <c:v>Ecart entre les déclarations (EMAPE non déclarée)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numFmt formatCode="0.##0;\-0.##0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table!$A$29:$A$30</c:f>
              <c:strCache>
                <c:ptCount val="1"/>
                <c:pt idx="0">
                  <c:v>2024</c:v>
                </c:pt>
              </c:strCache>
            </c:strRef>
          </c:cat>
          <c:val>
            <c:numRef>
              <c:f>table!$D$29:$D$30</c:f>
              <c:numCache>
                <c:formatCode>General</c:formatCode>
                <c:ptCount val="1"/>
                <c:pt idx="0">
                  <c:v>0.51853925033630488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42-4B32-8642-0D9D67949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88029152"/>
        <c:axId val="988030112"/>
        <c:axId val="0"/>
      </c:bar3DChart>
      <c:catAx>
        <c:axId val="98802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8030112"/>
        <c:crosses val="autoZero"/>
        <c:auto val="1"/>
        <c:lblAlgn val="ctr"/>
        <c:lblOffset val="100"/>
        <c:noMultiLvlLbl val="0"/>
      </c:catAx>
      <c:valAx>
        <c:axId val="98803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802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69850</xdr:colOff>
      <xdr:row>10</xdr:row>
      <xdr:rowOff>92075</xdr:rowOff>
    </xdr:from>
    <xdr:to>
      <xdr:col>3</xdr:col>
      <xdr:colOff>647700</xdr:colOff>
      <xdr:row>25</xdr:row>
      <xdr:rowOff>73025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90B23EA-3CF8-E501-8E59-E98FFAD1A7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114300</xdr:colOff>
      <xdr:row>35</xdr:row>
      <xdr:rowOff>12700</xdr:rowOff>
    </xdr:from>
    <xdr:to>
      <xdr:col>2</xdr:col>
      <xdr:colOff>571500</xdr:colOff>
      <xdr:row>50</xdr:row>
      <xdr:rowOff>53975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347C4C18-1CD9-C5C6-1C06-933334AC3E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md" refreshedDate="46159.017749537037" createdVersion="8" refreshedVersion="8" minRefreshableVersion="3" recordCount="32" xr:uid="{0740BBED-C8A7-4197-B9F6-900AB26ACD0E}">
  <cacheSource type="worksheet">
    <worksheetSource ref="A1:N33" sheet="data_merge"/>
  </cacheSource>
  <cacheFields count="14">
    <cacheField name="Opérateur" numFmtId="0">
      <sharedItems containsBlank="1"/>
    </cacheField>
    <cacheField name="Projet" numFmtId="0">
      <sharedItems containsBlank="1"/>
    </cacheField>
    <cacheField name="Unité" numFmtId="0">
      <sharedItems/>
    </cacheField>
    <cacheField name="Poids_exp" numFmtId="0">
      <sharedItems containsSemiMixedTypes="0" containsString="0" containsNumber="1" minValue="0" maxValue="11.879753971524771"/>
    </cacheField>
    <cacheField name="Valeur_x000d__x000a_Total FCFA" numFmtId="0">
      <sharedItems containsString="0" containsBlank="1" containsNumber="1" containsInteger="1" minValue="8692666730" maxValue="381693870501"/>
    </cacheField>
    <cacheField name="Valeur_x000d__x000a_Total USD (**)" numFmtId="0">
      <sharedItems containsString="0" containsBlank="1" containsNumber="1" minValue="15125240.110200001" maxValue="687048966.90180004"/>
    </cacheField>
    <cacheField name="cours moyen annuel" numFmtId="0">
      <sharedItems containsString="0" containsBlank="1" containsNumber="1" minValue="1.61" maxValue="1.8"/>
    </cacheField>
    <cacheField name="Année" numFmtId="0">
      <sharedItems containsSemiMixedTypes="0" containsString="0" containsNumber="1" containsInteger="1" minValue="2020" maxValue="2024" count="5">
        <n v="2024"/>
        <n v="2023"/>
        <n v="2022"/>
        <n v="2021"/>
        <n v="2020"/>
      </sharedItems>
    </cacheField>
    <cacheField name="Pays" numFmtId="0">
      <sharedItems/>
    </cacheField>
    <cacheField name="Unite" numFmtId="0">
      <sharedItems/>
    </cacheField>
    <cacheField name="Poids_imp" numFmtId="0">
      <sharedItems containsSemiMixedTypes="0" containsString="0" containsNumber="1" minValue="0" maxValue="13.581" count="28">
        <n v="8.1029999999999998"/>
        <n v="3.0426289999999998"/>
        <n v="0"/>
        <n v="10.566000000000001"/>
        <n v="3.7972039999999998"/>
        <n v="12.081"/>
        <n v="3.6604030000000001"/>
        <n v="13.581"/>
        <n v="3.8843809999999999"/>
        <n v="9.5120000000000005"/>
        <n v="3.6344569999999998"/>
        <n v="1.0012E-2"/>
        <n v="1.0697E-2"/>
        <n v="0.02"/>
        <n v="1.9989999999999999E-3"/>
        <n v="2.8239E-2"/>
        <n v="6.6109999999999997E-3"/>
        <n v="4.01464"/>
        <n v="3.4648000000000012E-2"/>
        <n v="3.2393999999999999E-2"/>
        <n v="3.2155200000000002"/>
        <n v="2.7383999999999999E-2"/>
        <n v="9.9799999999999997E-4"/>
        <n v="2.6259000000000001"/>
        <n v="7.45E-3"/>
        <n v="7.7575999999999992E-2"/>
        <n v="2.1188699999999998"/>
        <n v="4.2486999999999997E-2"/>
      </sharedItems>
    </cacheField>
    <cacheField name="Valeur_CIF_USD" numFmtId="0">
      <sharedItems containsString="0" containsBlank="1" containsNumber="1" minValue="47763.417999999998" maxValue="710234464.13499999"/>
    </cacheField>
    <cacheField name="Valeur_USD" numFmtId="0">
      <sharedItems containsString="0" containsBlank="1" containsNumber="1" minValue="47763.417999999998" maxValue="710234464.13499999"/>
    </cacheField>
    <cacheField name="ecart" numFmtId="0">
      <sharedItems containsSemiMixedTypes="0" containsString="0" containsNumber="1" minValue="-3.7828977551068022" maxValue="8.19150203338957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s v="SGO"/>
    <s v="Sabodala"/>
    <s v="tonnes"/>
    <n v="3.265895818915578"/>
    <n v="176892827875"/>
    <n v="254705218"/>
    <n v="1.6547367049999999"/>
    <x v="0"/>
    <s v="Suisse"/>
    <s v="tonnes"/>
    <x v="0"/>
    <n v="548487309.28999996"/>
    <n v="548487309.28999996"/>
    <n v="4.8371041810844222"/>
  </r>
  <r>
    <s v="PMC"/>
    <s v="Mako"/>
    <s v="tonnes"/>
    <n v="3.6210041756413149"/>
    <n v="171988995312"/>
    <n v="287722269"/>
    <n v="1.6547367049999999"/>
    <x v="0"/>
    <s v="Australie"/>
    <s v="tonnes"/>
    <x v="1"/>
    <n v="201071815.89399999"/>
    <n v="201071815.89399999"/>
    <n v="-0.57837517564131513"/>
  </r>
  <r>
    <s v="SGO"/>
    <s v="Sabodala"/>
    <s v="tonnes"/>
    <n v="3.7828977551068022"/>
    <n v="153070817850"/>
    <n v="292498604"/>
    <n v="1.6547367049999999"/>
    <x v="0"/>
    <s v="Senegal"/>
    <s v="tonnes"/>
    <x v="2"/>
    <m/>
    <m/>
    <n v="-3.7828977551068022"/>
  </r>
  <r>
    <s v="SGO"/>
    <s v="Sabodala"/>
    <s v="tonnes"/>
    <n v="8.9794794833713052"/>
    <n v="344273384269"/>
    <n v="569681805"/>
    <n v="1.65"/>
    <x v="1"/>
    <s v="Suisse"/>
    <s v="tonnes"/>
    <x v="3"/>
    <n v="593906011.35000002"/>
    <n v="593906011.35000002"/>
    <n v="1.5865205166286955"/>
  </r>
  <r>
    <s v="PMC"/>
    <s v="Mako"/>
    <s v="tonnes"/>
    <n v="3.7308616439740909"/>
    <n v="138107655558"/>
    <n v="228531807"/>
    <n v="1.65"/>
    <x v="1"/>
    <s v="Australie"/>
    <s v="tonnes"/>
    <x v="4"/>
    <n v="230374640.12099999"/>
    <n v="230374640.12099999"/>
    <n v="6.6342356025908877E-2"/>
  </r>
  <r>
    <s v="SGO"/>
    <s v="Sabodala"/>
    <s v="tonnes"/>
    <n v="0.24882778784320739"/>
    <n v="9494006760"/>
    <n v="15710081"/>
    <n v="1.65"/>
    <x v="1"/>
    <s v="Senegal"/>
    <s v="tonnes"/>
    <x v="2"/>
    <m/>
    <m/>
    <n v="-0.24882778784320739"/>
  </r>
  <r>
    <s v="SGO"/>
    <s v="Sabodala"/>
    <s v="tonnes"/>
    <n v="11.565639269255"/>
    <n v="380045730082"/>
    <n v="611873625.43202007"/>
    <n v="1.61"/>
    <x v="2"/>
    <s v="Suisse"/>
    <s v="tonnes"/>
    <x v="5"/>
    <n v="631954371.199"/>
    <n v="631954371.199"/>
    <n v="0.51536073074499988"/>
  </r>
  <r>
    <s v="PMC"/>
    <s v="Mako"/>
    <s v="tonnes"/>
    <n v="4.4235695691080297"/>
    <n v="147954684761"/>
    <n v="238207042.46520999"/>
    <n v="1.61"/>
    <x v="2"/>
    <s v="Australie"/>
    <s v="tonnes"/>
    <x v="6"/>
    <n v="206548068.21599999"/>
    <n v="206548068.21599999"/>
    <n v="-0.7631665691080296"/>
  </r>
  <r>
    <s v="SGO"/>
    <s v="Sabodala"/>
    <s v="tonnes"/>
    <n v="0.38235422377393991"/>
    <n v="12540974385"/>
    <n v="20190968.759849999"/>
    <n v="1.61"/>
    <x v="2"/>
    <s v="Senegal"/>
    <s v="tonnes"/>
    <x v="2"/>
    <m/>
    <m/>
    <n v="-0.38235422377393991"/>
  </r>
  <r>
    <s v="SGO"/>
    <s v="Sabodala"/>
    <s v="tonnes"/>
    <n v="11.879753971524771"/>
    <n v="381693870501"/>
    <n v="687048966.90180004"/>
    <n v="1.8"/>
    <x v="3"/>
    <s v="Suisse"/>
    <s v="tonnes"/>
    <x v="7"/>
    <n v="710234464.13499999"/>
    <n v="710234464.13499999"/>
    <n v="1.7012460284752287"/>
  </r>
  <r>
    <s v="PMC"/>
    <s v="Mako"/>
    <s v="tonnes"/>
    <n v="3.993468270569116"/>
    <n v="123373225492"/>
    <n v="222071805.8856"/>
    <n v="1.8"/>
    <x v="3"/>
    <s v="Australie"/>
    <s v="tonnes"/>
    <x v="8"/>
    <n v="219808451.24000001"/>
    <n v="219808451.24000001"/>
    <n v="-0.10908727056911616"/>
  </r>
  <r>
    <s v="SGO"/>
    <s v="Sabodala"/>
    <s v="tonnes"/>
    <n v="6.7771358366445584"/>
    <n v="220079268751"/>
    <n v="382937927.62673998"/>
    <n v="1.74"/>
    <x v="4"/>
    <s v="Suisse"/>
    <s v="tonnes"/>
    <x v="9"/>
    <n v="485160797.29100001"/>
    <n v="485160797.29100001"/>
    <n v="2.734864163355442"/>
  </r>
  <r>
    <s v="SGO"/>
    <s v="Sabodala"/>
    <s v="tonnes"/>
    <n v="0.26437952458340791"/>
    <n v="8692666730"/>
    <n v="15125240.110200001"/>
    <n v="1.74"/>
    <x v="4"/>
    <s v="Sénégal"/>
    <s v="tonnes"/>
    <x v="2"/>
    <m/>
    <m/>
    <n v="-0.26437952458340791"/>
  </r>
  <r>
    <s v="PMC"/>
    <s v="Mako"/>
    <s v="tonnes"/>
    <n v="1.3204979666104211"/>
    <n v="39522643736"/>
    <n v="68769400.100639999"/>
    <n v="1.74"/>
    <x v="4"/>
    <s v="Suisse"/>
    <s v="tonnes"/>
    <x v="9"/>
    <n v="485160797.29100001"/>
    <n v="485160797.29100001"/>
    <n v="8.1915020333895789"/>
  </r>
  <r>
    <s v="PMC"/>
    <s v="Mako"/>
    <s v="tonnes"/>
    <n v="3.9922863385768612"/>
    <n v="117267141286"/>
    <n v="204044825.83763999"/>
    <n v="1.74"/>
    <x v="4"/>
    <s v="Australie"/>
    <s v="tonnes"/>
    <x v="10"/>
    <n v="194991546.08899999"/>
    <n v="194991546.08899999"/>
    <n v="-0.35782933857686139"/>
  </r>
  <r>
    <m/>
    <m/>
    <s v="tonnes"/>
    <n v="0"/>
    <m/>
    <m/>
    <m/>
    <x v="0"/>
    <s v="Chine"/>
    <s v="tonnes"/>
    <x v="11"/>
    <n v="819980"/>
    <n v="819980"/>
    <n v="1.0012E-2"/>
  </r>
  <r>
    <m/>
    <m/>
    <s v="tonnes"/>
    <n v="0"/>
    <m/>
    <m/>
    <m/>
    <x v="0"/>
    <s v="Italie"/>
    <s v="tonnes"/>
    <x v="12"/>
    <n v="676674.71200000006"/>
    <n v="676674.71200000006"/>
    <n v="1.0697E-2"/>
  </r>
  <r>
    <m/>
    <m/>
    <s v="tonnes"/>
    <n v="0"/>
    <m/>
    <m/>
    <m/>
    <x v="0"/>
    <s v="Thaïlande"/>
    <s v="tonnes"/>
    <x v="13"/>
    <n v="1764637.62"/>
    <n v="1764637.62"/>
    <n v="0.02"/>
  </r>
  <r>
    <m/>
    <m/>
    <s v="tonnes"/>
    <n v="0"/>
    <m/>
    <m/>
    <m/>
    <x v="0"/>
    <s v="Turquie"/>
    <s v="tonnes"/>
    <x v="14"/>
    <n v="99765"/>
    <n v="99765"/>
    <n v="1.9989999999999999E-3"/>
  </r>
  <r>
    <m/>
    <m/>
    <s v="tonnes"/>
    <n v="0"/>
    <m/>
    <m/>
    <m/>
    <x v="1"/>
    <s v="Italie"/>
    <s v="tonnes"/>
    <x v="15"/>
    <n v="1335454.328"/>
    <n v="1335454.328"/>
    <n v="2.8239E-2"/>
  </r>
  <r>
    <m/>
    <m/>
    <s v="tonnes"/>
    <n v="0"/>
    <m/>
    <m/>
    <m/>
    <x v="1"/>
    <s v="Mali"/>
    <s v="tonnes"/>
    <x v="16"/>
    <n v="337980.12400000001"/>
    <n v="337980.12400000001"/>
    <n v="6.6109999999999997E-3"/>
  </r>
  <r>
    <m/>
    <m/>
    <s v="tonnes"/>
    <n v="0"/>
    <m/>
    <m/>
    <m/>
    <x v="1"/>
    <s v="Émirats arabes unis"/>
    <s v="tonnes"/>
    <x v="17"/>
    <n v="238406106.84299999"/>
    <n v="238406106.84299999"/>
    <n v="4.01464"/>
  </r>
  <r>
    <m/>
    <m/>
    <s v="tonnes"/>
    <n v="0"/>
    <m/>
    <m/>
    <m/>
    <x v="1"/>
    <s v="Turquie"/>
    <s v="tonnes"/>
    <x v="18"/>
    <n v="1695971"/>
    <n v="1695971"/>
    <n v="3.4648000000000012E-2"/>
  </r>
  <r>
    <m/>
    <m/>
    <s v="tonnes"/>
    <n v="0"/>
    <m/>
    <m/>
    <m/>
    <x v="2"/>
    <s v="Italie"/>
    <s v="tonnes"/>
    <x v="19"/>
    <n v="1541344.121"/>
    <n v="1541344.121"/>
    <n v="3.2393999999999999E-2"/>
  </r>
  <r>
    <m/>
    <m/>
    <s v="tonnes"/>
    <n v="0"/>
    <m/>
    <m/>
    <m/>
    <x v="2"/>
    <s v="Émirats arabes unis"/>
    <s v="tonnes"/>
    <x v="20"/>
    <n v="171934926.44400001"/>
    <n v="171934926.44400001"/>
    <n v="3.2155200000000002"/>
  </r>
  <r>
    <m/>
    <m/>
    <s v="tonnes"/>
    <n v="0"/>
    <m/>
    <m/>
    <m/>
    <x v="3"/>
    <s v="Italie"/>
    <s v="tonnes"/>
    <x v="21"/>
    <n v="1297177.531"/>
    <n v="1297177.531"/>
    <n v="2.7383999999999999E-2"/>
  </r>
  <r>
    <m/>
    <m/>
    <s v="tonnes"/>
    <n v="0"/>
    <m/>
    <m/>
    <m/>
    <x v="3"/>
    <s v="Espagne"/>
    <s v="tonnes"/>
    <x v="22"/>
    <n v="47763.417999999998"/>
    <n v="47763.417999999998"/>
    <n v="9.9799999999999997E-4"/>
  </r>
  <r>
    <m/>
    <m/>
    <s v="tonnes"/>
    <n v="0"/>
    <m/>
    <m/>
    <m/>
    <x v="3"/>
    <s v="Émirats arabes unis"/>
    <s v="tonnes"/>
    <x v="23"/>
    <n v="144258311.833"/>
    <n v="144258311.833"/>
    <n v="2.6259000000000001"/>
  </r>
  <r>
    <m/>
    <m/>
    <s v="tonnes"/>
    <n v="0"/>
    <m/>
    <m/>
    <m/>
    <x v="3"/>
    <s v="Turquie"/>
    <s v="tonnes"/>
    <x v="24"/>
    <n v="332900"/>
    <n v="332900"/>
    <n v="7.45E-3"/>
  </r>
  <r>
    <m/>
    <m/>
    <s v="tonnes"/>
    <n v="0"/>
    <m/>
    <m/>
    <m/>
    <x v="4"/>
    <s v="Italie"/>
    <s v="tonnes"/>
    <x v="25"/>
    <n v="3560493.3480000002"/>
    <n v="3560493.3480000002"/>
    <n v="7.7575999999999992E-2"/>
  </r>
  <r>
    <m/>
    <m/>
    <s v="tonnes"/>
    <n v="0"/>
    <m/>
    <m/>
    <m/>
    <x v="4"/>
    <s v="Émirats arabes unis"/>
    <s v="tonnes"/>
    <x v="26"/>
    <n v="104357473.52599999"/>
    <n v="104357473.52599999"/>
    <n v="2.1188699999999998"/>
  </r>
  <r>
    <m/>
    <m/>
    <s v="tonnes"/>
    <n v="0"/>
    <m/>
    <m/>
    <m/>
    <x v="4"/>
    <s v="Turquie"/>
    <s v="tonnes"/>
    <x v="27"/>
    <n v="1765487"/>
    <n v="1765487"/>
    <n v="4.2486999999999997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87E95E-CBD5-42CE-8CA0-74EA3D6CE069}" name="Tableau croisé dynamique3" cacheId="6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7">
  <location ref="A28:D30" firstHeaderRow="0" firstDataRow="1" firstDataCol="1"/>
  <pivotFields count="14"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6">
        <item h="1" x="4"/>
        <item h="1" x="3"/>
        <item h="1" x="2"/>
        <item h="1" x="1"/>
        <item x="0"/>
        <item t="default"/>
      </items>
    </pivotField>
    <pivotField showAll="0"/>
    <pivotField showAll="0"/>
    <pivotField dataField="1" showAll="0">
      <items count="29">
        <item x="2"/>
        <item x="22"/>
        <item x="14"/>
        <item x="16"/>
        <item x="24"/>
        <item x="11"/>
        <item x="12"/>
        <item x="13"/>
        <item x="21"/>
        <item x="15"/>
        <item x="19"/>
        <item x="18"/>
        <item x="27"/>
        <item x="25"/>
        <item x="26"/>
        <item x="23"/>
        <item x="1"/>
        <item x="20"/>
        <item x="10"/>
        <item x="6"/>
        <item x="4"/>
        <item x="8"/>
        <item x="17"/>
        <item x="0"/>
        <item x="9"/>
        <item x="3"/>
        <item x="5"/>
        <item x="7"/>
        <item t="default"/>
      </items>
    </pivotField>
    <pivotField showAll="0"/>
    <pivotField showAll="0"/>
    <pivotField dataField="1" showAll="0"/>
  </pivotFields>
  <rowFields count="1">
    <field x="7"/>
  </rowFields>
  <rowItems count="2"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Importation déclarée par les pays partenaires" fld="10" baseField="0" baseItem="0"/>
    <dataField name="Exportation déclarée par le Sénégal" fld="3" baseField="0" baseItem="0"/>
    <dataField name="Ecart entre les déclarations (EMAPE non déclarée)" fld="13" baseField="0" baseItem="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1"/>
          </reference>
          <reference field="7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2"/>
          </reference>
          <reference field="7" count="1" selected="0">
            <x v="4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2"/>
          </reference>
          <reference field="7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A6C7C7-ED40-494B-902D-BC402098B464}" name="Tableau croisé dynamique2" cacheId="6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5">
  <location ref="A3:D9" firstHeaderRow="0" firstDataRow="1" firstDataCol="1"/>
  <pivotFields count="14"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dataField="1" showAll="0">
      <items count="29">
        <item x="2"/>
        <item x="22"/>
        <item x="14"/>
        <item x="16"/>
        <item x="24"/>
        <item x="11"/>
        <item x="12"/>
        <item x="13"/>
        <item x="21"/>
        <item x="15"/>
        <item x="19"/>
        <item x="18"/>
        <item x="27"/>
        <item x="25"/>
        <item x="26"/>
        <item x="23"/>
        <item x="1"/>
        <item x="20"/>
        <item x="10"/>
        <item x="6"/>
        <item x="4"/>
        <item x="8"/>
        <item x="17"/>
        <item x="0"/>
        <item x="9"/>
        <item x="3"/>
        <item x="5"/>
        <item x="7"/>
        <item t="default"/>
      </items>
    </pivotField>
    <pivotField showAll="0"/>
    <pivotField showAll="0"/>
    <pivotField dataField="1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Importation déclarée par les pays partenaires" fld="10" baseField="0" baseItem="0"/>
    <dataField name="Exportation déclarée par le Sénégal" fld="3" baseField="0" baseItem="0"/>
    <dataField name="Ecart entre les déclarations (EMAPE non déclarée)" fld="13" baseField="0" baseItem="0"/>
  </dataFields>
  <chartFormats count="9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1"/>
          </reference>
          <reference field="7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2"/>
          </reference>
          <reference field="7" count="1" selected="0">
            <x v="4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2"/>
          </reference>
          <reference field="7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sqref="A1:N33"/>
    </sheetView>
  </sheetViews>
  <sheetFormatPr baseColWidth="10" defaultColWidth="8.7265625" defaultRowHeight="14.5" x14ac:dyDescent="0.35"/>
  <sheetData>
    <row r="1" spans="1:1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3.265895818915578</v>
      </c>
      <c r="G2">
        <v>176892827875</v>
      </c>
      <c r="H2">
        <v>254705218</v>
      </c>
      <c r="I2">
        <v>1.6547367049999999</v>
      </c>
      <c r="J2">
        <v>2024</v>
      </c>
      <c r="K2" t="s">
        <v>14</v>
      </c>
    </row>
    <row r="3" spans="1:11" x14ac:dyDescent="0.35">
      <c r="A3" t="s">
        <v>11</v>
      </c>
      <c r="B3" t="s">
        <v>16</v>
      </c>
      <c r="C3" t="s">
        <v>17</v>
      </c>
      <c r="D3" t="s">
        <v>18</v>
      </c>
      <c r="E3" t="s">
        <v>15</v>
      </c>
      <c r="F3">
        <v>3.6210041756413149</v>
      </c>
      <c r="G3">
        <v>171988995312</v>
      </c>
      <c r="H3">
        <v>287722269</v>
      </c>
      <c r="I3">
        <v>1.6547367049999999</v>
      </c>
      <c r="J3">
        <v>2024</v>
      </c>
      <c r="K3" t="s">
        <v>18</v>
      </c>
    </row>
    <row r="4" spans="1:11" x14ac:dyDescent="0.35">
      <c r="A4" t="s">
        <v>11</v>
      </c>
      <c r="B4" t="s">
        <v>12</v>
      </c>
      <c r="C4" t="s">
        <v>13</v>
      </c>
      <c r="D4" t="s">
        <v>19</v>
      </c>
      <c r="E4" t="s">
        <v>15</v>
      </c>
      <c r="F4">
        <v>3.7828977551068022</v>
      </c>
      <c r="G4">
        <v>153070817850</v>
      </c>
      <c r="H4">
        <v>292498604</v>
      </c>
      <c r="I4">
        <v>1.6547367049999999</v>
      </c>
      <c r="J4">
        <v>2024</v>
      </c>
      <c r="K4" t="s">
        <v>19</v>
      </c>
    </row>
    <row r="5" spans="1:11" x14ac:dyDescent="0.35">
      <c r="A5" t="s">
        <v>11</v>
      </c>
      <c r="B5" t="s">
        <v>12</v>
      </c>
      <c r="C5" t="s">
        <v>13</v>
      </c>
      <c r="D5" t="s">
        <v>14</v>
      </c>
      <c r="E5" t="s">
        <v>15</v>
      </c>
      <c r="F5">
        <v>8.9794794833713052</v>
      </c>
      <c r="G5">
        <v>344273384269</v>
      </c>
      <c r="H5">
        <v>569681805</v>
      </c>
      <c r="I5">
        <v>1.65</v>
      </c>
      <c r="J5">
        <v>2023</v>
      </c>
      <c r="K5" t="s">
        <v>14</v>
      </c>
    </row>
    <row r="6" spans="1:11" x14ac:dyDescent="0.35">
      <c r="A6" t="s">
        <v>11</v>
      </c>
      <c r="B6" t="s">
        <v>16</v>
      </c>
      <c r="C6" t="s">
        <v>17</v>
      </c>
      <c r="D6" t="s">
        <v>18</v>
      </c>
      <c r="E6" t="s">
        <v>15</v>
      </c>
      <c r="F6">
        <v>3.7308616439740909</v>
      </c>
      <c r="G6">
        <v>138107655558</v>
      </c>
      <c r="H6">
        <v>228531807</v>
      </c>
      <c r="I6">
        <v>1.65</v>
      </c>
      <c r="J6">
        <v>2023</v>
      </c>
      <c r="K6" t="s">
        <v>18</v>
      </c>
    </row>
    <row r="7" spans="1:11" x14ac:dyDescent="0.35">
      <c r="A7" t="s">
        <v>11</v>
      </c>
      <c r="B7" t="s">
        <v>12</v>
      </c>
      <c r="C7" t="s">
        <v>13</v>
      </c>
      <c r="D7" t="s">
        <v>19</v>
      </c>
      <c r="E7" t="s">
        <v>15</v>
      </c>
      <c r="F7">
        <v>0.24882778784320739</v>
      </c>
      <c r="G7">
        <v>9494006760</v>
      </c>
      <c r="H7">
        <v>15710081</v>
      </c>
      <c r="I7">
        <v>1.65</v>
      </c>
      <c r="J7">
        <v>2023</v>
      </c>
      <c r="K7" t="s">
        <v>19</v>
      </c>
    </row>
    <row r="8" spans="1:11" x14ac:dyDescent="0.35">
      <c r="A8" t="s">
        <v>11</v>
      </c>
      <c r="B8" t="s">
        <v>12</v>
      </c>
      <c r="C8" t="s">
        <v>13</v>
      </c>
      <c r="D8" t="s">
        <v>14</v>
      </c>
      <c r="E8" t="s">
        <v>15</v>
      </c>
      <c r="F8">
        <v>11.565639269255</v>
      </c>
      <c r="G8">
        <v>380045730082</v>
      </c>
      <c r="H8">
        <v>611873625.43202007</v>
      </c>
      <c r="I8">
        <v>1.61</v>
      </c>
      <c r="J8">
        <v>2022</v>
      </c>
      <c r="K8" t="s">
        <v>14</v>
      </c>
    </row>
    <row r="9" spans="1:11" x14ac:dyDescent="0.35">
      <c r="A9" t="s">
        <v>11</v>
      </c>
      <c r="B9" t="s">
        <v>16</v>
      </c>
      <c r="C9" t="s">
        <v>17</v>
      </c>
      <c r="D9" t="s">
        <v>18</v>
      </c>
      <c r="E9" t="s">
        <v>15</v>
      </c>
      <c r="F9">
        <v>4.4235695691080297</v>
      </c>
      <c r="G9">
        <v>147954684761</v>
      </c>
      <c r="H9">
        <v>238207042.46520999</v>
      </c>
      <c r="I9">
        <v>1.61</v>
      </c>
      <c r="J9">
        <v>2022</v>
      </c>
      <c r="K9" t="s">
        <v>18</v>
      </c>
    </row>
    <row r="10" spans="1:11" x14ac:dyDescent="0.35">
      <c r="A10" t="s">
        <v>11</v>
      </c>
      <c r="B10" t="s">
        <v>12</v>
      </c>
      <c r="C10" t="s">
        <v>13</v>
      </c>
      <c r="D10" t="s">
        <v>19</v>
      </c>
      <c r="E10" t="s">
        <v>15</v>
      </c>
      <c r="F10">
        <v>0.38235422377393991</v>
      </c>
      <c r="G10">
        <v>12540974385</v>
      </c>
      <c r="H10">
        <v>20190968.759849999</v>
      </c>
      <c r="I10">
        <v>1.61</v>
      </c>
      <c r="J10">
        <v>2022</v>
      </c>
      <c r="K10" t="s">
        <v>19</v>
      </c>
    </row>
    <row r="11" spans="1:11" x14ac:dyDescent="0.35">
      <c r="A11" t="s">
        <v>11</v>
      </c>
      <c r="B11" t="s">
        <v>12</v>
      </c>
      <c r="C11" t="s">
        <v>13</v>
      </c>
      <c r="D11" t="s">
        <v>14</v>
      </c>
      <c r="E11" t="s">
        <v>15</v>
      </c>
      <c r="F11">
        <v>11.879753971524771</v>
      </c>
      <c r="G11">
        <v>381693870501</v>
      </c>
      <c r="H11">
        <v>687048966.90180004</v>
      </c>
      <c r="I11">
        <v>1.8</v>
      </c>
      <c r="J11">
        <v>2021</v>
      </c>
      <c r="K11" t="s">
        <v>14</v>
      </c>
    </row>
    <row r="12" spans="1:11" x14ac:dyDescent="0.35">
      <c r="A12" t="s">
        <v>11</v>
      </c>
      <c r="B12" t="s">
        <v>16</v>
      </c>
      <c r="C12" t="s">
        <v>17</v>
      </c>
      <c r="D12" t="s">
        <v>18</v>
      </c>
      <c r="E12" t="s">
        <v>15</v>
      </c>
      <c r="F12">
        <v>3.993468270569116</v>
      </c>
      <c r="G12">
        <v>123373225492</v>
      </c>
      <c r="H12">
        <v>222071805.8856</v>
      </c>
      <c r="I12">
        <v>1.8</v>
      </c>
      <c r="J12">
        <v>2021</v>
      </c>
      <c r="K12" t="s">
        <v>18</v>
      </c>
    </row>
    <row r="13" spans="1:11" x14ac:dyDescent="0.35">
      <c r="A13" t="s">
        <v>11</v>
      </c>
      <c r="B13" t="s">
        <v>12</v>
      </c>
      <c r="C13" t="s">
        <v>13</v>
      </c>
      <c r="D13" t="s">
        <v>14</v>
      </c>
      <c r="E13" t="s">
        <v>15</v>
      </c>
      <c r="F13">
        <v>6.7771358366445584</v>
      </c>
      <c r="G13">
        <v>220079268751</v>
      </c>
      <c r="H13">
        <v>382937927.62673998</v>
      </c>
      <c r="I13">
        <v>1.74</v>
      </c>
      <c r="J13">
        <v>2020</v>
      </c>
      <c r="K13" t="s">
        <v>14</v>
      </c>
    </row>
    <row r="14" spans="1:11" x14ac:dyDescent="0.35">
      <c r="A14" t="s">
        <v>11</v>
      </c>
      <c r="B14" t="s">
        <v>12</v>
      </c>
      <c r="C14" t="s">
        <v>13</v>
      </c>
      <c r="D14" t="s">
        <v>20</v>
      </c>
      <c r="E14" t="s">
        <v>15</v>
      </c>
      <c r="F14">
        <v>0.26437952458340791</v>
      </c>
      <c r="G14">
        <v>8692666730</v>
      </c>
      <c r="H14">
        <v>15125240.110200001</v>
      </c>
      <c r="I14">
        <v>1.74</v>
      </c>
      <c r="J14">
        <v>2020</v>
      </c>
      <c r="K14" t="s">
        <v>20</v>
      </c>
    </row>
    <row r="15" spans="1:11" x14ac:dyDescent="0.35">
      <c r="A15" t="s">
        <v>11</v>
      </c>
      <c r="B15" t="s">
        <v>16</v>
      </c>
      <c r="C15" t="s">
        <v>17</v>
      </c>
      <c r="D15" t="s">
        <v>14</v>
      </c>
      <c r="E15" t="s">
        <v>15</v>
      </c>
      <c r="F15">
        <v>1.3204979666104211</v>
      </c>
      <c r="G15">
        <v>39522643736</v>
      </c>
      <c r="H15">
        <v>68769400.100639999</v>
      </c>
      <c r="I15">
        <v>1.74</v>
      </c>
      <c r="J15">
        <v>2020</v>
      </c>
      <c r="K15" t="s">
        <v>14</v>
      </c>
    </row>
    <row r="16" spans="1:11" x14ac:dyDescent="0.35">
      <c r="A16" t="s">
        <v>11</v>
      </c>
      <c r="B16" t="s">
        <v>16</v>
      </c>
      <c r="C16" t="s">
        <v>17</v>
      </c>
      <c r="D16" t="s">
        <v>18</v>
      </c>
      <c r="E16" t="s">
        <v>15</v>
      </c>
      <c r="F16">
        <v>3.9922863385768612</v>
      </c>
      <c r="G16">
        <v>117267141286</v>
      </c>
      <c r="H16">
        <v>204044825.83763999</v>
      </c>
      <c r="I16">
        <v>1.74</v>
      </c>
      <c r="J16">
        <v>2020</v>
      </c>
      <c r="K1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tabSelected="1" workbookViewId="0">
      <selection sqref="A1:N33"/>
    </sheetView>
  </sheetViews>
  <sheetFormatPr baseColWidth="10" defaultColWidth="8.7265625" defaultRowHeight="14.5" x14ac:dyDescent="0.35"/>
  <sheetData>
    <row r="1" spans="1:7" s="1" customFormat="1" x14ac:dyDescent="0.35">
      <c r="A1" s="1" t="s">
        <v>9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10</v>
      </c>
    </row>
    <row r="2" spans="1:7" x14ac:dyDescent="0.35">
      <c r="A2">
        <v>2024</v>
      </c>
      <c r="B2" t="s">
        <v>26</v>
      </c>
      <c r="C2" t="s">
        <v>15</v>
      </c>
      <c r="D2">
        <v>3.0426289999999998</v>
      </c>
      <c r="E2">
        <v>201071815.89399999</v>
      </c>
      <c r="F2">
        <v>201071815.89399999</v>
      </c>
      <c r="G2" t="s">
        <v>18</v>
      </c>
    </row>
    <row r="3" spans="1:7" x14ac:dyDescent="0.35">
      <c r="A3">
        <v>2024</v>
      </c>
      <c r="B3" t="s">
        <v>27</v>
      </c>
      <c r="C3" t="s">
        <v>15</v>
      </c>
      <c r="D3">
        <v>1.0012E-2</v>
      </c>
      <c r="E3">
        <v>819980</v>
      </c>
      <c r="F3">
        <v>819980</v>
      </c>
      <c r="G3" t="s">
        <v>28</v>
      </c>
    </row>
    <row r="4" spans="1:7" x14ac:dyDescent="0.35">
      <c r="A4">
        <v>2024</v>
      </c>
      <c r="B4" t="s">
        <v>29</v>
      </c>
      <c r="C4" t="s">
        <v>15</v>
      </c>
      <c r="D4">
        <v>1.0697E-2</v>
      </c>
      <c r="E4">
        <v>676674.71200000006</v>
      </c>
      <c r="F4">
        <v>676674.71200000006</v>
      </c>
      <c r="G4" t="s">
        <v>30</v>
      </c>
    </row>
    <row r="5" spans="1:7" x14ac:dyDescent="0.35">
      <c r="A5">
        <v>2024</v>
      </c>
      <c r="B5" t="s">
        <v>31</v>
      </c>
      <c r="C5" t="s">
        <v>15</v>
      </c>
      <c r="D5">
        <v>8.1029999999999998</v>
      </c>
      <c r="E5">
        <v>548487309.28999996</v>
      </c>
      <c r="F5">
        <v>548487309.28999996</v>
      </c>
      <c r="G5" t="s">
        <v>14</v>
      </c>
    </row>
    <row r="6" spans="1:7" x14ac:dyDescent="0.35">
      <c r="A6">
        <v>2024</v>
      </c>
      <c r="B6" t="s">
        <v>32</v>
      </c>
      <c r="C6" t="s">
        <v>15</v>
      </c>
      <c r="D6">
        <v>0.02</v>
      </c>
      <c r="E6">
        <v>1764637.62</v>
      </c>
      <c r="F6">
        <v>1764637.62</v>
      </c>
      <c r="G6" t="s">
        <v>33</v>
      </c>
    </row>
    <row r="7" spans="1:7" x14ac:dyDescent="0.35">
      <c r="A7">
        <v>2024</v>
      </c>
      <c r="B7" t="s">
        <v>34</v>
      </c>
      <c r="C7" t="s">
        <v>15</v>
      </c>
      <c r="D7">
        <v>1.9989999999999999E-3</v>
      </c>
      <c r="E7">
        <v>99765</v>
      </c>
      <c r="F7">
        <v>99765</v>
      </c>
      <c r="G7" t="s">
        <v>35</v>
      </c>
    </row>
    <row r="8" spans="1:7" x14ac:dyDescent="0.35">
      <c r="A8">
        <v>2023</v>
      </c>
      <c r="B8" t="s">
        <v>26</v>
      </c>
      <c r="C8" t="s">
        <v>15</v>
      </c>
      <c r="D8">
        <v>3.7972039999999998</v>
      </c>
      <c r="E8">
        <v>230374640.12099999</v>
      </c>
      <c r="F8">
        <v>230374640.12099999</v>
      </c>
      <c r="G8" t="s">
        <v>18</v>
      </c>
    </row>
    <row r="9" spans="1:7" x14ac:dyDescent="0.35">
      <c r="A9">
        <v>2023</v>
      </c>
      <c r="B9" t="s">
        <v>29</v>
      </c>
      <c r="C9" t="s">
        <v>15</v>
      </c>
      <c r="D9">
        <v>2.8239E-2</v>
      </c>
      <c r="E9">
        <v>1335454.328</v>
      </c>
      <c r="F9">
        <v>1335454.328</v>
      </c>
      <c r="G9" t="s">
        <v>30</v>
      </c>
    </row>
    <row r="10" spans="1:7" x14ac:dyDescent="0.35">
      <c r="A10">
        <v>2023</v>
      </c>
      <c r="B10" t="s">
        <v>36</v>
      </c>
      <c r="C10" t="s">
        <v>15</v>
      </c>
      <c r="D10">
        <v>6.6109999999999997E-3</v>
      </c>
      <c r="E10">
        <v>337980.12400000001</v>
      </c>
      <c r="F10">
        <v>337980.12400000001</v>
      </c>
      <c r="G10" t="s">
        <v>36</v>
      </c>
    </row>
    <row r="11" spans="1:7" x14ac:dyDescent="0.35">
      <c r="A11">
        <v>2023</v>
      </c>
      <c r="B11" t="s">
        <v>31</v>
      </c>
      <c r="C11" t="s">
        <v>15</v>
      </c>
      <c r="D11">
        <v>10.566000000000001</v>
      </c>
      <c r="E11">
        <v>593906011.35000002</v>
      </c>
      <c r="F11">
        <v>593906011.35000002</v>
      </c>
      <c r="G11" t="s">
        <v>14</v>
      </c>
    </row>
    <row r="12" spans="1:7" x14ac:dyDescent="0.35">
      <c r="A12">
        <v>2023</v>
      </c>
      <c r="B12" t="s">
        <v>37</v>
      </c>
      <c r="C12" t="s">
        <v>15</v>
      </c>
      <c r="D12">
        <v>4.01464</v>
      </c>
      <c r="E12">
        <v>238406106.84299999</v>
      </c>
      <c r="F12">
        <v>238406106.84299999</v>
      </c>
      <c r="G12" t="s">
        <v>38</v>
      </c>
    </row>
    <row r="13" spans="1:7" x14ac:dyDescent="0.35">
      <c r="A13">
        <v>2023</v>
      </c>
      <c r="B13" t="s">
        <v>34</v>
      </c>
      <c r="C13" t="s">
        <v>15</v>
      </c>
      <c r="D13">
        <v>3.4648000000000012E-2</v>
      </c>
      <c r="E13">
        <v>1695971</v>
      </c>
      <c r="F13">
        <v>1695971</v>
      </c>
      <c r="G13" t="s">
        <v>35</v>
      </c>
    </row>
    <row r="14" spans="1:7" x14ac:dyDescent="0.35">
      <c r="A14">
        <v>2022</v>
      </c>
      <c r="B14" t="s">
        <v>26</v>
      </c>
      <c r="C14" t="s">
        <v>15</v>
      </c>
      <c r="D14">
        <v>3.6604030000000001</v>
      </c>
      <c r="E14">
        <v>206548068.21599999</v>
      </c>
      <c r="F14">
        <v>206548068.21599999</v>
      </c>
      <c r="G14" t="s">
        <v>18</v>
      </c>
    </row>
    <row r="15" spans="1:7" x14ac:dyDescent="0.35">
      <c r="A15">
        <v>2022</v>
      </c>
      <c r="B15" t="s">
        <v>29</v>
      </c>
      <c r="C15" t="s">
        <v>15</v>
      </c>
      <c r="D15">
        <v>3.2393999999999999E-2</v>
      </c>
      <c r="E15">
        <v>1541344.121</v>
      </c>
      <c r="F15">
        <v>1541344.121</v>
      </c>
      <c r="G15" t="s">
        <v>30</v>
      </c>
    </row>
    <row r="16" spans="1:7" x14ac:dyDescent="0.35">
      <c r="A16">
        <v>2022</v>
      </c>
      <c r="B16" t="s">
        <v>31</v>
      </c>
      <c r="C16" t="s">
        <v>15</v>
      </c>
      <c r="D16">
        <v>12.081</v>
      </c>
      <c r="E16">
        <v>631954371.199</v>
      </c>
      <c r="F16">
        <v>631954371.199</v>
      </c>
      <c r="G16" t="s">
        <v>14</v>
      </c>
    </row>
    <row r="17" spans="1:7" x14ac:dyDescent="0.35">
      <c r="A17">
        <v>2022</v>
      </c>
      <c r="B17" t="s">
        <v>37</v>
      </c>
      <c r="C17" t="s">
        <v>15</v>
      </c>
      <c r="D17">
        <v>3.2155200000000002</v>
      </c>
      <c r="E17">
        <v>171934926.44400001</v>
      </c>
      <c r="F17">
        <v>171934926.44400001</v>
      </c>
      <c r="G17" t="s">
        <v>38</v>
      </c>
    </row>
    <row r="18" spans="1:7" x14ac:dyDescent="0.35">
      <c r="A18">
        <v>2021</v>
      </c>
      <c r="B18" t="s">
        <v>26</v>
      </c>
      <c r="C18" t="s">
        <v>15</v>
      </c>
      <c r="D18">
        <v>3.8843809999999999</v>
      </c>
      <c r="E18">
        <v>219808451.24000001</v>
      </c>
      <c r="F18">
        <v>219808451.24000001</v>
      </c>
      <c r="G18" t="s">
        <v>18</v>
      </c>
    </row>
    <row r="19" spans="1:7" x14ac:dyDescent="0.35">
      <c r="A19">
        <v>2021</v>
      </c>
      <c r="B19" t="s">
        <v>29</v>
      </c>
      <c r="C19" t="s">
        <v>15</v>
      </c>
      <c r="D19">
        <v>2.7383999999999999E-2</v>
      </c>
      <c r="E19">
        <v>1297177.531</v>
      </c>
      <c r="F19">
        <v>1297177.531</v>
      </c>
      <c r="G19" t="s">
        <v>30</v>
      </c>
    </row>
    <row r="20" spans="1:7" x14ac:dyDescent="0.35">
      <c r="A20">
        <v>2021</v>
      </c>
      <c r="B20" t="s">
        <v>39</v>
      </c>
      <c r="C20" t="s">
        <v>15</v>
      </c>
      <c r="D20">
        <v>9.9799999999999997E-4</v>
      </c>
      <c r="E20">
        <v>47763.417999999998</v>
      </c>
      <c r="F20">
        <v>47763.417999999998</v>
      </c>
      <c r="G20" t="s">
        <v>40</v>
      </c>
    </row>
    <row r="21" spans="1:7" x14ac:dyDescent="0.35">
      <c r="A21">
        <v>2021</v>
      </c>
      <c r="B21" t="s">
        <v>31</v>
      </c>
      <c r="C21" t="s">
        <v>15</v>
      </c>
      <c r="D21">
        <v>13.581</v>
      </c>
      <c r="E21">
        <v>710234464.13499999</v>
      </c>
      <c r="F21">
        <v>710234464.13499999</v>
      </c>
      <c r="G21" t="s">
        <v>14</v>
      </c>
    </row>
    <row r="22" spans="1:7" x14ac:dyDescent="0.35">
      <c r="A22">
        <v>2021</v>
      </c>
      <c r="B22" t="s">
        <v>37</v>
      </c>
      <c r="C22" t="s">
        <v>15</v>
      </c>
      <c r="D22">
        <v>2.6259000000000001</v>
      </c>
      <c r="E22">
        <v>144258311.833</v>
      </c>
      <c r="F22">
        <v>144258311.833</v>
      </c>
      <c r="G22" t="s">
        <v>38</v>
      </c>
    </row>
    <row r="23" spans="1:7" x14ac:dyDescent="0.35">
      <c r="A23">
        <v>2021</v>
      </c>
      <c r="B23" t="s">
        <v>34</v>
      </c>
      <c r="C23" t="s">
        <v>15</v>
      </c>
      <c r="D23">
        <v>7.45E-3</v>
      </c>
      <c r="E23">
        <v>332900</v>
      </c>
      <c r="F23">
        <v>332900</v>
      </c>
      <c r="G23" t="s">
        <v>35</v>
      </c>
    </row>
    <row r="24" spans="1:7" x14ac:dyDescent="0.35">
      <c r="A24">
        <v>2020</v>
      </c>
      <c r="B24" t="s">
        <v>26</v>
      </c>
      <c r="C24" t="s">
        <v>15</v>
      </c>
      <c r="D24">
        <v>3.6344569999999998</v>
      </c>
      <c r="E24">
        <v>194991546.08899999</v>
      </c>
      <c r="F24">
        <v>194991546.08899999</v>
      </c>
      <c r="G24" t="s">
        <v>18</v>
      </c>
    </row>
    <row r="25" spans="1:7" x14ac:dyDescent="0.35">
      <c r="A25">
        <v>2020</v>
      </c>
      <c r="B25" t="s">
        <v>29</v>
      </c>
      <c r="C25" t="s">
        <v>15</v>
      </c>
      <c r="D25">
        <v>7.7575999999999992E-2</v>
      </c>
      <c r="E25">
        <v>3560493.3480000002</v>
      </c>
      <c r="F25">
        <v>3560493.3480000002</v>
      </c>
      <c r="G25" t="s">
        <v>30</v>
      </c>
    </row>
    <row r="26" spans="1:7" x14ac:dyDescent="0.35">
      <c r="A26">
        <v>2020</v>
      </c>
      <c r="B26" t="s">
        <v>31</v>
      </c>
      <c r="C26" t="s">
        <v>15</v>
      </c>
      <c r="D26">
        <v>9.5120000000000005</v>
      </c>
      <c r="E26">
        <v>485160797.29100001</v>
      </c>
      <c r="F26">
        <v>485160797.29100001</v>
      </c>
      <c r="G26" t="s">
        <v>14</v>
      </c>
    </row>
    <row r="27" spans="1:7" x14ac:dyDescent="0.35">
      <c r="A27">
        <v>2020</v>
      </c>
      <c r="B27" t="s">
        <v>37</v>
      </c>
      <c r="C27" t="s">
        <v>15</v>
      </c>
      <c r="D27">
        <v>2.1188699999999998</v>
      </c>
      <c r="E27">
        <v>104357473.52599999</v>
      </c>
      <c r="F27">
        <v>104357473.52599999</v>
      </c>
      <c r="G27" t="s">
        <v>38</v>
      </c>
    </row>
    <row r="28" spans="1:7" x14ac:dyDescent="0.35">
      <c r="A28">
        <v>2020</v>
      </c>
      <c r="B28" t="s">
        <v>34</v>
      </c>
      <c r="C28" t="s">
        <v>15</v>
      </c>
      <c r="D28">
        <v>4.2486999999999997E-2</v>
      </c>
      <c r="E28">
        <v>1765487</v>
      </c>
      <c r="F28">
        <v>1765487</v>
      </c>
      <c r="G28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38485-D7EF-42AA-A18B-A6BD3CFDBE38}">
  <dimension ref="A3:D30"/>
  <sheetViews>
    <sheetView tabSelected="1" topLeftCell="A33" workbookViewId="0">
      <selection sqref="A1:N33"/>
    </sheetView>
  </sheetViews>
  <sheetFormatPr baseColWidth="10" defaultRowHeight="14.5" x14ac:dyDescent="0.35"/>
  <cols>
    <col min="1" max="1" width="19.54296875" bestFit="1" customWidth="1"/>
    <col min="2" max="2" width="39.36328125" bestFit="1" customWidth="1"/>
    <col min="3" max="3" width="30.54296875" bestFit="1" customWidth="1"/>
    <col min="4" max="4" width="43.08984375" bestFit="1" customWidth="1"/>
    <col min="5" max="5" width="8.81640625" bestFit="1" customWidth="1"/>
    <col min="6" max="6" width="7.81640625" bestFit="1" customWidth="1"/>
    <col min="7" max="8" width="8.81640625" bestFit="1" customWidth="1"/>
    <col min="9" max="9" width="4.81640625" bestFit="1" customWidth="1"/>
    <col min="10" max="15" width="8.81640625" bestFit="1" customWidth="1"/>
    <col min="16" max="16" width="7.81640625" bestFit="1" customWidth="1"/>
    <col min="17" max="17" width="6.81640625" bestFit="1" customWidth="1"/>
    <col min="18" max="18" width="8.81640625" bestFit="1" customWidth="1"/>
    <col min="19" max="19" width="7.81640625" bestFit="1" customWidth="1"/>
    <col min="20" max="23" width="8.81640625" bestFit="1" customWidth="1"/>
    <col min="24" max="24" width="7.81640625" bestFit="1" customWidth="1"/>
    <col min="25" max="26" width="5.81640625" bestFit="1" customWidth="1"/>
    <col min="27" max="29" width="6.81640625" bestFit="1" customWidth="1"/>
    <col min="30" max="30" width="11.7265625" bestFit="1" customWidth="1"/>
  </cols>
  <sheetData>
    <row r="3" spans="1:4" x14ac:dyDescent="0.35">
      <c r="A3" s="3" t="s">
        <v>44</v>
      </c>
      <c r="B3" t="s">
        <v>46</v>
      </c>
      <c r="C3" t="s">
        <v>47</v>
      </c>
      <c r="D3" t="s">
        <v>48</v>
      </c>
    </row>
    <row r="4" spans="1:4" x14ac:dyDescent="0.35">
      <c r="A4" s="4">
        <v>2020</v>
      </c>
      <c r="B4" s="2">
        <v>24.897390000000005</v>
      </c>
      <c r="C4" s="2">
        <v>12.354299666415248</v>
      </c>
      <c r="D4" s="2">
        <v>12.543090333584752</v>
      </c>
    </row>
    <row r="5" spans="1:4" x14ac:dyDescent="0.35">
      <c r="A5" s="4">
        <v>2021</v>
      </c>
      <c r="B5" s="2">
        <v>20.127113000000001</v>
      </c>
      <c r="C5" s="2">
        <v>15.873222242093886</v>
      </c>
      <c r="D5" s="2">
        <v>4.2538907579061132</v>
      </c>
    </row>
    <row r="6" spans="1:4" x14ac:dyDescent="0.35">
      <c r="A6" s="4">
        <v>2022</v>
      </c>
      <c r="B6" s="2">
        <v>18.989317</v>
      </c>
      <c r="C6" s="2">
        <v>16.371563062136971</v>
      </c>
      <c r="D6" s="2">
        <v>2.6177539378630303</v>
      </c>
    </row>
    <row r="7" spans="1:4" x14ac:dyDescent="0.35">
      <c r="A7" s="4">
        <v>2023</v>
      </c>
      <c r="B7" s="2">
        <v>18.447341999999999</v>
      </c>
      <c r="C7" s="2">
        <v>12.959168915188604</v>
      </c>
      <c r="D7" s="2">
        <v>5.4881730848113968</v>
      </c>
    </row>
    <row r="8" spans="1:4" x14ac:dyDescent="0.35">
      <c r="A8" s="4">
        <v>2024</v>
      </c>
      <c r="B8" s="2">
        <v>11.188336999999999</v>
      </c>
      <c r="C8" s="2">
        <v>10.669797749663696</v>
      </c>
      <c r="D8" s="2">
        <v>0.51853925033630488</v>
      </c>
    </row>
    <row r="9" spans="1:4" x14ac:dyDescent="0.35">
      <c r="A9" s="4" t="s">
        <v>45</v>
      </c>
      <c r="B9" s="2">
        <v>93.649499000000006</v>
      </c>
      <c r="C9" s="2">
        <v>68.228051635498403</v>
      </c>
      <c r="D9" s="2">
        <v>25.421447364501592</v>
      </c>
    </row>
    <row r="28" spans="1:4" x14ac:dyDescent="0.35">
      <c r="A28" s="3" t="s">
        <v>44</v>
      </c>
      <c r="B28" t="s">
        <v>46</v>
      </c>
      <c r="C28" t="s">
        <v>47</v>
      </c>
      <c r="D28" t="s">
        <v>48</v>
      </c>
    </row>
    <row r="29" spans="1:4" x14ac:dyDescent="0.35">
      <c r="A29" s="4">
        <v>2024</v>
      </c>
      <c r="B29" s="2">
        <v>11.188336999999999</v>
      </c>
      <c r="C29" s="2">
        <v>10.669797749663696</v>
      </c>
      <c r="D29" s="2">
        <v>0.51853925033630488</v>
      </c>
    </row>
    <row r="30" spans="1:4" x14ac:dyDescent="0.35">
      <c r="A30" s="4" t="s">
        <v>45</v>
      </c>
      <c r="B30" s="2">
        <v>11.188336999999999</v>
      </c>
      <c r="C30" s="2">
        <v>10.669797749663696</v>
      </c>
      <c r="D30" s="2">
        <v>0.51853925033630488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3"/>
  <sheetViews>
    <sheetView tabSelected="1" topLeftCell="A16" workbookViewId="0">
      <selection sqref="A1:N33"/>
    </sheetView>
  </sheetViews>
  <sheetFormatPr baseColWidth="10" defaultColWidth="8.7265625" defaultRowHeight="14.5" x14ac:dyDescent="0.35"/>
  <cols>
    <col min="4" max="4" width="11.81640625" bestFit="1" customWidth="1"/>
    <col min="5" max="5" width="16.1796875" bestFit="1" customWidth="1"/>
    <col min="6" max="6" width="19.26953125" bestFit="1" customWidth="1"/>
    <col min="7" max="7" width="17.81640625" bestFit="1" customWidth="1"/>
    <col min="12" max="12" width="14.26953125" bestFit="1" customWidth="1"/>
  </cols>
  <sheetData>
    <row r="1" spans="1:14" s="1" customFormat="1" x14ac:dyDescent="0.35">
      <c r="A1" s="1" t="s">
        <v>1</v>
      </c>
      <c r="B1" s="1" t="s">
        <v>2</v>
      </c>
      <c r="C1" s="1" t="s">
        <v>4</v>
      </c>
      <c r="D1" s="1" t="s">
        <v>41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22</v>
      </c>
      <c r="K1" s="1" t="s">
        <v>42</v>
      </c>
      <c r="L1" s="1" t="s">
        <v>24</v>
      </c>
      <c r="M1" s="1" t="s">
        <v>25</v>
      </c>
      <c r="N1" s="1" t="s">
        <v>43</v>
      </c>
    </row>
    <row r="2" spans="1:14" x14ac:dyDescent="0.35">
      <c r="A2" t="s">
        <v>12</v>
      </c>
      <c r="B2" t="s">
        <v>13</v>
      </c>
      <c r="C2" t="s">
        <v>15</v>
      </c>
      <c r="D2">
        <v>3.265895818915578</v>
      </c>
      <c r="E2">
        <v>176892827875</v>
      </c>
      <c r="F2">
        <v>254705218</v>
      </c>
      <c r="G2">
        <v>1.6547367049999999</v>
      </c>
      <c r="H2">
        <v>2024</v>
      </c>
      <c r="I2" t="s">
        <v>14</v>
      </c>
      <c r="J2" t="s">
        <v>15</v>
      </c>
      <c r="K2">
        <v>8.1029999999999998</v>
      </c>
      <c r="L2">
        <v>548487309.28999996</v>
      </c>
      <c r="M2">
        <v>548487309.28999996</v>
      </c>
      <c r="N2">
        <f>K2-D2</f>
        <v>4.8371041810844222</v>
      </c>
    </row>
    <row r="3" spans="1:14" x14ac:dyDescent="0.35">
      <c r="A3" t="s">
        <v>16</v>
      </c>
      <c r="B3" t="s">
        <v>17</v>
      </c>
      <c r="C3" t="s">
        <v>15</v>
      </c>
      <c r="D3">
        <v>3.6210041756413149</v>
      </c>
      <c r="E3">
        <v>171988995312</v>
      </c>
      <c r="F3">
        <v>287722269</v>
      </c>
      <c r="G3">
        <v>1.6547367049999999</v>
      </c>
      <c r="H3">
        <v>2024</v>
      </c>
      <c r="I3" t="s">
        <v>18</v>
      </c>
      <c r="J3" t="s">
        <v>15</v>
      </c>
      <c r="K3">
        <v>3.0426289999999998</v>
      </c>
      <c r="L3">
        <v>201071815.89399999</v>
      </c>
      <c r="M3">
        <v>201071815.89399999</v>
      </c>
      <c r="N3">
        <f>K3-D3</f>
        <v>-0.57837517564131513</v>
      </c>
    </row>
    <row r="4" spans="1:14" x14ac:dyDescent="0.35">
      <c r="A4" t="s">
        <v>12</v>
      </c>
      <c r="B4" t="s">
        <v>13</v>
      </c>
      <c r="C4" t="s">
        <v>15</v>
      </c>
      <c r="D4">
        <v>3.7828977551068022</v>
      </c>
      <c r="E4">
        <v>153070817850</v>
      </c>
      <c r="F4">
        <v>292498604</v>
      </c>
      <c r="G4">
        <v>1.6547367049999999</v>
      </c>
      <c r="H4">
        <v>2024</v>
      </c>
      <c r="I4" t="s">
        <v>19</v>
      </c>
      <c r="J4" t="s">
        <v>15</v>
      </c>
      <c r="K4">
        <v>0</v>
      </c>
      <c r="N4">
        <f>K4-D4</f>
        <v>-3.7828977551068022</v>
      </c>
    </row>
    <row r="5" spans="1:14" x14ac:dyDescent="0.35">
      <c r="A5" t="s">
        <v>12</v>
      </c>
      <c r="B5" t="s">
        <v>13</v>
      </c>
      <c r="C5" t="s">
        <v>15</v>
      </c>
      <c r="D5">
        <v>8.9794794833713052</v>
      </c>
      <c r="E5">
        <v>344273384269</v>
      </c>
      <c r="F5">
        <v>569681805</v>
      </c>
      <c r="G5">
        <v>1.65</v>
      </c>
      <c r="H5">
        <v>2023</v>
      </c>
      <c r="I5" t="s">
        <v>14</v>
      </c>
      <c r="J5" t="s">
        <v>15</v>
      </c>
      <c r="K5">
        <v>10.566000000000001</v>
      </c>
      <c r="L5">
        <v>593906011.35000002</v>
      </c>
      <c r="M5">
        <v>593906011.35000002</v>
      </c>
      <c r="N5">
        <f>K5-D5</f>
        <v>1.5865205166286955</v>
      </c>
    </row>
    <row r="6" spans="1:14" x14ac:dyDescent="0.35">
      <c r="A6" t="s">
        <v>16</v>
      </c>
      <c r="B6" t="s">
        <v>17</v>
      </c>
      <c r="C6" t="s">
        <v>15</v>
      </c>
      <c r="D6">
        <v>3.7308616439740909</v>
      </c>
      <c r="E6">
        <v>138107655558</v>
      </c>
      <c r="F6">
        <v>228531807</v>
      </c>
      <c r="G6">
        <v>1.65</v>
      </c>
      <c r="H6">
        <v>2023</v>
      </c>
      <c r="I6" t="s">
        <v>18</v>
      </c>
      <c r="J6" t="s">
        <v>15</v>
      </c>
      <c r="K6">
        <v>3.7972039999999998</v>
      </c>
      <c r="L6">
        <v>230374640.12099999</v>
      </c>
      <c r="M6">
        <v>230374640.12099999</v>
      </c>
      <c r="N6">
        <f>K6-D6</f>
        <v>6.6342356025908877E-2</v>
      </c>
    </row>
    <row r="7" spans="1:14" x14ac:dyDescent="0.35">
      <c r="A7" t="s">
        <v>12</v>
      </c>
      <c r="B7" t="s">
        <v>13</v>
      </c>
      <c r="C7" t="s">
        <v>15</v>
      </c>
      <c r="D7">
        <v>0.24882778784320739</v>
      </c>
      <c r="E7">
        <v>9494006760</v>
      </c>
      <c r="F7">
        <v>15710081</v>
      </c>
      <c r="G7">
        <v>1.65</v>
      </c>
      <c r="H7">
        <v>2023</v>
      </c>
      <c r="I7" t="s">
        <v>19</v>
      </c>
      <c r="J7" t="s">
        <v>15</v>
      </c>
      <c r="K7">
        <v>0</v>
      </c>
      <c r="N7">
        <f>K7-D7</f>
        <v>-0.24882778784320739</v>
      </c>
    </row>
    <row r="8" spans="1:14" x14ac:dyDescent="0.35">
      <c r="A8" t="s">
        <v>12</v>
      </c>
      <c r="B8" t="s">
        <v>13</v>
      </c>
      <c r="C8" t="s">
        <v>15</v>
      </c>
      <c r="D8">
        <v>11.565639269255</v>
      </c>
      <c r="E8">
        <v>380045730082</v>
      </c>
      <c r="F8">
        <v>611873625.43202007</v>
      </c>
      <c r="G8">
        <v>1.61</v>
      </c>
      <c r="H8">
        <v>2022</v>
      </c>
      <c r="I8" t="s">
        <v>14</v>
      </c>
      <c r="J8" t="s">
        <v>15</v>
      </c>
      <c r="K8">
        <v>12.081</v>
      </c>
      <c r="L8">
        <v>631954371.199</v>
      </c>
      <c r="M8">
        <v>631954371.199</v>
      </c>
      <c r="N8">
        <f>K8-D8</f>
        <v>0.51536073074499988</v>
      </c>
    </row>
    <row r="9" spans="1:14" x14ac:dyDescent="0.35">
      <c r="A9" t="s">
        <v>16</v>
      </c>
      <c r="B9" t="s">
        <v>17</v>
      </c>
      <c r="C9" t="s">
        <v>15</v>
      </c>
      <c r="D9">
        <v>4.4235695691080297</v>
      </c>
      <c r="E9">
        <v>147954684761</v>
      </c>
      <c r="F9">
        <v>238207042.46520999</v>
      </c>
      <c r="G9">
        <v>1.61</v>
      </c>
      <c r="H9">
        <v>2022</v>
      </c>
      <c r="I9" t="s">
        <v>18</v>
      </c>
      <c r="J9" t="s">
        <v>15</v>
      </c>
      <c r="K9">
        <v>3.6604030000000001</v>
      </c>
      <c r="L9">
        <v>206548068.21599999</v>
      </c>
      <c r="M9">
        <v>206548068.21599999</v>
      </c>
      <c r="N9">
        <f>K9-D9</f>
        <v>-0.7631665691080296</v>
      </c>
    </row>
    <row r="10" spans="1:14" x14ac:dyDescent="0.35">
      <c r="A10" t="s">
        <v>12</v>
      </c>
      <c r="B10" t="s">
        <v>13</v>
      </c>
      <c r="C10" t="s">
        <v>15</v>
      </c>
      <c r="D10">
        <v>0.38235422377393991</v>
      </c>
      <c r="E10">
        <v>12540974385</v>
      </c>
      <c r="F10">
        <v>20190968.759849999</v>
      </c>
      <c r="G10">
        <v>1.61</v>
      </c>
      <c r="H10">
        <v>2022</v>
      </c>
      <c r="I10" t="s">
        <v>19</v>
      </c>
      <c r="J10" t="s">
        <v>15</v>
      </c>
      <c r="K10">
        <v>0</v>
      </c>
      <c r="N10">
        <f>K10-D10</f>
        <v>-0.38235422377393991</v>
      </c>
    </row>
    <row r="11" spans="1:14" x14ac:dyDescent="0.35">
      <c r="A11" t="s">
        <v>12</v>
      </c>
      <c r="B11" t="s">
        <v>13</v>
      </c>
      <c r="C11" t="s">
        <v>15</v>
      </c>
      <c r="D11">
        <v>11.879753971524771</v>
      </c>
      <c r="E11">
        <v>381693870501</v>
      </c>
      <c r="F11">
        <v>687048966.90180004</v>
      </c>
      <c r="G11">
        <v>1.8</v>
      </c>
      <c r="H11">
        <v>2021</v>
      </c>
      <c r="I11" t="s">
        <v>14</v>
      </c>
      <c r="J11" t="s">
        <v>15</v>
      </c>
      <c r="K11">
        <v>13.581</v>
      </c>
      <c r="L11">
        <v>710234464.13499999</v>
      </c>
      <c r="M11">
        <v>710234464.13499999</v>
      </c>
      <c r="N11">
        <f>K11-D11</f>
        <v>1.7012460284752287</v>
      </c>
    </row>
    <row r="12" spans="1:14" x14ac:dyDescent="0.35">
      <c r="A12" t="s">
        <v>16</v>
      </c>
      <c r="B12" t="s">
        <v>17</v>
      </c>
      <c r="C12" t="s">
        <v>15</v>
      </c>
      <c r="D12">
        <v>3.993468270569116</v>
      </c>
      <c r="E12">
        <v>123373225492</v>
      </c>
      <c r="F12">
        <v>222071805.8856</v>
      </c>
      <c r="G12">
        <v>1.8</v>
      </c>
      <c r="H12">
        <v>2021</v>
      </c>
      <c r="I12" t="s">
        <v>18</v>
      </c>
      <c r="J12" t="s">
        <v>15</v>
      </c>
      <c r="K12">
        <v>3.8843809999999999</v>
      </c>
      <c r="L12">
        <v>219808451.24000001</v>
      </c>
      <c r="M12">
        <v>219808451.24000001</v>
      </c>
      <c r="N12">
        <f>K12-D12</f>
        <v>-0.10908727056911616</v>
      </c>
    </row>
    <row r="13" spans="1:14" x14ac:dyDescent="0.35">
      <c r="A13" t="s">
        <v>12</v>
      </c>
      <c r="B13" t="s">
        <v>13</v>
      </c>
      <c r="C13" t="s">
        <v>15</v>
      </c>
      <c r="D13">
        <v>6.7771358366445584</v>
      </c>
      <c r="E13">
        <v>220079268751</v>
      </c>
      <c r="F13">
        <v>382937927.62673998</v>
      </c>
      <c r="G13">
        <v>1.74</v>
      </c>
      <c r="H13">
        <v>2020</v>
      </c>
      <c r="I13" t="s">
        <v>14</v>
      </c>
      <c r="J13" t="s">
        <v>15</v>
      </c>
      <c r="K13">
        <v>9.5120000000000005</v>
      </c>
      <c r="L13">
        <v>485160797.29100001</v>
      </c>
      <c r="M13">
        <v>485160797.29100001</v>
      </c>
      <c r="N13">
        <f>K13-D13</f>
        <v>2.734864163355442</v>
      </c>
    </row>
    <row r="14" spans="1:14" x14ac:dyDescent="0.35">
      <c r="A14" t="s">
        <v>12</v>
      </c>
      <c r="B14" t="s">
        <v>13</v>
      </c>
      <c r="C14" t="s">
        <v>15</v>
      </c>
      <c r="D14">
        <v>0.26437952458340791</v>
      </c>
      <c r="E14">
        <v>8692666730</v>
      </c>
      <c r="F14">
        <v>15125240.110200001</v>
      </c>
      <c r="G14">
        <v>1.74</v>
      </c>
      <c r="H14">
        <v>2020</v>
      </c>
      <c r="I14" t="s">
        <v>20</v>
      </c>
      <c r="J14" t="s">
        <v>15</v>
      </c>
      <c r="K14">
        <v>0</v>
      </c>
      <c r="N14">
        <f>K14-D14</f>
        <v>-0.26437952458340791</v>
      </c>
    </row>
    <row r="15" spans="1:14" x14ac:dyDescent="0.35">
      <c r="A15" t="s">
        <v>16</v>
      </c>
      <c r="B15" t="s">
        <v>17</v>
      </c>
      <c r="C15" t="s">
        <v>15</v>
      </c>
      <c r="D15">
        <v>1.3204979666104211</v>
      </c>
      <c r="E15">
        <v>39522643736</v>
      </c>
      <c r="F15">
        <v>68769400.100639999</v>
      </c>
      <c r="G15">
        <v>1.74</v>
      </c>
      <c r="H15">
        <v>2020</v>
      </c>
      <c r="I15" t="s">
        <v>14</v>
      </c>
      <c r="J15" t="s">
        <v>15</v>
      </c>
      <c r="K15">
        <v>9.5120000000000005</v>
      </c>
      <c r="L15">
        <v>485160797.29100001</v>
      </c>
      <c r="M15">
        <v>485160797.29100001</v>
      </c>
      <c r="N15">
        <f>K15-D15</f>
        <v>8.1915020333895789</v>
      </c>
    </row>
    <row r="16" spans="1:14" x14ac:dyDescent="0.35">
      <c r="A16" t="s">
        <v>16</v>
      </c>
      <c r="B16" t="s">
        <v>17</v>
      </c>
      <c r="C16" t="s">
        <v>15</v>
      </c>
      <c r="D16">
        <v>3.9922863385768612</v>
      </c>
      <c r="E16">
        <v>117267141286</v>
      </c>
      <c r="F16">
        <v>204044825.83763999</v>
      </c>
      <c r="G16">
        <v>1.74</v>
      </c>
      <c r="H16">
        <v>2020</v>
      </c>
      <c r="I16" t="s">
        <v>18</v>
      </c>
      <c r="J16" t="s">
        <v>15</v>
      </c>
      <c r="K16">
        <v>3.6344569999999998</v>
      </c>
      <c r="L16">
        <v>194991546.08899999</v>
      </c>
      <c r="M16">
        <v>194991546.08899999</v>
      </c>
      <c r="N16">
        <f>K16-D16</f>
        <v>-0.35782933857686139</v>
      </c>
    </row>
    <row r="17" spans="3:14" x14ac:dyDescent="0.35">
      <c r="C17" t="s">
        <v>15</v>
      </c>
      <c r="D17">
        <v>0</v>
      </c>
      <c r="H17">
        <v>2024</v>
      </c>
      <c r="I17" t="s">
        <v>28</v>
      </c>
      <c r="J17" t="s">
        <v>15</v>
      </c>
      <c r="K17">
        <v>1.0012E-2</v>
      </c>
      <c r="L17">
        <v>819980</v>
      </c>
      <c r="M17">
        <v>819980</v>
      </c>
      <c r="N17">
        <f>K17-D17</f>
        <v>1.0012E-2</v>
      </c>
    </row>
    <row r="18" spans="3:14" x14ac:dyDescent="0.35">
      <c r="C18" t="s">
        <v>15</v>
      </c>
      <c r="D18">
        <v>0</v>
      </c>
      <c r="H18">
        <v>2024</v>
      </c>
      <c r="I18" t="s">
        <v>30</v>
      </c>
      <c r="J18" t="s">
        <v>15</v>
      </c>
      <c r="K18">
        <v>1.0697E-2</v>
      </c>
      <c r="L18">
        <v>676674.71200000006</v>
      </c>
      <c r="M18">
        <v>676674.71200000006</v>
      </c>
      <c r="N18">
        <f>K18-D18</f>
        <v>1.0697E-2</v>
      </c>
    </row>
    <row r="19" spans="3:14" x14ac:dyDescent="0.35">
      <c r="C19" t="s">
        <v>15</v>
      </c>
      <c r="D19">
        <v>0</v>
      </c>
      <c r="H19">
        <v>2024</v>
      </c>
      <c r="I19" t="s">
        <v>33</v>
      </c>
      <c r="J19" t="s">
        <v>15</v>
      </c>
      <c r="K19">
        <v>0.02</v>
      </c>
      <c r="L19">
        <v>1764637.62</v>
      </c>
      <c r="M19">
        <v>1764637.62</v>
      </c>
      <c r="N19">
        <f>K19-D19</f>
        <v>0.02</v>
      </c>
    </row>
    <row r="20" spans="3:14" x14ac:dyDescent="0.35">
      <c r="C20" t="s">
        <v>15</v>
      </c>
      <c r="D20">
        <v>0</v>
      </c>
      <c r="H20">
        <v>2024</v>
      </c>
      <c r="I20" t="s">
        <v>35</v>
      </c>
      <c r="J20" t="s">
        <v>15</v>
      </c>
      <c r="K20">
        <v>1.9989999999999999E-3</v>
      </c>
      <c r="L20">
        <v>99765</v>
      </c>
      <c r="M20">
        <v>99765</v>
      </c>
      <c r="N20">
        <f>K20-D20</f>
        <v>1.9989999999999999E-3</v>
      </c>
    </row>
    <row r="21" spans="3:14" x14ac:dyDescent="0.35">
      <c r="C21" t="s">
        <v>15</v>
      </c>
      <c r="D21">
        <v>0</v>
      </c>
      <c r="H21">
        <v>2023</v>
      </c>
      <c r="I21" t="s">
        <v>30</v>
      </c>
      <c r="J21" t="s">
        <v>15</v>
      </c>
      <c r="K21">
        <v>2.8239E-2</v>
      </c>
      <c r="L21">
        <v>1335454.328</v>
      </c>
      <c r="M21">
        <v>1335454.328</v>
      </c>
      <c r="N21">
        <f>K21-D21</f>
        <v>2.8239E-2</v>
      </c>
    </row>
    <row r="22" spans="3:14" x14ac:dyDescent="0.35">
      <c r="C22" t="s">
        <v>15</v>
      </c>
      <c r="D22">
        <v>0</v>
      </c>
      <c r="H22">
        <v>2023</v>
      </c>
      <c r="I22" t="s">
        <v>36</v>
      </c>
      <c r="J22" t="s">
        <v>15</v>
      </c>
      <c r="K22">
        <v>6.6109999999999997E-3</v>
      </c>
      <c r="L22">
        <v>337980.12400000001</v>
      </c>
      <c r="M22">
        <v>337980.12400000001</v>
      </c>
      <c r="N22">
        <f>K22-D22</f>
        <v>6.6109999999999997E-3</v>
      </c>
    </row>
    <row r="23" spans="3:14" x14ac:dyDescent="0.35">
      <c r="C23" t="s">
        <v>15</v>
      </c>
      <c r="D23">
        <v>0</v>
      </c>
      <c r="H23">
        <v>2023</v>
      </c>
      <c r="I23" t="s">
        <v>38</v>
      </c>
      <c r="J23" t="s">
        <v>15</v>
      </c>
      <c r="K23">
        <v>4.01464</v>
      </c>
      <c r="L23">
        <v>238406106.84299999</v>
      </c>
      <c r="M23">
        <v>238406106.84299999</v>
      </c>
      <c r="N23">
        <f>K23-D23</f>
        <v>4.01464</v>
      </c>
    </row>
    <row r="24" spans="3:14" x14ac:dyDescent="0.35">
      <c r="C24" t="s">
        <v>15</v>
      </c>
      <c r="D24">
        <v>0</v>
      </c>
      <c r="H24">
        <v>2023</v>
      </c>
      <c r="I24" t="s">
        <v>35</v>
      </c>
      <c r="J24" t="s">
        <v>15</v>
      </c>
      <c r="K24">
        <v>3.4648000000000012E-2</v>
      </c>
      <c r="L24">
        <v>1695971</v>
      </c>
      <c r="M24">
        <v>1695971</v>
      </c>
      <c r="N24">
        <f>K24-D24</f>
        <v>3.4648000000000012E-2</v>
      </c>
    </row>
    <row r="25" spans="3:14" x14ac:dyDescent="0.35">
      <c r="C25" t="s">
        <v>15</v>
      </c>
      <c r="D25">
        <v>0</v>
      </c>
      <c r="H25">
        <v>2022</v>
      </c>
      <c r="I25" t="s">
        <v>30</v>
      </c>
      <c r="J25" t="s">
        <v>15</v>
      </c>
      <c r="K25">
        <v>3.2393999999999999E-2</v>
      </c>
      <c r="L25">
        <v>1541344.121</v>
      </c>
      <c r="M25">
        <v>1541344.121</v>
      </c>
      <c r="N25">
        <f>K25-D25</f>
        <v>3.2393999999999999E-2</v>
      </c>
    </row>
    <row r="26" spans="3:14" x14ac:dyDescent="0.35">
      <c r="C26" t="s">
        <v>15</v>
      </c>
      <c r="D26">
        <v>0</v>
      </c>
      <c r="H26">
        <v>2022</v>
      </c>
      <c r="I26" t="s">
        <v>38</v>
      </c>
      <c r="J26" t="s">
        <v>15</v>
      </c>
      <c r="K26">
        <v>3.2155200000000002</v>
      </c>
      <c r="L26">
        <v>171934926.44400001</v>
      </c>
      <c r="M26">
        <v>171934926.44400001</v>
      </c>
      <c r="N26">
        <f>K26-D26</f>
        <v>3.2155200000000002</v>
      </c>
    </row>
    <row r="27" spans="3:14" x14ac:dyDescent="0.35">
      <c r="C27" t="s">
        <v>15</v>
      </c>
      <c r="D27">
        <v>0</v>
      </c>
      <c r="H27">
        <v>2021</v>
      </c>
      <c r="I27" t="s">
        <v>30</v>
      </c>
      <c r="J27" t="s">
        <v>15</v>
      </c>
      <c r="K27">
        <v>2.7383999999999999E-2</v>
      </c>
      <c r="L27">
        <v>1297177.531</v>
      </c>
      <c r="M27">
        <v>1297177.531</v>
      </c>
      <c r="N27">
        <f>K27-D27</f>
        <v>2.7383999999999999E-2</v>
      </c>
    </row>
    <row r="28" spans="3:14" x14ac:dyDescent="0.35">
      <c r="C28" t="s">
        <v>15</v>
      </c>
      <c r="D28">
        <v>0</v>
      </c>
      <c r="H28">
        <v>2021</v>
      </c>
      <c r="I28" t="s">
        <v>40</v>
      </c>
      <c r="J28" t="s">
        <v>15</v>
      </c>
      <c r="K28">
        <v>9.9799999999999997E-4</v>
      </c>
      <c r="L28">
        <v>47763.417999999998</v>
      </c>
      <c r="M28">
        <v>47763.417999999998</v>
      </c>
      <c r="N28">
        <f>K28-D28</f>
        <v>9.9799999999999997E-4</v>
      </c>
    </row>
    <row r="29" spans="3:14" x14ac:dyDescent="0.35">
      <c r="C29" t="s">
        <v>15</v>
      </c>
      <c r="D29">
        <v>0</v>
      </c>
      <c r="H29">
        <v>2021</v>
      </c>
      <c r="I29" t="s">
        <v>38</v>
      </c>
      <c r="J29" t="s">
        <v>15</v>
      </c>
      <c r="K29">
        <v>2.6259000000000001</v>
      </c>
      <c r="L29">
        <v>144258311.833</v>
      </c>
      <c r="M29">
        <v>144258311.833</v>
      </c>
      <c r="N29">
        <f>K29-D29</f>
        <v>2.6259000000000001</v>
      </c>
    </row>
    <row r="30" spans="3:14" x14ac:dyDescent="0.35">
      <c r="C30" t="s">
        <v>15</v>
      </c>
      <c r="D30">
        <v>0</v>
      </c>
      <c r="H30">
        <v>2021</v>
      </c>
      <c r="I30" t="s">
        <v>35</v>
      </c>
      <c r="J30" t="s">
        <v>15</v>
      </c>
      <c r="K30">
        <v>7.45E-3</v>
      </c>
      <c r="L30">
        <v>332900</v>
      </c>
      <c r="M30">
        <v>332900</v>
      </c>
      <c r="N30">
        <f>K30-D30</f>
        <v>7.45E-3</v>
      </c>
    </row>
    <row r="31" spans="3:14" x14ac:dyDescent="0.35">
      <c r="C31" t="s">
        <v>15</v>
      </c>
      <c r="D31">
        <v>0</v>
      </c>
      <c r="H31">
        <v>2020</v>
      </c>
      <c r="I31" t="s">
        <v>30</v>
      </c>
      <c r="J31" t="s">
        <v>15</v>
      </c>
      <c r="K31">
        <v>7.7575999999999992E-2</v>
      </c>
      <c r="L31">
        <v>3560493.3480000002</v>
      </c>
      <c r="M31">
        <v>3560493.3480000002</v>
      </c>
      <c r="N31">
        <f>K31-D31</f>
        <v>7.7575999999999992E-2</v>
      </c>
    </row>
    <row r="32" spans="3:14" x14ac:dyDescent="0.35">
      <c r="C32" t="s">
        <v>15</v>
      </c>
      <c r="D32">
        <v>0</v>
      </c>
      <c r="H32">
        <v>2020</v>
      </c>
      <c r="I32" t="s">
        <v>38</v>
      </c>
      <c r="J32" t="s">
        <v>15</v>
      </c>
      <c r="K32">
        <v>2.1188699999999998</v>
      </c>
      <c r="L32">
        <v>104357473.52599999</v>
      </c>
      <c r="M32">
        <v>104357473.52599999</v>
      </c>
      <c r="N32">
        <f>K32-D32</f>
        <v>2.1188699999999998</v>
      </c>
    </row>
    <row r="33" spans="3:14" x14ac:dyDescent="0.35">
      <c r="C33" t="s">
        <v>15</v>
      </c>
      <c r="D33">
        <v>0</v>
      </c>
      <c r="H33">
        <v>2020</v>
      </c>
      <c r="I33" t="s">
        <v>35</v>
      </c>
      <c r="J33" t="s">
        <v>15</v>
      </c>
      <c r="K33">
        <v>4.2486999999999997E-2</v>
      </c>
      <c r="L33">
        <v>1765487</v>
      </c>
      <c r="M33">
        <v>1765487</v>
      </c>
      <c r="N33">
        <f>K33-D33</f>
        <v>4.2486999999999997E-2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data_exp</vt:lpstr>
      <vt:lpstr>data_imp</vt:lpstr>
      <vt:lpstr>table</vt:lpstr>
      <vt:lpstr>data_merge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sie rachid traore</cp:lastModifiedBy>
  <dcterms:created xsi:type="dcterms:W3CDTF">2026-05-17T00:21:13Z</dcterms:created>
  <dcterms:modified xsi:type="dcterms:W3CDTF">2026-05-17T00:55:37Z</dcterms:modified>
</cp:coreProperties>
</file>