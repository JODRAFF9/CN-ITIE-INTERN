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E:\STATMINES\"/>
    </mc:Choice>
  </mc:AlternateContent>
  <bookViews>
    <workbookView xWindow="0" yWindow="0" windowWidth="23040" windowHeight="10332" firstSheet="5" activeTab="5"/>
  </bookViews>
  <sheets>
    <sheet name="IDENTIFICATION" sheetId="4" r:id="rId1"/>
    <sheet name="INFO_TITRE_MINIER" sheetId="8" r:id="rId2"/>
    <sheet name="SONDAGE" sheetId="9" r:id="rId3"/>
    <sheet name="PRODUCTION" sheetId="10" r:id="rId4"/>
    <sheet name="PRODUCTION TRANF (VENDUE)" sheetId="11" r:id="rId5"/>
    <sheet name="PRODUCTION QTE VAL" sheetId="18" r:id="rId6"/>
    <sheet name="EXPORTATION" sheetId="12" r:id="rId7"/>
    <sheet name="CHARGES" sheetId="13" r:id="rId8"/>
    <sheet name="PRODUCTION ELECTRICITE" sheetId="14" r:id="rId9"/>
    <sheet name="Feuil1" sheetId="23" r:id="rId10"/>
    <sheet name="EMPLOI ET SALAIRE" sheetId="15" r:id="rId11"/>
    <sheet name="REALISATION SOCIALE" sheetId="16" r:id="rId12"/>
    <sheet name="Feuil5" sheetId="27" r:id="rId13"/>
  </sheets>
  <definedNames>
    <definedName name="_xlnm._FilterDatabase" localSheetId="7" hidden="1">CHARGES!$A$1:$L$59</definedName>
    <definedName name="_xlnm._FilterDatabase" localSheetId="10" hidden="1">'EMPLOI ET SALAIRE'!$A$1:$M$281</definedName>
    <definedName name="_xlnm._FilterDatabase" localSheetId="6" hidden="1">EXPORTATION!$A$1:$H$193</definedName>
    <definedName name="_xlnm._FilterDatabase" localSheetId="0" hidden="1">IDENTIFICATION!#REF!</definedName>
    <definedName name="_xlnm._FilterDatabase" localSheetId="1" hidden="1">INFO_TITRE_MINIER!$A$1:$AP$69</definedName>
    <definedName name="_xlnm._FilterDatabase" localSheetId="3" hidden="1">PRODUCTION!$A$1:$F$19</definedName>
    <definedName name="_xlnm._FilterDatabase" localSheetId="8" hidden="1">'PRODUCTION ELECTRICITE'!$A$1:$O$22</definedName>
    <definedName name="_xlnm._FilterDatabase" localSheetId="5" hidden="1">'PRODUCTION QTE VAL'!$A$1:$S$60</definedName>
    <definedName name="_xlnm._FilterDatabase" localSheetId="4" hidden="1">'PRODUCTION TRANF (VENDUE)'!$A$1:$O$57</definedName>
    <definedName name="_xlnm._FilterDatabase" localSheetId="11" hidden="1">'REALISATION SOCIALE'!$A$1:$H$201</definedName>
    <definedName name="_xlnm._FilterDatabase" localSheetId="2" hidden="1">SONDAGE!$A$1:$N$1</definedName>
  </definedNames>
  <calcPr calcId="162913"/>
  <pivotCaches>
    <pivotCache cacheId="20" r:id="rId1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7" i="18" l="1"/>
  <c r="P27" i="18" l="1"/>
  <c r="H60" i="18" l="1"/>
  <c r="H283" i="15" l="1"/>
  <c r="H282" i="15"/>
  <c r="H94" i="15"/>
  <c r="H93" i="15"/>
  <c r="H88" i="15"/>
  <c r="H87" i="15"/>
  <c r="J59" i="13" l="1"/>
  <c r="H281" i="15"/>
  <c r="H280" i="15"/>
  <c r="H277" i="15"/>
  <c r="H276" i="15"/>
  <c r="H275" i="15"/>
  <c r="H272" i="15"/>
  <c r="P59" i="18" l="1"/>
  <c r="O59" i="18"/>
  <c r="P58" i="18"/>
  <c r="O58" i="18"/>
  <c r="P57" i="18"/>
  <c r="O57" i="18"/>
  <c r="P56" i="18"/>
  <c r="O56" i="18"/>
  <c r="P55" i="18"/>
  <c r="O55" i="18"/>
  <c r="P54" i="18"/>
  <c r="O54" i="18"/>
  <c r="P53" i="18"/>
  <c r="O53" i="18"/>
  <c r="P52" i="18"/>
  <c r="O52" i="18"/>
  <c r="P51" i="18"/>
  <c r="O51" i="18"/>
  <c r="P50" i="18"/>
  <c r="O50" i="18"/>
  <c r="P49" i="18"/>
  <c r="O49" i="18"/>
  <c r="P48" i="18"/>
  <c r="O48" i="18"/>
  <c r="P47" i="18"/>
  <c r="O47" i="18"/>
  <c r="P46" i="18"/>
  <c r="O46" i="18"/>
  <c r="P45" i="18"/>
  <c r="O45" i="18"/>
  <c r="P44" i="18"/>
  <c r="O44" i="18"/>
  <c r="P43" i="18"/>
  <c r="O43" i="18"/>
  <c r="P42" i="18"/>
  <c r="O42" i="18"/>
  <c r="P41" i="18"/>
  <c r="O41" i="18"/>
  <c r="P40" i="18"/>
  <c r="O40" i="18"/>
  <c r="P39" i="18"/>
  <c r="O39" i="18"/>
  <c r="P38" i="18"/>
  <c r="O38" i="18"/>
  <c r="P37" i="18"/>
  <c r="O37" i="18"/>
  <c r="P36" i="18"/>
  <c r="O36" i="18"/>
  <c r="P35" i="18"/>
  <c r="P34" i="18"/>
  <c r="P33" i="18"/>
  <c r="O33" i="18"/>
  <c r="P32" i="18"/>
  <c r="O32" i="18"/>
  <c r="P31" i="18"/>
  <c r="O31" i="18"/>
  <c r="P30" i="18"/>
  <c r="O30" i="18"/>
  <c r="O29" i="18"/>
  <c r="P28" i="18"/>
  <c r="O28" i="18"/>
  <c r="P26" i="18"/>
  <c r="O26" i="18"/>
  <c r="P25" i="18"/>
  <c r="O25" i="18"/>
  <c r="P24" i="18"/>
  <c r="O24" i="18"/>
  <c r="P23" i="18"/>
  <c r="O23" i="18"/>
  <c r="P22" i="18"/>
  <c r="O22" i="18"/>
  <c r="P21" i="18"/>
  <c r="O21" i="18"/>
  <c r="P20" i="18"/>
  <c r="O20" i="18"/>
  <c r="P19" i="18"/>
  <c r="O19" i="18"/>
  <c r="P18" i="18"/>
  <c r="O18" i="18"/>
  <c r="P17" i="18"/>
  <c r="O17" i="18"/>
  <c r="P16" i="18"/>
  <c r="O16" i="18"/>
  <c r="P15" i="18"/>
  <c r="O15" i="18"/>
  <c r="P14" i="18"/>
  <c r="O14" i="18"/>
  <c r="P13" i="18"/>
  <c r="O13" i="18"/>
  <c r="P12" i="18"/>
  <c r="O12" i="18"/>
  <c r="P11" i="18"/>
  <c r="O11" i="18"/>
  <c r="P10" i="18"/>
  <c r="O10" i="18"/>
  <c r="P9" i="18"/>
  <c r="O9" i="18"/>
  <c r="P8" i="18"/>
  <c r="O8" i="18"/>
  <c r="P7" i="18"/>
  <c r="O7" i="18"/>
  <c r="O6" i="18"/>
  <c r="P5" i="18"/>
  <c r="O5" i="18"/>
  <c r="P4" i="18"/>
  <c r="O4" i="18"/>
  <c r="O3" i="18"/>
  <c r="P2" i="18"/>
  <c r="O2" i="18"/>
  <c r="G17" i="10"/>
  <c r="G16" i="10"/>
  <c r="G13" i="10"/>
  <c r="G10" i="10"/>
  <c r="G5" i="10"/>
  <c r="G2" i="10"/>
  <c r="F22" i="14" l="1"/>
  <c r="G22" i="14" s="1"/>
  <c r="F21" i="14"/>
  <c r="G21" i="14" s="1"/>
  <c r="F20" i="14"/>
  <c r="G20" i="14" s="1"/>
  <c r="F19" i="14"/>
  <c r="G19" i="14" s="1"/>
  <c r="F18" i="14"/>
  <c r="G18" i="14" s="1"/>
  <c r="F17" i="14"/>
  <c r="G17" i="14" s="1"/>
  <c r="F16" i="14"/>
  <c r="G16" i="14" s="1"/>
  <c r="F15" i="14"/>
  <c r="G15" i="14" s="1"/>
  <c r="F14" i="14"/>
  <c r="G14" i="14" s="1"/>
  <c r="F13" i="14"/>
  <c r="G13" i="14" s="1"/>
  <c r="F12" i="14"/>
  <c r="G12" i="14" s="1"/>
  <c r="F11" i="14"/>
  <c r="D11" i="14"/>
  <c r="F10" i="14"/>
  <c r="D10" i="14"/>
  <c r="F9" i="14"/>
  <c r="G9" i="14" s="1"/>
  <c r="M8" i="14"/>
  <c r="F8" i="14"/>
  <c r="G8" i="14" s="1"/>
  <c r="F7" i="14"/>
  <c r="G7" i="14" s="1"/>
  <c r="F6" i="14"/>
  <c r="D6" i="14"/>
  <c r="F5" i="14"/>
  <c r="G5" i="14" s="1"/>
  <c r="F4" i="14"/>
  <c r="G4" i="14" s="1"/>
  <c r="F3" i="14"/>
  <c r="G3" i="14" s="1"/>
  <c r="F2" i="14"/>
  <c r="G2" i="14" s="1"/>
  <c r="B57" i="13"/>
  <c r="F35" i="13"/>
  <c r="D35" i="13"/>
  <c r="B35" i="13"/>
  <c r="D23" i="13"/>
  <c r="F20" i="13"/>
  <c r="D20" i="13"/>
  <c r="C20" i="13"/>
  <c r="B20" i="13"/>
  <c r="B15" i="13"/>
  <c r="O57" i="11"/>
  <c r="N57" i="11"/>
  <c r="O56" i="11"/>
  <c r="N56" i="11"/>
  <c r="O55" i="11"/>
  <c r="N55" i="11"/>
  <c r="O54" i="11"/>
  <c r="N54" i="11"/>
  <c r="O53" i="11"/>
  <c r="N53" i="11"/>
  <c r="O52" i="11"/>
  <c r="N52" i="11"/>
  <c r="O51" i="11"/>
  <c r="N51" i="11"/>
  <c r="O50" i="11"/>
  <c r="N50" i="11"/>
  <c r="O49" i="11"/>
  <c r="N49" i="11"/>
  <c r="O48" i="11"/>
  <c r="N48" i="11"/>
  <c r="O47" i="11"/>
  <c r="N47" i="11"/>
  <c r="O46" i="11"/>
  <c r="N46" i="11"/>
  <c r="O45" i="11"/>
  <c r="N45" i="11"/>
  <c r="O44" i="11"/>
  <c r="N44" i="11"/>
  <c r="O43" i="11"/>
  <c r="N43" i="11"/>
  <c r="O42" i="11"/>
  <c r="N42" i="11"/>
  <c r="O41" i="11"/>
  <c r="N41" i="11"/>
  <c r="O40" i="11"/>
  <c r="N40" i="11"/>
  <c r="O39" i="11"/>
  <c r="N39" i="11"/>
  <c r="O38" i="11"/>
  <c r="N38" i="11"/>
  <c r="O37" i="11"/>
  <c r="N37" i="11"/>
  <c r="O36" i="11"/>
  <c r="N36" i="11"/>
  <c r="O35" i="11"/>
  <c r="O34" i="11"/>
  <c r="O33" i="11"/>
  <c r="N33" i="11"/>
  <c r="O32" i="11"/>
  <c r="N32" i="11"/>
  <c r="O31" i="11"/>
  <c r="N31" i="11"/>
  <c r="O30" i="11"/>
  <c r="N30" i="11"/>
  <c r="O29" i="11"/>
  <c r="N29" i="11"/>
  <c r="O28" i="11"/>
  <c r="N28" i="11"/>
  <c r="O27" i="11"/>
  <c r="N27" i="11"/>
  <c r="O26" i="11"/>
  <c r="N26" i="11"/>
  <c r="O25" i="11"/>
  <c r="N25" i="11"/>
  <c r="O24" i="11"/>
  <c r="N24" i="11"/>
  <c r="O23" i="11"/>
  <c r="N23" i="11"/>
  <c r="O22" i="11"/>
  <c r="N22" i="11"/>
  <c r="O21" i="11"/>
  <c r="N21" i="11"/>
  <c r="O20" i="11"/>
  <c r="N20" i="11"/>
  <c r="O19" i="11"/>
  <c r="N19" i="11"/>
  <c r="O18" i="11"/>
  <c r="N18" i="11"/>
  <c r="O17" i="11"/>
  <c r="N17" i="11"/>
  <c r="O16" i="11"/>
  <c r="N16" i="11"/>
  <c r="O15" i="11"/>
  <c r="N15" i="11"/>
  <c r="O14" i="11"/>
  <c r="N14" i="11"/>
  <c r="O13" i="11"/>
  <c r="N13" i="11"/>
  <c r="O12" i="11"/>
  <c r="N12" i="11"/>
  <c r="O11" i="11"/>
  <c r="N11" i="11"/>
  <c r="O10" i="11"/>
  <c r="N10" i="11"/>
  <c r="O9" i="11"/>
  <c r="N9" i="11"/>
  <c r="O8" i="11"/>
  <c r="N8" i="11"/>
  <c r="O7" i="11"/>
  <c r="N7" i="11"/>
  <c r="N6" i="11"/>
  <c r="O5" i="11"/>
  <c r="N5" i="11"/>
  <c r="O4" i="11"/>
  <c r="N4" i="11"/>
  <c r="N3" i="11"/>
  <c r="O2" i="11"/>
  <c r="N2" i="11"/>
  <c r="P37" i="11" l="1"/>
  <c r="P43" i="11"/>
  <c r="P36" i="11"/>
  <c r="G10" i="14"/>
  <c r="G11" i="14"/>
  <c r="G6" i="14"/>
</calcChain>
</file>

<file path=xl/comments1.xml><?xml version="1.0" encoding="utf-8"?>
<comments xmlns="http://schemas.openxmlformats.org/spreadsheetml/2006/main">
  <authors>
    <author>hp</author>
  </authors>
  <commentList>
    <comment ref="A21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Corriger avec GECAMINES</t>
        </r>
      </text>
    </comment>
  </commentList>
</comments>
</file>

<file path=xl/comments2.xml><?xml version="1.0" encoding="utf-8"?>
<comments xmlns="http://schemas.openxmlformats.org/spreadsheetml/2006/main">
  <authors>
    <author>user</author>
    <author>hp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Quantite calculée à partir du Ratio Diesel/Elec </t>
        </r>
      </text>
    </comment>
    <comment ref="B7" authorId="1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Quantite calculée à partir du Ratio Diesel/Elec </t>
        </r>
      </text>
    </comment>
    <comment ref="C19" authorId="1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mettre la valeur de l'électricité produite</t>
        </r>
      </text>
    </comment>
    <comment ref="C22" authorId="1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mettre la valeur de l'électricté produite</t>
        </r>
      </text>
    </comment>
  </commentList>
</comments>
</file>

<file path=xl/comments3.xml><?xml version="1.0" encoding="utf-8"?>
<comments xmlns="http://schemas.openxmlformats.org/spreadsheetml/2006/main">
  <authors>
    <author>dell</author>
  </authors>
  <commentList>
    <comment ref="B169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doublons de la ligne 171</t>
        </r>
      </text>
    </comment>
    <comment ref="B171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doublons de la ligne 200</t>
        </r>
      </text>
    </comment>
    <comment ref="B173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doublons de la ligne 247</t>
        </r>
      </text>
    </comment>
    <comment ref="B175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doublons de la ligne 3</t>
        </r>
      </text>
    </comment>
    <comment ref="B177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doublons de la ligne 58</t>
        </r>
      </text>
    </comment>
    <comment ref="B179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doublons de la ligne 117</t>
        </r>
      </text>
    </comment>
  </commentList>
</comments>
</file>

<file path=xl/comments4.xml><?xml version="1.0" encoding="utf-8"?>
<comments xmlns="http://schemas.openxmlformats.org/spreadsheetml/2006/main">
  <authors>
    <author>dell</author>
  </authors>
  <commentList>
    <comment ref="E190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à vérifier</t>
        </r>
      </text>
    </comment>
  </commentList>
</comments>
</file>

<file path=xl/sharedStrings.xml><?xml version="1.0" encoding="utf-8"?>
<sst xmlns="http://schemas.openxmlformats.org/spreadsheetml/2006/main" count="4930" uniqueCount="817">
  <si>
    <t>A0_1 Nom de l'entreprise ou Denomination sociale</t>
  </si>
  <si>
    <t>A0_2 NINEA</t>
  </si>
  <si>
    <t>A0_3 Nombre de titre minier</t>
  </si>
  <si>
    <t>AFRICAN INVESTMENT GROUP</t>
  </si>
  <si>
    <t>Simon Benjamin NDIAYE</t>
  </si>
  <si>
    <t>sbndiaye@afrig,sn</t>
  </si>
  <si>
    <t>Simon Benjain Ndiaye</t>
  </si>
  <si>
    <t>sbndiaye@afrig.sn</t>
  </si>
  <si>
    <t>NEANT</t>
  </si>
  <si>
    <t>AFRIGOLD SA</t>
  </si>
  <si>
    <t>danie@afrigoldgroup.com et ibrahima@afrigoldgroup.com</t>
  </si>
  <si>
    <t>AGEM SENEGAL EXPLORATION SUARL</t>
  </si>
  <si>
    <t>004151750</t>
  </si>
  <si>
    <t>www.iamgold.com</t>
  </si>
  <si>
    <t>Oriol Ressources PLC; Randgold Ressources</t>
  </si>
  <si>
    <t>Oriole Ressurces PLC, Barrick Gold Corporation</t>
  </si>
  <si>
    <t>AMAFRIQUE</t>
  </si>
  <si>
    <t>0040680382Z2</t>
  </si>
  <si>
    <t>amafric@amafric.com</t>
  </si>
  <si>
    <t>www.amafric.com</t>
  </si>
  <si>
    <t>ARDMINES SARL</t>
  </si>
  <si>
    <t>006812855</t>
  </si>
  <si>
    <t>HAMADOUN CISSE</t>
  </si>
  <si>
    <t>hamadoun@hotmail.com</t>
  </si>
  <si>
    <t>BAMBUK MINERALS SENEGAL SARL</t>
  </si>
  <si>
    <t>004494150</t>
  </si>
  <si>
    <t>Hamidou Sow</t>
  </si>
  <si>
    <t>hamidou.sow@petowal.com</t>
  </si>
  <si>
    <t>www.rml.com.au</t>
  </si>
  <si>
    <t>Mamakanti et Tombo</t>
  </si>
  <si>
    <t>BARRICK GOLD</t>
  </si>
  <si>
    <t>060461732</t>
  </si>
  <si>
    <t>MOUHAMED DAVID MBAYE</t>
  </si>
  <si>
    <t>David.Mbaye@Barrick.com</t>
  </si>
  <si>
    <t>www,Barrick.com</t>
  </si>
  <si>
    <t>BARRICK GOLD CORPORATION/ IAMGOLD</t>
  </si>
  <si>
    <t>www.Barrick.com</t>
  </si>
  <si>
    <t>CSTTAO</t>
  </si>
  <si>
    <t xml:space="preserve">BOSFOR SARL </t>
  </si>
  <si>
    <t>005790367</t>
  </si>
  <si>
    <t>ERHAN ERARSLAN</t>
  </si>
  <si>
    <t>erhanerarslann@gmail.com</t>
  </si>
  <si>
    <t>BOYA</t>
  </si>
  <si>
    <t>005268067</t>
  </si>
  <si>
    <t>Mme Seye Rokhaya</t>
  </si>
  <si>
    <t>rokhayas@chesserresources.com.au</t>
  </si>
  <si>
    <t>COGECA</t>
  </si>
  <si>
    <t>0001967842G3</t>
  </si>
  <si>
    <t>Sidi Bouya  DIOP</t>
  </si>
  <si>
    <t>dggrouplayouss@gmail.com</t>
  </si>
  <si>
    <t>Sidi Bouya DIOP/Abdoulaye Sylla</t>
  </si>
  <si>
    <t>dggronplayon@gmail.com</t>
  </si>
  <si>
    <t>DANGOTE CEMENT SENEGAL</t>
  </si>
  <si>
    <t>0027072082G3</t>
  </si>
  <si>
    <t>Ousmane MBAYE</t>
  </si>
  <si>
    <t>mbaye.ousmane@dangote.com</t>
  </si>
  <si>
    <t>www.dangote.com</t>
  </si>
  <si>
    <t>004491312</t>
  </si>
  <si>
    <t>ghminingintl@gmail.com</t>
  </si>
  <si>
    <t>wwwghmine.com</t>
  </si>
  <si>
    <t>0054780202G2</t>
  </si>
  <si>
    <t>MANAR BA</t>
  </si>
  <si>
    <t>manar.ba@baobabphosphate.com</t>
  </si>
  <si>
    <t>GECAMINES</t>
  </si>
  <si>
    <t>0022921682G3</t>
  </si>
  <si>
    <t>sodevit@gmail.com</t>
  </si>
  <si>
    <t>PHILIPPE GRISOUL</t>
  </si>
  <si>
    <t>GRANDE CÔTE OPERATIONS SA</t>
  </si>
  <si>
    <t>0028492582G3</t>
  </si>
  <si>
    <t xml:space="preserve">Daour DIENG </t>
  </si>
  <si>
    <t>daour.dieng@eramet.com</t>
  </si>
  <si>
    <t>www.tizir.co.uk</t>
  </si>
  <si>
    <t>GROUPEMENT D'ENTREPRISE SINTRAM HOUAR</t>
  </si>
  <si>
    <t>0029270462G3</t>
  </si>
  <si>
    <t xml:space="preserve">MOUSSA MANE </t>
  </si>
  <si>
    <t>saboumane5550@yahoo.fr</t>
  </si>
  <si>
    <t>houarsintram@orange.sn</t>
  </si>
  <si>
    <t>HOUAR SA , SINTRAM SA</t>
  </si>
  <si>
    <t>MOUSSA MANE</t>
  </si>
  <si>
    <t>saboumane5550@yahoo,fr</t>
  </si>
  <si>
    <t>SINTRAM SA ; HOUAR SA</t>
  </si>
  <si>
    <t>INDUSTRIE CHIMIQUES DU SENEGAL / INDORAMA</t>
  </si>
  <si>
    <t>0000229552G3</t>
  </si>
  <si>
    <t>Yarame Sidibé</t>
  </si>
  <si>
    <t>ysidibe@ics,sn</t>
  </si>
  <si>
    <t>www,ics,sn</t>
  </si>
  <si>
    <t>MADAME DIOUF YARAME SIDIBE</t>
  </si>
  <si>
    <t>ysidibe@ics.sn</t>
  </si>
  <si>
    <t>www.ics.sn</t>
  </si>
  <si>
    <t>LES CIMENTS DU SAHEL SA</t>
  </si>
  <si>
    <t>000325995</t>
  </si>
  <si>
    <t>Cheikh Badiane Sakho</t>
  </si>
  <si>
    <t>carriere@lescimentsdusahel.net</t>
  </si>
  <si>
    <t>néant</t>
  </si>
  <si>
    <t>MAKABINGUI GOLD OPERATION SA</t>
  </si>
  <si>
    <t>0068631712V3</t>
  </si>
  <si>
    <t>Modou Diop Guene</t>
  </si>
  <si>
    <t>MODOU DIOP GUENE</t>
  </si>
  <si>
    <t>PETOWAL MINING COMPAGNY SA</t>
  </si>
  <si>
    <t>0058447002G3</t>
  </si>
  <si>
    <t>Hamidou SOW</t>
  </si>
  <si>
    <t>Hamidou.Sow@petowal.com</t>
  </si>
  <si>
    <t>www.torogold.com</t>
  </si>
  <si>
    <t>SABODALA GOLD OPERATIONS SA</t>
  </si>
  <si>
    <t>0028500232G3</t>
  </si>
  <si>
    <t>Ababacar FALL</t>
  </si>
  <si>
    <t>babacar.fall@terangagold.com</t>
  </si>
  <si>
    <t>www.terangagold.com</t>
  </si>
  <si>
    <t>Ababacar fall</t>
  </si>
  <si>
    <t xml:space="preserve">ababacar.fall@terangagold.com </t>
  </si>
  <si>
    <t>SABODALA MINING COMPANY SARL</t>
  </si>
  <si>
    <t>0024644100G2</t>
  </si>
  <si>
    <t>ababacar.fall@terangagold.com</t>
  </si>
  <si>
    <t>SENEGAL MINES SA</t>
  </si>
  <si>
    <t>0001134572F3</t>
  </si>
  <si>
    <t>KAMARA</t>
  </si>
  <si>
    <t>cdkamara@orange.sn</t>
  </si>
  <si>
    <t>ALFONSO GONZALEZ</t>
  </si>
  <si>
    <t>alfonso.gonzalez@senegalmines.com</t>
  </si>
  <si>
    <t>SEPHOS SENEGAL SA</t>
  </si>
  <si>
    <t>0040130412G3</t>
  </si>
  <si>
    <t>AMADOU MOUSTAPHA DIENG</t>
  </si>
  <si>
    <t>moustapha.dieng.dlg.@sephossenegal.com</t>
  </si>
  <si>
    <t>www.sephossenegal.com</t>
  </si>
  <si>
    <t>Moustapha Dieng</t>
  </si>
  <si>
    <t>moustapha.diengdlg@sephosenegal.com</t>
  </si>
  <si>
    <t>SOCOBE</t>
  </si>
  <si>
    <t>006389507</t>
  </si>
  <si>
    <t>Yunus ESKAN</t>
  </si>
  <si>
    <t>yunuserkan@hotmail.com</t>
  </si>
  <si>
    <t>SODEVIT</t>
  </si>
  <si>
    <t>0002258502G3</t>
  </si>
  <si>
    <t>Philippe GRISOUL</t>
  </si>
  <si>
    <t>Phillip GRISOUL</t>
  </si>
  <si>
    <t>SOMIVA</t>
  </si>
  <si>
    <t>0044751422G3</t>
  </si>
  <si>
    <t>C.Kalala</t>
  </si>
  <si>
    <t>gkalala@somiva-sn.com</t>
  </si>
  <si>
    <t>C.KALLALA</t>
  </si>
  <si>
    <t>cjkallala@somiva-sn.com</t>
  </si>
  <si>
    <t xml:space="preserve">SONKO ET FILS </t>
  </si>
  <si>
    <t>0028386152R2</t>
  </si>
  <si>
    <t>Bintou SONKO</t>
  </si>
  <si>
    <t>sonko.fils@yahoo.fr</t>
  </si>
  <si>
    <t>N/A</t>
  </si>
  <si>
    <t>Toro Gold imited</t>
  </si>
  <si>
    <t>Bintou Sonko</t>
  </si>
  <si>
    <t>www.sonkoetfils.com</t>
  </si>
  <si>
    <t>Toro Gold Limited</t>
  </si>
  <si>
    <t>SORED MINES SA</t>
  </si>
  <si>
    <t>0024446862G3</t>
  </si>
  <si>
    <t>Mamadou SENE</t>
  </si>
  <si>
    <t>mamadou.sene@soredmines.com</t>
  </si>
  <si>
    <t>www.soredmines.com</t>
  </si>
  <si>
    <t>Aminata SOW</t>
  </si>
  <si>
    <t>sored_mines@orange.sn</t>
  </si>
  <si>
    <t>SOCIETE SENEGALAISE DES PHOSPHATES DE THIES</t>
  </si>
  <si>
    <t>0000297972G3</t>
  </si>
  <si>
    <t>Arfang Soumaré</t>
  </si>
  <si>
    <t>rgarca@tolsa.com</t>
  </si>
  <si>
    <t>YUNUS ERKAN</t>
  </si>
  <si>
    <t>BAYRAM HAYATI, SENTURK MEHMET FERHAT, PAPA MAYELAD FALL</t>
  </si>
  <si>
    <t>BMCC</t>
  </si>
  <si>
    <t>GH MINING SARL</t>
  </si>
  <si>
    <t>Annee de reference</t>
  </si>
  <si>
    <t>A0_4 Nom du point focal</t>
  </si>
  <si>
    <t>A0_5 Telephone fixe (point focal)</t>
  </si>
  <si>
    <t>A0_6 Telephone cellulaire point focal</t>
  </si>
  <si>
    <t>A0_7 Email (point focal)</t>
  </si>
  <si>
    <t>A0_8 Site web de l'entreprise</t>
  </si>
  <si>
    <t>A0_9 Liste des societes en joint venture</t>
  </si>
  <si>
    <t>0045079952Y3</t>
  </si>
  <si>
    <t>0047361982G3</t>
  </si>
  <si>
    <t>Danie RUSSEL</t>
  </si>
  <si>
    <t>Maty NDOM</t>
  </si>
  <si>
    <t>SOCOCIM INDUSTRIES</t>
  </si>
  <si>
    <t>000016627</t>
  </si>
  <si>
    <t>Youga SOW</t>
  </si>
  <si>
    <t>sococim@sococim.sn</t>
  </si>
  <si>
    <t>A1.1</t>
  </si>
  <si>
    <t>A1.2</t>
  </si>
  <si>
    <t>A1.3</t>
  </si>
  <si>
    <t>A1.4</t>
  </si>
  <si>
    <t>A1.5_Substances_1</t>
  </si>
  <si>
    <t>A1.5_Commune_1</t>
  </si>
  <si>
    <t>A1.5_Département_1</t>
  </si>
  <si>
    <t>A1.5_Substances_2</t>
  </si>
  <si>
    <t>A1.5_Commune_2</t>
  </si>
  <si>
    <t>A1.5_Département_2</t>
  </si>
  <si>
    <t>A1.5_Substances_3</t>
  </si>
  <si>
    <t>A1.5_Commune_3</t>
  </si>
  <si>
    <t>A1.5_Département_3</t>
  </si>
  <si>
    <t>A1.5_Substances_4</t>
  </si>
  <si>
    <t>A1.5_Commune_4</t>
  </si>
  <si>
    <t>A1.5_Département_4</t>
  </si>
  <si>
    <t>A1.5_Substances_5</t>
  </si>
  <si>
    <t>A1.5_Commune_5</t>
  </si>
  <si>
    <t>A1.5_Département_5</t>
  </si>
  <si>
    <t>A1.5_Substances_6</t>
  </si>
  <si>
    <t>A1.5_Commune_6</t>
  </si>
  <si>
    <t>A1.5_Département_6</t>
  </si>
  <si>
    <t>A1.5_Substances_7</t>
  </si>
  <si>
    <t>A1.5_Commune_7</t>
  </si>
  <si>
    <t>A1.5_Département_7</t>
  </si>
  <si>
    <t>A1.5_Substances_8</t>
  </si>
  <si>
    <t>A1.5_Commune_8</t>
  </si>
  <si>
    <t>A1.5_Département_8</t>
  </si>
  <si>
    <t>A1.6_jour</t>
  </si>
  <si>
    <t>A1.6_mois</t>
  </si>
  <si>
    <t>A1.6_année</t>
  </si>
  <si>
    <t>A1.7_jour</t>
  </si>
  <si>
    <t>A1.7_mois</t>
  </si>
  <si>
    <t>A1.7_année</t>
  </si>
  <si>
    <t>A1.8</t>
  </si>
  <si>
    <t>A1.9</t>
  </si>
  <si>
    <t>A1.10</t>
  </si>
  <si>
    <t>A1.11</t>
  </si>
  <si>
    <t>A1.12</t>
  </si>
  <si>
    <t>année de référence</t>
  </si>
  <si>
    <t>KEBEMER</t>
  </si>
  <si>
    <t>010684MEMDMG</t>
  </si>
  <si>
    <t xml:space="preserve">Permis de recherche     </t>
  </si>
  <si>
    <t xml:space="preserve">LOUGA  </t>
  </si>
  <si>
    <t>PHOSPHATE</t>
  </si>
  <si>
    <t>THIOLOM FALL</t>
  </si>
  <si>
    <t>NGOURANE</t>
  </si>
  <si>
    <t>NGANDIOUF</t>
  </si>
  <si>
    <t>TIVAOUANE</t>
  </si>
  <si>
    <t>SUD SAINT LOUIS</t>
  </si>
  <si>
    <t>007543MMIPMEDMG</t>
  </si>
  <si>
    <t>SAINT-LOUIS</t>
  </si>
  <si>
    <t>NDIEBENE GANDIOLE</t>
  </si>
  <si>
    <t>SAINT LOUIS</t>
  </si>
  <si>
    <t>LEONA</t>
  </si>
  <si>
    <t>LOUGA</t>
  </si>
  <si>
    <t>010684MEM/DMGad</t>
  </si>
  <si>
    <t>AFRIGOLD SL</t>
  </si>
  <si>
    <t>UTM WGS 84 ZONE 28</t>
  </si>
  <si>
    <t>Permis d’exploitation</t>
  </si>
  <si>
    <t>KÉDOUGOU</t>
  </si>
  <si>
    <t>OR</t>
  </si>
  <si>
    <t>SARAYA</t>
  </si>
  <si>
    <t>KEDOUGOU</t>
  </si>
  <si>
    <t>NOUMOUFOUKHA</t>
  </si>
  <si>
    <t>012395MMGDMG</t>
  </si>
  <si>
    <t>MÉDINA BAFÉ</t>
  </si>
  <si>
    <t>012395/MMG/DMG</t>
  </si>
  <si>
    <t>MEDINABAFE</t>
  </si>
  <si>
    <t>DAORALA BOTO</t>
  </si>
  <si>
    <t>13984/MIM/DMG</t>
  </si>
  <si>
    <t>MÉDINA BAFFÉ</t>
  </si>
  <si>
    <t>MADINA BAFFÉ</t>
  </si>
  <si>
    <t>THILOGNE</t>
  </si>
  <si>
    <t>018603MMGDMG</t>
  </si>
  <si>
    <t xml:space="preserve">MATAM  </t>
  </si>
  <si>
    <t>AGNAM CIVOL</t>
  </si>
  <si>
    <t>MATAM</t>
  </si>
  <si>
    <t>ARDIMINES</t>
  </si>
  <si>
    <t>TOMBO</t>
  </si>
  <si>
    <t>TOMBORONKOTO</t>
  </si>
  <si>
    <t>SANGOLA</t>
  </si>
  <si>
    <t>014934MMGDMG</t>
  </si>
  <si>
    <t>BANDAFASSI</t>
  </si>
  <si>
    <t/>
  </si>
  <si>
    <t>KOULOUNTOU EST</t>
  </si>
  <si>
    <t>BEMBOU ET TOMBORONKOTO</t>
  </si>
  <si>
    <t>BAMBADJI</t>
  </si>
  <si>
    <t>012394/MMG/DMG</t>
  </si>
  <si>
    <t>BEMBOU/MEDINA BAFFE</t>
  </si>
  <si>
    <t>BEMBOU/ MEDINA BAFFE</t>
  </si>
  <si>
    <t>KANOUMBA</t>
  </si>
  <si>
    <t>11204/MIM/DMG</t>
  </si>
  <si>
    <t>BEMBOU/TOMBORONKOTO/KHOSANTO/SABODALA</t>
  </si>
  <si>
    <t>KÉDOUGOU ET SARAYA</t>
  </si>
  <si>
    <t>KEDOUGOU ET SARAYA</t>
  </si>
  <si>
    <t xml:space="preserve">CHERIF LO NGAKHAM </t>
  </si>
  <si>
    <t>2018-1840</t>
  </si>
  <si>
    <t>Concession minière</t>
  </si>
  <si>
    <t>DIOURBEL</t>
  </si>
  <si>
    <t xml:space="preserve">NEANT </t>
  </si>
  <si>
    <t>BOSFOR SARL</t>
  </si>
  <si>
    <t>FORET CLASSEE DE BANDIA</t>
  </si>
  <si>
    <t>N5085 DU  24/03/2014</t>
  </si>
  <si>
    <t>Carrière</t>
  </si>
  <si>
    <t>THIÈS</t>
  </si>
  <si>
    <t>CALCAIRE</t>
  </si>
  <si>
    <t>BANDIA</t>
  </si>
  <si>
    <t>MBOUR</t>
  </si>
  <si>
    <t>DIAMBA SUD</t>
  </si>
  <si>
    <t>SN-DKR-2014-B-19674</t>
  </si>
  <si>
    <t>796MIMDMG</t>
  </si>
  <si>
    <t>NGOUDIANE</t>
  </si>
  <si>
    <t>6283MIMDMG</t>
  </si>
  <si>
    <t>BASALTE</t>
  </si>
  <si>
    <t>7541MMITPMEDMG</t>
  </si>
  <si>
    <t>NA</t>
  </si>
  <si>
    <t>7541 MMITPMEDMG</t>
  </si>
  <si>
    <t xml:space="preserve">DANGOTE CEMENT SENEGAL </t>
  </si>
  <si>
    <t>POUT</t>
  </si>
  <si>
    <t>2008-1431</t>
  </si>
  <si>
    <t xml:space="preserve">SUD KENIEBA ET MADINA FOULBE </t>
  </si>
  <si>
    <t>006243/MMG/DMG du 20 mars 2018</t>
  </si>
  <si>
    <t>Petite mine</t>
  </si>
  <si>
    <t xml:space="preserve">TAMBACOUNDA    </t>
  </si>
  <si>
    <t>MANGANESE</t>
  </si>
  <si>
    <t xml:space="preserve">MADINA FOULBÉ </t>
  </si>
  <si>
    <t>BAKEL</t>
  </si>
  <si>
    <t>006243/MMG/DMG du 20 Mars 2018</t>
  </si>
  <si>
    <t>MADINA FOULBÉ</t>
  </si>
  <si>
    <t>N°001331</t>
  </si>
  <si>
    <t>THIES</t>
  </si>
  <si>
    <t>NGOUNDIANE</t>
  </si>
  <si>
    <t>GRANDE COTE OPERATIONS SA</t>
  </si>
  <si>
    <t xml:space="preserve">GRANDE CÔTE </t>
  </si>
  <si>
    <t>2007-1326 du 2 novembre 2007</t>
  </si>
  <si>
    <t>ZIRCON</t>
  </si>
  <si>
    <t>DAROU KHOUDOSS, MBORO, KAYAR, KAB GAYE</t>
  </si>
  <si>
    <t xml:space="preserve">KÉBÉMER </t>
  </si>
  <si>
    <t>ILMENITE</t>
  </si>
  <si>
    <t>RUTILE</t>
  </si>
  <si>
    <t>LEUCOXÉNE</t>
  </si>
  <si>
    <t>CARRIERE DE BASALTE</t>
  </si>
  <si>
    <t xml:space="preserve">NGOUNDIANE </t>
  </si>
  <si>
    <t>TOBENE NORD</t>
  </si>
  <si>
    <t>DAROU KHOUDOSS</t>
  </si>
  <si>
    <t>KIRENE</t>
  </si>
  <si>
    <t>2000-105 du 22 février 2000</t>
  </si>
  <si>
    <t>DIASS</t>
  </si>
  <si>
    <t>ARGILE</t>
  </si>
  <si>
    <t xml:space="preserve">février </t>
  </si>
  <si>
    <t>février</t>
  </si>
  <si>
    <t>SAMBARABOUGOU</t>
  </si>
  <si>
    <t>2018-1904</t>
  </si>
  <si>
    <t>MISSIRA</t>
  </si>
  <si>
    <t>MAKO</t>
  </si>
  <si>
    <t>2016-995</t>
  </si>
  <si>
    <t>SABODALA</t>
  </si>
  <si>
    <t>2015-1136</t>
  </si>
  <si>
    <t>SOUNKOUNKOU</t>
  </si>
  <si>
    <t>Arrêté n°20 AVR 2018 * 008708</t>
  </si>
  <si>
    <t>BRANSAN</t>
  </si>
  <si>
    <t>Arrêté n°20 AVR.2018* 008707</t>
  </si>
  <si>
    <t>MBODIENE</t>
  </si>
  <si>
    <t>15M</t>
  </si>
  <si>
    <t>ATTAPULGITE</t>
  </si>
  <si>
    <t>NGUENIENNE</t>
  </si>
  <si>
    <t>LAM LAM</t>
  </si>
  <si>
    <t>10357MMITPMEDMG</t>
  </si>
  <si>
    <t>CHERIF LO</t>
  </si>
  <si>
    <t>PAMBAL</t>
  </si>
  <si>
    <t>PAMBAL CHERIF LÔ</t>
  </si>
  <si>
    <t>ALLOU KAGNE</t>
  </si>
  <si>
    <t>PERIMETRE DES ICS</t>
  </si>
  <si>
    <t>SILEX</t>
  </si>
  <si>
    <t>MBORO</t>
  </si>
  <si>
    <t>TAIBA NDIAYE</t>
  </si>
  <si>
    <t>N°026694</t>
  </si>
  <si>
    <t>SINDIA</t>
  </si>
  <si>
    <t>NDENDORY</t>
  </si>
  <si>
    <t>KANEL</t>
  </si>
  <si>
    <t>SONKO ET FILS</t>
  </si>
  <si>
    <t>MAMANKANTI</t>
  </si>
  <si>
    <t>004166MMG/DMG DU 23 FÉVRIER 2018</t>
  </si>
  <si>
    <t>NIAMIA</t>
  </si>
  <si>
    <t>2007-1327</t>
  </si>
  <si>
    <t>KHOSSANTO</t>
  </si>
  <si>
    <t>KHOSSONTO</t>
  </si>
  <si>
    <t>BARGNY</t>
  </si>
  <si>
    <t>D2006-359</t>
  </si>
  <si>
    <t>DAKAR</t>
  </si>
  <si>
    <t>MARNO CALCAIRE</t>
  </si>
  <si>
    <t>RUFISQUE</t>
  </si>
  <si>
    <t>RAINURES</t>
  </si>
  <si>
    <t>RC</t>
  </si>
  <si>
    <t xml:space="preserve"> RC</t>
  </si>
  <si>
    <t>CAROTTÉ</t>
  </si>
  <si>
    <t>TARRIÈRE</t>
  </si>
  <si>
    <t>PUITS MINIERS</t>
  </si>
  <si>
    <t>RC/CAROTTÉ</t>
  </si>
  <si>
    <t>AIRCORE</t>
  </si>
  <si>
    <t>TVG</t>
  </si>
  <si>
    <t>GR</t>
  </si>
  <si>
    <t>RAB</t>
  </si>
  <si>
    <t>B1.1.3_5</t>
  </si>
  <si>
    <t>B1.1.3_4</t>
  </si>
  <si>
    <t>B1.1.3_3</t>
  </si>
  <si>
    <t>B1.1.3_2</t>
  </si>
  <si>
    <t>B1.1.3_1</t>
  </si>
  <si>
    <t>B1.1.1_5</t>
  </si>
  <si>
    <t>B1.1.1_4</t>
  </si>
  <si>
    <t>B1.1.1_3</t>
  </si>
  <si>
    <t>B1.1.1_2</t>
  </si>
  <si>
    <t>B1.1.1_1</t>
  </si>
  <si>
    <t>A1.3 </t>
  </si>
  <si>
    <t>C1 : EXTRACTION DE MINERAI BRUT (substance)</t>
  </si>
  <si>
    <t>C2. Quantité brute</t>
  </si>
  <si>
    <t xml:space="preserve">C3. Coût de production </t>
  </si>
  <si>
    <t>C4. Quantité transformée</t>
  </si>
  <si>
    <t>LATERITE</t>
  </si>
  <si>
    <t>C51Produit</t>
  </si>
  <si>
    <t>C52Q</t>
  </si>
  <si>
    <t>C53Q</t>
  </si>
  <si>
    <t>C54Q</t>
  </si>
  <si>
    <t>C55Q</t>
  </si>
  <si>
    <t>C56Q</t>
  </si>
  <si>
    <t>C52val</t>
  </si>
  <si>
    <t>C53val</t>
  </si>
  <si>
    <t>C54val</t>
  </si>
  <si>
    <t>C55val</t>
  </si>
  <si>
    <t>C56val</t>
  </si>
  <si>
    <t>annederfrence</t>
  </si>
  <si>
    <t>PROD TOT Qte</t>
  </si>
  <si>
    <t>PROD TOT Val</t>
  </si>
  <si>
    <t>PHOSPHATES</t>
  </si>
  <si>
    <t xml:space="preserve">CALCAIRE </t>
  </si>
  <si>
    <t>CIMENT</t>
  </si>
  <si>
    <t>LEUCOXENE</t>
  </si>
  <si>
    <t>MEDIUM ZIRCON</t>
  </si>
  <si>
    <t>ENGRAIS</t>
  </si>
  <si>
    <t>ACIDE PHOSPHORIQUE</t>
  </si>
  <si>
    <t>ARGENT</t>
  </si>
  <si>
    <t>HORMITE</t>
  </si>
  <si>
    <t>C61</t>
  </si>
  <si>
    <t>C62</t>
  </si>
  <si>
    <t>C63</t>
  </si>
  <si>
    <t>C64</t>
  </si>
  <si>
    <t>DUBAI</t>
  </si>
  <si>
    <t xml:space="preserve">PHOSPHATE </t>
  </si>
  <si>
    <t>INDE</t>
  </si>
  <si>
    <t>GUINEE BISSAU</t>
  </si>
  <si>
    <t>MALI</t>
  </si>
  <si>
    <t>GAMBIE</t>
  </si>
  <si>
    <t>CHINE</t>
  </si>
  <si>
    <t>TITANE</t>
  </si>
  <si>
    <t>AUSTRALIE</t>
  </si>
  <si>
    <t>AFRIQUE DU SUD</t>
  </si>
  <si>
    <t>BELGIQUE</t>
  </si>
  <si>
    <t>LA CORÉE</t>
  </si>
  <si>
    <t>COSTA RICA</t>
  </si>
  <si>
    <t>EMIRATS ARABES
UNIS</t>
  </si>
  <si>
    <t>ESPAGNE</t>
  </si>
  <si>
    <t>ETATS-UNIS</t>
  </si>
  <si>
    <t>FINLANDE</t>
  </si>
  <si>
    <t>FRANCE</t>
  </si>
  <si>
    <t>JAPON</t>
  </si>
  <si>
    <t>MALAISIE</t>
  </si>
  <si>
    <t>MAROC</t>
  </si>
  <si>
    <t>MEXIQUE</t>
  </si>
  <si>
    <t>NORVÈGE</t>
  </si>
  <si>
    <t>PAYS-BAS</t>
  </si>
  <si>
    <t>POLOGNE</t>
  </si>
  <si>
    <t>ROYAUME-UNI</t>
  </si>
  <si>
    <t>RUSSIE</t>
  </si>
  <si>
    <t>SUÈDE</t>
  </si>
  <si>
    <t>SUISSE</t>
  </si>
  <si>
    <t>UKRAINE</t>
  </si>
  <si>
    <t>VIETNAM</t>
  </si>
  <si>
    <t>ALLEMAGNE</t>
  </si>
  <si>
    <t>BRÉSIL</t>
  </si>
  <si>
    <t>HONG KONG</t>
  </si>
  <si>
    <t>ITALIE</t>
  </si>
  <si>
    <t>MONTÉNÉGRO</t>
  </si>
  <si>
    <t>TURQUIE</t>
  </si>
  <si>
    <t>NORVEGE</t>
  </si>
  <si>
    <t xml:space="preserve">ACIDE PHOPHORIQUE </t>
  </si>
  <si>
    <t xml:space="preserve">EMIRATS ARABES UNIS </t>
  </si>
  <si>
    <t xml:space="preserve">ENGRAIS </t>
  </si>
  <si>
    <t>BURKINA FASO</t>
  </si>
  <si>
    <t>MAURITANIE</t>
  </si>
  <si>
    <t>SINGAPOUR</t>
  </si>
  <si>
    <t xml:space="preserve"> ACIDE PHOPHORIQUE </t>
  </si>
  <si>
    <t xml:space="preserve">GUINEE </t>
  </si>
  <si>
    <t>PORTO RICO</t>
  </si>
  <si>
    <t>ILES VIERGES BRITANNIQUES</t>
  </si>
  <si>
    <t>ANGLETERRE</t>
  </si>
  <si>
    <t>CANADA</t>
  </si>
  <si>
    <t>SIERRA LEONE</t>
  </si>
  <si>
    <t>GHANA</t>
  </si>
  <si>
    <t>MONDE</t>
  </si>
  <si>
    <t>HOLLANDE</t>
  </si>
  <si>
    <t>COTE D'IVOIRE</t>
  </si>
  <si>
    <t>LIBAN</t>
  </si>
  <si>
    <t>BULGARIE</t>
  </si>
  <si>
    <t>ROUMANIE</t>
  </si>
  <si>
    <t>GUINEE</t>
  </si>
  <si>
    <t>F1 ACHATS</t>
  </si>
  <si>
    <t>F2 TRANSPORT DE BIEN ET TRANSPORT COLLECTIF DE PERSONNEL</t>
  </si>
  <si>
    <t>F3 SERVICES EXTERIEURS</t>
  </si>
  <si>
    <t>F4 IMPOTS TAXES ET VERSEMENTS ASSIMILES</t>
  </si>
  <si>
    <t>F5 CHARGES DE PERSONNEL</t>
  </si>
  <si>
    <t>F6 FRAIS FINANCIERS</t>
  </si>
  <si>
    <t>F7 AUTRES CHARGES</t>
  </si>
  <si>
    <t>F8 IMPOTS SUR LE RESULTAT</t>
  </si>
  <si>
    <t>F9 TOTAL DES CHARGES</t>
  </si>
  <si>
    <t>D2-AUTOCONSOMMATION ELECTRICITE EN KWH</t>
  </si>
  <si>
    <t>D3-AUTOCONSOMMATION ELECTRICITE EN MFCFA</t>
  </si>
  <si>
    <t>D5-ELECTRICITE VENDUE SENELEC MWH</t>
  </si>
  <si>
    <t>D2-AUTOCONSOMMATION ELECTRICITE EN MWH</t>
  </si>
  <si>
    <t>ELECTRICITE PRODUITE</t>
  </si>
  <si>
    <t>D6.1-Diesel</t>
  </si>
  <si>
    <t>D6.2-Fuel</t>
  </si>
  <si>
    <t>D6.3-Charbon</t>
  </si>
  <si>
    <t>D6.4-Autre</t>
  </si>
  <si>
    <t>D6.1-Diesel Qte</t>
  </si>
  <si>
    <t>D6.2-Fuel Qte</t>
  </si>
  <si>
    <t>D6.3-Charbon Qte</t>
  </si>
  <si>
    <t>D6.4-Autre Qte</t>
  </si>
  <si>
    <t>Oui</t>
  </si>
  <si>
    <t>Non</t>
  </si>
  <si>
    <t>Nationalite</t>
  </si>
  <si>
    <t>Modalites</t>
  </si>
  <si>
    <t>Cadres supérieurs</t>
  </si>
  <si>
    <t>Techniciens supérieurs et cadres moyens</t>
  </si>
  <si>
    <t>Techniciens, agents de maîtrise et ouvriers qualifiés</t>
  </si>
  <si>
    <t>Employés, manœuvres, ouvriers et apprentis</t>
  </si>
  <si>
    <t>Total</t>
  </si>
  <si>
    <t>Employés permanents</t>
  </si>
  <si>
    <t>Employés temporaires</t>
  </si>
  <si>
    <t>Employés sénégalais</t>
  </si>
  <si>
    <t>Femme</t>
  </si>
  <si>
    <t>Homme</t>
  </si>
  <si>
    <t>Salaire</t>
  </si>
  <si>
    <t>Employés expatriés</t>
  </si>
  <si>
    <t>AGRICULTURE</t>
  </si>
  <si>
    <t>Conseil technique du jardin maraîcher</t>
  </si>
  <si>
    <t>ASSOCIATIONS</t>
  </si>
  <si>
    <t xml:space="preserve">Remise à niveau du jardin </t>
  </si>
  <si>
    <t>POPULATION GENERALE</t>
  </si>
  <si>
    <t>Consultation état des lieux jardin maraîcher</t>
  </si>
  <si>
    <t>SANTE ET ACTION SOCIALE</t>
  </si>
  <si>
    <t>Financement du district sanitaire de Saraya pour campagne de dépistage au VIH</t>
  </si>
  <si>
    <t>DISTRICT SANITAIRE</t>
  </si>
  <si>
    <t xml:space="preserve">Financement du conseil départemental des jeunes pour une sensibilisation aux grossesses précoces </t>
  </si>
  <si>
    <t>JEUNESSE</t>
  </si>
  <si>
    <t>Dons de médicaments au poste de santé de Saroudia, Médina Baffé, Missira Dentilla, et à la case de santé de Boféto</t>
  </si>
  <si>
    <t>INFRASTRUCTURE ROUTIERE</t>
  </si>
  <si>
    <t>Réhabilitation des pistes de production Nafadji-Boféto-Guémédji</t>
  </si>
  <si>
    <t>EAUX ET ASSAINISSEMENT</t>
  </si>
  <si>
    <t>Réhabilitation des forages d'eau de Noumoufakha et Guémédji</t>
  </si>
  <si>
    <t>Dons de Médicaments</t>
  </si>
  <si>
    <t>EDUCATION</t>
  </si>
  <si>
    <t>Frais de Transport pour examens CFCE</t>
  </si>
  <si>
    <t>Réparation du Forage Guémédji</t>
  </si>
  <si>
    <t>Suivi Création d'un jardin maraicher pour le village de Guemedji</t>
  </si>
  <si>
    <t>FEMMES</t>
  </si>
  <si>
    <t>Projet Aviculture au Village de Madina Baffé</t>
  </si>
  <si>
    <t>Solarisation des écoles</t>
  </si>
  <si>
    <t>ECOLE</t>
  </si>
  <si>
    <t>Projet Guémédji Wash avec Word Vision</t>
  </si>
  <si>
    <t>Matériels et équipement pour les postes de santé de Kharakhéna, Bambadji, Saraya et le service pédiatrique de de l'hôpital de Kédougou</t>
  </si>
  <si>
    <t>SARAYA/KEDOUGOU</t>
  </si>
  <si>
    <t>Réparation groupe électrogène , Réinstallation circuit électrique de l'hôpital de Kédougou</t>
  </si>
  <si>
    <t>Appui pour acquisition de matériels de célioscopie pour le centre hospitalier national pour enfants Albert Royer</t>
  </si>
  <si>
    <t>Assistance technique à l'université Cheikh Anta Diop de Dakar</t>
  </si>
  <si>
    <t>AUTONOMISATION DES FEMMES</t>
  </si>
  <si>
    <t>Moulins et générateurs</t>
  </si>
  <si>
    <t>Matériels et équipement pour poste de santé Tinkoto</t>
  </si>
  <si>
    <t>APPUI INSTITUTIONNEL</t>
  </si>
  <si>
    <t>Contribution à la célébration du 04 avril</t>
  </si>
  <si>
    <t>Appui en matériels de bureau pour le tribunal de Saraya</t>
  </si>
  <si>
    <t>Réalisation forage de Kanouméring</t>
  </si>
  <si>
    <t>ACTIVITES SOCIO CULTURELLES ET RELIGIEUSES</t>
  </si>
  <si>
    <t>Construction mosqué Mandankholing</t>
  </si>
  <si>
    <t>Dotation de split ( Climatiseur) pour le srvice régional des mines de Kédougou</t>
  </si>
  <si>
    <t>Dotation de 5 pneus au secteur des eaux et forêts de Saraya</t>
  </si>
  <si>
    <t>Dotation de 5 pneus à la sous préfecture de Sabodala</t>
  </si>
  <si>
    <t>Appui financier à l'association des personnes vivant avec un handicap à Dakar-Plateau et à l'association( villages d'enfants SOS de Dakar)</t>
  </si>
  <si>
    <t>Dotation de matériels de jardinage aux femmes de Mandinkholé</t>
  </si>
  <si>
    <t>Appui pour acquisition de matériels( table chauffante nouveau-né, lampe photothérapie, Pèse bébé, moustiquaires, médicament et matériels de bloc opératoire etc.), pour le centre hospitalier national pour enfants Albert Royer</t>
  </si>
  <si>
    <t>Matériel médical( Fauteuil dentaire, tensiomètre et fauteuil de prise de sang pour centre de santé de Saraya, Respirateur d'anestésie, lampe scialitique led mobile mindray pour district sanitaire de Kédougou; appui en médicaments pour la case de santé de Kanouméring; équipement en panneau solaire et lampe pour la case de santé de Mandinkholé</t>
  </si>
  <si>
    <t>Appui pour l'organisation de la campagne de reboisement et dotation de 5 pneus pour Eaux et Forets de Saraya</t>
  </si>
  <si>
    <t>Equipement en panneau solaire et lampes pour l'école élémentaire de Mandinkholé</t>
  </si>
  <si>
    <t>Equipement en panneau solaire, lampes et haut parleurs pour la mosqué de Mandinkholé</t>
  </si>
  <si>
    <t>Equipement en panneau solaire, pour le poste de Gendarmerie de Mandinkholé</t>
  </si>
  <si>
    <t>RSE</t>
  </si>
  <si>
    <t xml:space="preserve">Maternité en cours de contruction </t>
  </si>
  <si>
    <t>Poste de santé en cours</t>
  </si>
  <si>
    <t>Salle de classe en cours</t>
  </si>
  <si>
    <t>collage en cours</t>
  </si>
  <si>
    <t>Support ASC</t>
  </si>
  <si>
    <t>Don ciments Eglise et Mosquées</t>
  </si>
  <si>
    <t>Ticket à la mecque</t>
  </si>
  <si>
    <t>THIES/MBOUR</t>
  </si>
  <si>
    <t>Mouton , sucre, riz</t>
  </si>
  <si>
    <t>maternité (en cours construction )</t>
  </si>
  <si>
    <t xml:space="preserve">poste de santé </t>
  </si>
  <si>
    <t xml:space="preserve">salles de classes (en cours) </t>
  </si>
  <si>
    <t>college (en cours)</t>
  </si>
  <si>
    <t>support ASC</t>
  </si>
  <si>
    <t xml:space="preserve">dons cements Mosquée et Eglises </t>
  </si>
  <si>
    <t>tickets à la mecque</t>
  </si>
  <si>
    <t xml:space="preserve">Moutons -sucre -riz </t>
  </si>
  <si>
    <t>Achat Médicaments</t>
  </si>
  <si>
    <t xml:space="preserve">Carburant pour l'ambulance </t>
  </si>
  <si>
    <t>Construction  Mur de l'école</t>
  </si>
  <si>
    <t xml:space="preserve">Appuis aux ASC et Jeunes </t>
  </si>
  <si>
    <t>Appuis aux groupement féminin</t>
  </si>
  <si>
    <t xml:space="preserve">Construction forage </t>
  </si>
  <si>
    <t>Construction de mûr de clôture et réhabilitation salle de classe de l'école de walo keur Massamba NIANG et keur anné baba</t>
  </si>
  <si>
    <t>BAMBEY</t>
  </si>
  <si>
    <t xml:space="preserve">Appui au club EVF du CEM de baba garage </t>
  </si>
  <si>
    <t xml:space="preserve">Appui pour la formation du conseil département de la jeunesse </t>
  </si>
  <si>
    <t>Atelier de renforcement des capacités du comité régional de suivi  environnemental et social (CRSE)</t>
  </si>
  <si>
    <t>CRSE</t>
  </si>
  <si>
    <t>appui au budget de la commune pour autres dépenses</t>
  </si>
  <si>
    <t>Achat de moulins à mil combinés</t>
  </si>
  <si>
    <t xml:space="preserve">Achat imprimante multifonction </t>
  </si>
  <si>
    <t xml:space="preserve">Achat de materiel médical </t>
  </si>
  <si>
    <t xml:space="preserve">Achats de moulins à mil combinés et mangasins </t>
  </si>
  <si>
    <t xml:space="preserve">Achat materiel de sonorisation pour les mosquées de darou khoudoss et walo </t>
  </si>
  <si>
    <t xml:space="preserve">Montant versé dans le budget de la commune </t>
  </si>
  <si>
    <t>Projet AOP de communales de la mairie de Ngoudiane</t>
  </si>
  <si>
    <t>Appuis technique et en matériaux à la commune de Ngoudiane dans le cadre de l'entretien annuel de ses pistes communales durant la période des pluies</t>
  </si>
  <si>
    <t>Construction d'un batiment polyvalent destiné aux activités sociales communales de la mairie de Ngoundiane</t>
  </si>
  <si>
    <t>Appui technique et en matériaux à la commune de Ngoundiane dans le cadre de l'entretien annuel de ses pistes communales durant la période des pluies</t>
  </si>
  <si>
    <t>Achat de médicaments pour la population</t>
  </si>
  <si>
    <t xml:space="preserve">Rehabilitation de la Case des tout-petits de Diogo </t>
  </si>
  <si>
    <t xml:space="preserve">Réhabilitation des toillettes du Lycée </t>
  </si>
  <si>
    <t xml:space="preserve">Achévement deux salles classes à l'école de 10 de Tivaoune </t>
  </si>
  <si>
    <t xml:space="preserve">Construction de 2 salles de classe au CEM de Serigne Mansour </t>
  </si>
  <si>
    <t xml:space="preserve">Construction de deux salles classes, un bureau directeur, construction de clôture de 440ml à darou Ndoye </t>
  </si>
  <si>
    <t>construction d'un mûr de clôture de 400ml à Ngouye beye</t>
  </si>
  <si>
    <t>construction de deux salles de classes plus Bureau à Diourmel</t>
  </si>
  <si>
    <t xml:space="preserve">construction d'un mur de clôture du CEM et Confection de 35 fenêtres et 5 portes pour l'école élementaire à Lompoul </t>
  </si>
  <si>
    <t xml:space="preserve">Subvention aux Etudiants </t>
  </si>
  <si>
    <t>Mise en service du forage de Darou Beye ;  Achat d'une pompe pour le forage de Diogo</t>
  </si>
  <si>
    <t xml:space="preserve">financements intrants agricoles </t>
  </si>
  <si>
    <t>Subvention aux ASC</t>
  </si>
  <si>
    <t>Consultation générale</t>
  </si>
  <si>
    <t>Sage Femme</t>
  </si>
  <si>
    <t>SPORT</t>
  </si>
  <si>
    <t>SPORTS</t>
  </si>
  <si>
    <t xml:space="preserve">Médicaments </t>
  </si>
  <si>
    <t>Appui Financier</t>
  </si>
  <si>
    <t>Pèlerinage et Cadeaux</t>
  </si>
  <si>
    <t>Bouteilles Eau</t>
  </si>
  <si>
    <t>TOUBA/TIVAOUNE/POPENGUINE</t>
  </si>
  <si>
    <t>Matériel Médical</t>
  </si>
  <si>
    <t>UCAD</t>
  </si>
  <si>
    <t>Projet Maternité</t>
  </si>
  <si>
    <t>JOAL</t>
  </si>
  <si>
    <t>Salle de Classe</t>
  </si>
  <si>
    <t>Fourniture Scolaire</t>
  </si>
  <si>
    <t>Mobilier</t>
  </si>
  <si>
    <t>Matériel et Equipement Sportif</t>
  </si>
  <si>
    <t>Médicament</t>
  </si>
  <si>
    <t>Fourniture de Scolaire</t>
  </si>
  <si>
    <t>Uniforme Scolaire</t>
  </si>
  <si>
    <t>Ballon Foot</t>
  </si>
  <si>
    <t>Pélérinage &amp; Cadeau</t>
  </si>
  <si>
    <t>Bouteille Eau</t>
  </si>
  <si>
    <t>1-Consultations
2-Achat médicaments
3-Evacuation malades
4-Saupoudrage du village</t>
  </si>
  <si>
    <t>1-Soutien activités scolaires
2-Transport candidats</t>
  </si>
  <si>
    <t>1-fourniture d’eau à la population</t>
  </si>
  <si>
    <t>1-Réhabilitation pont Missirah Sirimana
2-Réhabilitation route Mandankholy-Douta
3-Réhabilitation route entrée village Sambranbougou</t>
  </si>
  <si>
    <t>1-Réhabilitation terrain de football de Sambranbougou
2-Jeux d’équipement sportif pour Douta</t>
  </si>
  <si>
    <t>1-Appui en carburant du personnel de l’administration                                                                                                            
2-Prise en charge gendarmes                                                                   
3-Appui DMG</t>
  </si>
  <si>
    <t>Appui médicaments</t>
  </si>
  <si>
    <t>Aménagement et clotûre lycée Mako, fournitures équipements scolaires, location de logements pour étudiants Kédougou, rénovation du bus du Lycée, Electrification du collège</t>
  </si>
  <si>
    <t>Aménagement périmètre maraîcher, forages pastoraux, constructions ranch, intensification agriculture pluviale</t>
  </si>
  <si>
    <t>Forage du village de Ngary et du poste de santé de Tomboronkoto</t>
  </si>
  <si>
    <t>Appui aux ASC, construction foyer jeunes, aménagement aire de jeu à Bantata</t>
  </si>
  <si>
    <t>Réalisation de lotissements entre Mako et Niéméniké, aménagement aire de stationnement gros-porteurs, réhabilitation du kit solaire de l'hôte communautaire de Tomboronkoto, aménagement d'un espace apicole à Tenkoto</t>
  </si>
  <si>
    <t>FONDS SOCIAL</t>
  </si>
  <si>
    <t>ENVIRONNEMENT</t>
  </si>
  <si>
    <t>BIODIVERSITE</t>
  </si>
  <si>
    <t>Fonds Social Minier</t>
  </si>
  <si>
    <t>Fond Social Minier</t>
  </si>
  <si>
    <t>Fond GORA, Fond Social Minier</t>
  </si>
  <si>
    <t>fonds social minier</t>
  </si>
  <si>
    <t xml:space="preserve">SABODALA </t>
  </si>
  <si>
    <t>Contribution sociale</t>
  </si>
  <si>
    <t>Dons espèces</t>
  </si>
  <si>
    <t>Cahiers</t>
  </si>
  <si>
    <t>Engrais/semences</t>
  </si>
  <si>
    <t>Décés</t>
  </si>
  <si>
    <t>Fêtes religieuses</t>
  </si>
  <si>
    <t>Foires et expositions</t>
  </si>
  <si>
    <t>KAOLACK</t>
  </si>
  <si>
    <t>DONS ESPECES</t>
  </si>
  <si>
    <t>CAHIERS</t>
  </si>
  <si>
    <t>NGUENIENE</t>
  </si>
  <si>
    <t>ENGRAIS / SEMENCES</t>
  </si>
  <si>
    <t>DECES</t>
  </si>
  <si>
    <t>FETES RELIGIEUSES</t>
  </si>
  <si>
    <t>FOIRES ET EXPOSITIONS</t>
  </si>
  <si>
    <t>Journée mondiale de l'environnement</t>
  </si>
  <si>
    <t>Dahira baliga</t>
  </si>
  <si>
    <t>Noel</t>
  </si>
  <si>
    <t>Condoléances travailleur</t>
  </si>
  <si>
    <t>Groupement femmes</t>
  </si>
  <si>
    <t>Cérémonie préfet</t>
  </si>
  <si>
    <t>Coopérative</t>
  </si>
  <si>
    <t>Départ Gouverneur Thiès</t>
  </si>
  <si>
    <t>Appui institutionnel</t>
  </si>
  <si>
    <t xml:space="preserve">Cérémonie eaux et forets </t>
  </si>
  <si>
    <t>Tabaski</t>
  </si>
  <si>
    <t>subventions lycée Lam-lam</t>
  </si>
  <si>
    <t>condoléances père travailleurs</t>
  </si>
  <si>
    <t>subvention GPE</t>
  </si>
  <si>
    <t>Départ retraite sous-préfet Pambal</t>
  </si>
  <si>
    <t>Subvention DREEC</t>
  </si>
  <si>
    <t>Fête 1er Mai</t>
  </si>
  <si>
    <t>Divers projets d'appuis scolaire, infrastructures, activités socio-culturelles, assainissement</t>
  </si>
  <si>
    <t>Appui financier</t>
  </si>
  <si>
    <t>Aides aux etudiants et élèves</t>
  </si>
  <si>
    <t>Appui aux différentes collectivités locales</t>
  </si>
  <si>
    <t>Aider Etudiants et Elèves</t>
  </si>
  <si>
    <t>Appuis aux diff. collectivités locales</t>
  </si>
  <si>
    <t>Appui au poste de santé de Khossanto</t>
  </si>
  <si>
    <t>Dons pour appui lors des cérémonies funéraires</t>
  </si>
  <si>
    <t>Appui et Assistance au Lycee de Khossanto</t>
  </si>
  <si>
    <t>Recrutement local</t>
  </si>
  <si>
    <t>Réalisation d'un mur de cloture de la mairie de Khossanto</t>
  </si>
  <si>
    <t>Appui à la comission de recrutement de Khossanto</t>
  </si>
  <si>
    <t>ARABIE SAOUDITE</t>
  </si>
  <si>
    <t>COLOMBIE</t>
  </si>
  <si>
    <t>RÉPUBLIQUE DE CORÉE</t>
  </si>
  <si>
    <t>ÉMIRATS ARABES UNIS</t>
  </si>
  <si>
    <t>ÉTATS-UNIS</t>
  </si>
  <si>
    <t>ÎLES VIERGES DES ÉTATS-UNIS</t>
  </si>
  <si>
    <t>NAURU</t>
  </si>
  <si>
    <t>NIGER</t>
  </si>
  <si>
    <t>SÉNÉGAL</t>
  </si>
  <si>
    <t>INDONÉSIE</t>
  </si>
  <si>
    <t>PORTUGAL</t>
  </si>
  <si>
    <t>GUÉMÉDJI</t>
  </si>
  <si>
    <t>SAROUDIA, MADINA BAFÉ</t>
  </si>
  <si>
    <t>BOFÉTO, GUÉMÉDJI, NOUMOUFAKHA</t>
  </si>
  <si>
    <t>NOUMOUFAKHA</t>
  </si>
  <si>
    <t>KHARAKHÉNA, BAMBADJI, SARAYA, KÉDOUGOU</t>
  </si>
  <si>
    <t>GAMBA-GAMBA, MADINA, KOLYA,LINGUÉYA</t>
  </si>
  <si>
    <t>TINKOTO</t>
  </si>
  <si>
    <t>KANOUMÉRING</t>
  </si>
  <si>
    <t>MANDANKHOLING</t>
  </si>
  <si>
    <t>DAKAR-PLATEAU, DAKAR</t>
  </si>
  <si>
    <t>MANDINKHOLÉ</t>
  </si>
  <si>
    <t xml:space="preserve">DAKAR </t>
  </si>
  <si>
    <t>SARAYA, KÉDOUGOU, KANOUMÉRING, MANDINKHOLÉ</t>
  </si>
  <si>
    <t>FOULOUME</t>
  </si>
  <si>
    <t>TCHIKY</t>
  </si>
  <si>
    <t>NIAKHIP</t>
  </si>
  <si>
    <t xml:space="preserve">POUT </t>
  </si>
  <si>
    <t>POUT/TCHIKY</t>
  </si>
  <si>
    <t>MONT-ROLANT</t>
  </si>
  <si>
    <t>TCHICKY (DIASS)</t>
  </si>
  <si>
    <t xml:space="preserve">KEUR MOUSSA  DIOP </t>
  </si>
  <si>
    <t>KÉNIABA</t>
  </si>
  <si>
    <t xml:space="preserve">COMMUNE DE GAWANE </t>
  </si>
  <si>
    <t>CEM DE BABA GARAGE</t>
  </si>
  <si>
    <t xml:space="preserve">CONSEIL DÉPARTEMENTAL DE LA JEUNESSE </t>
  </si>
  <si>
    <t>COMMUNE DE LAMBAYE</t>
  </si>
  <si>
    <t xml:space="preserve">COMMUNE DE  LAMBAYE </t>
  </si>
  <si>
    <t>COMMUNE DE BABA GARAGE</t>
  </si>
  <si>
    <t xml:space="preserve">VILLAGE DE DAROU KHOUDOSS ET WALO </t>
  </si>
  <si>
    <t xml:space="preserve">COMMUNE DE LAMBAYE </t>
  </si>
  <si>
    <t xml:space="preserve">COMMUNE DE BABA GARAGE </t>
  </si>
  <si>
    <t>MADINA FOULBE</t>
  </si>
  <si>
    <t xml:space="preserve">COMMUNE DE DAROU KHOUDOS </t>
  </si>
  <si>
    <t>COMMUNE DE MBORO</t>
  </si>
  <si>
    <t xml:space="preserve">COMMUNE DETIVAOUNE </t>
  </si>
  <si>
    <t>COMMUNE DE TIVAOUNE</t>
  </si>
  <si>
    <t>COMMUNE DE KABE GAYE</t>
  </si>
  <si>
    <t>COMMUNE DE DAROU KHOUDOS /COMMUNE DE KABE GAYE</t>
  </si>
  <si>
    <t>COMMUNE DE DAROU KHOUDOS  ET MBORO</t>
  </si>
  <si>
    <t>DAROU</t>
  </si>
  <si>
    <t>POPENGUINE</t>
  </si>
  <si>
    <t>COMMUNE DIASS</t>
  </si>
  <si>
    <t>TOUBA-TIVAOUANE-POPENGUINE</t>
  </si>
  <si>
    <t>COMMUNE DE DIASS</t>
  </si>
  <si>
    <t>TOUBATIVAOUNEPOPENGUINE</t>
  </si>
  <si>
    <t>DOUTA
SAMBRANBOUGOU</t>
  </si>
  <si>
    <t>DOUTA</t>
  </si>
  <si>
    <t>MISSIRAH
-SARAYA
-SABODALA
-KÉDOUGOU
-DAKAR</t>
  </si>
  <si>
    <t>MBODIÈNE</t>
  </si>
  <si>
    <t>NGUÉNIÉNE</t>
  </si>
  <si>
    <t>BALIGA</t>
  </si>
  <si>
    <t>LAMLAM</t>
  </si>
  <si>
    <t>THIÈS (DMG)</t>
  </si>
  <si>
    <t>DAKAR (DMG)</t>
  </si>
  <si>
    <t>LAM-LAM</t>
  </si>
  <si>
    <t>ENTREPRISE</t>
  </si>
  <si>
    <t>OUNARÉ</t>
  </si>
  <si>
    <t>OUNARE, NDENDORY, MATAM</t>
  </si>
  <si>
    <t>Valeur marchande</t>
  </si>
  <si>
    <t>Région</t>
  </si>
  <si>
    <t>TAMBACOUNDA</t>
  </si>
  <si>
    <t>Type de titre</t>
  </si>
  <si>
    <t>Permis de recherche</t>
  </si>
  <si>
    <t>Permis d'exploitation</t>
  </si>
  <si>
    <t>Titre minier</t>
  </si>
  <si>
    <t>Substance</t>
  </si>
  <si>
    <t>CALCAIRE/CIMENT</t>
  </si>
  <si>
    <t>ZIRCON, ILMENITE, RUTILE, LEUCOXENE</t>
  </si>
  <si>
    <t>PHOSPHATE/ENGRAIS/ACIDE PHOSPHORIQUE</t>
  </si>
  <si>
    <t>CALCAIRE/ARGILE/CIMENT</t>
  </si>
  <si>
    <t xml:space="preserve">J1 SECTEUR </t>
  </si>
  <si>
    <t>J2 DESCRIPTION</t>
  </si>
  <si>
    <t>J3 BENEFICIAIRE</t>
  </si>
  <si>
    <t>J4 MONTANT</t>
  </si>
  <si>
    <t>J5 COMMUNE</t>
  </si>
  <si>
    <t>J6 DEPARTEMENT</t>
  </si>
  <si>
    <t>SARAYA/KEDOUGOU/DAKAR</t>
  </si>
  <si>
    <t>Aissatou DRAME</t>
  </si>
  <si>
    <t>Somme de Total</t>
  </si>
  <si>
    <t>Region</t>
  </si>
  <si>
    <t>thies</t>
  </si>
  <si>
    <t>Dakar</t>
  </si>
  <si>
    <t>Somme de Techniciens supérieurs et cadres moyens</t>
  </si>
  <si>
    <t>Somme de Techniciens, agents de maîtrise et ouvriers qualifiés</t>
  </si>
  <si>
    <t>Somme de Employés, manœuvres, ouvriers et apprentis</t>
  </si>
  <si>
    <t>Étiquettes de colonnes</t>
  </si>
  <si>
    <t>Total Somme de Techniciens supérieurs et cadres moyens</t>
  </si>
  <si>
    <t>Total Somme de Total</t>
  </si>
  <si>
    <t>Total Somme de Techniciens, agents de maîtrise et ouvriers qualifiés</t>
  </si>
  <si>
    <t>Total Somme de Employés, manœuvres, ouvriers et apprentis</t>
  </si>
  <si>
    <t xml:space="preserve"> KANEL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</si>
</sst>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-* #,##0.00\ _€_-;\-* #,##0.00\ _€_-;_-* &quot;-&quot;??\ _€_-;_-@_-"/>
    <numFmt numFmtId="165" formatCode="_-* #,##0.0000\ _€_-;\-* #,##0.0000\ _€_-;_-* &quot;-&quot;??\ _€_-;_-@_-"/>
    <numFmt numFmtId="166" formatCode="_-* #,##0\ _€_-;\-* #,##0\ _€_-;_-* &quot;-&quot;??\ _€_-;_-@_-"/>
    <numFmt numFmtId="167" formatCode="0.0"/>
    <numFmt numFmtId="168" formatCode="_-* #,##0.000\ _€_-;\-* #,##0.000\ _€_-;_-* &quot;-&quot;??\ _€_-;_-@_-"/>
    <numFmt numFmtId="169" formatCode="_-* #,##0.00000\ _€_-;\-* #,##0.00000\ _€_-;_-* &quot;-&quot;??\ _€_-;_-@_-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5" fillId="0" borderId="0" applyFont="0" applyFill="0" applyBorder="0" applyAlignment="0" applyProtection="0"/>
  </cellStyleXfs>
  <cellXfs count="46">
    <xf numFmtId="0" fontId="0" fillId="0" borderId="0" xfId="0"/>
    <xf numFmtId="0" fontId="1" fillId="0" borderId="0" xfId="1" applyFont="1" applyFill="1" applyBorder="1" applyAlignment="1"/>
    <xf numFmtId="0" fontId="1" fillId="0" borderId="0" xfId="1"/>
    <xf numFmtId="0" fontId="1" fillId="0" borderId="0" xfId="1" applyFont="1" applyFill="1"/>
    <xf numFmtId="0" fontId="1" fillId="0" borderId="0" xfId="1" quotePrefix="1" applyFont="1" applyFill="1" applyBorder="1" applyAlignment="1"/>
    <xf numFmtId="0" fontId="1" fillId="2" borderId="0" xfId="1" applyFill="1"/>
    <xf numFmtId="0" fontId="1" fillId="2" borderId="0" xfId="1" applyFont="1" applyFill="1"/>
    <xf numFmtId="0" fontId="1" fillId="2" borderId="0" xfId="1" quotePrefix="1" applyFont="1" applyFill="1"/>
    <xf numFmtId="0" fontId="2" fillId="0" borderId="0" xfId="3" applyFont="1" applyFill="1" applyBorder="1" applyAlignment="1"/>
    <xf numFmtId="0" fontId="2" fillId="0" borderId="0" xfId="3"/>
    <xf numFmtId="165" fontId="0" fillId="0" borderId="0" xfId="2" applyNumberFormat="1" applyFont="1"/>
    <xf numFmtId="165" fontId="0" fillId="2" borderId="0" xfId="2" applyNumberFormat="1" applyFont="1" applyFill="1"/>
    <xf numFmtId="2" fontId="2" fillId="0" borderId="0" xfId="3" applyNumberFormat="1"/>
    <xf numFmtId="0" fontId="1" fillId="0" borderId="0" xfId="3" applyFont="1"/>
    <xf numFmtId="0" fontId="2" fillId="2" borderId="0" xfId="3" applyFill="1"/>
    <xf numFmtId="166" fontId="0" fillId="0" borderId="0" xfId="2" applyNumberFormat="1" applyFont="1"/>
    <xf numFmtId="166" fontId="0" fillId="0" borderId="0" xfId="2" applyNumberFormat="1" applyFont="1" applyFill="1"/>
    <xf numFmtId="0" fontId="2" fillId="0" borderId="0" xfId="3" applyFill="1"/>
    <xf numFmtId="0" fontId="1" fillId="0" borderId="0" xfId="3" applyFont="1" applyFill="1"/>
    <xf numFmtId="0" fontId="1" fillId="2" borderId="0" xfId="3" applyFont="1" applyFill="1"/>
    <xf numFmtId="166" fontId="0" fillId="2" borderId="0" xfId="2" applyNumberFormat="1" applyFont="1" applyFill="1"/>
    <xf numFmtId="2" fontId="2" fillId="2" borderId="0" xfId="3" applyNumberFormat="1" applyFill="1"/>
    <xf numFmtId="167" fontId="2" fillId="0" borderId="0" xfId="3" applyNumberFormat="1"/>
    <xf numFmtId="2" fontId="2" fillId="0" borderId="0" xfId="3" applyNumberFormat="1" applyFill="1"/>
    <xf numFmtId="165" fontId="1" fillId="0" borderId="0" xfId="2" applyNumberFormat="1" applyFont="1"/>
    <xf numFmtId="165" fontId="1" fillId="2" borderId="0" xfId="2" applyNumberFormat="1" applyFont="1" applyFill="1"/>
    <xf numFmtId="0" fontId="2" fillId="0" borderId="0" xfId="3" applyFill="1" applyAlignment="1">
      <alignment horizontal="left" vertical="center"/>
    </xf>
    <xf numFmtId="1" fontId="2" fillId="0" borderId="0" xfId="3" applyNumberFormat="1" applyFill="1"/>
    <xf numFmtId="1" fontId="2" fillId="0" borderId="0" xfId="3" applyNumberFormat="1"/>
    <xf numFmtId="166" fontId="1" fillId="0" borderId="0" xfId="2" applyNumberFormat="1" applyFont="1" applyFill="1"/>
    <xf numFmtId="168" fontId="0" fillId="0" borderId="0" xfId="2" applyNumberFormat="1" applyFont="1" applyFill="1"/>
    <xf numFmtId="166" fontId="0" fillId="0" borderId="0" xfId="2" applyNumberFormat="1" applyFont="1" applyFill="1" applyAlignment="1">
      <alignment horizontal="left" vertical="center"/>
    </xf>
    <xf numFmtId="164" fontId="0" fillId="0" borderId="0" xfId="2" applyNumberFormat="1" applyFont="1" applyFill="1"/>
    <xf numFmtId="166" fontId="0" fillId="0" borderId="0" xfId="2" applyNumberFormat="1" applyFont="1" applyFill="1" applyAlignment="1">
      <alignment vertical="center"/>
    </xf>
    <xf numFmtId="0" fontId="1" fillId="0" borderId="0" xfId="5" applyFont="1" applyFill="1" applyBorder="1" applyAlignment="1"/>
    <xf numFmtId="0" fontId="1" fillId="0" borderId="0" xfId="5" applyFill="1"/>
    <xf numFmtId="0" fontId="1" fillId="0" borderId="0" xfId="5" applyFont="1" applyFill="1"/>
    <xf numFmtId="166" fontId="0" fillId="0" borderId="0" xfId="2" applyNumberFormat="1" applyFont="1" applyFill="1" applyAlignment="1">
      <alignment vertical="center" wrapText="1"/>
    </xf>
    <xf numFmtId="2" fontId="1" fillId="0" borderId="0" xfId="2" applyNumberFormat="1" applyFont="1" applyFill="1" applyAlignment="1">
      <alignment vertical="center" wrapText="1"/>
    </xf>
    <xf numFmtId="0" fontId="1" fillId="0" borderId="0" xfId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9" fontId="0" fillId="0" borderId="0" xfId="2" applyNumberFormat="1" applyFont="1" applyFill="1"/>
    <xf numFmtId="0" fontId="2" fillId="0" borderId="0" xfId="3" applyAlignment="1">
      <alignment horizontal="center"/>
    </xf>
    <xf numFmtId="10" fontId="0" fillId="0" borderId="0" xfId="6" applyNumberFormat="1" applyFont="1" applyFill="1"/>
  </cellXfs>
  <cellStyles count="7">
    <cellStyle name="Milliers 2" xfId="2"/>
    <cellStyle name="Normal" xfId="0" builtinId="0"/>
    <cellStyle name="Normal 2" xfId="1"/>
    <cellStyle name="Normal 3" xfId="3"/>
    <cellStyle name="Normal 3 2" xfId="5"/>
    <cellStyle name="Pourcentage" xfId="6" builtinId="5"/>
    <cellStyle name="Pourcentage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finale DCSOM FINALE  ED2018-2019.xlsx]Feuil1!Tableau croisé dynamique1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Feuil1!$A$4:$A$6</c:f>
              <c:strCache>
                <c:ptCount val="1"/>
                <c:pt idx="0">
                  <c:v>Somme de Techniciens supérieurs et cadres moyens - Femme</c:v>
                </c:pt>
              </c:strCache>
            </c:strRef>
          </c:tx>
          <c:invertIfNegative val="0"/>
          <c:cat>
            <c:strRef>
              <c:f>Feuil1!$A$7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Feuil1!$A$7</c:f>
              <c:numCache>
                <c:formatCode>General</c:formatCode>
                <c:ptCount val="1"/>
                <c:pt idx="0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AE-4DAA-92C9-BE138879591B}"/>
            </c:ext>
          </c:extLst>
        </c:ser>
        <c:ser>
          <c:idx val="1"/>
          <c:order val="1"/>
          <c:tx>
            <c:strRef>
              <c:f>Feuil1!$B$4:$B$6</c:f>
              <c:strCache>
                <c:ptCount val="1"/>
                <c:pt idx="0">
                  <c:v>Somme de Techniciens supérieurs et cadres moyens - Homme</c:v>
                </c:pt>
              </c:strCache>
            </c:strRef>
          </c:tx>
          <c:invertIfNegative val="0"/>
          <c:cat>
            <c:strRef>
              <c:f>Feuil1!$A$7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Feuil1!$B$7</c:f>
              <c:numCache>
                <c:formatCode>General</c:formatCode>
                <c:ptCount val="1"/>
                <c:pt idx="0">
                  <c:v>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AE-4DAA-92C9-BE138879591B}"/>
            </c:ext>
          </c:extLst>
        </c:ser>
        <c:ser>
          <c:idx val="2"/>
          <c:order val="2"/>
          <c:tx>
            <c:strRef>
              <c:f>Feuil1!$C$4:$C$6</c:f>
              <c:strCache>
                <c:ptCount val="1"/>
                <c:pt idx="0">
                  <c:v>Somme de Total - Femme</c:v>
                </c:pt>
              </c:strCache>
            </c:strRef>
          </c:tx>
          <c:invertIfNegative val="0"/>
          <c:cat>
            <c:strRef>
              <c:f>Feuil1!$A$7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Feuil1!$C$7</c:f>
              <c:numCache>
                <c:formatCode>General</c:formatCode>
                <c:ptCount val="1"/>
                <c:pt idx="0">
                  <c:v>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AE-4DAA-92C9-BE138879591B}"/>
            </c:ext>
          </c:extLst>
        </c:ser>
        <c:ser>
          <c:idx val="3"/>
          <c:order val="3"/>
          <c:tx>
            <c:strRef>
              <c:f>Feuil1!$D$4:$D$6</c:f>
              <c:strCache>
                <c:ptCount val="1"/>
                <c:pt idx="0">
                  <c:v>Somme de Total - Homme</c:v>
                </c:pt>
              </c:strCache>
            </c:strRef>
          </c:tx>
          <c:invertIfNegative val="0"/>
          <c:cat>
            <c:strRef>
              <c:f>Feuil1!$A$7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Feuil1!$D$7</c:f>
              <c:numCache>
                <c:formatCode>General</c:formatCode>
                <c:ptCount val="1"/>
                <c:pt idx="0">
                  <c:v>5943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AE-4DAA-92C9-BE138879591B}"/>
            </c:ext>
          </c:extLst>
        </c:ser>
        <c:ser>
          <c:idx val="4"/>
          <c:order val="4"/>
          <c:tx>
            <c:strRef>
              <c:f>Feuil1!$E$4:$E$6</c:f>
              <c:strCache>
                <c:ptCount val="1"/>
                <c:pt idx="0">
                  <c:v>Somme de Techniciens, agents de maîtrise et ouvriers qualifiés - Femme</c:v>
                </c:pt>
              </c:strCache>
            </c:strRef>
          </c:tx>
          <c:invertIfNegative val="0"/>
          <c:cat>
            <c:strRef>
              <c:f>Feuil1!$A$7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Feuil1!$E$7</c:f>
              <c:numCache>
                <c:formatCode>General</c:formatCode>
                <c:ptCount val="1"/>
                <c:pt idx="0">
                  <c:v>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AE-4DAA-92C9-BE138879591B}"/>
            </c:ext>
          </c:extLst>
        </c:ser>
        <c:ser>
          <c:idx val="5"/>
          <c:order val="5"/>
          <c:tx>
            <c:strRef>
              <c:f>Feuil1!$F$4:$F$6</c:f>
              <c:strCache>
                <c:ptCount val="1"/>
                <c:pt idx="0">
                  <c:v>Somme de Techniciens, agents de maîtrise et ouvriers qualifiés - Homme</c:v>
                </c:pt>
              </c:strCache>
            </c:strRef>
          </c:tx>
          <c:invertIfNegative val="0"/>
          <c:cat>
            <c:strRef>
              <c:f>Feuil1!$A$7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Feuil1!$F$7</c:f>
              <c:numCache>
                <c:formatCode>General</c:formatCode>
                <c:ptCount val="1"/>
                <c:pt idx="0">
                  <c:v>2216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2AE-4DAA-92C9-BE138879591B}"/>
            </c:ext>
          </c:extLst>
        </c:ser>
        <c:ser>
          <c:idx val="6"/>
          <c:order val="6"/>
          <c:tx>
            <c:strRef>
              <c:f>Feuil1!$G$4:$G$6</c:f>
              <c:strCache>
                <c:ptCount val="1"/>
                <c:pt idx="0">
                  <c:v>Somme de Employés, manœuvres, ouvriers et apprentis - Femme</c:v>
                </c:pt>
              </c:strCache>
            </c:strRef>
          </c:tx>
          <c:invertIfNegative val="0"/>
          <c:cat>
            <c:strRef>
              <c:f>Feuil1!$A$7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Feuil1!$G$7</c:f>
              <c:numCache>
                <c:formatCode>General</c:formatCode>
                <c:ptCount val="1"/>
                <c:pt idx="0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AE-4DAA-92C9-BE138879591B}"/>
            </c:ext>
          </c:extLst>
        </c:ser>
        <c:ser>
          <c:idx val="7"/>
          <c:order val="7"/>
          <c:tx>
            <c:strRef>
              <c:f>Feuil1!$H$4:$H$6</c:f>
              <c:strCache>
                <c:ptCount val="1"/>
                <c:pt idx="0">
                  <c:v>Somme de Employés, manœuvres, ouvriers et apprentis - Homme</c:v>
                </c:pt>
              </c:strCache>
            </c:strRef>
          </c:tx>
          <c:invertIfNegative val="0"/>
          <c:cat>
            <c:strRef>
              <c:f>Feuil1!$A$7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Feuil1!$H$7</c:f>
              <c:numCache>
                <c:formatCode>General</c:formatCode>
                <c:ptCount val="1"/>
                <c:pt idx="0">
                  <c:v>2485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2AE-4DAA-92C9-BE1388795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878144"/>
        <c:axId val="144995392"/>
      </c:barChart>
      <c:catAx>
        <c:axId val="1598781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4995392"/>
        <c:crosses val="autoZero"/>
        <c:auto val="1"/>
        <c:lblAlgn val="ctr"/>
        <c:lblOffset val="100"/>
        <c:noMultiLvlLbl val="0"/>
      </c:catAx>
      <c:valAx>
        <c:axId val="144995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98781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10</xdr:col>
      <xdr:colOff>0</xdr:colOff>
      <xdr:row>15</xdr:row>
      <xdr:rowOff>76200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88.483832175923" createdVersion="4" refreshedVersion="4" minRefreshableVersion="3" recordCount="283">
  <cacheSource type="worksheet">
    <worksheetSource ref="A1:M1048576" sheet="EMPLOI ET SALAIRE"/>
  </cacheSource>
  <cacheFields count="13">
    <cacheField name="A0_1 Nom de l'entreprise ou Denomination sociale" numFmtId="0">
      <sharedItems containsBlank="1"/>
    </cacheField>
    <cacheField name="Nationalite" numFmtId="166">
      <sharedItems containsBlank="1"/>
    </cacheField>
    <cacheField name="Modalites" numFmtId="166">
      <sharedItems containsBlank="1" count="4">
        <s v="Homme"/>
        <s v="Salaire"/>
        <s v="Femme"/>
        <m/>
      </sharedItems>
    </cacheField>
    <cacheField name="Cadres supérieurs" numFmtId="166">
      <sharedItems containsString="0" containsBlank="1" containsNumber="1" minValue="0" maxValue="7834938"/>
    </cacheField>
    <cacheField name="Techniciens supérieurs et cadres moyens" numFmtId="166">
      <sharedItems containsString="0" containsBlank="1" containsNumber="1" minValue="0" maxValue="3382554"/>
    </cacheField>
    <cacheField name="Techniciens, agents de maîtrise et ouvriers qualifiés" numFmtId="166">
      <sharedItems containsString="0" containsBlank="1" containsNumber="1" minValue="0" maxValue="10160120"/>
    </cacheField>
    <cacheField name="Employés, manœuvres, ouvriers et apprentis" numFmtId="166">
      <sharedItems containsString="0" containsBlank="1" containsNumber="1" minValue="0" maxValue="2793820"/>
    </cacheField>
    <cacheField name="Total" numFmtId="166">
      <sharedItems containsString="0" containsBlank="1" containsNumber="1" minValue="0" maxValue="14342839"/>
    </cacheField>
    <cacheField name="Employés permanents" numFmtId="166">
      <sharedItems containsString="0" containsBlank="1" containsNumber="1" minValue="0" maxValue="14342839"/>
    </cacheField>
    <cacheField name="Employés temporaires" numFmtId="166">
      <sharedItems containsString="0" containsBlank="1" containsNumber="1" minValue="0" maxValue="709218.21"/>
    </cacheField>
    <cacheField name="annederfrence" numFmtId="166">
      <sharedItems containsString="0" containsBlank="1" containsNumber="1" containsInteger="1" minValue="2018" maxValue="2019" count="3">
        <n v="2018"/>
        <n v="2019"/>
        <m/>
      </sharedItems>
    </cacheField>
    <cacheField name="Titre minier" numFmtId="166">
      <sharedItems containsBlank="1"/>
    </cacheField>
    <cacheField name="Substance" numFmtId="166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3">
  <r>
    <s v="AFRICAN INVESTMENT GROUP"/>
    <s v="Employés expatriés"/>
    <x v="0"/>
    <n v="3"/>
    <m/>
    <m/>
    <m/>
    <n v="3"/>
    <n v="3"/>
    <m/>
    <x v="0"/>
    <s v="Permis de recherche"/>
    <s v="PHOSPHATE"/>
  </r>
  <r>
    <s v="AFRICAN INVESTMENT GROUP"/>
    <s v="Employés expatriés"/>
    <x v="0"/>
    <n v="3"/>
    <m/>
    <m/>
    <m/>
    <n v="3"/>
    <n v="3"/>
    <m/>
    <x v="1"/>
    <s v="Permis de recherche"/>
    <s v="PHOSPHATE"/>
  </r>
  <r>
    <s v="AFRICAN INVESTMENT GROUP"/>
    <s v="Employés expatriés"/>
    <x v="1"/>
    <n v="173177"/>
    <m/>
    <m/>
    <m/>
    <n v="173177"/>
    <m/>
    <m/>
    <x v="0"/>
    <s v="Permis de recherche"/>
    <s v="PHOSPHATE"/>
  </r>
  <r>
    <s v="AFRICAN INVESTMENT GROUP"/>
    <s v="Employés expatriés"/>
    <x v="1"/>
    <n v="173177"/>
    <m/>
    <m/>
    <m/>
    <n v="173177"/>
    <m/>
    <m/>
    <x v="1"/>
    <s v="Permis de recherche"/>
    <s v="PHOSPHATE"/>
  </r>
  <r>
    <s v="AFRICAN INVESTMENT GROUP"/>
    <s v="Employés sénégalais"/>
    <x v="2"/>
    <n v="2"/>
    <m/>
    <n v="1"/>
    <m/>
    <n v="3"/>
    <n v="3"/>
    <m/>
    <x v="0"/>
    <s v="Permis de recherche"/>
    <s v="PHOSPHATE"/>
  </r>
  <r>
    <s v="AFRICAN INVESTMENT GROUP"/>
    <s v="Employés sénégalais"/>
    <x v="2"/>
    <n v="2"/>
    <m/>
    <n v="1"/>
    <m/>
    <n v="3"/>
    <n v="3"/>
    <m/>
    <x v="1"/>
    <s v="Permis de recherche"/>
    <s v="PHOSPHATE"/>
  </r>
  <r>
    <s v="AFRICAN INVESTMENT GROUP"/>
    <s v="Employés sénégalais"/>
    <x v="0"/>
    <n v="7"/>
    <m/>
    <n v="2"/>
    <n v="5"/>
    <n v="14"/>
    <n v="14"/>
    <m/>
    <x v="0"/>
    <s v="Permis de recherche"/>
    <s v="PHOSPHATE"/>
  </r>
  <r>
    <s v="AFRICAN INVESTMENT GROUP"/>
    <s v="Employés sénégalais"/>
    <x v="0"/>
    <n v="7"/>
    <m/>
    <n v="2"/>
    <n v="5"/>
    <n v="14"/>
    <n v="14"/>
    <m/>
    <x v="1"/>
    <s v="Permis de recherche"/>
    <s v="PHOSPHATE"/>
  </r>
  <r>
    <s v="AFRICAN INVESTMENT GROUP"/>
    <s v="Employés sénégalais"/>
    <x v="1"/>
    <n v="141102"/>
    <m/>
    <n v="13657"/>
    <n v="16928"/>
    <n v="171687"/>
    <m/>
    <m/>
    <x v="0"/>
    <s v="Permis de recherche"/>
    <s v="PHOSPHATE"/>
  </r>
  <r>
    <s v="AFRICAN INVESTMENT GROUP"/>
    <s v="Employés sénégalais"/>
    <x v="1"/>
    <n v="141102"/>
    <m/>
    <n v="13657"/>
    <n v="16928"/>
    <n v="171687"/>
    <n v="171688"/>
    <m/>
    <x v="1"/>
    <s v="Permis de recherche"/>
    <s v="PHOSPHATE"/>
  </r>
  <r>
    <s v="AFRIGOLD SA"/>
    <s v="Employés sénégalais"/>
    <x v="2"/>
    <m/>
    <m/>
    <m/>
    <n v="8"/>
    <n v="8"/>
    <m/>
    <m/>
    <x v="1"/>
    <s v="Permis d'exploitation"/>
    <s v="OR"/>
  </r>
  <r>
    <s v="AFRIGOLD SA"/>
    <s v="Employés sénégalais"/>
    <x v="0"/>
    <n v="1"/>
    <n v="8"/>
    <n v="14"/>
    <n v="34"/>
    <n v="57"/>
    <n v="57"/>
    <m/>
    <x v="1"/>
    <s v="Permis d'exploitation"/>
    <s v="OR"/>
  </r>
  <r>
    <s v="AFRIGOLD SA"/>
    <s v="Employés sénégalais"/>
    <x v="1"/>
    <n v="12000"/>
    <n v="14319"/>
    <n v="13767"/>
    <n v="8254"/>
    <n v="48340"/>
    <n v="48340"/>
    <m/>
    <x v="1"/>
    <s v="Permis d'exploitation"/>
    <s v="OR"/>
  </r>
  <r>
    <s v="AFRIGOLD SA"/>
    <s v="Employés sénégalais"/>
    <x v="2"/>
    <m/>
    <m/>
    <m/>
    <m/>
    <n v="0"/>
    <m/>
    <m/>
    <x v="0"/>
    <s v="Permis d'exploitation"/>
    <s v="OR"/>
  </r>
  <r>
    <s v="AFRIGOLD SA"/>
    <s v="Employés sénégalais"/>
    <x v="0"/>
    <n v="1"/>
    <n v="8"/>
    <n v="12"/>
    <n v="51"/>
    <n v="72"/>
    <n v="72"/>
    <m/>
    <x v="0"/>
    <s v="Permis d'exploitation"/>
    <s v="OR"/>
  </r>
  <r>
    <s v="AFRIGOLD SA"/>
    <s v="Employés sénégalais"/>
    <x v="1"/>
    <n v="12000"/>
    <n v="94000"/>
    <n v="63767"/>
    <n v="40000"/>
    <n v="209767"/>
    <n v="209767"/>
    <m/>
    <x v="0"/>
    <s v="Permis d'exploitation"/>
    <s v="OR"/>
  </r>
  <r>
    <s v="AGEM SENEGAL EXPLORATION SUARL"/>
    <s v="Employés expatriés"/>
    <x v="0"/>
    <n v="2"/>
    <n v="2"/>
    <n v="1"/>
    <n v="5"/>
    <n v="10"/>
    <m/>
    <m/>
    <x v="0"/>
    <s v="Permis de recherche"/>
    <s v="OR"/>
  </r>
  <r>
    <s v="AGEM SENEGAL EXPLORATION SUARL"/>
    <s v="Employés expatriés"/>
    <x v="0"/>
    <n v="2"/>
    <n v="2"/>
    <n v="1"/>
    <m/>
    <n v="5"/>
    <m/>
    <m/>
    <x v="1"/>
    <s v="Permis de recherche"/>
    <s v="OR"/>
  </r>
  <r>
    <s v="AGEM SENEGAL EXPLORATION SUARL"/>
    <s v="Employés expatriés"/>
    <x v="1"/>
    <n v="315414"/>
    <n v="101163"/>
    <n v="5696"/>
    <n v="422274"/>
    <n v="844547"/>
    <m/>
    <m/>
    <x v="0"/>
    <s v="Permis de recherche"/>
    <s v="OR"/>
  </r>
  <r>
    <s v="AGEM SENEGAL EXPLORATION SUARL"/>
    <s v="Employés expatriés"/>
    <x v="1"/>
    <n v="326911"/>
    <n v="140424"/>
    <n v="6411"/>
    <m/>
    <n v="473746"/>
    <m/>
    <m/>
    <x v="1"/>
    <s v="Permis de recherche"/>
    <s v="OR"/>
  </r>
  <r>
    <s v="AGEM SENEGAL EXPLORATION SUARL"/>
    <s v="Employés sénégalais"/>
    <x v="2"/>
    <m/>
    <n v="4"/>
    <n v="4"/>
    <n v="8"/>
    <n v="16"/>
    <n v="3"/>
    <m/>
    <x v="0"/>
    <s v="Permis de recherche"/>
    <s v="OR"/>
  </r>
  <r>
    <s v="AGEM SENEGAL EXPLORATION SUARL"/>
    <s v="Employés sénégalais"/>
    <x v="2"/>
    <m/>
    <n v="5"/>
    <n v="1"/>
    <n v="7"/>
    <n v="13"/>
    <n v="51"/>
    <n v="76"/>
    <x v="1"/>
    <s v="Permis de recherche"/>
    <s v="OR"/>
  </r>
  <r>
    <s v="AGEM SENEGAL EXPLORATION SUARL"/>
    <s v="Employés sénégalais"/>
    <x v="0"/>
    <n v="2"/>
    <n v="8"/>
    <n v="17"/>
    <n v="68"/>
    <n v="95"/>
    <n v="46"/>
    <n v="50"/>
    <x v="0"/>
    <s v="Permis de recherche"/>
    <s v="OR"/>
  </r>
  <r>
    <s v="AGEM SENEGAL EXPLORATION SUARL"/>
    <s v="Employés sénégalais"/>
    <x v="0"/>
    <n v="2"/>
    <n v="11"/>
    <n v="18"/>
    <n v="97"/>
    <n v="128"/>
    <n v="7"/>
    <n v="2"/>
    <x v="1"/>
    <s v="Permis de recherche"/>
    <s v="OR"/>
  </r>
  <r>
    <s v="AGEM SENEGAL EXPLORATION SUARL"/>
    <s v="Employés sénégalais"/>
    <x v="1"/>
    <n v="157456"/>
    <n v="192404"/>
    <n v="71317"/>
    <n v="105400"/>
    <n v="526577"/>
    <n v="463846"/>
    <n v="62732"/>
    <x v="0"/>
    <s v="Permis de recherche"/>
    <s v="OR"/>
  </r>
  <r>
    <s v="AGEM SENEGAL EXPLORATION SUARL"/>
    <s v="Employés sénégalais"/>
    <x v="1"/>
    <n v="153154"/>
    <n v="215557"/>
    <n v="61351"/>
    <n v="119221"/>
    <n v="549283"/>
    <n v="8678447"/>
    <n v="71669"/>
    <x v="1"/>
    <s v="Permis de recherche"/>
    <s v="OR"/>
  </r>
  <r>
    <s v="AMAFRIQUE"/>
    <s v="Employés expatriés"/>
    <x v="2"/>
    <n v="1"/>
    <m/>
    <m/>
    <m/>
    <n v="1"/>
    <m/>
    <m/>
    <x v="0"/>
    <s v="Permis de recherche"/>
    <s v="PHOSPHATE"/>
  </r>
  <r>
    <s v="AMAFRIQUE"/>
    <s v="Employés expatriés"/>
    <x v="2"/>
    <n v="0"/>
    <m/>
    <m/>
    <m/>
    <n v="0"/>
    <m/>
    <m/>
    <x v="1"/>
    <s v="Permis de recherche"/>
    <s v="PHOSPHATE"/>
  </r>
  <r>
    <s v="AMAFRIQUE"/>
    <s v="Employés expatriés"/>
    <x v="0"/>
    <n v="1"/>
    <m/>
    <m/>
    <m/>
    <n v="1"/>
    <m/>
    <m/>
    <x v="0"/>
    <s v="Permis de recherche"/>
    <s v="PHOSPHATE"/>
  </r>
  <r>
    <s v="AMAFRIQUE"/>
    <s v="Employés expatriés"/>
    <x v="0"/>
    <n v="0"/>
    <m/>
    <m/>
    <m/>
    <n v="0"/>
    <m/>
    <m/>
    <x v="1"/>
    <s v="Permis de recherche"/>
    <s v="PHOSPHATE"/>
  </r>
  <r>
    <s v="AMAFRIQUE"/>
    <s v="Employés expatriés"/>
    <x v="1"/>
    <n v="3000"/>
    <m/>
    <m/>
    <m/>
    <n v="3000"/>
    <m/>
    <m/>
    <x v="0"/>
    <s v="Permis de recherche"/>
    <s v="PHOSPHATE"/>
  </r>
  <r>
    <s v="AMAFRIQUE"/>
    <s v="Employés sénégalais"/>
    <x v="2"/>
    <n v="2"/>
    <m/>
    <n v="2"/>
    <m/>
    <n v="4"/>
    <n v="4"/>
    <m/>
    <x v="0"/>
    <s v="Permis de recherche"/>
    <s v="PHOSPHATE"/>
  </r>
  <r>
    <s v="AMAFRIQUE"/>
    <s v="Employés sénégalais"/>
    <x v="2"/>
    <n v="1"/>
    <n v="0"/>
    <n v="0"/>
    <n v="0"/>
    <n v="1"/>
    <n v="1"/>
    <m/>
    <x v="1"/>
    <s v="Permis de recherche"/>
    <s v="PHOSPHATE"/>
  </r>
  <r>
    <s v="AMAFRIQUE"/>
    <s v="Employés sénégalais"/>
    <x v="0"/>
    <n v="6"/>
    <m/>
    <n v="2"/>
    <n v="8"/>
    <n v="16"/>
    <n v="8"/>
    <n v="8"/>
    <x v="0"/>
    <s v="Permis de recherche"/>
    <s v="PHOSPHATE"/>
  </r>
  <r>
    <s v="AMAFRIQUE"/>
    <s v="Employés sénégalais"/>
    <x v="0"/>
    <n v="2"/>
    <n v="0"/>
    <n v="0"/>
    <n v="0"/>
    <n v="2"/>
    <n v="2"/>
    <m/>
    <x v="1"/>
    <s v="Permis de recherche"/>
    <s v="PHOSPHATE"/>
  </r>
  <r>
    <s v="AMAFRIQUE"/>
    <s v="Employés sénégalais"/>
    <x v="1"/>
    <n v="41265"/>
    <m/>
    <m/>
    <m/>
    <n v="41265"/>
    <m/>
    <m/>
    <x v="0"/>
    <s v="Permis de recherche"/>
    <s v="PHOSPHATE"/>
  </r>
  <r>
    <s v="AMAFRIQUE"/>
    <s v="Employés sénégalais"/>
    <x v="1"/>
    <n v="17200"/>
    <m/>
    <m/>
    <m/>
    <n v="17200"/>
    <m/>
    <m/>
    <x v="1"/>
    <s v="Permis de recherche"/>
    <s v="PHOSPHATE"/>
  </r>
  <r>
    <s v="ARDIMINES"/>
    <s v="Employés expatriés"/>
    <x v="0"/>
    <n v="1"/>
    <m/>
    <m/>
    <m/>
    <n v="1"/>
    <m/>
    <m/>
    <x v="1"/>
    <s v="Permis de recherche"/>
    <s v="OR"/>
  </r>
  <r>
    <s v="ARDIMINES"/>
    <s v="Employés sénégalais"/>
    <x v="2"/>
    <n v="1"/>
    <m/>
    <m/>
    <n v="1"/>
    <n v="2"/>
    <n v="2"/>
    <m/>
    <x v="1"/>
    <s v="Permis de recherche"/>
    <s v="OR"/>
  </r>
  <r>
    <s v="ARDIMINES"/>
    <s v="Employés sénégalais"/>
    <x v="0"/>
    <n v="5"/>
    <m/>
    <n v="6"/>
    <n v="23"/>
    <n v="34"/>
    <n v="25"/>
    <n v="9"/>
    <x v="1"/>
    <s v="Permis de recherche"/>
    <s v="OR"/>
  </r>
  <r>
    <s v="BAMBUK MINERALS SENEGAL SARL"/>
    <s v="Employés expatriés"/>
    <x v="0"/>
    <n v="2"/>
    <m/>
    <m/>
    <m/>
    <n v="2"/>
    <n v="2"/>
    <m/>
    <x v="1"/>
    <s v="Permis de recherche"/>
    <s v="OR"/>
  </r>
  <r>
    <s v="BAMBUK MINERALS SENEGAL SARL"/>
    <s v="Employés expatriés"/>
    <x v="1"/>
    <n v="38400"/>
    <m/>
    <m/>
    <m/>
    <n v="38400"/>
    <m/>
    <m/>
    <x v="1"/>
    <s v="Permis de recherche"/>
    <s v="OR"/>
  </r>
  <r>
    <s v="BAMBUK MINERALS SENEGAL SARL"/>
    <s v="Employés sénégalais"/>
    <x v="2"/>
    <n v="1"/>
    <m/>
    <m/>
    <n v="1"/>
    <n v="2"/>
    <n v="2"/>
    <m/>
    <x v="1"/>
    <s v="Permis de recherche"/>
    <s v="OR"/>
  </r>
  <r>
    <s v="BAMBUK MINERALS SENEGAL SARL"/>
    <s v="Employés sénégalais"/>
    <x v="0"/>
    <n v="5"/>
    <m/>
    <n v="6"/>
    <n v="23"/>
    <n v="34"/>
    <n v="25"/>
    <n v="9"/>
    <x v="1"/>
    <s v="Permis de recherche"/>
    <s v="OR"/>
  </r>
  <r>
    <s v="BAMBUK MINERALS SENEGAL SARL"/>
    <s v="Employés sénégalais"/>
    <x v="1"/>
    <n v="86400"/>
    <m/>
    <n v="36000"/>
    <n v="43344"/>
    <n v="165744"/>
    <m/>
    <m/>
    <x v="1"/>
    <s v="Permis de recherche"/>
    <s v="OR"/>
  </r>
  <r>
    <s v="BARRICK GOLD"/>
    <s v="Employés sénégalais"/>
    <x v="2"/>
    <n v="0"/>
    <n v="0"/>
    <n v="0"/>
    <n v="0"/>
    <n v="0"/>
    <n v="0"/>
    <n v="0"/>
    <x v="0"/>
    <s v="Permis de recherche"/>
    <s v="OR"/>
  </r>
  <r>
    <s v="BARRICK GOLD"/>
    <s v="Employés sénégalais"/>
    <x v="2"/>
    <n v="0"/>
    <n v="0"/>
    <n v="0"/>
    <n v="0"/>
    <n v="0"/>
    <m/>
    <m/>
    <x v="1"/>
    <s v="Permis de recherche"/>
    <s v="OR"/>
  </r>
  <r>
    <s v="BARRICK GOLD"/>
    <s v="Employés sénégalais"/>
    <x v="0"/>
    <n v="3"/>
    <n v="1"/>
    <n v="1"/>
    <n v="28"/>
    <n v="33"/>
    <n v="7"/>
    <n v="26"/>
    <x v="0"/>
    <s v="Permis de recherche"/>
    <s v="OR"/>
  </r>
  <r>
    <s v="BARRICK GOLD"/>
    <s v="Employés sénégalais"/>
    <x v="0"/>
    <n v="5"/>
    <n v="1"/>
    <n v="2"/>
    <n v="116"/>
    <n v="124"/>
    <n v="8"/>
    <n v="116"/>
    <x v="1"/>
    <s v="Permis de recherche"/>
    <s v="OR"/>
  </r>
  <r>
    <s v="BARRICK GOLD"/>
    <s v="Employés sénégalais"/>
    <x v="1"/>
    <n v="36999.519999999997"/>
    <n v="4492.3360000000002"/>
    <n v="3403.3119999999999"/>
    <n v="25380.781999999999"/>
    <n v="70275.95"/>
    <n v="50745.167999999998"/>
    <n v="19530.781999999999"/>
    <x v="0"/>
    <s v="Permis de recherche"/>
    <s v="OR"/>
  </r>
  <r>
    <s v="BARRICK GOLD"/>
    <s v="Employés sénégalais"/>
    <x v="1"/>
    <n v="93047.403999999995"/>
    <n v="4393.76"/>
    <n v="9234.4760000000006"/>
    <n v="131302.96"/>
    <n v="237978.59999999998"/>
    <n v="106675.64"/>
    <n v="131302.96"/>
    <x v="1"/>
    <s v="Permis de recherche"/>
    <s v="OR"/>
  </r>
  <r>
    <s v="BARRICK GOLD"/>
    <s v="Employés sénégalais"/>
    <x v="2"/>
    <n v="4"/>
    <n v="3"/>
    <n v="0"/>
    <n v="10"/>
    <n v="17"/>
    <n v="7"/>
    <n v="10"/>
    <x v="1"/>
    <s v="Permis de recherche"/>
    <s v="OR"/>
  </r>
  <r>
    <s v="BARRICK GOLD"/>
    <s v="Employés sénégalais"/>
    <x v="2"/>
    <n v="4"/>
    <n v="3"/>
    <n v="0"/>
    <n v="10"/>
    <n v="17"/>
    <n v="7"/>
    <n v="10"/>
    <x v="0"/>
    <s v="Permis de recherche"/>
    <s v="OR"/>
  </r>
  <r>
    <s v="BARRICK GOLD"/>
    <s v="Employés sénégalais"/>
    <x v="0"/>
    <n v="21"/>
    <n v="19"/>
    <n v="17"/>
    <n v="103"/>
    <n v="160"/>
    <n v="87"/>
    <n v="73"/>
    <x v="1"/>
    <s v="Permis de recherche"/>
    <s v="OR"/>
  </r>
  <r>
    <s v="BARRICK GOLD"/>
    <s v="Employés sénégalais"/>
    <x v="0"/>
    <n v="25"/>
    <n v="19"/>
    <n v="18"/>
    <n v="363"/>
    <n v="425"/>
    <n v="63"/>
    <n v="362"/>
    <x v="0"/>
    <s v="Permis de recherche"/>
    <s v="OR"/>
  </r>
  <r>
    <s v="BARRICK GOLD"/>
    <s v="Employés sénégalais"/>
    <x v="1"/>
    <n v="399328.68"/>
    <n v="162956.46"/>
    <n v="70944.517000000007"/>
    <n v="301556.56"/>
    <n v="934786.21699999995"/>
    <n v="636064.91"/>
    <n v="298721.3"/>
    <x v="1"/>
    <s v="Permis de recherche"/>
    <s v="OR"/>
  </r>
  <r>
    <s v="BARRICK GOLD"/>
    <s v="Employés sénégalais"/>
    <x v="1"/>
    <n v="481180.45"/>
    <n v="152462.03"/>
    <n v="71280.951000000001"/>
    <n v="712718.21"/>
    <n v="1417641.6409999998"/>
    <n v="708423.43"/>
    <n v="709218.21"/>
    <x v="0"/>
    <s v="Permis de recherche"/>
    <s v="OR"/>
  </r>
  <r>
    <s v="BMCC"/>
    <s v="Employés sénégalais"/>
    <x v="2"/>
    <n v="0"/>
    <n v="0"/>
    <n v="0"/>
    <n v="0"/>
    <n v="0"/>
    <n v="0"/>
    <n v="0"/>
    <x v="1"/>
    <s v="Concession minière"/>
    <s v="PHOSPHATE"/>
  </r>
  <r>
    <s v="BMCC"/>
    <s v="Employés sénégalais"/>
    <x v="0"/>
    <n v="1"/>
    <n v="1"/>
    <m/>
    <m/>
    <n v="2"/>
    <m/>
    <m/>
    <x v="1"/>
    <s v="Concession minière"/>
    <s v="PHOSPHATE"/>
  </r>
  <r>
    <s v="BMCC"/>
    <s v="Employés sénégalais"/>
    <x v="2"/>
    <n v="0"/>
    <n v="0"/>
    <n v="0"/>
    <n v="0"/>
    <n v="0"/>
    <n v="0"/>
    <n v="0"/>
    <x v="0"/>
    <s v="Concession minière"/>
    <s v="PHOSPHATE"/>
  </r>
  <r>
    <s v="BMCC"/>
    <s v="Employés sénégalais"/>
    <x v="0"/>
    <n v="1"/>
    <n v="2"/>
    <m/>
    <m/>
    <n v="3"/>
    <m/>
    <m/>
    <x v="0"/>
    <s v="Concession minière"/>
    <s v="PHOSPHATE"/>
  </r>
  <r>
    <s v="BMCC"/>
    <s v="Employés sénégalais"/>
    <x v="1"/>
    <n v="20365.584999999999"/>
    <n v="8034.2759999999998"/>
    <m/>
    <m/>
    <n v="28399.860999999997"/>
    <m/>
    <m/>
    <x v="0"/>
    <s v="Concession minière"/>
    <s v="PHOSPHATE"/>
  </r>
  <r>
    <s v="BMCC"/>
    <s v="Employés sénégalais"/>
    <x v="1"/>
    <n v="20347"/>
    <n v="24421"/>
    <m/>
    <m/>
    <n v="44768"/>
    <m/>
    <m/>
    <x v="1"/>
    <s v="Concession minière"/>
    <s v="PHOSPHATE"/>
  </r>
  <r>
    <s v="BOSFOR SARL"/>
    <s v="Employés expatriés"/>
    <x v="0"/>
    <n v="2"/>
    <n v="2"/>
    <n v="6"/>
    <m/>
    <n v="10"/>
    <m/>
    <m/>
    <x v="1"/>
    <s v="Carrière"/>
    <s v="CALCAIRE"/>
  </r>
  <r>
    <s v="BOSFOR SARL"/>
    <s v="Employés expatriés"/>
    <x v="1"/>
    <n v="18399"/>
    <n v="14942"/>
    <n v="35344"/>
    <m/>
    <n v="68685"/>
    <m/>
    <m/>
    <x v="1"/>
    <s v="Carrière"/>
    <s v="CALCAIRE"/>
  </r>
  <r>
    <s v="BOSFOR SARL"/>
    <s v="Employés sénégalais"/>
    <x v="2"/>
    <m/>
    <m/>
    <m/>
    <n v="3"/>
    <n v="3"/>
    <m/>
    <m/>
    <x v="1"/>
    <s v="Carrière"/>
    <s v="CALCAIRE"/>
  </r>
  <r>
    <s v="BOSFOR SARL"/>
    <s v="Employés sénégalais"/>
    <x v="0"/>
    <m/>
    <n v="1"/>
    <n v="8"/>
    <n v="28"/>
    <n v="37"/>
    <m/>
    <m/>
    <x v="1"/>
    <s v="Carrière"/>
    <s v="CALCAIRE"/>
  </r>
  <r>
    <s v="BOSFOR SARL"/>
    <s v="Employés sénégalais"/>
    <x v="1"/>
    <m/>
    <n v="1451"/>
    <n v="17539"/>
    <n v="46753"/>
    <n v="65743"/>
    <m/>
    <m/>
    <x v="1"/>
    <s v="Carrière"/>
    <s v="CALCAIRE"/>
  </r>
  <r>
    <s v="BOYA"/>
    <s v="Employés expatriés"/>
    <x v="0"/>
    <n v="1"/>
    <m/>
    <m/>
    <m/>
    <n v="1"/>
    <m/>
    <m/>
    <x v="1"/>
    <s v="Permis de recherche"/>
    <s v="OR"/>
  </r>
  <r>
    <s v="BOYA"/>
    <s v="Employés expatriés"/>
    <x v="1"/>
    <n v="36000"/>
    <m/>
    <m/>
    <m/>
    <n v="36000"/>
    <m/>
    <m/>
    <x v="1"/>
    <s v="Permis de recherche"/>
    <s v="OR"/>
  </r>
  <r>
    <s v="BOYA"/>
    <s v="Employés sénégalais"/>
    <x v="2"/>
    <n v="1"/>
    <m/>
    <m/>
    <n v="100"/>
    <n v="101"/>
    <n v="4"/>
    <n v="106"/>
    <x v="1"/>
    <s v="Permis de recherche"/>
    <s v="OR"/>
  </r>
  <r>
    <s v="BOYA"/>
    <s v="Employés sénégalais"/>
    <x v="0"/>
    <n v="1"/>
    <n v="2"/>
    <n v="3"/>
    <m/>
    <n v="6"/>
    <m/>
    <m/>
    <x v="1"/>
    <s v="Permis de recherche"/>
    <s v="OR"/>
  </r>
  <r>
    <s v="BOYA"/>
    <s v="Employés sénégalais"/>
    <x v="1"/>
    <n v="57600"/>
    <n v="7200"/>
    <n v="10800"/>
    <n v="21602"/>
    <n v="97202"/>
    <m/>
    <m/>
    <x v="1"/>
    <s v="Permis de recherche"/>
    <s v="OR"/>
  </r>
  <r>
    <s v="COGECA"/>
    <s v="Employés expatriés"/>
    <x v="2"/>
    <n v="0"/>
    <n v="0"/>
    <n v="0"/>
    <n v="0"/>
    <n v="0"/>
    <n v="0"/>
    <n v="0"/>
    <x v="1"/>
    <s v="Carrière"/>
    <s v="CALCAIRE"/>
  </r>
  <r>
    <s v="COGECA"/>
    <s v="Employés expatriés"/>
    <x v="0"/>
    <n v="3"/>
    <n v="0"/>
    <n v="5"/>
    <n v="3"/>
    <n v="11"/>
    <n v="11"/>
    <n v="11"/>
    <x v="1"/>
    <s v="Carrière"/>
    <s v="CALCAIRE"/>
  </r>
  <r>
    <s v="COGECA"/>
    <s v="Employés expatriés"/>
    <x v="1"/>
    <n v="42078"/>
    <n v="0"/>
    <n v="21728"/>
    <n v="6555"/>
    <n v="70361"/>
    <m/>
    <m/>
    <x v="1"/>
    <s v="Carrière"/>
    <s v="CALCAIRE"/>
  </r>
  <r>
    <s v="COGECA"/>
    <s v="Employés expatriés"/>
    <x v="2"/>
    <n v="0"/>
    <n v="0"/>
    <n v="0"/>
    <n v="0"/>
    <n v="0"/>
    <m/>
    <m/>
    <x v="0"/>
    <s v="Carrière"/>
    <s v="CALCAIRE"/>
  </r>
  <r>
    <s v="COGECA"/>
    <s v="Employés expatriés"/>
    <x v="0"/>
    <n v="3"/>
    <n v="0"/>
    <n v="4"/>
    <n v="3"/>
    <n v="10"/>
    <m/>
    <m/>
    <x v="0"/>
    <s v="Carrière"/>
    <s v="CALCAIRE"/>
  </r>
  <r>
    <s v="COGECA"/>
    <s v="Employés expatriés"/>
    <x v="1"/>
    <n v="21348"/>
    <n v="0"/>
    <n v="18476"/>
    <n v="6852"/>
    <n v="46676"/>
    <m/>
    <m/>
    <x v="0"/>
    <s v="Carrière"/>
    <s v="CALCAIRE"/>
  </r>
  <r>
    <s v="COGECA"/>
    <s v="Employés sénégalais"/>
    <x v="2"/>
    <n v="0"/>
    <n v="0"/>
    <n v="5"/>
    <n v="5"/>
    <n v="10"/>
    <n v="8"/>
    <n v="2"/>
    <x v="1"/>
    <s v="Carrière"/>
    <s v="CALCAIRE"/>
  </r>
  <r>
    <s v="COGECA"/>
    <s v="Employés sénégalais"/>
    <x v="0"/>
    <n v="2"/>
    <n v="3"/>
    <n v="132"/>
    <n v="408"/>
    <n v="545"/>
    <n v="399"/>
    <n v="146"/>
    <x v="1"/>
    <s v="Carrière"/>
    <s v="CALCAIRE"/>
  </r>
  <r>
    <s v="COGECA"/>
    <s v="Employés sénégalais"/>
    <x v="1"/>
    <n v="59112"/>
    <n v="17508"/>
    <n v="98501"/>
    <n v="1073714"/>
    <n v="1248835"/>
    <n v="1098398"/>
    <n v="220798"/>
    <x v="1"/>
    <s v="Carrière"/>
    <s v="CALCAIRE"/>
  </r>
  <r>
    <s v="COGECA"/>
    <s v="Employés sénégalais"/>
    <x v="2"/>
    <n v="0"/>
    <n v="0"/>
    <n v="5"/>
    <n v="4"/>
    <n v="9"/>
    <n v="7"/>
    <n v="2"/>
    <x v="0"/>
    <s v="Carrière"/>
    <s v="CALCAIRE"/>
  </r>
  <r>
    <s v="COGECA"/>
    <s v="Employés sénégalais"/>
    <x v="0"/>
    <n v="2"/>
    <n v="3"/>
    <n v="135"/>
    <n v="413"/>
    <n v="553"/>
    <n v="413"/>
    <n v="140"/>
    <x v="0"/>
    <s v="Carrière"/>
    <s v="CALCAIRE"/>
  </r>
  <r>
    <s v="COGECA"/>
    <s v="Employés sénégalais"/>
    <x v="1"/>
    <n v="84299"/>
    <n v="46596"/>
    <n v="148248"/>
    <n v="1155885"/>
    <n v="1435028"/>
    <m/>
    <m/>
    <x v="0"/>
    <s v="Carrière"/>
    <s v="CALCAIRE"/>
  </r>
  <r>
    <s v="DANGOTE CEMENT SENEGAL "/>
    <s v="Employés expatriés"/>
    <x v="2"/>
    <n v="2"/>
    <m/>
    <m/>
    <m/>
    <n v="2"/>
    <m/>
    <m/>
    <x v="1"/>
    <s v="Concession minière"/>
    <s v="CALCAIRE/CIMENT"/>
  </r>
  <r>
    <s v="DANGOTE CEMENT SENEGAL "/>
    <s v="Employés expatriés"/>
    <x v="0"/>
    <n v="10"/>
    <n v="0"/>
    <n v="0"/>
    <n v="0"/>
    <n v="10"/>
    <m/>
    <m/>
    <x v="1"/>
    <s v="Concession minière"/>
    <s v="CALCAIRE/CIMENT"/>
  </r>
  <r>
    <s v="DANGOTE CEMENT SENEGAL "/>
    <s v="Employés expatriés"/>
    <x v="0"/>
    <n v="19"/>
    <n v="0"/>
    <n v="0"/>
    <n v="0"/>
    <n v="19"/>
    <m/>
    <m/>
    <x v="0"/>
    <s v="Concession minière"/>
    <s v="CALCAIRE/CIMENT"/>
  </r>
  <r>
    <s v="DANGOTE CEMENT SENEGAL "/>
    <s v="Employés expatriés"/>
    <x v="1"/>
    <n v="1477982"/>
    <n v="0"/>
    <n v="0"/>
    <n v="0"/>
    <n v="1477982"/>
    <m/>
    <m/>
    <x v="0"/>
    <s v="Concession minière"/>
    <s v="CALCAIRE/CIMENT"/>
  </r>
  <r>
    <s v="DANGOTE CEMENT SENEGAL "/>
    <s v="Employés sénégalais"/>
    <x v="2"/>
    <n v="3"/>
    <n v="10"/>
    <n v="21"/>
    <n v="1"/>
    <n v="35"/>
    <n v="35"/>
    <m/>
    <x v="0"/>
    <s v="Concession minière"/>
    <s v="CALCAIRE/CIMENT"/>
  </r>
  <r>
    <s v="DANGOTE CEMENT SENEGAL "/>
    <s v="Employés sénégalais"/>
    <x v="0"/>
    <n v="13"/>
    <n v="63"/>
    <n v="90"/>
    <n v="52"/>
    <n v="218"/>
    <n v="218"/>
    <m/>
    <x v="0"/>
    <s v="Concession minière"/>
    <s v="CALCAIRE/CIMENT"/>
  </r>
  <r>
    <s v="DANGOTE CEMENT SENEGAL "/>
    <s v="Employés sénégalais"/>
    <x v="0"/>
    <n v="13"/>
    <n v="63"/>
    <n v="91"/>
    <n v="48"/>
    <n v="215"/>
    <n v="215"/>
    <m/>
    <x v="1"/>
    <s v="Concession minière"/>
    <s v="CALCAIRE/CIMENT"/>
  </r>
  <r>
    <s v="DANGOTE CEMENT SENEGAL "/>
    <s v="Employés sénégalais"/>
    <x v="2"/>
    <n v="1"/>
    <n v="7"/>
    <n v="19"/>
    <n v="1"/>
    <n v="28"/>
    <n v="28"/>
    <m/>
    <x v="1"/>
    <s v="Concession minière"/>
    <s v="CALCAIRE/CIMENT"/>
  </r>
  <r>
    <s v="DANGOTE CEMENT SENEGAL "/>
    <s v="Employés sénégalais"/>
    <x v="1"/>
    <n v="411671"/>
    <n v="828223"/>
    <n v="759862"/>
    <n v="198458"/>
    <n v="2198214"/>
    <n v="2230113"/>
    <m/>
    <x v="0"/>
    <s v="Concession minière"/>
    <s v="CALCAIRE/CIMENT"/>
  </r>
  <r>
    <s v="GECAMINES"/>
    <s v="Employés expatriés"/>
    <x v="2"/>
    <n v="0"/>
    <m/>
    <m/>
    <m/>
    <n v="0"/>
    <m/>
    <m/>
    <x v="1"/>
    <s v="Carrière"/>
    <s v="BASALTE"/>
  </r>
  <r>
    <s v="GECAMINES"/>
    <s v="Employés expatriés"/>
    <x v="2"/>
    <n v="1"/>
    <n v="0"/>
    <n v="0"/>
    <n v="0"/>
    <n v="1"/>
    <n v="0"/>
    <n v="0"/>
    <x v="0"/>
    <s v="Carrière"/>
    <s v="BASALTE"/>
  </r>
  <r>
    <s v="GECAMINES"/>
    <s v="Employés expatriés"/>
    <x v="0"/>
    <n v="8"/>
    <n v="2"/>
    <m/>
    <m/>
    <n v="10"/>
    <m/>
    <m/>
    <x v="1"/>
    <s v="Carrière"/>
    <s v="BASALTE"/>
  </r>
  <r>
    <s v="GECAMINES"/>
    <s v="Employés expatriés"/>
    <x v="0"/>
    <n v="4"/>
    <n v="0"/>
    <n v="0"/>
    <n v="0"/>
    <n v="4"/>
    <n v="0"/>
    <n v="0"/>
    <x v="0"/>
    <s v="Carrière"/>
    <s v="BASALTE"/>
  </r>
  <r>
    <s v="GECAMINES"/>
    <s v="Employés expatriés"/>
    <x v="1"/>
    <n v="55769.938999999998"/>
    <n v="760.65499999999997"/>
    <m/>
    <m/>
    <n v="56530.593999999997"/>
    <m/>
    <m/>
    <x v="1"/>
    <s v="Carrière"/>
    <s v="BASALTE"/>
  </r>
  <r>
    <s v="GECAMINES"/>
    <s v="Employés expatriés"/>
    <x v="1"/>
    <n v="49509.536999999997"/>
    <n v="0"/>
    <n v="0"/>
    <n v="0"/>
    <n v="49509.536999999997"/>
    <m/>
    <m/>
    <x v="0"/>
    <s v="Carrière"/>
    <s v="BASALTE"/>
  </r>
  <r>
    <s v="GECAMINES"/>
    <s v="Employés sénégalais"/>
    <x v="2"/>
    <n v="0"/>
    <n v="4"/>
    <n v="8"/>
    <n v="13"/>
    <n v="25"/>
    <n v="24"/>
    <n v="2"/>
    <x v="1"/>
    <s v="Carrière"/>
    <s v="BASALTE"/>
  </r>
  <r>
    <s v="GECAMINES"/>
    <s v="Employés sénégalais"/>
    <x v="2"/>
    <n v="0"/>
    <n v="0"/>
    <n v="3"/>
    <n v="4"/>
    <n v="7"/>
    <n v="6"/>
    <n v="1"/>
    <x v="0"/>
    <s v="Carrière"/>
    <s v="BASALTE"/>
  </r>
  <r>
    <s v="GECAMINES"/>
    <s v="Employés sénégalais"/>
    <x v="0"/>
    <n v="1"/>
    <n v="7"/>
    <n v="24"/>
    <n v="244"/>
    <n v="276"/>
    <n v="256"/>
    <n v="20"/>
    <x v="1"/>
    <s v="Carrière"/>
    <s v="BASALTE"/>
  </r>
  <r>
    <s v="GECAMINES"/>
    <s v="Employés sénégalais"/>
    <x v="0"/>
    <n v="1"/>
    <n v="2"/>
    <n v="19"/>
    <n v="150"/>
    <n v="172"/>
    <n v="171"/>
    <n v="1"/>
    <x v="0"/>
    <s v="Carrière"/>
    <s v="BASALTE"/>
  </r>
  <r>
    <s v="GECAMINES"/>
    <s v="Employés sénégalais"/>
    <x v="1"/>
    <n v="20964.481"/>
    <n v="97322.077999999994"/>
    <n v="132751.10999999999"/>
    <n v="429604.3"/>
    <n v="680641.96900000004"/>
    <n v="671755.31"/>
    <n v="8886.66"/>
    <x v="1"/>
    <s v="Carrière"/>
    <s v="BASALTE"/>
  </r>
  <r>
    <s v="GECAMINES"/>
    <s v="Employés sénégalais"/>
    <x v="1"/>
    <n v="12836.962"/>
    <n v="24663.923999999999"/>
    <n v="93693.986000000004"/>
    <n v="234818.16"/>
    <n v="366013.03200000001"/>
    <n v="362142.75"/>
    <n v="3870.2809999999999"/>
    <x v="0"/>
    <s v="Carrière"/>
    <s v="BASALTE"/>
  </r>
  <r>
    <s v="GH MINING SARL"/>
    <s v="Employés expatriés"/>
    <x v="2"/>
    <n v="0"/>
    <n v="0"/>
    <m/>
    <n v="0"/>
    <n v="0"/>
    <m/>
    <m/>
    <x v="1"/>
    <s v="Petite mine"/>
    <s v="MANGANESE"/>
  </r>
  <r>
    <s v="GH MINING SARL"/>
    <s v="Employés expatriés"/>
    <x v="0"/>
    <m/>
    <m/>
    <m/>
    <n v="0"/>
    <n v="0"/>
    <m/>
    <m/>
    <x v="1"/>
    <s v="Petite mine"/>
    <s v="MANGANESE"/>
  </r>
  <r>
    <s v="GH MINING SARL"/>
    <s v="Employés expatriés"/>
    <x v="1"/>
    <n v="0"/>
    <m/>
    <m/>
    <n v="0"/>
    <n v="0"/>
    <m/>
    <m/>
    <x v="1"/>
    <s v="Petite mine"/>
    <s v="MANGANESE"/>
  </r>
  <r>
    <s v="GH MINING SARL"/>
    <s v="Employés sénégalais"/>
    <x v="2"/>
    <m/>
    <n v="1"/>
    <n v="2"/>
    <m/>
    <n v="3"/>
    <m/>
    <m/>
    <x v="1"/>
    <s v="Petite mine"/>
    <s v="MANGANESE"/>
  </r>
  <r>
    <s v="GH MINING SARL"/>
    <s v="Employés sénégalais"/>
    <x v="0"/>
    <n v="2"/>
    <n v="1"/>
    <m/>
    <n v="220"/>
    <n v="223"/>
    <m/>
    <m/>
    <x v="1"/>
    <s v="Petite mine"/>
    <s v="MANGANESE"/>
  </r>
  <r>
    <s v="GH MINING SARL"/>
    <s v="Employés sénégalais"/>
    <x v="1"/>
    <n v="17400"/>
    <n v="7200"/>
    <n v="3960"/>
    <n v="28220"/>
    <n v="56780"/>
    <m/>
    <m/>
    <x v="1"/>
    <s v="Petite mine"/>
    <s v="MANGANESE"/>
  </r>
  <r>
    <s v="GH MINING SARL"/>
    <s v="Employés sénégalais"/>
    <x v="2"/>
    <m/>
    <n v="2"/>
    <n v="1"/>
    <m/>
    <n v="3"/>
    <m/>
    <m/>
    <x v="0"/>
    <s v="Petite mine"/>
    <s v="MANGANESE"/>
  </r>
  <r>
    <s v="GH MINING SARL"/>
    <s v="Employés sénégalais"/>
    <x v="0"/>
    <n v="2"/>
    <n v="2"/>
    <n v="7"/>
    <n v="240"/>
    <n v="251"/>
    <m/>
    <m/>
    <x v="0"/>
    <s v="Petite mine"/>
    <s v="MANGANESE"/>
  </r>
  <r>
    <s v="GH MINING SARL"/>
    <s v="Employés sénégalais"/>
    <x v="1"/>
    <n v="18840"/>
    <n v="60000"/>
    <n v="412"/>
    <m/>
    <n v="79252"/>
    <m/>
    <m/>
    <x v="0"/>
    <s v="Petite mine"/>
    <s v="MANGANESE"/>
  </r>
  <r>
    <s v="GRANDE COTE OPERATIONS SA"/>
    <s v="Employés expatriés"/>
    <x v="2"/>
    <n v="2"/>
    <n v="1"/>
    <m/>
    <m/>
    <n v="3"/>
    <n v="3"/>
    <m/>
    <x v="0"/>
    <s v="Concession minière"/>
    <s v="ZIRCON, ILMENITE, RUTILE, LEUCOXENE"/>
  </r>
  <r>
    <s v="GRANDE COTE OPERATIONS SA"/>
    <s v="Employés expatriés"/>
    <x v="0"/>
    <n v="16"/>
    <n v="43"/>
    <m/>
    <m/>
    <n v="59"/>
    <n v="59"/>
    <m/>
    <x v="0"/>
    <s v="Concession minière"/>
    <s v="ZIRCON, ILMENITE, RUTILE, LEUCOXENE"/>
  </r>
  <r>
    <s v="GRANDE COTE OPERATIONS SA"/>
    <s v="Employés expatriés"/>
    <x v="1"/>
    <n v="860032"/>
    <n v="1185463"/>
    <m/>
    <m/>
    <n v="2045495"/>
    <m/>
    <m/>
    <x v="0"/>
    <s v="Concession minière"/>
    <s v="ZIRCON, ILMENITE, RUTILE, LEUCOXENE"/>
  </r>
  <r>
    <s v="GRANDE COTE OPERATIONS SA"/>
    <s v="Employés expatriés"/>
    <x v="2"/>
    <n v="1"/>
    <m/>
    <m/>
    <m/>
    <n v="1"/>
    <m/>
    <m/>
    <x v="1"/>
    <s v="Concession minière"/>
    <s v="ZIRCON, ILMENITE, RUTILE, LEUCOXENE"/>
  </r>
  <r>
    <s v="GRANDE COTE OPERATIONS SA"/>
    <s v="Employés expatriés"/>
    <x v="0"/>
    <n v="60"/>
    <m/>
    <m/>
    <m/>
    <n v="60"/>
    <m/>
    <m/>
    <x v="1"/>
    <s v="Concession minière"/>
    <s v="ZIRCON, ILMENITE, RUTILE, LEUCOXENE"/>
  </r>
  <r>
    <s v="GRANDE COTE OPERATIONS SA"/>
    <s v="Employés expatriés"/>
    <x v="1"/>
    <n v="7834938"/>
    <m/>
    <m/>
    <m/>
    <n v="7834938"/>
    <m/>
    <m/>
    <x v="1"/>
    <s v="Concession minière"/>
    <s v="ZIRCON, ILMENITE, RUTILE, LEUCOXENE"/>
  </r>
  <r>
    <s v="GRANDE COTE OPERATIONS SA"/>
    <s v="Employés sénégalais"/>
    <x v="2"/>
    <n v="4"/>
    <n v="16"/>
    <n v="25"/>
    <n v="42"/>
    <n v="87"/>
    <n v="68"/>
    <n v="19"/>
    <x v="0"/>
    <s v="Concession minière"/>
    <s v="ZIRCON, ILMENITE, RUTILE, LEUCOXENE"/>
  </r>
  <r>
    <s v="GRANDE COTE OPERATIONS SA"/>
    <s v="Employés sénégalais"/>
    <x v="0"/>
    <n v="18"/>
    <n v="70"/>
    <n v="242"/>
    <n v="306"/>
    <n v="636"/>
    <n v="592"/>
    <n v="44"/>
    <x v="0"/>
    <s v="Concession minière"/>
    <s v="ZIRCON, ILMENITE, RUTILE, LEUCOXENE"/>
  </r>
  <r>
    <s v="GRANDE COTE OPERATIONS SA"/>
    <s v="Employés sénégalais"/>
    <x v="1"/>
    <n v="807139"/>
    <n v="1442210"/>
    <n v="2659581"/>
    <n v="2272522"/>
    <n v="7181452"/>
    <m/>
    <m/>
    <x v="0"/>
    <s v="Concession minière"/>
    <s v="ZIRCON, ILMENITE, RUTILE, LEUCOXENE"/>
  </r>
  <r>
    <s v="GRANDE COTE OPERATIONS SA"/>
    <s v="Employés sénégalais"/>
    <x v="2"/>
    <n v="4"/>
    <n v="19"/>
    <n v="28"/>
    <n v="40"/>
    <n v="91"/>
    <m/>
    <m/>
    <x v="1"/>
    <s v="Concession minière"/>
    <s v="ZIRCON, ILMENITE, RUTILE, LEUCOXENE"/>
  </r>
  <r>
    <s v="GRANDE COTE OPERATIONS SA"/>
    <s v="Employés sénégalais"/>
    <x v="0"/>
    <n v="20"/>
    <n v="83"/>
    <n v="240"/>
    <n v="319"/>
    <n v="662"/>
    <m/>
    <m/>
    <x v="1"/>
    <s v="Concession minière"/>
    <s v="ZIRCON, ILMENITE, RUTILE, LEUCOXENE"/>
  </r>
  <r>
    <s v="GRANDE COTE OPERATIONS SA"/>
    <s v="Employés sénégalais"/>
    <x v="1"/>
    <n v="926486"/>
    <n v="1994369"/>
    <n v="3223376"/>
    <n v="2793820"/>
    <n v="8938051"/>
    <m/>
    <m/>
    <x v="1"/>
    <s v="Concession minière"/>
    <s v="ZIRCON, ILMENITE, RUTILE, LEUCOXENE"/>
  </r>
  <r>
    <s v="INDUSTRIE CHIMIQUES DU SENEGAL / INDORAMA"/>
    <s v="Employés expatriés"/>
    <x v="2"/>
    <n v="0"/>
    <n v="0"/>
    <n v="0"/>
    <n v="0"/>
    <n v="0"/>
    <n v="0"/>
    <m/>
    <x v="0"/>
    <s v="Concession minière"/>
    <s v="PHOSPHATE/ENGRAIS/ACIDE PHOSPHORIQUE"/>
  </r>
  <r>
    <s v="INDUSTRIE CHIMIQUES DU SENEGAL / INDORAMA"/>
    <s v="Employés expatriés"/>
    <x v="0"/>
    <n v="3"/>
    <n v="34"/>
    <n v="0"/>
    <n v="0"/>
    <n v="37"/>
    <n v="37"/>
    <m/>
    <x v="0"/>
    <s v="Concession minière"/>
    <s v="PHOSPHATE/ENGRAIS/ACIDE PHOSPHORIQUE"/>
  </r>
  <r>
    <s v="INDUSTRIE CHIMIQUES DU SENEGAL / INDORAMA"/>
    <s v="Employés expatriés"/>
    <x v="0"/>
    <n v="65"/>
    <m/>
    <n v="1"/>
    <m/>
    <n v="66"/>
    <m/>
    <m/>
    <x v="1"/>
    <s v="Concession minière"/>
    <s v="PHOSPHATE/ENGRAIS/ACIDE PHOSPHORIQUE"/>
  </r>
  <r>
    <s v="INDUSTRIE CHIMIQUES DU SENEGAL / INDORAMA"/>
    <s v="Employés expatriés"/>
    <x v="1"/>
    <n v="2609955"/>
    <m/>
    <n v="9132"/>
    <m/>
    <n v="2619087"/>
    <m/>
    <m/>
    <x v="1"/>
    <s v="Concession minière"/>
    <s v="PHOSPHATE/ENGRAIS/ACIDE PHOSPHORIQUE"/>
  </r>
  <r>
    <s v="INDUSTRIE CHIMIQUES DU SENEGAL / INDORAMA"/>
    <s v="Employés expatriés"/>
    <x v="1"/>
    <n v="120459.46153846153"/>
    <n v="0"/>
    <n v="0"/>
    <n v="0"/>
    <n v="120459.46153846153"/>
    <n v="0"/>
    <n v="0"/>
    <x v="0"/>
    <s v="Concession minière"/>
    <s v="PHOSPHATE/ENGRAIS/ACIDE PHOSPHORIQUE"/>
  </r>
  <r>
    <s v="INDUSTRIE CHIMIQUES DU SENEGAL / INDORAMA"/>
    <s v="Employés sénégalais"/>
    <x v="2"/>
    <n v="0"/>
    <n v="4"/>
    <n v="8"/>
    <n v="1"/>
    <n v="13"/>
    <n v="13"/>
    <n v="64"/>
    <x v="0"/>
    <s v="Concession minière"/>
    <s v="PHOSPHATE/ENGRAIS/ACIDE PHOSPHORIQUE"/>
  </r>
  <r>
    <s v="INDUSTRIE CHIMIQUES DU SENEGAL / INDORAMA"/>
    <s v="Employés sénégalais"/>
    <x v="0"/>
    <n v="3"/>
    <n v="104"/>
    <n v="677"/>
    <n v="30"/>
    <n v="814"/>
    <n v="814"/>
    <n v="793"/>
    <x v="0"/>
    <s v="Concession minière"/>
    <s v="PHOSPHATE/ENGRAIS/ACIDE PHOSPHORIQUE"/>
  </r>
  <r>
    <s v="INDUSTRIE CHIMIQUES DU SENEGAL / INDORAMA"/>
    <s v="Employés sénégalais"/>
    <x v="1"/>
    <n v="53160"/>
    <n v="1221351"/>
    <n v="5189738"/>
    <n v="188081"/>
    <n v="6652330"/>
    <n v="6652330"/>
    <n v="529274"/>
    <x v="0"/>
    <s v="Concession minière"/>
    <s v="PHOSPHATE/ENGRAIS/ACIDE PHOSPHORIQUE"/>
  </r>
  <r>
    <s v="INDUSTRIE CHIMIQUES DU SENEGAL / INDORAMA"/>
    <s v="Employés sénégalais"/>
    <x v="2"/>
    <m/>
    <n v="29"/>
    <n v="26"/>
    <n v="1"/>
    <n v="56"/>
    <n v="51"/>
    <m/>
    <x v="1"/>
    <s v="Concession minière"/>
    <s v="PHOSPHATE/ENGRAIS/ACIDE PHOSPHORIQUE"/>
  </r>
  <r>
    <s v="INDUSTRIE CHIMIQUES DU SENEGAL / INDORAMA"/>
    <s v="Employés sénégalais"/>
    <x v="0"/>
    <n v="10"/>
    <n v="217"/>
    <n v="1203"/>
    <n v="31"/>
    <n v="1461"/>
    <n v="1461"/>
    <m/>
    <x v="1"/>
    <s v="Concession minière"/>
    <s v="PHOSPHATE/ENGRAIS/ACIDE PHOSPHORIQUE"/>
  </r>
  <r>
    <s v="INDUSTRIE CHIMIQUES DU SENEGAL / INDORAMA"/>
    <s v="Employés sénégalais"/>
    <x v="1"/>
    <n v="560421"/>
    <n v="3382554"/>
    <n v="10160120"/>
    <n v="239744"/>
    <n v="14342839"/>
    <n v="14342839"/>
    <m/>
    <x v="1"/>
    <s v="Concession minière"/>
    <s v="PHOSPHATE/ENGRAIS/ACIDE PHOSPHORIQUE"/>
  </r>
  <r>
    <s v="LES CIMENTS DU SAHEL SA"/>
    <s v="Employés expatriés"/>
    <x v="0"/>
    <n v="9"/>
    <m/>
    <m/>
    <m/>
    <n v="9"/>
    <n v="9"/>
    <m/>
    <x v="1"/>
    <s v="Concession minière"/>
    <s v="CALCAIRE/ARGILE/CIMENT"/>
  </r>
  <r>
    <s v="LES CIMENTS DU SAHEL SA"/>
    <s v="Employés expatriés"/>
    <x v="0"/>
    <n v="8"/>
    <m/>
    <m/>
    <m/>
    <n v="8"/>
    <n v="8"/>
    <m/>
    <x v="0"/>
    <s v="Concession minière"/>
    <s v="CALCAIRE/ARGILE/CIMENT"/>
  </r>
  <r>
    <s v="LES CIMENTS DU SAHEL SA"/>
    <s v="Employés expatriés"/>
    <x v="1"/>
    <n v="244439"/>
    <m/>
    <m/>
    <m/>
    <n v="244439"/>
    <m/>
    <m/>
    <x v="1"/>
    <s v="Concession minière"/>
    <s v="CALCAIRE/ARGILE/CIMENT"/>
  </r>
  <r>
    <s v="LES CIMENTS DU SAHEL SA"/>
    <s v="Employés expatriés"/>
    <x v="1"/>
    <n v="253916"/>
    <m/>
    <m/>
    <m/>
    <n v="253916"/>
    <m/>
    <m/>
    <x v="0"/>
    <s v="Concession minière"/>
    <s v="CALCAIRE/ARGILE/CIMENT"/>
  </r>
  <r>
    <s v="LES CIMENTS DU SAHEL SA"/>
    <s v="Employés sénégalais"/>
    <x v="2"/>
    <n v="10"/>
    <n v="34"/>
    <n v="23"/>
    <n v="4"/>
    <n v="71"/>
    <n v="71"/>
    <m/>
    <x v="1"/>
    <s v="Concession minière"/>
    <s v="CALCAIRE/ARGILE/CIMENT"/>
  </r>
  <r>
    <s v="LES CIMENTS DU SAHEL SA"/>
    <s v="Employés sénégalais"/>
    <x v="2"/>
    <n v="10"/>
    <n v="31"/>
    <n v="24"/>
    <n v="3"/>
    <n v="68"/>
    <n v="68"/>
    <m/>
    <x v="0"/>
    <s v="Concession minière"/>
    <s v="CALCAIRE/ARGILE/CIMENT"/>
  </r>
  <r>
    <s v="LES CIMENTS DU SAHEL SA"/>
    <s v="Employés sénégalais"/>
    <x v="0"/>
    <n v="98"/>
    <n v="201"/>
    <n v="429"/>
    <n v="22"/>
    <n v="750"/>
    <n v="750"/>
    <m/>
    <x v="1"/>
    <s v="Concession minière"/>
    <s v="CALCAIRE/ARGILE/CIMENT"/>
  </r>
  <r>
    <s v="LES CIMENTS DU SAHEL SA"/>
    <s v="Employés sénégalais"/>
    <x v="0"/>
    <n v="101"/>
    <n v="198"/>
    <n v="361"/>
    <n v="18"/>
    <n v="678"/>
    <n v="678"/>
    <m/>
    <x v="0"/>
    <s v="Concession minière"/>
    <s v="CALCAIRE/ARGILE/CIMENT"/>
  </r>
  <r>
    <s v="LES CIMENTS DU SAHEL SA"/>
    <s v="Employés sénégalais"/>
    <x v="1"/>
    <n v="3230769"/>
    <n v="1059002"/>
    <n v="848919"/>
    <n v="34641"/>
    <n v="5173331"/>
    <n v="5173331"/>
    <m/>
    <x v="1"/>
    <s v="Concession minière"/>
    <s v="CALCAIRE/ARGILE/CIMENT"/>
  </r>
  <r>
    <s v="LES CIMENTS DU SAHEL SA"/>
    <s v="Employés sénégalais"/>
    <x v="1"/>
    <n v="2975532"/>
    <n v="994623"/>
    <n v="781902"/>
    <n v="33863"/>
    <n v="4785920"/>
    <n v="4785920"/>
    <m/>
    <x v="0"/>
    <s v="Concession minière"/>
    <s v="CALCAIRE/ARGILE/CIMENT"/>
  </r>
  <r>
    <s v="MAKABINGUI GOLD OPERATION SA"/>
    <s v="Employés expatriés"/>
    <x v="2"/>
    <n v="0"/>
    <n v="0"/>
    <n v="0"/>
    <n v="0"/>
    <n v="0"/>
    <n v="0"/>
    <n v="0"/>
    <x v="1"/>
    <s v="Permis d'exploitation"/>
    <s v="OR"/>
  </r>
  <r>
    <s v="MAKABINGUI GOLD OPERATION SA"/>
    <s v="Employés expatriés"/>
    <x v="0"/>
    <n v="3"/>
    <n v="0"/>
    <n v="0"/>
    <n v="0"/>
    <n v="3"/>
    <n v="1"/>
    <n v="2"/>
    <x v="1"/>
    <s v="Permis d'exploitation"/>
    <s v="OR"/>
  </r>
  <r>
    <s v="MAKABINGUI GOLD OPERATION SA"/>
    <s v="Employés expatriés"/>
    <x v="1"/>
    <n v="248835.46"/>
    <n v="0"/>
    <n v="0"/>
    <n v="0"/>
    <n v="248835.46"/>
    <m/>
    <m/>
    <x v="1"/>
    <s v="Permis d'exploitation"/>
    <s v="OR"/>
  </r>
  <r>
    <s v="MAKABINGUI GOLD OPERATION SA"/>
    <s v="Employés sénégalais"/>
    <x v="2"/>
    <n v="0"/>
    <n v="1"/>
    <n v="1"/>
    <n v="1"/>
    <n v="3"/>
    <n v="3"/>
    <n v="0"/>
    <x v="1"/>
    <s v="Permis d'exploitation"/>
    <s v="OR"/>
  </r>
  <r>
    <s v="MAKABINGUI GOLD OPERATION SA"/>
    <s v="Employés sénégalais"/>
    <x v="0"/>
    <n v="2"/>
    <n v="15"/>
    <n v="12"/>
    <n v="50"/>
    <n v="79"/>
    <n v="79"/>
    <n v="0"/>
    <x v="1"/>
    <s v="Permis d'exploitation"/>
    <s v="OR"/>
  </r>
  <r>
    <s v="MAKABINGUI GOLD OPERATION SA"/>
    <s v="Employés sénégalais"/>
    <x v="1"/>
    <n v="61047.847000000002"/>
    <n v="159356.84"/>
    <n v="55307.665000000001"/>
    <n v="143794.23000000001"/>
    <n v="419506.58200000005"/>
    <n v="364198.91"/>
    <n v="0"/>
    <x v="1"/>
    <s v="Permis d'exploitation"/>
    <s v="OR"/>
  </r>
  <r>
    <s v="PETOWAL MINING COMPAGNY SA"/>
    <s v="Employés expatriés"/>
    <x v="2"/>
    <n v="1"/>
    <n v="0"/>
    <n v="0"/>
    <n v="0"/>
    <n v="1"/>
    <n v="1"/>
    <n v="0"/>
    <x v="0"/>
    <s v="Concession minière"/>
    <s v="OR"/>
  </r>
  <r>
    <s v="PETOWAL MINING COMPAGNY SA"/>
    <s v="Employés expatriés"/>
    <x v="0"/>
    <n v="52"/>
    <n v="0"/>
    <n v="0"/>
    <n v="0"/>
    <n v="52"/>
    <n v="52"/>
    <n v="0"/>
    <x v="0"/>
    <s v="Concession minière"/>
    <s v="OR"/>
  </r>
  <r>
    <s v="PETOWAL MINING COMPAGNY SA"/>
    <s v="Employés expatriés"/>
    <x v="1"/>
    <n v="4382350"/>
    <n v="0"/>
    <n v="0"/>
    <n v="0"/>
    <n v="4382350"/>
    <m/>
    <m/>
    <x v="0"/>
    <s v="Concession minière"/>
    <s v="OR"/>
  </r>
  <r>
    <s v="PETOWAL MINING COMPAGNY SA"/>
    <s v="Employés expatriés"/>
    <x v="2"/>
    <n v="4"/>
    <m/>
    <m/>
    <m/>
    <n v="4"/>
    <n v="4"/>
    <m/>
    <x v="1"/>
    <s v="Concession minière"/>
    <s v="OR"/>
  </r>
  <r>
    <s v="PETOWAL MINING COMPAGNY SA"/>
    <s v="Employés expatriés"/>
    <x v="0"/>
    <n v="49"/>
    <m/>
    <m/>
    <m/>
    <n v="49"/>
    <n v="49"/>
    <m/>
    <x v="1"/>
    <s v="Concession minière"/>
    <s v="OR"/>
  </r>
  <r>
    <s v="PETOWAL MINING COMPAGNY SA"/>
    <s v="Employés expatriés"/>
    <x v="1"/>
    <n v="5938000"/>
    <m/>
    <m/>
    <m/>
    <n v="5938000"/>
    <m/>
    <m/>
    <x v="1"/>
    <s v="Concession minière"/>
    <s v="OR"/>
  </r>
  <r>
    <s v="PETOWAL MINING COMPAGNY SA"/>
    <s v="Employés sénégalais"/>
    <x v="2"/>
    <n v="1"/>
    <n v="39"/>
    <n v="5"/>
    <n v="4"/>
    <n v="49"/>
    <n v="49"/>
    <n v="0"/>
    <x v="0"/>
    <s v="Concession minière"/>
    <s v="OR"/>
  </r>
  <r>
    <s v="PETOWAL MINING COMPAGNY SA"/>
    <s v="Employés sénégalais"/>
    <x v="0"/>
    <n v="45"/>
    <n v="30"/>
    <n v="80"/>
    <n v="40"/>
    <n v="195"/>
    <n v="195"/>
    <n v="0"/>
    <x v="0"/>
    <s v="Concession minière"/>
    <s v="OR"/>
  </r>
  <r>
    <s v="PETOWAL MINING COMPAGNY SA"/>
    <s v="Employés sénégalais"/>
    <x v="1"/>
    <n v="407380"/>
    <n v="611070"/>
    <n v="752770"/>
    <n v="389660"/>
    <n v="2160880"/>
    <n v="2160890"/>
    <n v="0"/>
    <x v="0"/>
    <s v="Concession minière"/>
    <s v="OR"/>
  </r>
  <r>
    <s v="PETOWAL MINING COMPAGNY SA"/>
    <s v="Employés sénégalais"/>
    <x v="2"/>
    <n v="3"/>
    <m/>
    <n v="8"/>
    <n v="9"/>
    <n v="20"/>
    <n v="20"/>
    <m/>
    <x v="1"/>
    <s v="Concession minière"/>
    <s v="OR"/>
  </r>
  <r>
    <s v="PETOWAL MINING COMPAGNY SA"/>
    <s v="Employés sénégalais"/>
    <x v="0"/>
    <n v="38"/>
    <m/>
    <n v="32"/>
    <n v="55"/>
    <n v="125"/>
    <n v="225"/>
    <m/>
    <x v="1"/>
    <s v="Concession minière"/>
    <s v="OR"/>
  </r>
  <r>
    <s v="PETOWAL MINING COMPAGNY SA"/>
    <s v="Employés sénégalais"/>
    <x v="1"/>
    <n v="411000"/>
    <m/>
    <n v="401000"/>
    <n v="1645000"/>
    <n v="2457000"/>
    <n v="2457000"/>
    <m/>
    <x v="1"/>
    <s v="Concession minière"/>
    <s v="OR"/>
  </r>
  <r>
    <s v="SABODALA GOLD OPERATIONS SA"/>
    <s v="Employés expatriés"/>
    <x v="2"/>
    <n v="3"/>
    <n v="0"/>
    <n v="0"/>
    <n v="0"/>
    <n v="3"/>
    <n v="3"/>
    <m/>
    <x v="0"/>
    <s v="Concession minière"/>
    <s v="OR"/>
  </r>
  <r>
    <s v="SABODALA GOLD OPERATIONS SA"/>
    <s v="Employés expatriés"/>
    <x v="2"/>
    <n v="3"/>
    <n v="0"/>
    <n v="0"/>
    <n v="0"/>
    <n v="3"/>
    <n v="3"/>
    <m/>
    <x v="1"/>
    <s v="Concession minière"/>
    <s v="OR"/>
  </r>
  <r>
    <s v="SABODALA GOLD OPERATIONS SA"/>
    <s v="Employés expatriés"/>
    <x v="0"/>
    <n v="80"/>
    <n v="1"/>
    <n v="0"/>
    <n v="0"/>
    <n v="81"/>
    <n v="81"/>
    <m/>
    <x v="0"/>
    <s v="Concession minière"/>
    <s v="OR"/>
  </r>
  <r>
    <s v="SABODALA GOLD OPERATIONS SA"/>
    <s v="Employés expatriés"/>
    <x v="0"/>
    <n v="102"/>
    <n v="1"/>
    <n v="1"/>
    <n v="0"/>
    <n v="104"/>
    <n v="105"/>
    <m/>
    <x v="1"/>
    <s v="Concession minière"/>
    <s v="OR"/>
  </r>
  <r>
    <s v="SABODALA GOLD OPERATIONS SA"/>
    <s v="Employés expatriés"/>
    <x v="1"/>
    <n v="1702729"/>
    <n v="4859"/>
    <n v="0"/>
    <n v="0"/>
    <n v="1707588"/>
    <m/>
    <m/>
    <x v="0"/>
    <s v="Concession minière"/>
    <s v="OR"/>
  </r>
  <r>
    <s v="SABODALA GOLD OPERATIONS SA"/>
    <s v="Employés expatriés"/>
    <x v="1"/>
    <n v="1814878"/>
    <n v="41837"/>
    <n v="23879"/>
    <n v="0"/>
    <n v="1880594"/>
    <m/>
    <m/>
    <x v="1"/>
    <s v="Concession minière"/>
    <s v="OR"/>
  </r>
  <r>
    <s v="SABODALA GOLD OPERATIONS SA"/>
    <s v="Employés sénégalais"/>
    <x v="2"/>
    <n v="10"/>
    <n v="3"/>
    <n v="6"/>
    <n v="0"/>
    <n v="19"/>
    <n v="19"/>
    <m/>
    <x v="0"/>
    <s v="Concession minière"/>
    <s v="OR"/>
  </r>
  <r>
    <s v="SABODALA GOLD OPERATIONS SA"/>
    <s v="Employés sénégalais"/>
    <x v="2"/>
    <n v="7"/>
    <n v="9"/>
    <n v="8"/>
    <n v="3"/>
    <n v="27"/>
    <n v="27"/>
    <m/>
    <x v="1"/>
    <s v="Concession minière"/>
    <s v="OR"/>
  </r>
  <r>
    <s v="SABODALA GOLD OPERATIONS SA"/>
    <s v="Employés sénégalais"/>
    <x v="0"/>
    <n v="64"/>
    <n v="33"/>
    <n v="130"/>
    <n v="63"/>
    <n v="290"/>
    <n v="290"/>
    <m/>
    <x v="0"/>
    <s v="Concession minière"/>
    <s v="OR"/>
  </r>
  <r>
    <s v="SABODALA GOLD OPERATIONS SA"/>
    <s v="Employés sénégalais"/>
    <x v="0"/>
    <n v="38"/>
    <n v="70"/>
    <n v="166"/>
    <n v="52"/>
    <n v="326"/>
    <n v="326"/>
    <m/>
    <x v="1"/>
    <s v="Concession minière"/>
    <s v="OR"/>
  </r>
  <r>
    <s v="SABODALA GOLD OPERATIONS SA"/>
    <s v="Employés sénégalais"/>
    <x v="1"/>
    <n v="281439"/>
    <n v="484810"/>
    <n v="2127547"/>
    <n v="701144"/>
    <n v="3594940"/>
    <n v="5694940"/>
    <m/>
    <x v="0"/>
    <s v="Concession minière"/>
    <s v="OR"/>
  </r>
  <r>
    <s v="SABODALA GOLD OPERATIONS SA"/>
    <s v="Employés sénégalais"/>
    <x v="1"/>
    <n v="1736645"/>
    <n v="1852470"/>
    <n v="2737320"/>
    <n v="599206"/>
    <n v="6925641"/>
    <m/>
    <m/>
    <x v="1"/>
    <s v="Concession minière"/>
    <s v="OR"/>
  </r>
  <r>
    <s v="SABODALA MINING COMPANY SARL"/>
    <s v="Employés expatriés"/>
    <x v="2"/>
    <n v="0"/>
    <n v="0"/>
    <n v="0"/>
    <n v="0"/>
    <n v="0"/>
    <m/>
    <m/>
    <x v="1"/>
    <s v="Permis de recherche"/>
    <s v="OR"/>
  </r>
  <r>
    <s v="SABODALA MINING COMPANY SARL"/>
    <s v="Employés expatriés"/>
    <x v="0"/>
    <n v="0"/>
    <n v="0"/>
    <n v="0"/>
    <n v="0"/>
    <n v="0"/>
    <m/>
    <m/>
    <x v="1"/>
    <s v="Permis de recherche"/>
    <s v="OR"/>
  </r>
  <r>
    <s v="SABODALA MINING COMPANY SARL"/>
    <s v="Employés expatriés"/>
    <x v="1"/>
    <n v="0"/>
    <n v="0"/>
    <n v="0"/>
    <n v="0"/>
    <n v="0"/>
    <m/>
    <m/>
    <x v="1"/>
    <s v="Permis de recherche"/>
    <s v="OR"/>
  </r>
  <r>
    <s v="SABODALA MINING COMPANY SARL"/>
    <s v="Employés sénégalais"/>
    <x v="2"/>
    <n v="0"/>
    <n v="0"/>
    <n v="0"/>
    <n v="0"/>
    <n v="0"/>
    <n v="0"/>
    <m/>
    <x v="1"/>
    <s v="Permis de recherche"/>
    <s v="OR"/>
  </r>
  <r>
    <s v="SABODALA MINING COMPANY SARL"/>
    <s v="Employés sénégalais"/>
    <x v="0"/>
    <n v="6"/>
    <n v="4"/>
    <n v="3"/>
    <n v="6"/>
    <n v="19"/>
    <n v="19"/>
    <m/>
    <x v="1"/>
    <s v="Permis de recherche"/>
    <s v="OR"/>
  </r>
  <r>
    <s v="SABODALA MINING COMPANY SARL"/>
    <s v="Employés sénégalais"/>
    <x v="0"/>
    <n v="7"/>
    <n v="6"/>
    <n v="9"/>
    <n v="4"/>
    <n v="26"/>
    <n v="26"/>
    <m/>
    <x v="0"/>
    <s v="Permis de recherche"/>
    <s v="OR"/>
  </r>
  <r>
    <s v="SABODALA MINING COMPANY SARL"/>
    <s v="Employés sénégalais"/>
    <x v="1"/>
    <n v="127393"/>
    <n v="78359"/>
    <n v="27037"/>
    <n v="23913"/>
    <n v="256702"/>
    <m/>
    <m/>
    <x v="1"/>
    <s v="Permis de recherche"/>
    <s v="OR"/>
  </r>
  <r>
    <s v="SABODALA MINING COMPANY SARL"/>
    <s v="Employés sénégalais"/>
    <x v="1"/>
    <n v="193354"/>
    <n v="176552"/>
    <n v="93524"/>
    <n v="36391"/>
    <n v="499821"/>
    <n v="499820"/>
    <m/>
    <x v="0"/>
    <s v="Permis de recherche"/>
    <s v="OR"/>
  </r>
  <r>
    <s v="SENEGAL MINES SA"/>
    <s v="Employés expatriés"/>
    <x v="2"/>
    <n v="0"/>
    <n v="0"/>
    <n v="0"/>
    <m/>
    <n v="0"/>
    <m/>
    <m/>
    <x v="0"/>
    <s v="Concession minière"/>
    <s v="ATTAPULGITE"/>
  </r>
  <r>
    <s v="SENEGAL MINES SA"/>
    <s v="Employés expatriés"/>
    <x v="2"/>
    <n v="0"/>
    <n v="0"/>
    <n v="0"/>
    <n v="0"/>
    <n v="0"/>
    <n v="0"/>
    <n v="0"/>
    <x v="1"/>
    <s v="Concession minière"/>
    <s v="ATTAPULGITE"/>
  </r>
  <r>
    <s v="SENEGAL MINES SA"/>
    <s v="Employés expatriés"/>
    <x v="0"/>
    <n v="1"/>
    <n v="0"/>
    <n v="1"/>
    <n v="0"/>
    <n v="2"/>
    <m/>
    <m/>
    <x v="0"/>
    <s v="Concession minière"/>
    <s v="ATTAPULGITE"/>
  </r>
  <r>
    <s v="SENEGAL MINES SA"/>
    <s v="Employés expatriés"/>
    <x v="0"/>
    <n v="1"/>
    <n v="0"/>
    <n v="1"/>
    <n v="0"/>
    <n v="2"/>
    <n v="2"/>
    <m/>
    <x v="1"/>
    <s v="Concession minière"/>
    <s v="ATTAPULGITE"/>
  </r>
  <r>
    <s v="SENEGAL MINES SA"/>
    <s v="Employés expatriés"/>
    <x v="1"/>
    <n v="22804.036"/>
    <n v="0"/>
    <n v="5398.1279999999997"/>
    <m/>
    <n v="28202.164000000001"/>
    <m/>
    <m/>
    <x v="0"/>
    <s v="Concession minière"/>
    <s v="ATTAPULGITE"/>
  </r>
  <r>
    <s v="SENEGAL MINES SA"/>
    <s v="Employés expatriés"/>
    <x v="1"/>
    <n v="22804.036"/>
    <n v="0"/>
    <n v="5398.1279999999997"/>
    <m/>
    <n v="28202.164000000001"/>
    <m/>
    <m/>
    <x v="1"/>
    <s v="Concession minière"/>
    <s v="ATTAPULGITE"/>
  </r>
  <r>
    <s v="SENEGAL MINES SA"/>
    <s v="Employés sénégalais"/>
    <x v="1"/>
    <n v="34931.71"/>
    <n v="46368"/>
    <n v="76046.827000000005"/>
    <n v="165100"/>
    <n v="322446.53700000001"/>
    <m/>
    <m/>
    <x v="0"/>
    <s v="Concession minière"/>
    <s v="ATTAPULGITE"/>
  </r>
  <r>
    <s v="SENEGAL MINES SA"/>
    <s v="Employés sénégalais"/>
    <x v="1"/>
    <n v="34931.71"/>
    <n v="46368"/>
    <n v="76046.827000000005"/>
    <n v="165100"/>
    <n v="322446.53700000001"/>
    <m/>
    <m/>
    <x v="1"/>
    <s v="Concession minière"/>
    <s v="ATTAPULGITE"/>
  </r>
  <r>
    <s v="SENEGAL MINES SA"/>
    <s v="Employés sénégalais"/>
    <x v="2"/>
    <n v="0"/>
    <n v="0"/>
    <n v="1"/>
    <n v="2"/>
    <n v="3"/>
    <m/>
    <m/>
    <x v="0"/>
    <s v="Concession minière"/>
    <s v="ATTAPULGITE"/>
  </r>
  <r>
    <s v="SENEGAL MINES SA"/>
    <s v="Employés sénégalais"/>
    <x v="2"/>
    <n v="0"/>
    <n v="0"/>
    <n v="1"/>
    <n v="2"/>
    <n v="3"/>
    <n v="5"/>
    <m/>
    <x v="1"/>
    <s v="Concession minière"/>
    <s v="ATTAPULGITE"/>
  </r>
  <r>
    <s v="SENEGAL MINES SA"/>
    <s v="Employés sénégalais"/>
    <x v="0"/>
    <n v="2"/>
    <n v="5"/>
    <n v="13"/>
    <n v="59"/>
    <n v="79"/>
    <m/>
    <m/>
    <x v="0"/>
    <s v="Concession minière"/>
    <s v="ATTAPULGITE"/>
  </r>
  <r>
    <s v="SENEGAL MINES SA"/>
    <s v="Employés sénégalais"/>
    <x v="0"/>
    <n v="2"/>
    <n v="5"/>
    <n v="13"/>
    <n v="59"/>
    <n v="79"/>
    <n v="59"/>
    <n v="20"/>
    <x v="1"/>
    <s v="Concession minière"/>
    <s v="ATTAPULGITE"/>
  </r>
  <r>
    <s v="SEPHOS SENEGAL SA"/>
    <s v="Employés expatriés"/>
    <x v="0"/>
    <m/>
    <n v="1"/>
    <m/>
    <m/>
    <n v="1"/>
    <m/>
    <m/>
    <x v="0"/>
    <s v="Petite mine"/>
    <s v="PHOSPHATE"/>
  </r>
  <r>
    <s v="SEPHOS SENEGAL SA"/>
    <s v="Employés expatriés"/>
    <x v="1"/>
    <m/>
    <n v="28073"/>
    <m/>
    <n v="28073"/>
    <n v="56146"/>
    <m/>
    <m/>
    <x v="0"/>
    <s v="Petite mine"/>
    <s v="PHOSPHATE"/>
  </r>
  <r>
    <s v="SEPHOS SENEGAL SA"/>
    <s v="Employés expatriés"/>
    <x v="2"/>
    <m/>
    <n v="0"/>
    <m/>
    <m/>
    <n v="0"/>
    <m/>
    <m/>
    <x v="1"/>
    <s v="Petite mine"/>
    <s v="PHOSPHATE"/>
  </r>
  <r>
    <s v="SEPHOS SENEGAL SA"/>
    <s v="Employés expatriés"/>
    <x v="0"/>
    <m/>
    <n v="1"/>
    <m/>
    <m/>
    <n v="1"/>
    <m/>
    <m/>
    <x v="1"/>
    <s v="Petite mine"/>
    <s v="PHOSPHATE"/>
  </r>
  <r>
    <s v="SEPHOS SENEGAL SA"/>
    <s v="Employés expatriés"/>
    <x v="1"/>
    <m/>
    <n v="15305"/>
    <m/>
    <m/>
    <n v="15305"/>
    <m/>
    <m/>
    <x v="1"/>
    <s v="Petite mine"/>
    <s v="PHOSPHATE"/>
  </r>
  <r>
    <s v="SEPHOS SENEGAL SA"/>
    <s v="Employés sénégalais"/>
    <x v="2"/>
    <m/>
    <n v="6"/>
    <n v="3"/>
    <n v="2"/>
    <n v="11"/>
    <m/>
    <m/>
    <x v="0"/>
    <s v="Petite mine"/>
    <s v="PHOSPHATE"/>
  </r>
  <r>
    <s v="SEPHOS SENEGAL SA"/>
    <s v="Employés sénégalais"/>
    <x v="0"/>
    <n v="2"/>
    <n v="33"/>
    <n v="59"/>
    <n v="60"/>
    <n v="154"/>
    <m/>
    <m/>
    <x v="0"/>
    <s v="Petite mine"/>
    <s v="PHOSPHATE"/>
  </r>
  <r>
    <s v="SEPHOS SENEGAL SA"/>
    <s v="Employés sénégalais"/>
    <x v="1"/>
    <n v="39262"/>
    <n v="232389"/>
    <n v="255548"/>
    <n v="206721"/>
    <n v="733920"/>
    <m/>
    <m/>
    <x v="0"/>
    <s v="Petite mine"/>
    <s v="PHOSPHATE"/>
  </r>
  <r>
    <s v="SEPHOS SENEGAL SA"/>
    <s v="Employés sénégalais"/>
    <x v="2"/>
    <n v="0"/>
    <n v="4"/>
    <n v="3"/>
    <n v="1"/>
    <n v="8"/>
    <n v="8"/>
    <m/>
    <x v="1"/>
    <s v="Petite mine"/>
    <s v="PHOSPHATE"/>
  </r>
  <r>
    <s v="SEPHOS SENEGAL SA"/>
    <s v="Employés sénégalais"/>
    <x v="0"/>
    <n v="2"/>
    <n v="7"/>
    <n v="26"/>
    <n v="54"/>
    <n v="89"/>
    <n v="89"/>
    <m/>
    <x v="1"/>
    <s v="Petite mine"/>
    <s v="PHOSPHATE"/>
  </r>
  <r>
    <s v="SEPHOS SENEGAL SA"/>
    <s v="Employés sénégalais"/>
    <x v="1"/>
    <n v="32045"/>
    <n v="88349"/>
    <n v="148426"/>
    <n v="212961"/>
    <n v="481781"/>
    <n v="481782"/>
    <m/>
    <x v="1"/>
    <s v="Petite mine"/>
    <s v="PHOSPHATE"/>
  </r>
  <r>
    <s v="SOCIETE SENEGALAISE DES PHOSPHATES DE THIES"/>
    <s v="Employés expatriés"/>
    <x v="2"/>
    <n v="0"/>
    <n v="0"/>
    <n v="1"/>
    <n v="0"/>
    <n v="1"/>
    <m/>
    <m/>
    <x v="1"/>
    <s v="Concession minière"/>
    <s v="ATTAPULGITE"/>
  </r>
  <r>
    <s v="SOCIETE SENEGALAISE DES PHOSPHATES DE THIES"/>
    <s v="Employés expatriés"/>
    <x v="2"/>
    <n v="0"/>
    <n v="0"/>
    <n v="0"/>
    <n v="0"/>
    <n v="0"/>
    <m/>
    <m/>
    <x v="0"/>
    <s v="Concession minière"/>
    <s v="ATTAPULGITE"/>
  </r>
  <r>
    <s v="SOCIETE SENEGALAISE DES PHOSPHATES DE THIES"/>
    <s v="Employés expatriés"/>
    <x v="0"/>
    <n v="4"/>
    <n v="1"/>
    <n v="0"/>
    <n v="0"/>
    <n v="5"/>
    <m/>
    <m/>
    <x v="1"/>
    <s v="Concession minière"/>
    <s v="ATTAPULGITE"/>
  </r>
  <r>
    <s v="SOCIETE SENEGALAISE DES PHOSPHATES DE THIES"/>
    <s v="Employés expatriés"/>
    <x v="0"/>
    <n v="2"/>
    <n v="0"/>
    <n v="0"/>
    <n v="0"/>
    <n v="2"/>
    <m/>
    <m/>
    <x v="0"/>
    <s v="Concession minière"/>
    <s v="ATTAPULGITE"/>
  </r>
  <r>
    <s v="SOCIETE SENEGALAISE DES PHOSPHATES DE THIES"/>
    <s v="Employés expatriés"/>
    <x v="1"/>
    <n v="85593"/>
    <n v="17406"/>
    <n v="9324"/>
    <n v="0"/>
    <n v="112323"/>
    <m/>
    <m/>
    <x v="1"/>
    <s v="Concession minière"/>
    <s v="ATTAPULGITE"/>
  </r>
  <r>
    <s v="SOCIETE SENEGALAISE DES PHOSPHATES DE THIES"/>
    <s v="Employés expatriés"/>
    <x v="1"/>
    <n v="48541"/>
    <n v="0"/>
    <n v="0"/>
    <n v="0"/>
    <n v="48541"/>
    <m/>
    <m/>
    <x v="0"/>
    <s v="Concession minière"/>
    <s v="ATTAPULGITE"/>
  </r>
  <r>
    <s v="SOCIETE SENEGALAISE DES PHOSPHATES DE THIES"/>
    <s v="Employés sénégalais"/>
    <x v="2"/>
    <n v="1"/>
    <n v="1"/>
    <n v="2"/>
    <n v="7"/>
    <n v="11"/>
    <n v="7"/>
    <n v="4"/>
    <x v="1"/>
    <s v="Concession minière"/>
    <s v="ATTAPULGITE"/>
  </r>
  <r>
    <s v="SOCIETE SENEGALAISE DES PHOSPHATES DE THIES"/>
    <s v="Employés sénégalais"/>
    <x v="2"/>
    <n v="1"/>
    <n v="0"/>
    <n v="7"/>
    <n v="2"/>
    <n v="10"/>
    <n v="8"/>
    <n v="2"/>
    <x v="0"/>
    <s v="Concession minière"/>
    <s v="ATTAPULGITE"/>
  </r>
  <r>
    <s v="SOCIETE SENEGALAISE DES PHOSPHATES DE THIES"/>
    <s v="Employés sénégalais"/>
    <x v="0"/>
    <n v="1"/>
    <n v="3"/>
    <n v="26"/>
    <n v="38"/>
    <n v="68"/>
    <n v="68"/>
    <n v="0"/>
    <x v="1"/>
    <s v="Concession minière"/>
    <s v="ATTAPULGITE"/>
  </r>
  <r>
    <s v="SOCIETE SENEGALAISE DES PHOSPHATES DE THIES"/>
    <s v="Employés sénégalais"/>
    <x v="0"/>
    <n v="2"/>
    <n v="0"/>
    <n v="31"/>
    <n v="41"/>
    <n v="74"/>
    <n v="70"/>
    <n v="0"/>
    <x v="0"/>
    <s v="Concession minière"/>
    <s v="ATTAPULGITE"/>
  </r>
  <r>
    <s v="SOCIETE SENEGALAISE DES PHOSPHATES DE THIES"/>
    <s v="Employés sénégalais"/>
    <x v="1"/>
    <n v="37268"/>
    <n v="58191"/>
    <n v="192511"/>
    <n v="152928"/>
    <n v="440898"/>
    <n v="438586"/>
    <n v="2313"/>
    <x v="1"/>
    <s v="Concession minière"/>
    <s v="ATTAPULGITE"/>
  </r>
  <r>
    <s v="SOCIETE SENEGALAISE DES PHOSPHATES DE THIES"/>
    <s v="Employés sénégalais"/>
    <x v="1"/>
    <n v="36917"/>
    <n v="0"/>
    <n v="183224"/>
    <n v="118065"/>
    <n v="338206"/>
    <n v="336172"/>
    <n v="2034"/>
    <x v="0"/>
    <s v="Concession minière"/>
    <s v="ATTAPULGITE"/>
  </r>
  <r>
    <s v="SOCOBE"/>
    <s v="Employés expatriés"/>
    <x v="0"/>
    <n v="3"/>
    <m/>
    <m/>
    <m/>
    <n v="3"/>
    <m/>
    <n v="3"/>
    <x v="0"/>
    <s v="Carrière"/>
    <s v="SILEX"/>
  </r>
  <r>
    <s v="SOCOBE"/>
    <s v="Employés expatriés"/>
    <x v="1"/>
    <n v="9649"/>
    <m/>
    <m/>
    <m/>
    <n v="9649"/>
    <m/>
    <m/>
    <x v="0"/>
    <s v="Carrière"/>
    <s v="SILEX"/>
  </r>
  <r>
    <s v="SOCOBE"/>
    <s v="Employés expatriés"/>
    <x v="0"/>
    <n v="4"/>
    <m/>
    <m/>
    <m/>
    <n v="4"/>
    <m/>
    <m/>
    <x v="1"/>
    <s v="Carrière"/>
    <s v="SILEX"/>
  </r>
  <r>
    <s v="SOCOBE"/>
    <s v="Employés expatriés"/>
    <x v="1"/>
    <n v="29747"/>
    <m/>
    <m/>
    <m/>
    <n v="29747"/>
    <m/>
    <m/>
    <x v="1"/>
    <s v="Carrière"/>
    <s v="SILEX"/>
  </r>
  <r>
    <s v="SOCOBE"/>
    <s v="Employés sénégalais"/>
    <x v="2"/>
    <n v="0"/>
    <n v="0"/>
    <n v="2"/>
    <n v="1"/>
    <n v="3"/>
    <m/>
    <n v="3"/>
    <x v="0"/>
    <s v="Carrière"/>
    <s v="SILEX"/>
  </r>
  <r>
    <s v="SOCOBE"/>
    <s v="Employés sénégalais"/>
    <x v="0"/>
    <n v="0"/>
    <n v="1"/>
    <n v="9"/>
    <n v="24"/>
    <n v="34"/>
    <m/>
    <n v="34"/>
    <x v="0"/>
    <s v="Carrière"/>
    <s v="SILEX"/>
  </r>
  <r>
    <s v="SOCOBE"/>
    <s v="Employés sénégalais"/>
    <x v="1"/>
    <n v="0"/>
    <n v="1597"/>
    <n v="7384"/>
    <n v="15466"/>
    <n v="24447"/>
    <m/>
    <m/>
    <x v="0"/>
    <s v="Carrière"/>
    <s v="SILEX"/>
  </r>
  <r>
    <s v="SOCOBE"/>
    <s v="Employés sénégalais"/>
    <x v="2"/>
    <m/>
    <m/>
    <n v="2"/>
    <n v="3"/>
    <n v="5"/>
    <m/>
    <m/>
    <x v="1"/>
    <s v="Carrière"/>
    <s v="SILEX"/>
  </r>
  <r>
    <s v="SOCOBE"/>
    <s v="Employés sénégalais"/>
    <x v="0"/>
    <m/>
    <n v="8"/>
    <n v="24"/>
    <n v="16"/>
    <n v="48"/>
    <m/>
    <m/>
    <x v="1"/>
    <s v="Carrière"/>
    <s v="SILEX"/>
  </r>
  <r>
    <s v="SOCOBE"/>
    <s v="Employés sénégalais"/>
    <x v="1"/>
    <m/>
    <n v="31959"/>
    <n v="56553"/>
    <n v="10990"/>
    <n v="99502"/>
    <m/>
    <m/>
    <x v="1"/>
    <s v="Carrière"/>
    <s v="SILEX"/>
  </r>
  <r>
    <s v="SODEVIT"/>
    <s v="Employés expatriés"/>
    <x v="1"/>
    <n v="47464"/>
    <m/>
    <n v="0"/>
    <n v="0"/>
    <n v="47464"/>
    <m/>
    <m/>
    <x v="1"/>
    <s v="Carrière"/>
    <s v="CALCAIRE"/>
  </r>
  <r>
    <s v="SODEVIT"/>
    <s v="Employés expatriés"/>
    <x v="2"/>
    <n v="1"/>
    <n v="0"/>
    <n v="0"/>
    <n v="0"/>
    <n v="1"/>
    <m/>
    <m/>
    <x v="1"/>
    <s v="Carrière"/>
    <s v="CALCAIRE"/>
  </r>
  <r>
    <s v="SODEVIT"/>
    <s v="Employés expatriés"/>
    <x v="2"/>
    <n v="0"/>
    <m/>
    <m/>
    <m/>
    <n v="0"/>
    <m/>
    <m/>
    <x v="0"/>
    <s v="Carrière"/>
    <s v="CALCAIRE"/>
  </r>
  <r>
    <s v="SODEVIT"/>
    <s v="Employés expatriés"/>
    <x v="0"/>
    <n v="4"/>
    <n v="0"/>
    <n v="0"/>
    <n v="0"/>
    <n v="4"/>
    <m/>
    <m/>
    <x v="1"/>
    <s v="Carrière"/>
    <s v="CALCAIRE"/>
  </r>
  <r>
    <s v="SODEVIT"/>
    <s v="Employés expatriés"/>
    <x v="0"/>
    <n v="5"/>
    <m/>
    <m/>
    <m/>
    <n v="5"/>
    <m/>
    <m/>
    <x v="0"/>
    <s v="Carrière"/>
    <s v="CALCAIRE"/>
  </r>
  <r>
    <s v="SODEVIT"/>
    <s v="Employés expatriés"/>
    <x v="1"/>
    <n v="29593.723999999998"/>
    <m/>
    <m/>
    <m/>
    <n v="29593.723999999998"/>
    <m/>
    <m/>
    <x v="0"/>
    <s v="Carrière"/>
    <s v="CALCAIRE"/>
  </r>
  <r>
    <s v="SODEVIT"/>
    <s v="Employés sénégalais"/>
    <x v="2"/>
    <n v="0"/>
    <n v="0"/>
    <n v="3"/>
    <n v="7"/>
    <n v="10"/>
    <n v="9"/>
    <n v="1"/>
    <x v="1"/>
    <s v="Carrière"/>
    <s v="CALCAIRE"/>
  </r>
  <r>
    <s v="SODEVIT"/>
    <s v="Employés sénégalais"/>
    <x v="2"/>
    <n v="0"/>
    <n v="4"/>
    <n v="8"/>
    <n v="7"/>
    <n v="19"/>
    <n v="19"/>
    <m/>
    <x v="0"/>
    <s v="Carrière"/>
    <s v="CALCAIRE"/>
  </r>
  <r>
    <s v="SODEVIT"/>
    <s v="Employés sénégalais"/>
    <x v="0"/>
    <n v="1"/>
    <n v="1"/>
    <n v="19"/>
    <n v="137"/>
    <n v="158"/>
    <n v="158"/>
    <m/>
    <x v="1"/>
    <s v="Carrière"/>
    <s v="CALCAIRE"/>
  </r>
  <r>
    <s v="SODEVIT"/>
    <s v="Employés sénégalais"/>
    <x v="0"/>
    <n v="1"/>
    <n v="6"/>
    <n v="21"/>
    <n v="178"/>
    <n v="206"/>
    <n v="206"/>
    <m/>
    <x v="0"/>
    <s v="Carrière"/>
    <s v="CALCAIRE"/>
  </r>
  <r>
    <s v="SODEVIT"/>
    <s v="Employés sénégalais"/>
    <x v="1"/>
    <n v="22442.424999999999"/>
    <n v="13936.179"/>
    <n v="95386.290999999997"/>
    <n v="231900"/>
    <n v="363664.89500000002"/>
    <n v="363400"/>
    <n v="293490"/>
    <x v="1"/>
    <s v="Carrière"/>
    <s v="CALCAIRE"/>
  </r>
  <r>
    <s v="SODEVIT"/>
    <s v="Employés sénégalais"/>
    <x v="1"/>
    <n v="21241.965"/>
    <n v="103147.81"/>
    <n v="109268.62"/>
    <n v="353627.34"/>
    <n v="587285.73499999999"/>
    <n v="587285.73"/>
    <m/>
    <x v="0"/>
    <s v="Carrière"/>
    <s v="CALCAIRE"/>
  </r>
  <r>
    <s v="SOMIVA"/>
    <s v="Employés expatriés"/>
    <x v="0"/>
    <n v="6"/>
    <n v="0"/>
    <n v="0"/>
    <n v="0"/>
    <n v="6"/>
    <m/>
    <m/>
    <x v="1"/>
    <s v="Concession minière"/>
    <s v="PHOSPHATE"/>
  </r>
  <r>
    <s v="SOMIVA"/>
    <s v="Employés expatriés"/>
    <x v="2"/>
    <n v="1"/>
    <n v="0"/>
    <n v="0"/>
    <n v="0"/>
    <n v="1"/>
    <m/>
    <m/>
    <x v="1"/>
    <s v="Concession minière"/>
    <s v="PHOSPHATE"/>
  </r>
  <r>
    <s v="SOMIVA"/>
    <s v="Employés expatriés"/>
    <x v="2"/>
    <n v="1"/>
    <n v="0"/>
    <n v="0"/>
    <n v="0"/>
    <n v="1"/>
    <m/>
    <m/>
    <x v="0"/>
    <s v="Concession minière"/>
    <s v="PHOSPHATE"/>
  </r>
  <r>
    <s v="SOMIVA"/>
    <s v="Employés expatriés"/>
    <x v="0"/>
    <n v="3"/>
    <n v="0"/>
    <n v="0"/>
    <n v="0"/>
    <n v="3"/>
    <m/>
    <m/>
    <x v="0"/>
    <s v="Concession minière"/>
    <s v="PHOSPHATE"/>
  </r>
  <r>
    <s v="SOMIVA"/>
    <s v="Employés expatriés"/>
    <x v="1"/>
    <n v="221900"/>
    <n v="0"/>
    <n v="0"/>
    <n v="0"/>
    <n v="221900"/>
    <m/>
    <m/>
    <x v="0"/>
    <s v="Concession minière"/>
    <s v="PHOSPHATE"/>
  </r>
  <r>
    <s v="SOMIVA"/>
    <s v="Employés expatriés"/>
    <x v="1"/>
    <n v="257272"/>
    <m/>
    <m/>
    <m/>
    <n v="257272"/>
    <m/>
    <m/>
    <x v="1"/>
    <s v="Concession minière"/>
    <s v="PHOSPHATE"/>
  </r>
  <r>
    <s v="SOMIVA"/>
    <s v="Employés sénégalais"/>
    <x v="2"/>
    <n v="5"/>
    <n v="0"/>
    <n v="30"/>
    <n v="97"/>
    <n v="132"/>
    <n v="35"/>
    <n v="97"/>
    <x v="1"/>
    <s v="Concession minière"/>
    <s v="PHOSPHATE"/>
  </r>
  <r>
    <s v="SOMIVA"/>
    <s v="Employés sénégalais"/>
    <x v="2"/>
    <n v="5"/>
    <n v="0"/>
    <n v="28"/>
    <n v="67"/>
    <n v="100"/>
    <m/>
    <m/>
    <x v="0"/>
    <s v="Concession minière"/>
    <s v="PHOSPHATE"/>
  </r>
  <r>
    <s v="SOMIVA"/>
    <s v="Employés sénégalais"/>
    <x v="0"/>
    <n v="8"/>
    <n v="0"/>
    <n v="113"/>
    <n v="419"/>
    <n v="540"/>
    <n v="121"/>
    <n v="419"/>
    <x v="1"/>
    <s v="Concession minière"/>
    <s v="PHOSPHATE"/>
  </r>
  <r>
    <s v="SOMIVA"/>
    <s v="Employés sénégalais"/>
    <x v="0"/>
    <n v="3"/>
    <n v="0"/>
    <n v="109"/>
    <n v="160"/>
    <n v="272"/>
    <m/>
    <m/>
    <x v="0"/>
    <s v="Concession minière"/>
    <s v="PHOSPHATE"/>
  </r>
  <r>
    <s v="SOMIVA"/>
    <s v="Employés sénégalais"/>
    <x v="1"/>
    <n v="133200"/>
    <n v="0"/>
    <n v="744700"/>
    <n v="77045.713000000003"/>
    <n v="954945.71299999999"/>
    <n v="877900"/>
    <n v="77045.713000000003"/>
    <x v="1"/>
    <s v="Concession minière"/>
    <s v="PHOSPHATE"/>
  </r>
  <r>
    <s v="SOMIVA"/>
    <s v="Employés sénégalais"/>
    <x v="1"/>
    <n v="99718"/>
    <n v="0"/>
    <n v="1248000"/>
    <n v="48936.826999999997"/>
    <n v="1396654.827"/>
    <m/>
    <m/>
    <x v="0"/>
    <s v="Concession minière"/>
    <s v="PHOSPHATE"/>
  </r>
  <r>
    <s v="SONKO ET FILS"/>
    <s v="Employés expatriés"/>
    <x v="2"/>
    <n v="0"/>
    <n v="0"/>
    <n v="0"/>
    <n v="0"/>
    <n v="0"/>
    <n v="0"/>
    <n v="0"/>
    <x v="0"/>
    <s v="Permis de recherche"/>
    <s v="OR"/>
  </r>
  <r>
    <s v="SONKO ET FILS"/>
    <s v="Employés expatriés"/>
    <x v="0"/>
    <n v="2"/>
    <m/>
    <m/>
    <m/>
    <n v="2"/>
    <m/>
    <m/>
    <x v="1"/>
    <s v="Permis de recherche"/>
    <s v="OR"/>
  </r>
  <r>
    <s v="SONKO ET FILS"/>
    <s v="Employés expatriés"/>
    <x v="0"/>
    <n v="0"/>
    <n v="0"/>
    <n v="0"/>
    <n v="0"/>
    <n v="0"/>
    <n v="0"/>
    <n v="0"/>
    <x v="0"/>
    <s v="Permis de recherche"/>
    <s v="OR"/>
  </r>
  <r>
    <s v="SONKO ET FILS"/>
    <s v="Employés expatriés"/>
    <x v="1"/>
    <n v="0"/>
    <n v="0"/>
    <n v="0"/>
    <n v="0"/>
    <n v="0"/>
    <m/>
    <m/>
    <x v="0"/>
    <s v="Permis de recherche"/>
    <s v="OR"/>
  </r>
  <r>
    <s v="SONKO ET FILS"/>
    <s v="Employés sénégalais"/>
    <x v="2"/>
    <n v="0"/>
    <n v="0"/>
    <n v="0"/>
    <n v="0"/>
    <n v="0"/>
    <n v="0"/>
    <n v="0"/>
    <x v="0"/>
    <s v="Permis de recherche"/>
    <s v="OR"/>
  </r>
  <r>
    <s v="SONKO ET FILS"/>
    <s v="Employés sénégalais"/>
    <x v="0"/>
    <n v="5"/>
    <m/>
    <n v="3"/>
    <n v="26"/>
    <n v="34"/>
    <n v="23"/>
    <n v="11"/>
    <x v="1"/>
    <s v="Permis de recherche"/>
    <s v="OR"/>
  </r>
  <r>
    <s v="SONKO ET FILS"/>
    <s v="Employés sénégalais"/>
    <x v="0"/>
    <n v="3"/>
    <n v="0"/>
    <n v="5"/>
    <n v="0"/>
    <n v="8"/>
    <n v="8"/>
    <n v="9"/>
    <x v="0"/>
    <s v="Permis de recherche"/>
    <s v="OR"/>
  </r>
  <r>
    <s v="SONKO ET FILS"/>
    <s v="Employés sénégalais"/>
    <x v="1"/>
    <n v="19800"/>
    <n v="19800"/>
    <n v="19800"/>
    <n v="19800"/>
    <n v="79200"/>
    <n v="19800"/>
    <n v="19800"/>
    <x v="0"/>
    <s v="Permis de recherche"/>
    <s v="OR"/>
  </r>
  <r>
    <s v="SORED MINES SA"/>
    <s v="Employés expatriés"/>
    <x v="0"/>
    <n v="4"/>
    <m/>
    <n v="1"/>
    <m/>
    <n v="5"/>
    <m/>
    <m/>
    <x v="1"/>
    <s v="Concession minière"/>
    <s v="OR"/>
  </r>
  <r>
    <s v="SORED MINES SA"/>
    <s v="Employés expatriés"/>
    <x v="1"/>
    <n v="118871"/>
    <m/>
    <n v="10812"/>
    <m/>
    <n v="129683"/>
    <m/>
    <m/>
    <x v="1"/>
    <s v="Concession minière"/>
    <s v="OR"/>
  </r>
  <r>
    <s v="SORED MINES SA"/>
    <s v="Employés sénégalais"/>
    <x v="2"/>
    <n v="1"/>
    <m/>
    <m/>
    <n v="2"/>
    <n v="3"/>
    <n v="2"/>
    <n v="1"/>
    <x v="1"/>
    <s v="Concession minière"/>
    <s v="OR"/>
  </r>
  <r>
    <s v="SORED MINES SA"/>
    <s v="Employés sénégalais"/>
    <x v="0"/>
    <n v="8"/>
    <m/>
    <n v="124"/>
    <m/>
    <n v="132"/>
    <m/>
    <m/>
    <x v="1"/>
    <s v="Concession minière"/>
    <s v="OR"/>
  </r>
  <r>
    <s v="SORED MINES SA"/>
    <s v="Employés sénégalais"/>
    <x v="0"/>
    <m/>
    <m/>
    <n v="13"/>
    <m/>
    <n v="13"/>
    <m/>
    <n v="13"/>
    <x v="0"/>
    <s v="Concession minière"/>
    <s v="OR"/>
  </r>
  <r>
    <s v="SORED MINES SA"/>
    <s v="Employés sénégalais"/>
    <x v="1"/>
    <n v="87346"/>
    <m/>
    <n v="336140"/>
    <m/>
    <n v="423486"/>
    <m/>
    <m/>
    <x v="1"/>
    <s v="Concession minière"/>
    <s v="OR"/>
  </r>
  <r>
    <s v="SORED MINES SA"/>
    <s v="Employés sénégalais"/>
    <x v="1"/>
    <m/>
    <m/>
    <n v="41046"/>
    <m/>
    <n v="41046"/>
    <m/>
    <n v="41046"/>
    <x v="0"/>
    <s v="Concession minière"/>
    <s v="OR"/>
  </r>
  <r>
    <s v="SOCOCIM INDUSTRIES"/>
    <s v="Employés sénégalais"/>
    <x v="1"/>
    <n v="685918"/>
    <n v="1163032"/>
    <n v="2785917"/>
    <n v="1480225"/>
    <n v="6115092"/>
    <m/>
    <m/>
    <x v="0"/>
    <s v="Concession minière"/>
    <s v="CALCAIRE/CIMENT"/>
  </r>
  <r>
    <s v="SOCOCIM INDUSTRIES"/>
    <s v="Employés sénégalais"/>
    <x v="2"/>
    <m/>
    <n v="10"/>
    <n v="10"/>
    <n v="7"/>
    <n v="27"/>
    <m/>
    <m/>
    <x v="0"/>
    <s v="Concession minière"/>
    <s v="CALCAIRE/CIMENT"/>
  </r>
  <r>
    <s v="SOCOCIM INDUSTRIES"/>
    <s v="Employés sénégalais"/>
    <x v="0"/>
    <n v="11"/>
    <n v="28"/>
    <n v="148"/>
    <n v="116"/>
    <n v="303"/>
    <m/>
    <m/>
    <x v="0"/>
    <s v="Concession minière"/>
    <s v="CALCAIRE/CIMENT"/>
  </r>
  <r>
    <s v="SOCOCIM INDUSTRIES"/>
    <s v="Employés expatriés"/>
    <x v="0"/>
    <n v="9"/>
    <m/>
    <m/>
    <m/>
    <n v="9"/>
    <m/>
    <m/>
    <x v="0"/>
    <s v="Concession minière"/>
    <s v="CALCAIRE/CIMENT"/>
  </r>
  <r>
    <s v="SOCOCIM INDUSTRIES"/>
    <s v="Employés expatriés"/>
    <x v="1"/>
    <n v="215180"/>
    <m/>
    <m/>
    <m/>
    <n v="215180"/>
    <m/>
    <m/>
    <x v="0"/>
    <s v="Concession minière"/>
    <s v="CALCAIRE/CIMENT"/>
  </r>
  <r>
    <s v="SOCOCIM INDUSTRIES"/>
    <s v="Employés sénégalais"/>
    <x v="1"/>
    <n v="685918"/>
    <n v="1163032"/>
    <n v="2785917"/>
    <n v="1480225"/>
    <n v="6115092"/>
    <m/>
    <m/>
    <x v="1"/>
    <s v="Concession minière"/>
    <s v="CALCAIRE/CIMENT"/>
  </r>
  <r>
    <s v="SOCOCIM INDUSTRIES"/>
    <s v="Employés sénégalais"/>
    <x v="2"/>
    <m/>
    <n v="10"/>
    <n v="10"/>
    <n v="7"/>
    <n v="27"/>
    <m/>
    <m/>
    <x v="1"/>
    <s v="Concession minière"/>
    <s v="CALCAIRE/CIMENT"/>
  </r>
  <r>
    <s v="SOCOCIM INDUSTRIES"/>
    <s v="Employés sénégalais"/>
    <x v="0"/>
    <n v="11"/>
    <n v="28"/>
    <n v="148"/>
    <n v="116"/>
    <n v="303"/>
    <m/>
    <m/>
    <x v="1"/>
    <s v="Concession minière"/>
    <s v="CALCAIRE/CIMENT"/>
  </r>
  <r>
    <s v="SOCOCIM INDUSTRIES"/>
    <s v="Employés expatriés"/>
    <x v="0"/>
    <n v="9"/>
    <m/>
    <m/>
    <m/>
    <n v="9"/>
    <m/>
    <m/>
    <x v="1"/>
    <s v="Concession minière"/>
    <s v="CALCAIRE/CIMENT"/>
  </r>
  <r>
    <s v="SOCOCIM INDUSTRIES"/>
    <s v="Employés expatriés"/>
    <x v="1"/>
    <n v="215180"/>
    <m/>
    <m/>
    <m/>
    <n v="215180"/>
    <m/>
    <m/>
    <x v="1"/>
    <s v="Concession minière"/>
    <s v="CALCAIRE/CIMENT"/>
  </r>
  <r>
    <s v="DANGOTE CEMENT SENEGAL "/>
    <s v="Employés sénégalais"/>
    <x v="1"/>
    <n v="420429"/>
    <n v="927375"/>
    <n v="819789"/>
    <n v="267253"/>
    <n v="2434846"/>
    <n v="35"/>
    <m/>
    <x v="1"/>
    <s v="Concession minière"/>
    <s v="CALCAIRE/CIMENT"/>
  </r>
  <r>
    <s v="DANGOTE CEMENT SENEGAL "/>
    <s v="Employés expatriés"/>
    <x v="1"/>
    <n v="1268086"/>
    <n v="0"/>
    <n v="0"/>
    <n v="0"/>
    <n v="1268086"/>
    <n v="218"/>
    <m/>
    <x v="1"/>
    <s v="Concession minière"/>
    <s v="CALCAIRE/CIMENT"/>
  </r>
  <r>
    <m/>
    <m/>
    <x v="3"/>
    <m/>
    <m/>
    <m/>
    <m/>
    <m/>
    <m/>
    <m/>
    <x v="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1" cacheId="20" applyNumberFormats="0" applyBorderFormats="0" applyFontFormats="0" applyPatternFormats="0" applyAlignmentFormats="0" applyWidthHeightFormats="1" dataCaption="Valeurs" updatedVersion="4" minRefreshableVersion="3" useAutoFormatting="1" itemPrintTitles="1" createdVersion="4" indent="0" outline="1" outlineData="1" multipleFieldFilters="0" chartFormat="1">
  <location ref="A4:L7" firstHeaderRow="1" firstDataRow="3" firstDataCol="0" rowPageCount="1" colPageCount="1"/>
  <pivotFields count="13">
    <pivotField showAll="0"/>
    <pivotField showAll="0"/>
    <pivotField axis="axisCol" multipleItemSelectionAllowed="1" showAll="0">
      <items count="5">
        <item x="2"/>
        <item x="0"/>
        <item h="1" x="1"/>
        <item h="1" x="3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</pivotFields>
  <rowItems count="1">
    <i/>
  </rowItems>
  <colFields count="2">
    <field x="-2"/>
    <field x="2"/>
  </colFields>
  <colItems count="12">
    <i>
      <x/>
      <x/>
    </i>
    <i r="1">
      <x v="1"/>
    </i>
    <i i="1">
      <x v="1"/>
      <x/>
    </i>
    <i r="1" i="1">
      <x v="1"/>
    </i>
    <i i="2">
      <x v="2"/>
      <x/>
    </i>
    <i r="1" i="2">
      <x v="1"/>
    </i>
    <i i="3">
      <x v="3"/>
      <x/>
    </i>
    <i r="1" i="3">
      <x v="1"/>
    </i>
    <i t="grand">
      <x/>
    </i>
    <i t="grand" i="1">
      <x/>
    </i>
    <i t="grand" i="2">
      <x/>
    </i>
    <i t="grand" i="3">
      <x/>
    </i>
  </colItems>
  <pageFields count="1">
    <pageField fld="10" item="0" hier="-1"/>
  </pageFields>
  <dataFields count="4">
    <dataField name="Somme de Techniciens supérieurs et cadres moyens" fld="4" baseField="0" baseItem="1"/>
    <dataField name="Somme de Total" fld="7" baseField="0" baseItem="1"/>
    <dataField name="Somme de Techniciens, agents de maîtrise et ouvriers qualifiés" fld="5" baseField="0" baseItem="1"/>
    <dataField name="Somme de Employés, manœuvres, ouvriers et apprentis" fld="6" baseField="0" baseItem="1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ococim@sococim.sn" TargetMode="External"/><Relationship Id="rId1" Type="http://schemas.openxmlformats.org/officeDocument/2006/relationships/hyperlink" Target="mailto:sococim@sococim.s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workbookViewId="0">
      <selection activeCell="C14" sqref="C14"/>
    </sheetView>
  </sheetViews>
  <sheetFormatPr baseColWidth="10" defaultColWidth="10.88671875" defaultRowHeight="14.4" x14ac:dyDescent="0.3"/>
  <cols>
    <col min="1" max="1" width="10.88671875" style="2"/>
    <col min="2" max="2" width="44.33203125" style="2" bestFit="1" customWidth="1"/>
    <col min="3" max="3" width="15.5546875" style="2" customWidth="1"/>
    <col min="4" max="4" width="10.88671875" style="2"/>
    <col min="5" max="5" width="16.6640625" style="2" customWidth="1"/>
    <col min="6" max="6" width="15.33203125" style="2" customWidth="1"/>
    <col min="7" max="7" width="14.88671875" style="2" customWidth="1"/>
    <col min="8" max="8" width="14.44140625" style="2" customWidth="1"/>
    <col min="9" max="9" width="14.6640625" style="2" customWidth="1"/>
    <col min="10" max="10" width="22.5546875" style="2" customWidth="1"/>
    <col min="11" max="16384" width="10.88671875" style="2"/>
  </cols>
  <sheetData>
    <row r="1" spans="1:10" x14ac:dyDescent="0.3">
      <c r="A1" s="1" t="s">
        <v>164</v>
      </c>
      <c r="B1" s="1" t="s">
        <v>0</v>
      </c>
      <c r="C1" s="1" t="s">
        <v>1</v>
      </c>
      <c r="D1" s="1" t="s">
        <v>2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</row>
    <row r="2" spans="1:10" x14ac:dyDescent="0.3">
      <c r="A2" s="1">
        <v>2018</v>
      </c>
      <c r="B2" s="1" t="s">
        <v>3</v>
      </c>
      <c r="C2" s="4" t="s">
        <v>171</v>
      </c>
      <c r="D2" s="1">
        <v>2</v>
      </c>
      <c r="E2" s="1" t="s">
        <v>4</v>
      </c>
      <c r="F2" s="1">
        <v>338699151</v>
      </c>
      <c r="G2" s="1">
        <v>781350397</v>
      </c>
      <c r="H2" s="1" t="s">
        <v>5</v>
      </c>
      <c r="I2" s="1"/>
      <c r="J2" s="1"/>
    </row>
    <row r="3" spans="1:10" x14ac:dyDescent="0.3">
      <c r="A3" s="1">
        <v>2019</v>
      </c>
      <c r="B3" s="1" t="s">
        <v>3</v>
      </c>
      <c r="C3" s="4" t="s">
        <v>171</v>
      </c>
      <c r="D3" s="1">
        <v>2</v>
      </c>
      <c r="E3" s="1" t="s">
        <v>6</v>
      </c>
      <c r="F3" s="1">
        <v>338699151</v>
      </c>
      <c r="G3" s="1">
        <v>781350397</v>
      </c>
      <c r="H3" s="1" t="s">
        <v>7</v>
      </c>
      <c r="I3" s="1"/>
      <c r="J3" s="1"/>
    </row>
    <row r="4" spans="1:10" x14ac:dyDescent="0.3">
      <c r="A4" s="1">
        <v>2019</v>
      </c>
      <c r="B4" s="1" t="s">
        <v>9</v>
      </c>
      <c r="C4" s="4" t="s">
        <v>172</v>
      </c>
      <c r="D4" s="1">
        <v>1</v>
      </c>
      <c r="E4" s="1" t="s">
        <v>173</v>
      </c>
      <c r="F4" s="1">
        <v>338681879</v>
      </c>
      <c r="G4" s="1">
        <v>783035293</v>
      </c>
      <c r="H4" s="1" t="s">
        <v>10</v>
      </c>
      <c r="I4" s="1"/>
      <c r="J4" s="1"/>
    </row>
    <row r="5" spans="1:10" s="6" customFormat="1" x14ac:dyDescent="0.3">
      <c r="A5" s="5">
        <v>2018</v>
      </c>
      <c r="B5" s="6" t="s">
        <v>11</v>
      </c>
      <c r="C5" s="7" t="s">
        <v>12</v>
      </c>
      <c r="D5" s="5">
        <v>2</v>
      </c>
      <c r="E5" s="5" t="s">
        <v>174</v>
      </c>
      <c r="F5" s="5">
        <v>338595080</v>
      </c>
      <c r="G5" s="5">
        <v>777404190</v>
      </c>
      <c r="H5" s="5"/>
      <c r="I5" s="5" t="s">
        <v>13</v>
      </c>
      <c r="J5" s="5" t="s">
        <v>14</v>
      </c>
    </row>
    <row r="6" spans="1:10" s="6" customFormat="1" x14ac:dyDescent="0.3">
      <c r="A6" s="5">
        <v>2019</v>
      </c>
      <c r="B6" s="6" t="s">
        <v>11</v>
      </c>
      <c r="C6" s="7" t="s">
        <v>12</v>
      </c>
      <c r="D6" s="5">
        <v>2</v>
      </c>
      <c r="E6" s="5" t="s">
        <v>174</v>
      </c>
      <c r="F6" s="5">
        <v>338595080</v>
      </c>
      <c r="G6" s="5">
        <v>777404190</v>
      </c>
      <c r="H6" s="5"/>
      <c r="I6" s="5" t="s">
        <v>13</v>
      </c>
      <c r="J6" s="5" t="s">
        <v>15</v>
      </c>
    </row>
    <row r="7" spans="1:10" s="39" customFormat="1" x14ac:dyDescent="0.3">
      <c r="A7" s="39">
        <v>2018</v>
      </c>
      <c r="B7" s="3" t="s">
        <v>16</v>
      </c>
      <c r="C7" s="3" t="s">
        <v>17</v>
      </c>
      <c r="D7" s="39">
        <v>1</v>
      </c>
      <c r="E7" s="39" t="s">
        <v>803</v>
      </c>
      <c r="F7" s="39">
        <v>338324525</v>
      </c>
      <c r="H7" s="39" t="s">
        <v>18</v>
      </c>
      <c r="I7" s="39" t="s">
        <v>19</v>
      </c>
      <c r="J7" s="39" t="s">
        <v>8</v>
      </c>
    </row>
    <row r="8" spans="1:10" s="39" customFormat="1" x14ac:dyDescent="0.3">
      <c r="A8" s="39">
        <v>2019</v>
      </c>
      <c r="B8" s="3" t="s">
        <v>16</v>
      </c>
      <c r="C8" s="39" t="s">
        <v>17</v>
      </c>
      <c r="D8" s="39">
        <v>1</v>
      </c>
      <c r="E8" s="39" t="s">
        <v>803</v>
      </c>
      <c r="F8" s="39">
        <v>338324525</v>
      </c>
      <c r="H8" s="39" t="s">
        <v>18</v>
      </c>
      <c r="I8" s="39" t="s">
        <v>19</v>
      </c>
      <c r="J8" s="39" t="s">
        <v>8</v>
      </c>
    </row>
    <row r="9" spans="1:10" x14ac:dyDescent="0.3">
      <c r="A9" s="1">
        <v>2019</v>
      </c>
      <c r="B9" s="1" t="s">
        <v>20</v>
      </c>
      <c r="C9" s="4" t="s">
        <v>21</v>
      </c>
      <c r="D9" s="1">
        <v>1</v>
      </c>
      <c r="E9" s="1" t="s">
        <v>22</v>
      </c>
      <c r="F9" s="1">
        <v>338251600</v>
      </c>
      <c r="G9" s="1">
        <v>775191119</v>
      </c>
      <c r="H9" s="1" t="s">
        <v>23</v>
      </c>
      <c r="I9" s="1"/>
      <c r="J9" s="1"/>
    </row>
    <row r="10" spans="1:10" x14ac:dyDescent="0.3">
      <c r="A10" s="1">
        <v>2019</v>
      </c>
      <c r="B10" s="1" t="s">
        <v>24</v>
      </c>
      <c r="C10" s="4" t="s">
        <v>25</v>
      </c>
      <c r="D10" s="1">
        <v>2</v>
      </c>
      <c r="E10" s="1" t="s">
        <v>26</v>
      </c>
      <c r="F10" s="1">
        <v>338683057</v>
      </c>
      <c r="G10" s="1">
        <v>773008181</v>
      </c>
      <c r="H10" s="1" t="s">
        <v>27</v>
      </c>
      <c r="I10" s="1" t="s">
        <v>28</v>
      </c>
      <c r="J10" s="1" t="s">
        <v>29</v>
      </c>
    </row>
    <row r="11" spans="1:10" s="5" customFormat="1" x14ac:dyDescent="0.3">
      <c r="A11" s="5">
        <v>2018</v>
      </c>
      <c r="B11" s="6" t="s">
        <v>30</v>
      </c>
      <c r="C11" s="7" t="s">
        <v>31</v>
      </c>
      <c r="D11" s="5">
        <v>2</v>
      </c>
      <c r="E11" s="5" t="s">
        <v>32</v>
      </c>
      <c r="G11" s="5">
        <v>776385748</v>
      </c>
      <c r="H11" s="5" t="s">
        <v>33</v>
      </c>
      <c r="I11" s="5" t="s">
        <v>34</v>
      </c>
      <c r="J11" s="5" t="s">
        <v>35</v>
      </c>
    </row>
    <row r="12" spans="1:10" s="5" customFormat="1" x14ac:dyDescent="0.3">
      <c r="A12" s="5">
        <v>2019</v>
      </c>
      <c r="B12" s="6" t="s">
        <v>30</v>
      </c>
      <c r="C12" s="7" t="s">
        <v>31</v>
      </c>
      <c r="D12" s="5">
        <v>2</v>
      </c>
      <c r="E12" s="5" t="s">
        <v>32</v>
      </c>
      <c r="G12" s="5">
        <v>776385748</v>
      </c>
      <c r="H12" s="5" t="s">
        <v>33</v>
      </c>
      <c r="I12" s="5" t="s">
        <v>36</v>
      </c>
      <c r="J12" s="5" t="s">
        <v>37</v>
      </c>
    </row>
    <row r="13" spans="1:10" x14ac:dyDescent="0.3">
      <c r="A13" s="1">
        <v>2019</v>
      </c>
      <c r="B13" s="1" t="s">
        <v>162</v>
      </c>
      <c r="C13" s="4" t="s">
        <v>60</v>
      </c>
      <c r="D13" s="1">
        <v>1</v>
      </c>
      <c r="E13" s="1" t="s">
        <v>61</v>
      </c>
      <c r="F13" s="1">
        <v>338602003</v>
      </c>
      <c r="G13" s="1">
        <v>776386252</v>
      </c>
      <c r="H13" s="1" t="s">
        <v>62</v>
      </c>
      <c r="I13" s="1"/>
      <c r="J13" s="1"/>
    </row>
    <row r="14" spans="1:10" x14ac:dyDescent="0.3">
      <c r="A14" s="1">
        <v>2018</v>
      </c>
      <c r="B14" s="1" t="s">
        <v>162</v>
      </c>
      <c r="C14" s="4" t="s">
        <v>60</v>
      </c>
      <c r="D14" s="1">
        <v>1</v>
      </c>
      <c r="E14" s="1" t="s">
        <v>61</v>
      </c>
      <c r="F14" s="1">
        <v>338602003</v>
      </c>
      <c r="G14" s="1">
        <v>776386252</v>
      </c>
      <c r="H14" s="1" t="s">
        <v>62</v>
      </c>
      <c r="I14" s="1"/>
      <c r="J14" s="1"/>
    </row>
    <row r="15" spans="1:10" s="5" customFormat="1" x14ac:dyDescent="0.3">
      <c r="A15" s="5">
        <v>2019</v>
      </c>
      <c r="B15" s="6" t="s">
        <v>38</v>
      </c>
      <c r="C15" s="7" t="s">
        <v>39</v>
      </c>
      <c r="D15" s="5">
        <v>1</v>
      </c>
      <c r="E15" s="5" t="s">
        <v>40</v>
      </c>
      <c r="G15" s="5">
        <v>776809071</v>
      </c>
      <c r="H15" s="5" t="s">
        <v>41</v>
      </c>
    </row>
    <row r="16" spans="1:10" x14ac:dyDescent="0.3">
      <c r="A16" s="1">
        <v>2019</v>
      </c>
      <c r="B16" s="1" t="s">
        <v>42</v>
      </c>
      <c r="C16" s="4" t="s">
        <v>43</v>
      </c>
      <c r="D16" s="1">
        <v>1</v>
      </c>
      <c r="E16" s="1" t="s">
        <v>44</v>
      </c>
      <c r="F16" s="1">
        <v>338646444</v>
      </c>
      <c r="G16" s="1">
        <v>774215849</v>
      </c>
      <c r="H16" s="1" t="s">
        <v>45</v>
      </c>
      <c r="I16" s="1"/>
      <c r="J16" s="1"/>
    </row>
    <row r="17" spans="1:10" x14ac:dyDescent="0.3">
      <c r="A17" s="1">
        <v>2019</v>
      </c>
      <c r="B17" s="1" t="s">
        <v>46</v>
      </c>
      <c r="C17" s="4" t="s">
        <v>47</v>
      </c>
      <c r="D17" s="1">
        <v>6</v>
      </c>
      <c r="E17" s="1" t="s">
        <v>48</v>
      </c>
      <c r="F17" s="1">
        <v>338398727</v>
      </c>
      <c r="G17" s="1">
        <v>774848450</v>
      </c>
      <c r="H17" s="1" t="s">
        <v>49</v>
      </c>
      <c r="I17" s="1"/>
      <c r="J17" s="1"/>
    </row>
    <row r="18" spans="1:10" x14ac:dyDescent="0.3">
      <c r="A18" s="1">
        <v>2018</v>
      </c>
      <c r="B18" s="1" t="s">
        <v>46</v>
      </c>
      <c r="C18" s="4" t="s">
        <v>47</v>
      </c>
      <c r="D18" s="1">
        <v>6</v>
      </c>
      <c r="E18" s="1" t="s">
        <v>50</v>
      </c>
      <c r="F18" s="1">
        <v>338398727</v>
      </c>
      <c r="G18" s="1">
        <v>774848450</v>
      </c>
      <c r="H18" s="1" t="s">
        <v>51</v>
      </c>
      <c r="I18" s="1"/>
      <c r="J18" s="1"/>
    </row>
    <row r="19" spans="1:10" x14ac:dyDescent="0.3">
      <c r="A19" s="1">
        <v>2018</v>
      </c>
      <c r="B19" s="1" t="s">
        <v>52</v>
      </c>
      <c r="C19" s="4" t="s">
        <v>53</v>
      </c>
      <c r="D19" s="1">
        <v>2</v>
      </c>
      <c r="E19" s="1" t="s">
        <v>54</v>
      </c>
      <c r="F19" s="1">
        <v>339531063</v>
      </c>
      <c r="G19" s="1">
        <v>770990848</v>
      </c>
      <c r="H19" s="1" t="s">
        <v>55</v>
      </c>
      <c r="I19" s="1" t="s">
        <v>56</v>
      </c>
      <c r="J19" s="1"/>
    </row>
    <row r="20" spans="1:10" x14ac:dyDescent="0.3">
      <c r="A20" s="1">
        <v>2019</v>
      </c>
      <c r="B20" s="1" t="s">
        <v>52</v>
      </c>
      <c r="C20" s="4" t="s">
        <v>53</v>
      </c>
      <c r="D20" s="1">
        <v>2</v>
      </c>
      <c r="E20" s="1" t="s">
        <v>54</v>
      </c>
      <c r="F20" s="1">
        <v>339531063</v>
      </c>
      <c r="G20" s="1">
        <v>770990848</v>
      </c>
      <c r="H20" s="1" t="s">
        <v>55</v>
      </c>
      <c r="I20" s="1" t="s">
        <v>56</v>
      </c>
      <c r="J20" s="1"/>
    </row>
    <row r="21" spans="1:10" x14ac:dyDescent="0.3">
      <c r="A21" s="1">
        <v>2019</v>
      </c>
      <c r="B21" s="1" t="s">
        <v>52</v>
      </c>
      <c r="C21" s="4" t="s">
        <v>53</v>
      </c>
      <c r="D21" s="1">
        <v>2</v>
      </c>
      <c r="E21" s="1" t="s">
        <v>54</v>
      </c>
      <c r="F21" s="1">
        <v>339531063</v>
      </c>
      <c r="G21" s="1">
        <v>770990848</v>
      </c>
      <c r="H21" s="1" t="s">
        <v>55</v>
      </c>
      <c r="I21" s="1" t="s">
        <v>56</v>
      </c>
      <c r="J21" s="1"/>
    </row>
    <row r="22" spans="1:10" x14ac:dyDescent="0.3">
      <c r="A22" s="1">
        <v>2019</v>
      </c>
      <c r="B22" s="1" t="s">
        <v>63</v>
      </c>
      <c r="C22" s="4" t="s">
        <v>64</v>
      </c>
      <c r="D22" s="1">
        <v>1</v>
      </c>
      <c r="E22" s="1" t="s">
        <v>66</v>
      </c>
      <c r="F22" s="1">
        <v>338325780</v>
      </c>
      <c r="G22" s="1">
        <v>775293549</v>
      </c>
      <c r="H22" s="1" t="s">
        <v>65</v>
      </c>
      <c r="I22" s="1"/>
      <c r="J22" s="1"/>
    </row>
    <row r="23" spans="1:10" x14ac:dyDescent="0.3">
      <c r="A23" s="1">
        <v>2018</v>
      </c>
      <c r="B23" s="1" t="s">
        <v>63</v>
      </c>
      <c r="C23" s="4" t="s">
        <v>64</v>
      </c>
      <c r="D23" s="1">
        <v>1</v>
      </c>
      <c r="E23" s="1" t="s">
        <v>66</v>
      </c>
      <c r="F23" s="1">
        <v>338325780</v>
      </c>
      <c r="G23" s="1">
        <v>775293549</v>
      </c>
      <c r="H23" s="1" t="s">
        <v>65</v>
      </c>
      <c r="I23" s="1"/>
      <c r="J23" s="1"/>
    </row>
    <row r="24" spans="1:10" s="5" customFormat="1" x14ac:dyDescent="0.3">
      <c r="A24" s="5">
        <v>2019</v>
      </c>
      <c r="B24" s="6" t="s">
        <v>163</v>
      </c>
      <c r="C24" s="7" t="s">
        <v>57</v>
      </c>
      <c r="D24" s="5">
        <v>1</v>
      </c>
      <c r="F24" s="5">
        <v>338328587</v>
      </c>
      <c r="H24" s="5" t="s">
        <v>58</v>
      </c>
      <c r="I24" s="5" t="s">
        <v>59</v>
      </c>
    </row>
    <row r="25" spans="1:10" s="5" customFormat="1" x14ac:dyDescent="0.3">
      <c r="A25" s="5">
        <v>2018</v>
      </c>
      <c r="B25" s="6" t="s">
        <v>163</v>
      </c>
      <c r="C25" s="7" t="s">
        <v>57</v>
      </c>
      <c r="D25" s="5">
        <v>1</v>
      </c>
      <c r="F25" s="5">
        <v>338328587</v>
      </c>
      <c r="H25" s="5" t="s">
        <v>58</v>
      </c>
      <c r="I25" s="5" t="s">
        <v>59</v>
      </c>
    </row>
    <row r="26" spans="1:10" x14ac:dyDescent="0.3">
      <c r="A26" s="1">
        <v>2018</v>
      </c>
      <c r="B26" s="1" t="s">
        <v>67</v>
      </c>
      <c r="C26" s="4" t="s">
        <v>68</v>
      </c>
      <c r="D26" s="1">
        <v>1</v>
      </c>
      <c r="E26" s="1" t="s">
        <v>69</v>
      </c>
      <c r="F26" s="1">
        <v>338693181</v>
      </c>
      <c r="G26" s="1">
        <v>765525100</v>
      </c>
      <c r="H26" s="1" t="s">
        <v>70</v>
      </c>
      <c r="I26" s="1" t="s">
        <v>71</v>
      </c>
      <c r="J26" s="1"/>
    </row>
    <row r="27" spans="1:10" x14ac:dyDescent="0.3">
      <c r="A27" s="1">
        <v>2019</v>
      </c>
      <c r="B27" s="1" t="s">
        <v>67</v>
      </c>
      <c r="C27" s="4" t="s">
        <v>68</v>
      </c>
      <c r="D27" s="1">
        <v>1</v>
      </c>
      <c r="E27" s="1" t="s">
        <v>69</v>
      </c>
      <c r="F27" s="1">
        <v>338693181</v>
      </c>
      <c r="G27" s="1">
        <v>765525100</v>
      </c>
      <c r="H27" s="1" t="s">
        <v>70</v>
      </c>
      <c r="I27" s="1" t="s">
        <v>71</v>
      </c>
      <c r="J27" s="1"/>
    </row>
    <row r="28" spans="1:10" x14ac:dyDescent="0.3">
      <c r="A28" s="1">
        <v>2019</v>
      </c>
      <c r="B28" s="1" t="s">
        <v>72</v>
      </c>
      <c r="C28" s="4" t="s">
        <v>73</v>
      </c>
      <c r="D28" s="1">
        <v>1</v>
      </c>
      <c r="E28" s="1" t="s">
        <v>74</v>
      </c>
      <c r="F28" s="1">
        <v>338328701</v>
      </c>
      <c r="G28" s="1">
        <v>776385421</v>
      </c>
      <c r="H28" s="1" t="s">
        <v>75</v>
      </c>
      <c r="I28" s="1" t="s">
        <v>76</v>
      </c>
      <c r="J28" s="1" t="s">
        <v>77</v>
      </c>
    </row>
    <row r="29" spans="1:10" x14ac:dyDescent="0.3">
      <c r="A29" s="1">
        <v>2018</v>
      </c>
      <c r="B29" s="1" t="s">
        <v>72</v>
      </c>
      <c r="C29" s="4" t="s">
        <v>73</v>
      </c>
      <c r="D29" s="1">
        <v>1</v>
      </c>
      <c r="E29" s="1" t="s">
        <v>78</v>
      </c>
      <c r="F29" s="1">
        <v>338328702</v>
      </c>
      <c r="G29" s="1">
        <v>776385421</v>
      </c>
      <c r="H29" s="1" t="s">
        <v>79</v>
      </c>
      <c r="I29" s="1"/>
      <c r="J29" s="1" t="s">
        <v>80</v>
      </c>
    </row>
    <row r="30" spans="1:10" x14ac:dyDescent="0.3">
      <c r="A30" s="1">
        <v>2018</v>
      </c>
      <c r="B30" s="1" t="s">
        <v>81</v>
      </c>
      <c r="C30" s="4" t="s">
        <v>82</v>
      </c>
      <c r="D30" s="1">
        <v>1</v>
      </c>
      <c r="E30" s="1" t="s">
        <v>83</v>
      </c>
      <c r="F30" s="1">
        <v>339395073</v>
      </c>
      <c r="G30" s="1">
        <v>770994069</v>
      </c>
      <c r="H30" s="1" t="s">
        <v>84</v>
      </c>
      <c r="I30" s="1" t="s">
        <v>85</v>
      </c>
      <c r="J30" s="1"/>
    </row>
    <row r="31" spans="1:10" x14ac:dyDescent="0.3">
      <c r="A31" s="1">
        <v>2019</v>
      </c>
      <c r="B31" s="1" t="s">
        <v>81</v>
      </c>
      <c r="C31" s="4" t="s">
        <v>82</v>
      </c>
      <c r="D31" s="1">
        <v>1</v>
      </c>
      <c r="E31" s="1" t="s">
        <v>86</v>
      </c>
      <c r="F31" s="1">
        <v>339395075</v>
      </c>
      <c r="G31" s="1">
        <v>770994069</v>
      </c>
      <c r="H31" s="1" t="s">
        <v>87</v>
      </c>
      <c r="I31" s="1" t="s">
        <v>88</v>
      </c>
      <c r="J31" s="1"/>
    </row>
    <row r="32" spans="1:10" x14ac:dyDescent="0.3">
      <c r="A32" s="1">
        <v>2019</v>
      </c>
      <c r="B32" s="1" t="s">
        <v>89</v>
      </c>
      <c r="C32" s="4" t="s">
        <v>90</v>
      </c>
      <c r="D32" s="1">
        <v>1</v>
      </c>
      <c r="E32" s="1" t="s">
        <v>91</v>
      </c>
      <c r="F32" s="1">
        <v>339395454</v>
      </c>
      <c r="G32" s="1">
        <v>786369681</v>
      </c>
      <c r="H32" s="1" t="s">
        <v>92</v>
      </c>
      <c r="I32" s="1" t="s">
        <v>93</v>
      </c>
      <c r="J32" s="1"/>
    </row>
    <row r="33" spans="1:10" x14ac:dyDescent="0.3">
      <c r="A33" s="1">
        <v>2018</v>
      </c>
      <c r="B33" s="1" t="s">
        <v>89</v>
      </c>
      <c r="C33" s="4" t="s">
        <v>90</v>
      </c>
      <c r="D33" s="1">
        <v>1</v>
      </c>
      <c r="E33" s="1" t="s">
        <v>91</v>
      </c>
      <c r="F33" s="1">
        <v>339395454</v>
      </c>
      <c r="G33" s="1">
        <v>786369681</v>
      </c>
      <c r="H33" s="1" t="s">
        <v>92</v>
      </c>
      <c r="I33" s="1" t="s">
        <v>93</v>
      </c>
      <c r="J33" s="1"/>
    </row>
    <row r="34" spans="1:10" x14ac:dyDescent="0.3">
      <c r="A34" s="1">
        <v>2019</v>
      </c>
      <c r="B34" s="1" t="s">
        <v>94</v>
      </c>
      <c r="C34" s="4" t="s">
        <v>95</v>
      </c>
      <c r="D34" s="1">
        <v>1</v>
      </c>
      <c r="E34" s="1" t="s">
        <v>96</v>
      </c>
      <c r="F34" s="1">
        <v>338641030</v>
      </c>
      <c r="G34" s="1">
        <v>776497748</v>
      </c>
      <c r="H34" s="1"/>
      <c r="I34" s="1"/>
      <c r="J34" s="1"/>
    </row>
    <row r="35" spans="1:10" x14ac:dyDescent="0.3">
      <c r="A35" s="1">
        <v>2018</v>
      </c>
      <c r="B35" s="1" t="s">
        <v>94</v>
      </c>
      <c r="C35" s="4" t="s">
        <v>95</v>
      </c>
      <c r="D35" s="1">
        <v>1</v>
      </c>
      <c r="E35" s="1" t="s">
        <v>97</v>
      </c>
      <c r="F35" s="1">
        <v>338641030</v>
      </c>
      <c r="G35" s="1">
        <v>776497748</v>
      </c>
      <c r="H35" s="1"/>
      <c r="I35" s="1"/>
      <c r="J35" s="1"/>
    </row>
    <row r="36" spans="1:10" x14ac:dyDescent="0.3">
      <c r="A36" s="1">
        <v>2018</v>
      </c>
      <c r="B36" s="1" t="s">
        <v>98</v>
      </c>
      <c r="C36" s="4" t="s">
        <v>99</v>
      </c>
      <c r="D36" s="1">
        <v>1</v>
      </c>
      <c r="E36" s="1" t="s">
        <v>100</v>
      </c>
      <c r="F36" s="1">
        <v>338683057</v>
      </c>
      <c r="G36" s="1">
        <v>781857830</v>
      </c>
      <c r="H36" s="1" t="s">
        <v>101</v>
      </c>
      <c r="I36" s="1" t="s">
        <v>102</v>
      </c>
      <c r="J36" s="1"/>
    </row>
    <row r="37" spans="1:10" x14ac:dyDescent="0.3">
      <c r="A37" s="1">
        <v>2019</v>
      </c>
      <c r="B37" s="1" t="s">
        <v>98</v>
      </c>
      <c r="C37" s="4" t="s">
        <v>99</v>
      </c>
      <c r="D37" s="1">
        <v>1</v>
      </c>
      <c r="E37" s="1" t="s">
        <v>100</v>
      </c>
      <c r="F37" s="1">
        <v>338683057</v>
      </c>
      <c r="G37" s="1">
        <v>781857830</v>
      </c>
      <c r="H37" s="1" t="s">
        <v>27</v>
      </c>
      <c r="I37" s="1" t="s">
        <v>28</v>
      </c>
      <c r="J37" s="1"/>
    </row>
    <row r="38" spans="1:10" x14ac:dyDescent="0.3">
      <c r="A38" s="1">
        <v>2019</v>
      </c>
      <c r="B38" s="1" t="s">
        <v>103</v>
      </c>
      <c r="C38" s="4" t="s">
        <v>104</v>
      </c>
      <c r="D38" s="1">
        <v>1</v>
      </c>
      <c r="E38" s="1" t="s">
        <v>105</v>
      </c>
      <c r="F38" s="1">
        <v>338642525</v>
      </c>
      <c r="G38" s="1">
        <v>786204454</v>
      </c>
      <c r="H38" s="1" t="s">
        <v>106</v>
      </c>
      <c r="I38" s="1" t="s">
        <v>107</v>
      </c>
      <c r="J38" s="1"/>
    </row>
    <row r="39" spans="1:10" x14ac:dyDescent="0.3">
      <c r="A39" s="1">
        <v>2018</v>
      </c>
      <c r="B39" s="1" t="s">
        <v>103</v>
      </c>
      <c r="C39" s="4" t="s">
        <v>104</v>
      </c>
      <c r="D39" s="1">
        <v>1</v>
      </c>
      <c r="E39" s="1" t="s">
        <v>108</v>
      </c>
      <c r="F39" s="1">
        <v>338642525</v>
      </c>
      <c r="G39" s="1">
        <v>786204454</v>
      </c>
      <c r="H39" s="1" t="s">
        <v>109</v>
      </c>
      <c r="I39" s="1" t="s">
        <v>107</v>
      </c>
      <c r="J39" s="1"/>
    </row>
    <row r="40" spans="1:10" x14ac:dyDescent="0.3">
      <c r="A40" s="1">
        <v>2019</v>
      </c>
      <c r="B40" s="1" t="s">
        <v>110</v>
      </c>
      <c r="C40" s="4" t="s">
        <v>111</v>
      </c>
      <c r="D40" s="1">
        <v>2</v>
      </c>
      <c r="E40" s="1" t="s">
        <v>105</v>
      </c>
      <c r="F40" s="1">
        <v>338642525</v>
      </c>
      <c r="G40" s="1">
        <v>786204454</v>
      </c>
      <c r="H40" s="1" t="s">
        <v>112</v>
      </c>
      <c r="I40" s="1" t="s">
        <v>107</v>
      </c>
      <c r="J40" s="1"/>
    </row>
    <row r="41" spans="1:10" x14ac:dyDescent="0.3">
      <c r="A41" s="1">
        <v>2018</v>
      </c>
      <c r="B41" s="1" t="s">
        <v>110</v>
      </c>
      <c r="C41" s="4" t="s">
        <v>111</v>
      </c>
      <c r="D41" s="1">
        <v>2</v>
      </c>
      <c r="E41" s="1" t="s">
        <v>105</v>
      </c>
      <c r="F41" s="1">
        <v>338642525</v>
      </c>
      <c r="G41" s="1">
        <v>786204454</v>
      </c>
      <c r="H41" s="1" t="s">
        <v>112</v>
      </c>
      <c r="I41" s="1" t="s">
        <v>107</v>
      </c>
      <c r="J41" s="1"/>
    </row>
    <row r="42" spans="1:10" x14ac:dyDescent="0.3">
      <c r="A42" s="1">
        <v>2018</v>
      </c>
      <c r="B42" s="1" t="s">
        <v>113</v>
      </c>
      <c r="C42" s="4" t="s">
        <v>114</v>
      </c>
      <c r="D42" s="1">
        <v>1</v>
      </c>
      <c r="E42" s="1" t="s">
        <v>115</v>
      </c>
      <c r="F42" s="1">
        <v>339578825</v>
      </c>
      <c r="G42" s="1">
        <v>775637015</v>
      </c>
      <c r="H42" s="1" t="s">
        <v>116</v>
      </c>
      <c r="I42" s="1"/>
      <c r="J42" s="1"/>
    </row>
    <row r="43" spans="1:10" x14ac:dyDescent="0.3">
      <c r="A43" s="1">
        <v>2019</v>
      </c>
      <c r="B43" s="1" t="s">
        <v>113</v>
      </c>
      <c r="C43" s="4" t="s">
        <v>114</v>
      </c>
      <c r="D43" s="1">
        <v>1</v>
      </c>
      <c r="E43" s="1" t="s">
        <v>117</v>
      </c>
      <c r="F43" s="1">
        <v>339578825</v>
      </c>
      <c r="G43" s="1">
        <v>775692387</v>
      </c>
      <c r="H43" s="1" t="s">
        <v>118</v>
      </c>
      <c r="I43" s="1"/>
      <c r="J43" s="1"/>
    </row>
    <row r="44" spans="1:10" x14ac:dyDescent="0.3">
      <c r="A44" s="1">
        <v>2019</v>
      </c>
      <c r="B44" s="1" t="s">
        <v>119</v>
      </c>
      <c r="C44" s="4" t="s">
        <v>120</v>
      </c>
      <c r="D44" s="1">
        <v>1</v>
      </c>
      <c r="E44" s="1" t="s">
        <v>121</v>
      </c>
      <c r="F44" s="1">
        <v>338695999</v>
      </c>
      <c r="G44" s="1">
        <v>773155612</v>
      </c>
      <c r="H44" s="1" t="s">
        <v>122</v>
      </c>
      <c r="I44" s="1" t="s">
        <v>123</v>
      </c>
      <c r="J44" s="1"/>
    </row>
    <row r="45" spans="1:10" x14ac:dyDescent="0.3">
      <c r="A45" s="1">
        <v>2018</v>
      </c>
      <c r="B45" s="1" t="s">
        <v>119</v>
      </c>
      <c r="C45" s="4" t="s">
        <v>120</v>
      </c>
      <c r="D45" s="1">
        <v>1</v>
      </c>
      <c r="E45" s="1" t="s">
        <v>124</v>
      </c>
      <c r="F45" s="1">
        <v>338695999</v>
      </c>
      <c r="G45" s="1">
        <v>773155612</v>
      </c>
      <c r="H45" s="1" t="s">
        <v>125</v>
      </c>
      <c r="I45" s="1" t="s">
        <v>123</v>
      </c>
      <c r="J45" s="1"/>
    </row>
    <row r="46" spans="1:10" x14ac:dyDescent="0.3">
      <c r="A46" s="1">
        <v>2019</v>
      </c>
      <c r="B46" s="1" t="s">
        <v>156</v>
      </c>
      <c r="C46" s="4" t="s">
        <v>157</v>
      </c>
      <c r="D46" s="1">
        <v>1</v>
      </c>
      <c r="E46" s="1" t="s">
        <v>158</v>
      </c>
      <c r="F46" s="1">
        <v>338233283</v>
      </c>
      <c r="G46" s="1">
        <v>776564227</v>
      </c>
      <c r="H46" s="1" t="s">
        <v>159</v>
      </c>
      <c r="I46" s="1"/>
      <c r="J46" s="1"/>
    </row>
    <row r="47" spans="1:10" x14ac:dyDescent="0.3">
      <c r="A47" s="1">
        <v>2018</v>
      </c>
      <c r="B47" s="1" t="s">
        <v>156</v>
      </c>
      <c r="C47" s="4" t="s">
        <v>157</v>
      </c>
      <c r="D47" s="1">
        <v>1</v>
      </c>
      <c r="E47" s="1" t="s">
        <v>158</v>
      </c>
      <c r="F47" s="1">
        <v>338233283</v>
      </c>
      <c r="G47" s="1">
        <v>776564227</v>
      </c>
      <c r="H47" s="1" t="s">
        <v>159</v>
      </c>
      <c r="I47" s="1"/>
      <c r="J47" s="1"/>
    </row>
    <row r="48" spans="1:10" x14ac:dyDescent="0.3">
      <c r="A48" s="1">
        <v>2018</v>
      </c>
      <c r="B48" s="1" t="s">
        <v>126</v>
      </c>
      <c r="C48" s="4" t="s">
        <v>127</v>
      </c>
      <c r="D48" s="1">
        <v>1</v>
      </c>
      <c r="E48" s="1" t="s">
        <v>128</v>
      </c>
      <c r="F48" s="1">
        <v>771543400</v>
      </c>
      <c r="G48" s="1">
        <v>785418093</v>
      </c>
      <c r="H48" s="1" t="s">
        <v>129</v>
      </c>
      <c r="I48" s="1"/>
      <c r="J48" s="1"/>
    </row>
    <row r="49" spans="1:10" x14ac:dyDescent="0.3">
      <c r="A49" s="1">
        <v>2019</v>
      </c>
      <c r="B49" s="1" t="s">
        <v>126</v>
      </c>
      <c r="C49" s="4" t="s">
        <v>127</v>
      </c>
      <c r="D49" s="1">
        <v>1</v>
      </c>
      <c r="E49" s="1" t="s">
        <v>160</v>
      </c>
      <c r="F49" s="1">
        <v>771543400</v>
      </c>
      <c r="G49" s="1">
        <v>785418093</v>
      </c>
      <c r="H49" s="1" t="s">
        <v>129</v>
      </c>
      <c r="I49" s="1"/>
      <c r="J49" s="1" t="s">
        <v>161</v>
      </c>
    </row>
    <row r="50" spans="1:10" s="5" customFormat="1" x14ac:dyDescent="0.3">
      <c r="A50" s="5">
        <v>2018</v>
      </c>
      <c r="B50" s="6" t="s">
        <v>175</v>
      </c>
      <c r="C50" s="7" t="s">
        <v>176</v>
      </c>
      <c r="D50" s="5">
        <v>3</v>
      </c>
      <c r="E50" s="5" t="s">
        <v>177</v>
      </c>
      <c r="F50" s="5">
        <v>338398888</v>
      </c>
      <c r="H50" s="5" t="s">
        <v>178</v>
      </c>
    </row>
    <row r="51" spans="1:10" s="5" customFormat="1" x14ac:dyDescent="0.3">
      <c r="A51" s="5">
        <v>2019</v>
      </c>
      <c r="B51" s="6" t="s">
        <v>175</v>
      </c>
      <c r="C51" s="7" t="s">
        <v>176</v>
      </c>
      <c r="D51" s="5">
        <v>3</v>
      </c>
      <c r="E51" s="5" t="s">
        <v>177</v>
      </c>
      <c r="F51" s="5">
        <v>338398888</v>
      </c>
      <c r="H51" s="5" t="s">
        <v>178</v>
      </c>
    </row>
    <row r="52" spans="1:10" x14ac:dyDescent="0.3">
      <c r="A52" s="1">
        <v>2019</v>
      </c>
      <c r="B52" s="1" t="s">
        <v>130</v>
      </c>
      <c r="C52" s="4" t="s">
        <v>131</v>
      </c>
      <c r="D52" s="1">
        <v>1</v>
      </c>
      <c r="E52" s="1" t="s">
        <v>132</v>
      </c>
      <c r="F52" s="1">
        <v>338325780</v>
      </c>
      <c r="G52" s="1">
        <v>775293549</v>
      </c>
      <c r="H52" s="1" t="s">
        <v>65</v>
      </c>
      <c r="I52" s="1"/>
      <c r="J52" s="1"/>
    </row>
    <row r="53" spans="1:10" x14ac:dyDescent="0.3">
      <c r="A53" s="1">
        <v>2018</v>
      </c>
      <c r="B53" s="1" t="s">
        <v>130</v>
      </c>
      <c r="C53" s="4" t="s">
        <v>131</v>
      </c>
      <c r="D53" s="1">
        <v>1</v>
      </c>
      <c r="E53" s="1" t="s">
        <v>133</v>
      </c>
      <c r="F53" s="1">
        <v>338325780</v>
      </c>
      <c r="G53" s="1">
        <v>775293549</v>
      </c>
      <c r="H53" s="1" t="s">
        <v>65</v>
      </c>
      <c r="I53" s="1"/>
      <c r="J53" s="1"/>
    </row>
    <row r="54" spans="1:10" x14ac:dyDescent="0.3">
      <c r="A54" s="1">
        <v>2019</v>
      </c>
      <c r="B54" s="1" t="s">
        <v>134</v>
      </c>
      <c r="C54" s="4" t="s">
        <v>135</v>
      </c>
      <c r="D54" s="1">
        <v>1</v>
      </c>
      <c r="E54" s="1" t="s">
        <v>136</v>
      </c>
      <c r="F54" s="1">
        <v>338207560</v>
      </c>
      <c r="G54" s="1">
        <v>777403904</v>
      </c>
      <c r="H54" s="1" t="s">
        <v>137</v>
      </c>
      <c r="I54" s="1"/>
      <c r="J54" s="1"/>
    </row>
    <row r="55" spans="1:10" x14ac:dyDescent="0.3">
      <c r="A55" s="1">
        <v>2018</v>
      </c>
      <c r="B55" s="1" t="s">
        <v>134</v>
      </c>
      <c r="C55" s="4" t="s">
        <v>135</v>
      </c>
      <c r="D55" s="1">
        <v>1</v>
      </c>
      <c r="E55" s="1" t="s">
        <v>138</v>
      </c>
      <c r="F55" s="1">
        <v>338207560</v>
      </c>
      <c r="G55" s="1">
        <v>777403904</v>
      </c>
      <c r="H55" s="1" t="s">
        <v>139</v>
      </c>
      <c r="I55" s="1"/>
      <c r="J55" s="1"/>
    </row>
    <row r="56" spans="1:10" x14ac:dyDescent="0.3">
      <c r="A56" s="1">
        <v>2018</v>
      </c>
      <c r="B56" s="1" t="s">
        <v>140</v>
      </c>
      <c r="C56" s="4" t="s">
        <v>141</v>
      </c>
      <c r="D56" s="1">
        <v>1</v>
      </c>
      <c r="E56" s="1" t="s">
        <v>142</v>
      </c>
      <c r="F56" s="1">
        <v>338679315</v>
      </c>
      <c r="G56" s="1">
        <v>775451919</v>
      </c>
      <c r="H56" s="1" t="s">
        <v>143</v>
      </c>
      <c r="I56" s="1" t="s">
        <v>144</v>
      </c>
      <c r="J56" s="1" t="s">
        <v>145</v>
      </c>
    </row>
    <row r="57" spans="1:10" x14ac:dyDescent="0.3">
      <c r="A57" s="1">
        <v>2019</v>
      </c>
      <c r="B57" s="1" t="s">
        <v>140</v>
      </c>
      <c r="C57" s="4" t="s">
        <v>141</v>
      </c>
      <c r="D57" s="1">
        <v>1</v>
      </c>
      <c r="E57" s="1" t="s">
        <v>146</v>
      </c>
      <c r="F57" s="1">
        <v>338274301</v>
      </c>
      <c r="G57" s="1">
        <v>775451919</v>
      </c>
      <c r="H57" s="1" t="s">
        <v>143</v>
      </c>
      <c r="I57" s="1" t="s">
        <v>147</v>
      </c>
      <c r="J57" s="1" t="s">
        <v>148</v>
      </c>
    </row>
    <row r="58" spans="1:10" x14ac:dyDescent="0.3">
      <c r="A58" s="1">
        <v>2019</v>
      </c>
      <c r="B58" s="1" t="s">
        <v>149</v>
      </c>
      <c r="C58" s="4" t="s">
        <v>150</v>
      </c>
      <c r="D58" s="1">
        <v>1</v>
      </c>
      <c r="E58" s="1" t="s">
        <v>151</v>
      </c>
      <c r="F58" s="1">
        <v>338652275</v>
      </c>
      <c r="G58" s="1">
        <v>776472971</v>
      </c>
      <c r="H58" s="1" t="s">
        <v>152</v>
      </c>
      <c r="I58" s="1" t="s">
        <v>153</v>
      </c>
      <c r="J58" s="1"/>
    </row>
    <row r="59" spans="1:10" x14ac:dyDescent="0.3">
      <c r="A59" s="1">
        <v>2018</v>
      </c>
      <c r="B59" s="1" t="s">
        <v>149</v>
      </c>
      <c r="C59" s="4" t="s">
        <v>150</v>
      </c>
      <c r="D59" s="1">
        <v>1</v>
      </c>
      <c r="E59" s="1" t="s">
        <v>154</v>
      </c>
      <c r="F59" s="1">
        <v>338652275</v>
      </c>
      <c r="G59" s="1">
        <v>775101995</v>
      </c>
      <c r="H59" s="1" t="s">
        <v>155</v>
      </c>
      <c r="I59" s="1" t="s">
        <v>153</v>
      </c>
      <c r="J59" s="1"/>
    </row>
  </sheetData>
  <hyperlinks>
    <hyperlink ref="H50" r:id="rId1"/>
    <hyperlink ref="H51" r:id="rId2"/>
  </hyperlinks>
  <pageMargins left="0.7" right="0.7" top="0.75" bottom="0.75" header="0.3" footer="0.3"/>
  <pageSetup paperSize="9" orientation="portrait" horizontalDpi="90" verticalDpi="9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P75"/>
  <sheetViews>
    <sheetView zoomScale="106" zoomScaleNormal="106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70" sqref="B70"/>
    </sheetView>
  </sheetViews>
  <sheetFormatPr baseColWidth="10" defaultColWidth="10.88671875" defaultRowHeight="14.4" x14ac:dyDescent="0.3"/>
  <cols>
    <col min="1" max="1" width="39.44140625" style="9" customWidth="1"/>
    <col min="2" max="2" width="32.33203125" style="9" customWidth="1"/>
    <col min="3" max="3" width="29.5546875" style="9" customWidth="1"/>
    <col min="4" max="4" width="26.33203125" style="9" customWidth="1"/>
    <col min="5" max="5" width="10.88671875" style="9" customWidth="1"/>
    <col min="6" max="6" width="24.109375" style="9" customWidth="1"/>
    <col min="7" max="7" width="20.33203125" style="9" customWidth="1"/>
    <col min="8" max="8" width="10.88671875" style="9" customWidth="1"/>
    <col min="9" max="9" width="16.44140625" style="9" hidden="1" customWidth="1"/>
    <col min="10" max="31" width="10.88671875" style="9" hidden="1" customWidth="1"/>
    <col min="32" max="32" width="13" style="9" hidden="1" customWidth="1"/>
    <col min="33" max="34" width="10.88671875" style="9" hidden="1" customWidth="1"/>
    <col min="35" max="35" width="15.6640625" style="9" hidden="1" customWidth="1"/>
    <col min="36" max="37" width="24.44140625" style="9" hidden="1" customWidth="1"/>
    <col min="38" max="41" width="11.44140625" style="9" customWidth="1"/>
    <col min="42" max="42" width="10.88671875" style="9"/>
    <col min="43" max="43" width="13.6640625" style="9" customWidth="1"/>
    <col min="44" max="16384" width="10.88671875" style="9"/>
  </cols>
  <sheetData>
    <row r="1" spans="1:42" x14ac:dyDescent="0.3">
      <c r="A1" s="8" t="s">
        <v>0</v>
      </c>
      <c r="B1" s="9" t="s">
        <v>179</v>
      </c>
      <c r="C1" s="9" t="s">
        <v>180</v>
      </c>
      <c r="D1" s="9" t="s">
        <v>181</v>
      </c>
      <c r="E1" s="9" t="s">
        <v>182</v>
      </c>
      <c r="F1" s="10" t="s">
        <v>183</v>
      </c>
      <c r="G1" s="10" t="s">
        <v>184</v>
      </c>
      <c r="H1" s="10" t="s">
        <v>185</v>
      </c>
      <c r="I1" s="10" t="s">
        <v>186</v>
      </c>
      <c r="J1" s="10" t="s">
        <v>187</v>
      </c>
      <c r="K1" s="10" t="s">
        <v>188</v>
      </c>
      <c r="L1" s="10" t="s">
        <v>189</v>
      </c>
      <c r="M1" s="10" t="s">
        <v>190</v>
      </c>
      <c r="N1" s="10" t="s">
        <v>191</v>
      </c>
      <c r="O1" s="10" t="s">
        <v>192</v>
      </c>
      <c r="P1" s="10" t="s">
        <v>193</v>
      </c>
      <c r="Q1" s="10" t="s">
        <v>194</v>
      </c>
      <c r="R1" s="10" t="s">
        <v>195</v>
      </c>
      <c r="S1" s="10" t="s">
        <v>196</v>
      </c>
      <c r="T1" s="10" t="s">
        <v>197</v>
      </c>
      <c r="U1" s="10" t="s">
        <v>198</v>
      </c>
      <c r="V1" s="10" t="s">
        <v>199</v>
      </c>
      <c r="W1" s="10" t="s">
        <v>200</v>
      </c>
      <c r="X1" s="10" t="s">
        <v>201</v>
      </c>
      <c r="Y1" s="10" t="s">
        <v>202</v>
      </c>
      <c r="Z1" s="10" t="s">
        <v>203</v>
      </c>
      <c r="AA1" s="10" t="s">
        <v>204</v>
      </c>
      <c r="AB1" s="10" t="s">
        <v>205</v>
      </c>
      <c r="AC1" s="10" t="s">
        <v>206</v>
      </c>
      <c r="AD1" s="9" t="s">
        <v>207</v>
      </c>
      <c r="AE1" s="9" t="s">
        <v>208</v>
      </c>
      <c r="AF1" s="10" t="s">
        <v>209</v>
      </c>
      <c r="AG1" s="9" t="s">
        <v>210</v>
      </c>
      <c r="AH1" s="9" t="s">
        <v>211</v>
      </c>
      <c r="AI1" s="10" t="s">
        <v>212</v>
      </c>
      <c r="AJ1" s="9" t="s">
        <v>213</v>
      </c>
      <c r="AL1" s="12" t="s">
        <v>214</v>
      </c>
      <c r="AM1" s="9" t="s">
        <v>215</v>
      </c>
      <c r="AN1" s="9" t="s">
        <v>216</v>
      </c>
      <c r="AO1" s="9" t="s">
        <v>217</v>
      </c>
      <c r="AP1" s="9" t="s">
        <v>218</v>
      </c>
    </row>
    <row r="2" spans="1:42" hidden="1" x14ac:dyDescent="0.3">
      <c r="A2" s="9" t="s">
        <v>3</v>
      </c>
      <c r="B2" s="13" t="s">
        <v>219</v>
      </c>
      <c r="C2" s="9" t="s">
        <v>220</v>
      </c>
      <c r="D2" s="13" t="s">
        <v>221</v>
      </c>
      <c r="E2" s="9" t="s">
        <v>222</v>
      </c>
      <c r="F2" s="14" t="s">
        <v>223</v>
      </c>
      <c r="G2" s="9" t="s">
        <v>224</v>
      </c>
      <c r="H2" s="9" t="s">
        <v>219</v>
      </c>
      <c r="I2" s="14" t="s">
        <v>223</v>
      </c>
      <c r="J2" s="9" t="s">
        <v>225</v>
      </c>
      <c r="K2" s="9" t="s">
        <v>219</v>
      </c>
      <c r="L2" s="9" t="s">
        <v>223</v>
      </c>
      <c r="M2" s="9" t="s">
        <v>226</v>
      </c>
      <c r="N2" s="13" t="s">
        <v>227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9">
        <v>22</v>
      </c>
      <c r="AE2" s="9">
        <v>2</v>
      </c>
      <c r="AF2" s="9">
        <v>2013</v>
      </c>
      <c r="AG2" s="9">
        <v>10</v>
      </c>
      <c r="AH2" s="9">
        <v>7</v>
      </c>
      <c r="AI2" s="9">
        <v>2013</v>
      </c>
      <c r="AJ2" s="15">
        <v>75000</v>
      </c>
      <c r="AK2" s="15"/>
      <c r="AL2" s="9">
        <v>473.2</v>
      </c>
      <c r="AM2" s="9">
        <v>0</v>
      </c>
      <c r="AN2" s="9">
        <v>158</v>
      </c>
      <c r="AO2" s="9">
        <v>0</v>
      </c>
      <c r="AP2" s="9">
        <v>2018</v>
      </c>
    </row>
    <row r="3" spans="1:42" hidden="1" x14ac:dyDescent="0.3">
      <c r="A3" s="9" t="s">
        <v>3</v>
      </c>
      <c r="B3" s="9" t="s">
        <v>228</v>
      </c>
      <c r="C3" s="9" t="s">
        <v>229</v>
      </c>
      <c r="D3" s="9" t="s">
        <v>221</v>
      </c>
      <c r="E3" s="9" t="s">
        <v>230</v>
      </c>
      <c r="F3" s="14" t="s">
        <v>223</v>
      </c>
      <c r="G3" s="13" t="s">
        <v>231</v>
      </c>
      <c r="H3" s="13" t="s">
        <v>232</v>
      </c>
      <c r="I3" s="14" t="s">
        <v>223</v>
      </c>
      <c r="J3" s="13" t="s">
        <v>233</v>
      </c>
      <c r="K3" s="13" t="s">
        <v>234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9">
        <v>23</v>
      </c>
      <c r="AE3" s="9">
        <v>1</v>
      </c>
      <c r="AF3" s="9">
        <v>2012</v>
      </c>
      <c r="AG3" s="9">
        <v>27</v>
      </c>
      <c r="AH3" s="9">
        <v>1</v>
      </c>
      <c r="AI3" s="9">
        <v>2012</v>
      </c>
      <c r="AJ3" s="15">
        <v>100000</v>
      </c>
      <c r="AK3" s="15"/>
      <c r="AL3" s="9">
        <v>87.54</v>
      </c>
      <c r="AM3" s="9">
        <v>0</v>
      </c>
      <c r="AN3" s="9">
        <v>43.04</v>
      </c>
      <c r="AO3" s="9">
        <v>0</v>
      </c>
      <c r="AP3" s="9">
        <v>2018</v>
      </c>
    </row>
    <row r="4" spans="1:42" hidden="1" x14ac:dyDescent="0.3">
      <c r="A4" s="9" t="s">
        <v>3</v>
      </c>
      <c r="B4" s="9" t="s">
        <v>228</v>
      </c>
      <c r="C4" s="9" t="s">
        <v>229</v>
      </c>
      <c r="D4" s="9" t="s">
        <v>221</v>
      </c>
      <c r="E4" s="9" t="s">
        <v>230</v>
      </c>
      <c r="F4" s="14" t="s">
        <v>223</v>
      </c>
      <c r="G4" s="13" t="s">
        <v>231</v>
      </c>
      <c r="H4" s="13" t="s">
        <v>232</v>
      </c>
      <c r="I4" s="14" t="s">
        <v>223</v>
      </c>
      <c r="J4" s="13" t="s">
        <v>233</v>
      </c>
      <c r="K4" s="13" t="s">
        <v>234</v>
      </c>
      <c r="AD4" s="9">
        <v>23</v>
      </c>
      <c r="AE4" s="9">
        <v>1</v>
      </c>
      <c r="AF4" s="9">
        <v>2012</v>
      </c>
      <c r="AG4" s="9">
        <v>27</v>
      </c>
      <c r="AH4" s="9">
        <v>1</v>
      </c>
      <c r="AI4" s="9">
        <v>2012</v>
      </c>
      <c r="AJ4" s="15">
        <v>100000</v>
      </c>
      <c r="AK4" s="15"/>
      <c r="AL4" s="9">
        <v>87.54</v>
      </c>
      <c r="AM4" s="9">
        <v>0</v>
      </c>
      <c r="AN4" s="9">
        <v>43.04</v>
      </c>
      <c r="AO4" s="9">
        <v>0</v>
      </c>
      <c r="AP4" s="9">
        <v>2019</v>
      </c>
    </row>
    <row r="5" spans="1:42" hidden="1" x14ac:dyDescent="0.3">
      <c r="A5" s="9" t="s">
        <v>3</v>
      </c>
      <c r="B5" s="13" t="s">
        <v>219</v>
      </c>
      <c r="C5" s="9" t="s">
        <v>235</v>
      </c>
      <c r="D5" s="9" t="s">
        <v>221</v>
      </c>
      <c r="E5" s="9" t="s">
        <v>222</v>
      </c>
      <c r="F5" s="14" t="s">
        <v>223</v>
      </c>
      <c r="G5" s="9" t="s">
        <v>224</v>
      </c>
      <c r="H5" s="9" t="s">
        <v>219</v>
      </c>
      <c r="I5" s="14" t="s">
        <v>223</v>
      </c>
      <c r="J5" s="9" t="s">
        <v>225</v>
      </c>
      <c r="K5" s="9" t="s">
        <v>219</v>
      </c>
      <c r="L5" s="9" t="s">
        <v>223</v>
      </c>
      <c r="M5" s="9" t="s">
        <v>226</v>
      </c>
      <c r="N5" s="13" t="s">
        <v>227</v>
      </c>
      <c r="AD5" s="9">
        <v>22</v>
      </c>
      <c r="AE5" s="9">
        <v>2</v>
      </c>
      <c r="AF5" s="9">
        <v>2013</v>
      </c>
      <c r="AG5" s="9">
        <v>10</v>
      </c>
      <c r="AH5" s="9">
        <v>7</v>
      </c>
      <c r="AI5" s="9">
        <v>2013</v>
      </c>
      <c r="AJ5" s="15">
        <v>75000</v>
      </c>
      <c r="AK5" s="15"/>
      <c r="AL5" s="9">
        <v>473</v>
      </c>
      <c r="AM5" s="9">
        <v>0</v>
      </c>
      <c r="AN5" s="9">
        <v>158</v>
      </c>
      <c r="AO5" s="9">
        <v>0</v>
      </c>
      <c r="AP5" s="9">
        <v>2019</v>
      </c>
    </row>
    <row r="6" spans="1:42" hidden="1" x14ac:dyDescent="0.3">
      <c r="A6" s="9" t="s">
        <v>9</v>
      </c>
      <c r="B6" s="13" t="s">
        <v>236</v>
      </c>
      <c r="C6" s="9" t="s">
        <v>237</v>
      </c>
      <c r="D6" s="9" t="s">
        <v>238</v>
      </c>
      <c r="E6" s="9" t="s">
        <v>239</v>
      </c>
      <c r="F6" s="14" t="s">
        <v>240</v>
      </c>
      <c r="G6" s="9" t="s">
        <v>241</v>
      </c>
      <c r="H6" s="9" t="s">
        <v>242</v>
      </c>
      <c r="I6" s="14"/>
      <c r="AD6" s="9">
        <v>8</v>
      </c>
      <c r="AE6" s="9">
        <v>10</v>
      </c>
      <c r="AF6" s="9">
        <v>2015</v>
      </c>
      <c r="AG6" s="9">
        <v>2</v>
      </c>
      <c r="AH6" s="9">
        <v>2</v>
      </c>
      <c r="AI6" s="9">
        <v>2015</v>
      </c>
      <c r="AJ6" s="16">
        <v>8939995</v>
      </c>
      <c r="AK6" s="16"/>
      <c r="AL6" s="9">
        <v>39</v>
      </c>
      <c r="AM6" s="17">
        <v>0.75</v>
      </c>
      <c r="AN6" s="9">
        <v>0</v>
      </c>
      <c r="AO6" s="9">
        <v>0</v>
      </c>
      <c r="AP6" s="9">
        <v>2019</v>
      </c>
    </row>
    <row r="7" spans="1:42" hidden="1" x14ac:dyDescent="0.3">
      <c r="A7" s="9" t="s">
        <v>11</v>
      </c>
      <c r="B7" s="9" t="s">
        <v>243</v>
      </c>
      <c r="C7" s="9" t="s">
        <v>244</v>
      </c>
      <c r="D7" s="9" t="s">
        <v>221</v>
      </c>
      <c r="E7" s="9" t="s">
        <v>239</v>
      </c>
      <c r="F7" s="14" t="s">
        <v>240</v>
      </c>
      <c r="G7" s="9" t="s">
        <v>245</v>
      </c>
      <c r="H7" s="9" t="s">
        <v>241</v>
      </c>
      <c r="I7" s="14"/>
      <c r="AD7" s="9">
        <v>11</v>
      </c>
      <c r="AE7" s="9">
        <v>5</v>
      </c>
      <c r="AF7" s="9">
        <v>2018</v>
      </c>
      <c r="AG7" s="9">
        <v>5</v>
      </c>
      <c r="AH7" s="9">
        <v>6</v>
      </c>
      <c r="AI7" s="9">
        <v>2018</v>
      </c>
      <c r="AJ7" s="15">
        <v>900000</v>
      </c>
      <c r="AK7" s="15"/>
      <c r="AL7" s="9">
        <v>79</v>
      </c>
      <c r="AM7" s="9">
        <v>0</v>
      </c>
      <c r="AN7" s="9">
        <v>0</v>
      </c>
      <c r="AO7" s="9">
        <v>0</v>
      </c>
      <c r="AP7" s="9">
        <v>2018</v>
      </c>
    </row>
    <row r="8" spans="1:42" hidden="1" x14ac:dyDescent="0.3">
      <c r="A8" s="9" t="s">
        <v>11</v>
      </c>
      <c r="B8" s="9" t="s">
        <v>243</v>
      </c>
      <c r="C8" s="9" t="s">
        <v>246</v>
      </c>
      <c r="D8" s="9" t="s">
        <v>221</v>
      </c>
      <c r="E8" s="9" t="s">
        <v>239</v>
      </c>
      <c r="F8" s="14" t="s">
        <v>240</v>
      </c>
      <c r="G8" s="9" t="s">
        <v>247</v>
      </c>
      <c r="H8" s="9" t="s">
        <v>241</v>
      </c>
      <c r="I8" s="14"/>
      <c r="AD8" s="9">
        <v>11</v>
      </c>
      <c r="AE8" s="9">
        <v>5</v>
      </c>
      <c r="AF8" s="9">
        <v>2018</v>
      </c>
      <c r="AG8" s="9">
        <v>5</v>
      </c>
      <c r="AH8" s="9">
        <v>6</v>
      </c>
      <c r="AI8" s="9">
        <v>2018</v>
      </c>
      <c r="AJ8" s="15">
        <v>900000</v>
      </c>
      <c r="AK8" s="15"/>
      <c r="AL8" s="9">
        <v>79</v>
      </c>
      <c r="AM8" s="9">
        <v>0</v>
      </c>
      <c r="AN8" s="9">
        <v>0</v>
      </c>
      <c r="AO8" s="9">
        <v>0</v>
      </c>
      <c r="AP8" s="9">
        <v>2019</v>
      </c>
    </row>
    <row r="9" spans="1:42" s="17" customFormat="1" hidden="1" x14ac:dyDescent="0.3">
      <c r="A9" s="17" t="s">
        <v>11</v>
      </c>
      <c r="B9" s="17" t="s">
        <v>248</v>
      </c>
      <c r="C9" s="17" t="s">
        <v>249</v>
      </c>
      <c r="D9" s="17" t="s">
        <v>221</v>
      </c>
      <c r="E9" s="17" t="s">
        <v>239</v>
      </c>
      <c r="F9" s="14" t="s">
        <v>240</v>
      </c>
      <c r="G9" s="17" t="s">
        <v>250</v>
      </c>
      <c r="H9" s="17" t="s">
        <v>241</v>
      </c>
      <c r="I9" s="14" t="s">
        <v>240</v>
      </c>
      <c r="J9" s="17" t="s">
        <v>250</v>
      </c>
      <c r="K9" s="17" t="s">
        <v>241</v>
      </c>
      <c r="AD9" s="17">
        <v>16</v>
      </c>
      <c r="AE9" s="17">
        <v>8</v>
      </c>
      <c r="AF9" s="17">
        <v>2004</v>
      </c>
      <c r="AG9" s="17">
        <v>4</v>
      </c>
      <c r="AH9" s="17">
        <v>3</v>
      </c>
      <c r="AI9" s="17">
        <v>2005</v>
      </c>
      <c r="AJ9" s="16">
        <v>14300000</v>
      </c>
      <c r="AK9" s="16"/>
      <c r="AL9" s="17">
        <v>420</v>
      </c>
      <c r="AM9" s="17">
        <v>0</v>
      </c>
      <c r="AN9" s="17">
        <v>184</v>
      </c>
      <c r="AO9" s="17">
        <v>0</v>
      </c>
      <c r="AP9" s="17">
        <v>2018</v>
      </c>
    </row>
    <row r="10" spans="1:42" s="17" customFormat="1" hidden="1" x14ac:dyDescent="0.3">
      <c r="A10" s="17" t="s">
        <v>11</v>
      </c>
      <c r="B10" s="17" t="s">
        <v>248</v>
      </c>
      <c r="C10" s="17" t="s">
        <v>249</v>
      </c>
      <c r="D10" s="17" t="s">
        <v>221</v>
      </c>
      <c r="E10" s="17" t="s">
        <v>239</v>
      </c>
      <c r="F10" s="14" t="s">
        <v>240</v>
      </c>
      <c r="G10" s="17" t="s">
        <v>251</v>
      </c>
      <c r="H10" s="17" t="s">
        <v>241</v>
      </c>
      <c r="I10" s="14" t="s">
        <v>240</v>
      </c>
      <c r="J10" s="17" t="s">
        <v>251</v>
      </c>
      <c r="K10" s="17" t="s">
        <v>241</v>
      </c>
      <c r="AD10" s="17">
        <v>16</v>
      </c>
      <c r="AE10" s="17">
        <v>8</v>
      </c>
      <c r="AF10" s="17">
        <v>2004</v>
      </c>
      <c r="AG10" s="17">
        <v>4</v>
      </c>
      <c r="AH10" s="17">
        <v>3</v>
      </c>
      <c r="AI10" s="17">
        <v>2005</v>
      </c>
      <c r="AJ10" s="16">
        <v>14300000</v>
      </c>
      <c r="AK10" s="16"/>
      <c r="AL10" s="17">
        <v>420</v>
      </c>
      <c r="AM10" s="17">
        <v>0</v>
      </c>
      <c r="AN10" s="17">
        <v>184</v>
      </c>
      <c r="AO10" s="17">
        <v>0</v>
      </c>
      <c r="AP10" s="17">
        <v>2019</v>
      </c>
    </row>
    <row r="11" spans="1:42" hidden="1" x14ac:dyDescent="0.3">
      <c r="A11" s="9" t="s">
        <v>16</v>
      </c>
      <c r="B11" s="13" t="s">
        <v>252</v>
      </c>
      <c r="C11" s="9" t="s">
        <v>253</v>
      </c>
      <c r="D11" s="9" t="s">
        <v>221</v>
      </c>
      <c r="E11" s="9" t="s">
        <v>254</v>
      </c>
      <c r="F11" s="14" t="s">
        <v>223</v>
      </c>
      <c r="G11" s="9" t="s">
        <v>255</v>
      </c>
      <c r="H11" s="9" t="s">
        <v>256</v>
      </c>
      <c r="I11" s="14"/>
      <c r="AD11" s="9">
        <v>2</v>
      </c>
      <c r="AE11" s="9">
        <v>6</v>
      </c>
      <c r="AF11" s="9">
        <v>2015</v>
      </c>
      <c r="AG11" s="9">
        <v>15</v>
      </c>
      <c r="AH11" s="9">
        <v>7</v>
      </c>
      <c r="AI11" s="9">
        <v>2015</v>
      </c>
      <c r="AJ11" s="15">
        <v>744425</v>
      </c>
      <c r="AK11" s="16"/>
      <c r="AL11" s="9">
        <v>1590</v>
      </c>
      <c r="AM11" s="9">
        <v>0</v>
      </c>
      <c r="AN11" s="9">
        <v>401</v>
      </c>
      <c r="AO11" s="9">
        <v>0</v>
      </c>
      <c r="AP11" s="9">
        <v>2018</v>
      </c>
    </row>
    <row r="12" spans="1:42" hidden="1" x14ac:dyDescent="0.3">
      <c r="A12" s="9" t="s">
        <v>16</v>
      </c>
      <c r="B12" s="9" t="s">
        <v>252</v>
      </c>
      <c r="C12" s="9" t="s">
        <v>253</v>
      </c>
      <c r="D12" s="9" t="s">
        <v>221</v>
      </c>
      <c r="E12" s="9" t="s">
        <v>254</v>
      </c>
      <c r="F12" s="14" t="s">
        <v>223</v>
      </c>
      <c r="G12" s="9" t="s">
        <v>255</v>
      </c>
      <c r="H12" s="9" t="s">
        <v>256</v>
      </c>
      <c r="I12" s="14"/>
      <c r="AD12" s="9">
        <v>2</v>
      </c>
      <c r="AE12" s="9">
        <v>6</v>
      </c>
      <c r="AF12" s="9">
        <v>2015</v>
      </c>
      <c r="AG12" s="9">
        <v>15</v>
      </c>
      <c r="AH12" s="9">
        <v>7</v>
      </c>
      <c r="AI12" s="9">
        <v>2015</v>
      </c>
      <c r="AJ12" s="15">
        <v>744425</v>
      </c>
      <c r="AK12" s="15"/>
      <c r="AL12" s="9">
        <v>1590</v>
      </c>
      <c r="AM12" s="9">
        <v>0</v>
      </c>
      <c r="AN12" s="9">
        <v>401</v>
      </c>
      <c r="AO12" s="9">
        <v>0</v>
      </c>
      <c r="AP12" s="9">
        <v>2019</v>
      </c>
    </row>
    <row r="13" spans="1:42" hidden="1" x14ac:dyDescent="0.3">
      <c r="A13" s="9" t="s">
        <v>257</v>
      </c>
      <c r="B13" s="9" t="s">
        <v>258</v>
      </c>
      <c r="C13" s="9">
        <v>2734</v>
      </c>
      <c r="D13" s="9" t="s">
        <v>221</v>
      </c>
      <c r="E13" s="9" t="s">
        <v>239</v>
      </c>
      <c r="F13" s="14" t="s">
        <v>240</v>
      </c>
      <c r="G13" s="9" t="s">
        <v>259</v>
      </c>
      <c r="H13" s="9" t="s">
        <v>242</v>
      </c>
      <c r="I13" s="14"/>
      <c r="AD13" s="9">
        <v>7</v>
      </c>
      <c r="AE13" s="9">
        <v>2</v>
      </c>
      <c r="AF13" s="9">
        <v>2019</v>
      </c>
      <c r="AG13" s="9">
        <v>14</v>
      </c>
      <c r="AH13" s="9">
        <v>2</v>
      </c>
      <c r="AI13" s="9">
        <v>2019</v>
      </c>
      <c r="AJ13" s="15">
        <v>700000</v>
      </c>
      <c r="AK13" s="15"/>
      <c r="AL13" s="9">
        <v>22</v>
      </c>
      <c r="AM13" s="9">
        <v>0</v>
      </c>
      <c r="AN13" s="9">
        <v>0</v>
      </c>
      <c r="AO13" s="9">
        <v>0</v>
      </c>
      <c r="AP13" s="9">
        <v>2019</v>
      </c>
    </row>
    <row r="14" spans="1:42" hidden="1" x14ac:dyDescent="0.3">
      <c r="A14" s="18" t="s">
        <v>24</v>
      </c>
      <c r="B14" s="9" t="s">
        <v>260</v>
      </c>
      <c r="C14" s="9" t="s">
        <v>261</v>
      </c>
      <c r="D14" s="9" t="s">
        <v>221</v>
      </c>
      <c r="E14" s="9" t="s">
        <v>239</v>
      </c>
      <c r="F14" s="14" t="s">
        <v>240</v>
      </c>
      <c r="G14" s="9" t="s">
        <v>262</v>
      </c>
      <c r="H14" s="9" t="s">
        <v>263</v>
      </c>
      <c r="I14" s="14"/>
      <c r="AD14" s="9">
        <v>15</v>
      </c>
      <c r="AE14" s="9">
        <v>4</v>
      </c>
      <c r="AF14" s="9">
        <v>2019</v>
      </c>
      <c r="AG14" s="9">
        <v>7</v>
      </c>
      <c r="AH14" s="9">
        <v>6</v>
      </c>
      <c r="AI14" s="9">
        <v>2019</v>
      </c>
      <c r="AJ14" s="16">
        <v>711804</v>
      </c>
      <c r="AK14" s="16"/>
      <c r="AL14" s="9">
        <v>381</v>
      </c>
      <c r="AM14" s="9">
        <v>0</v>
      </c>
      <c r="AN14" s="9">
        <v>0</v>
      </c>
      <c r="AO14" s="9">
        <v>0</v>
      </c>
      <c r="AP14" s="9">
        <v>2019</v>
      </c>
    </row>
    <row r="15" spans="1:42" hidden="1" x14ac:dyDescent="0.3">
      <c r="A15" s="18" t="s">
        <v>24</v>
      </c>
      <c r="B15" s="9" t="s">
        <v>264</v>
      </c>
      <c r="C15" s="9">
        <v>23735</v>
      </c>
      <c r="D15" s="9" t="s">
        <v>221</v>
      </c>
      <c r="E15" s="9" t="s">
        <v>239</v>
      </c>
      <c r="F15" s="14" t="s">
        <v>240</v>
      </c>
      <c r="G15" s="9" t="s">
        <v>265</v>
      </c>
      <c r="H15" s="9" t="s">
        <v>239</v>
      </c>
      <c r="I15" s="14"/>
      <c r="AD15" s="9">
        <v>8</v>
      </c>
      <c r="AE15" s="9">
        <v>11</v>
      </c>
      <c r="AF15" s="9">
        <v>2016</v>
      </c>
      <c r="AG15" s="9">
        <v>6</v>
      </c>
      <c r="AH15" s="9">
        <v>11</v>
      </c>
      <c r="AI15" s="9">
        <v>2018</v>
      </c>
      <c r="AJ15" s="16">
        <v>573336</v>
      </c>
      <c r="AK15" s="16"/>
      <c r="AL15" s="9">
        <v>34.700000000000003</v>
      </c>
      <c r="AM15" s="9">
        <v>0</v>
      </c>
      <c r="AN15" s="9">
        <v>0</v>
      </c>
      <c r="AO15" s="9">
        <v>0</v>
      </c>
      <c r="AP15" s="9">
        <v>2019</v>
      </c>
    </row>
    <row r="16" spans="1:42" hidden="1" x14ac:dyDescent="0.3">
      <c r="A16" s="9" t="s">
        <v>30</v>
      </c>
      <c r="B16" s="9" t="s">
        <v>266</v>
      </c>
      <c r="C16" s="9" t="s">
        <v>267</v>
      </c>
      <c r="D16" s="9" t="s">
        <v>221</v>
      </c>
      <c r="E16" s="9" t="s">
        <v>239</v>
      </c>
      <c r="F16" s="14" t="s">
        <v>240</v>
      </c>
      <c r="G16" s="9" t="s">
        <v>268</v>
      </c>
      <c r="H16" s="9" t="s">
        <v>241</v>
      </c>
      <c r="I16" s="14"/>
      <c r="AD16" s="9">
        <v>11</v>
      </c>
      <c r="AE16" s="9">
        <v>5</v>
      </c>
      <c r="AF16" s="9">
        <v>2018</v>
      </c>
      <c r="AG16" s="9">
        <v>5</v>
      </c>
      <c r="AH16" s="9">
        <v>6</v>
      </c>
      <c r="AI16" s="9">
        <v>2018</v>
      </c>
      <c r="AJ16" s="15">
        <v>321500</v>
      </c>
      <c r="AK16" s="16"/>
      <c r="AL16" s="9">
        <v>235</v>
      </c>
      <c r="AM16" s="9">
        <v>0</v>
      </c>
      <c r="AN16" s="9">
        <v>0</v>
      </c>
      <c r="AO16" s="9">
        <v>0</v>
      </c>
      <c r="AP16" s="9">
        <v>2018</v>
      </c>
    </row>
    <row r="17" spans="1:42" hidden="1" x14ac:dyDescent="0.3">
      <c r="A17" s="9" t="s">
        <v>30</v>
      </c>
      <c r="B17" s="9" t="s">
        <v>266</v>
      </c>
      <c r="C17" s="9" t="s">
        <v>267</v>
      </c>
      <c r="D17" s="9" t="s">
        <v>221</v>
      </c>
      <c r="E17" s="9" t="s">
        <v>239</v>
      </c>
      <c r="F17" s="14" t="s">
        <v>240</v>
      </c>
      <c r="G17" s="9" t="s">
        <v>269</v>
      </c>
      <c r="H17" s="9" t="s">
        <v>241</v>
      </c>
      <c r="I17" s="14"/>
      <c r="AD17" s="9">
        <v>11</v>
      </c>
      <c r="AE17" s="9">
        <v>5</v>
      </c>
      <c r="AF17" s="9">
        <v>2018</v>
      </c>
      <c r="AG17" s="9">
        <v>5</v>
      </c>
      <c r="AH17" s="9">
        <v>6</v>
      </c>
      <c r="AI17" s="9">
        <v>2018</v>
      </c>
      <c r="AJ17" s="15">
        <v>321500</v>
      </c>
      <c r="AK17" s="15"/>
      <c r="AL17" s="9">
        <v>235</v>
      </c>
      <c r="AM17" s="9">
        <v>0</v>
      </c>
      <c r="AN17" s="9">
        <v>0</v>
      </c>
      <c r="AO17" s="9">
        <v>0</v>
      </c>
      <c r="AP17" s="9">
        <v>2019</v>
      </c>
    </row>
    <row r="18" spans="1:42" hidden="1" x14ac:dyDescent="0.3">
      <c r="A18" s="9" t="s">
        <v>30</v>
      </c>
      <c r="B18" s="9" t="s">
        <v>270</v>
      </c>
      <c r="C18" s="9" t="s">
        <v>271</v>
      </c>
      <c r="D18" s="9" t="s">
        <v>221</v>
      </c>
      <c r="E18" s="9" t="s">
        <v>239</v>
      </c>
      <c r="F18" s="14" t="s">
        <v>240</v>
      </c>
      <c r="G18" s="9" t="s">
        <v>272</v>
      </c>
      <c r="H18" s="9" t="s">
        <v>273</v>
      </c>
      <c r="I18" s="14"/>
      <c r="AD18" s="9">
        <v>14</v>
      </c>
      <c r="AE18" s="9">
        <v>4</v>
      </c>
      <c r="AF18" s="9">
        <v>2010</v>
      </c>
      <c r="AG18" s="9">
        <v>21</v>
      </c>
      <c r="AH18" s="9">
        <v>5</v>
      </c>
      <c r="AI18" s="9">
        <v>2010</v>
      </c>
      <c r="AJ18" s="15">
        <v>2250000</v>
      </c>
      <c r="AK18" s="16"/>
      <c r="AL18" s="9">
        <v>606</v>
      </c>
      <c r="AM18" s="9">
        <v>0</v>
      </c>
      <c r="AN18" s="9">
        <v>0</v>
      </c>
      <c r="AO18" s="9">
        <v>0</v>
      </c>
      <c r="AP18" s="9">
        <v>2019</v>
      </c>
    </row>
    <row r="19" spans="1:42" hidden="1" x14ac:dyDescent="0.3">
      <c r="A19" s="9" t="s">
        <v>30</v>
      </c>
      <c r="B19" s="9" t="s">
        <v>270</v>
      </c>
      <c r="C19" s="9" t="s">
        <v>271</v>
      </c>
      <c r="D19" s="9" t="s">
        <v>221</v>
      </c>
      <c r="E19" s="9" t="s">
        <v>239</v>
      </c>
      <c r="F19" s="14" t="s">
        <v>240</v>
      </c>
      <c r="G19" s="9" t="s">
        <v>272</v>
      </c>
      <c r="H19" s="9" t="s">
        <v>274</v>
      </c>
      <c r="I19" s="14"/>
      <c r="AD19" s="9">
        <v>14</v>
      </c>
      <c r="AE19" s="9">
        <v>4</v>
      </c>
      <c r="AF19" s="9">
        <v>2010</v>
      </c>
      <c r="AG19" s="9">
        <v>21</v>
      </c>
      <c r="AH19" s="9">
        <v>5</v>
      </c>
      <c r="AI19" s="9">
        <v>2010</v>
      </c>
      <c r="AJ19" s="15">
        <v>2250000</v>
      </c>
      <c r="AK19" s="16"/>
      <c r="AL19" s="9">
        <v>606</v>
      </c>
      <c r="AM19" s="9">
        <v>0</v>
      </c>
      <c r="AN19" s="9">
        <v>0</v>
      </c>
      <c r="AO19" s="9">
        <v>0</v>
      </c>
      <c r="AP19" s="9">
        <v>2018</v>
      </c>
    </row>
    <row r="20" spans="1:42" s="14" customFormat="1" hidden="1" x14ac:dyDescent="0.3">
      <c r="A20" s="19" t="s">
        <v>162</v>
      </c>
      <c r="B20" s="14" t="s">
        <v>275</v>
      </c>
      <c r="C20" s="14" t="s">
        <v>276</v>
      </c>
      <c r="D20" s="14" t="s">
        <v>277</v>
      </c>
      <c r="E20" s="19" t="s">
        <v>278</v>
      </c>
      <c r="F20" s="14" t="s">
        <v>223</v>
      </c>
      <c r="AD20" s="14" t="s">
        <v>279</v>
      </c>
      <c r="AE20" s="14" t="s">
        <v>8</v>
      </c>
      <c r="AF20" s="14" t="s">
        <v>8</v>
      </c>
      <c r="AG20" s="14" t="s">
        <v>8</v>
      </c>
      <c r="AH20" s="14" t="s">
        <v>8</v>
      </c>
      <c r="AI20" s="14" t="s">
        <v>8</v>
      </c>
      <c r="AJ20" s="20">
        <v>1540000</v>
      </c>
      <c r="AK20" s="20"/>
      <c r="AL20" s="21">
        <v>75</v>
      </c>
      <c r="AM20" s="21">
        <v>5</v>
      </c>
      <c r="AN20" s="14">
        <v>0</v>
      </c>
      <c r="AO20" s="14">
        <v>0</v>
      </c>
      <c r="AP20" s="14">
        <v>2019</v>
      </c>
    </row>
    <row r="21" spans="1:42" s="14" customFormat="1" hidden="1" x14ac:dyDescent="0.3">
      <c r="A21" s="14" t="s">
        <v>162</v>
      </c>
      <c r="B21" s="14" t="s">
        <v>275</v>
      </c>
      <c r="C21" s="14" t="s">
        <v>276</v>
      </c>
      <c r="D21" s="14" t="s">
        <v>277</v>
      </c>
      <c r="E21" s="19" t="s">
        <v>278</v>
      </c>
      <c r="F21" s="14" t="s">
        <v>223</v>
      </c>
      <c r="AD21" s="14" t="s">
        <v>279</v>
      </c>
      <c r="AE21" s="14" t="s">
        <v>8</v>
      </c>
      <c r="AF21" s="14" t="s">
        <v>8</v>
      </c>
      <c r="AG21" s="14" t="s">
        <v>8</v>
      </c>
      <c r="AH21" s="14" t="s">
        <v>8</v>
      </c>
      <c r="AI21" s="14" t="s">
        <v>8</v>
      </c>
      <c r="AJ21" s="20">
        <v>1540000</v>
      </c>
      <c r="AK21" s="20"/>
      <c r="AL21" s="21">
        <v>75</v>
      </c>
      <c r="AM21" s="21">
        <v>5</v>
      </c>
      <c r="AN21" s="14">
        <v>0</v>
      </c>
      <c r="AO21" s="14">
        <v>0</v>
      </c>
      <c r="AP21" s="14">
        <v>2018</v>
      </c>
    </row>
    <row r="22" spans="1:42" hidden="1" x14ac:dyDescent="0.3">
      <c r="A22" s="9" t="s">
        <v>280</v>
      </c>
      <c r="B22" s="9" t="s">
        <v>281</v>
      </c>
      <c r="C22" s="9" t="s">
        <v>282</v>
      </c>
      <c r="D22" s="9" t="s">
        <v>283</v>
      </c>
      <c r="E22" s="9" t="s">
        <v>284</v>
      </c>
      <c r="F22" s="14" t="s">
        <v>285</v>
      </c>
      <c r="G22" s="9" t="s">
        <v>286</v>
      </c>
      <c r="H22" s="9" t="s">
        <v>287</v>
      </c>
      <c r="I22" s="14"/>
      <c r="AD22" s="9">
        <v>7</v>
      </c>
      <c r="AE22" s="9">
        <v>5</v>
      </c>
      <c r="AF22" s="9">
        <v>2018</v>
      </c>
      <c r="AG22" s="9">
        <v>24</v>
      </c>
      <c r="AH22" s="9">
        <v>3</v>
      </c>
      <c r="AI22" s="9">
        <v>2014</v>
      </c>
      <c r="AJ22" s="16"/>
      <c r="AK22" s="16"/>
      <c r="AL22" s="9">
        <v>0.2</v>
      </c>
      <c r="AM22" s="9">
        <v>0.2</v>
      </c>
      <c r="AN22" s="9">
        <v>0</v>
      </c>
      <c r="AO22" s="9">
        <v>0</v>
      </c>
      <c r="AP22" s="9">
        <v>2019</v>
      </c>
    </row>
    <row r="23" spans="1:42" hidden="1" x14ac:dyDescent="0.3">
      <c r="A23" s="9" t="s">
        <v>42</v>
      </c>
      <c r="B23" s="9" t="s">
        <v>288</v>
      </c>
      <c r="C23" s="9" t="s">
        <v>289</v>
      </c>
      <c r="D23" s="9" t="s">
        <v>221</v>
      </c>
      <c r="E23" s="9" t="s">
        <v>239</v>
      </c>
      <c r="F23" s="14" t="s">
        <v>240</v>
      </c>
      <c r="G23" s="9" t="s">
        <v>241</v>
      </c>
      <c r="H23" s="9" t="s">
        <v>241</v>
      </c>
      <c r="I23" s="14" t="s">
        <v>240</v>
      </c>
      <c r="J23" s="9" t="s">
        <v>241</v>
      </c>
      <c r="K23" s="9" t="s">
        <v>241</v>
      </c>
      <c r="AD23" s="9">
        <v>8</v>
      </c>
      <c r="AE23" s="9">
        <v>4</v>
      </c>
      <c r="AF23" s="9">
        <v>2015</v>
      </c>
      <c r="AG23" s="9">
        <v>10</v>
      </c>
      <c r="AH23" s="9">
        <v>6</v>
      </c>
      <c r="AI23" s="9">
        <v>2015</v>
      </c>
      <c r="AJ23" s="15">
        <v>1424500</v>
      </c>
      <c r="AK23" s="15"/>
      <c r="AL23" s="9">
        <v>71.319999999999993</v>
      </c>
      <c r="AM23" s="9">
        <v>0</v>
      </c>
      <c r="AN23" s="9">
        <v>18.02</v>
      </c>
      <c r="AO23" s="9">
        <v>0</v>
      </c>
      <c r="AP23" s="9">
        <v>2019</v>
      </c>
    </row>
    <row r="24" spans="1:42" x14ac:dyDescent="0.3">
      <c r="A24" s="9" t="s">
        <v>46</v>
      </c>
      <c r="B24" s="9" t="s">
        <v>286</v>
      </c>
      <c r="C24" s="9" t="s">
        <v>290</v>
      </c>
      <c r="D24" s="9" t="s">
        <v>283</v>
      </c>
      <c r="E24" s="9" t="s">
        <v>284</v>
      </c>
      <c r="F24" s="14" t="s">
        <v>285</v>
      </c>
      <c r="G24" s="10" t="s">
        <v>286</v>
      </c>
      <c r="H24" s="10" t="s">
        <v>284</v>
      </c>
      <c r="I24" s="11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G24" s="9">
        <v>15</v>
      </c>
      <c r="AH24" s="9">
        <v>11</v>
      </c>
      <c r="AI24" s="9">
        <v>1996</v>
      </c>
      <c r="AJ24" s="15">
        <v>0</v>
      </c>
      <c r="AK24" s="15"/>
      <c r="AL24" s="9">
        <v>0.5</v>
      </c>
      <c r="AM24" s="9">
        <v>0.5</v>
      </c>
      <c r="AN24" s="9">
        <v>0</v>
      </c>
      <c r="AO24" s="9">
        <v>0</v>
      </c>
      <c r="AP24" s="9">
        <v>2018</v>
      </c>
    </row>
    <row r="25" spans="1:42" x14ac:dyDescent="0.3">
      <c r="A25" s="9" t="s">
        <v>46</v>
      </c>
      <c r="B25" s="9" t="s">
        <v>291</v>
      </c>
      <c r="C25" s="9" t="s">
        <v>292</v>
      </c>
      <c r="D25" s="9" t="s">
        <v>283</v>
      </c>
      <c r="E25" s="9" t="s">
        <v>284</v>
      </c>
      <c r="F25" s="11" t="s">
        <v>293</v>
      </c>
      <c r="G25" s="10" t="s">
        <v>291</v>
      </c>
      <c r="H25" s="10" t="s">
        <v>284</v>
      </c>
      <c r="I25" s="11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G25" s="9">
        <v>13</v>
      </c>
      <c r="AH25" s="9">
        <v>12</v>
      </c>
      <c r="AI25" s="9">
        <v>1993</v>
      </c>
      <c r="AJ25" s="15">
        <v>0</v>
      </c>
      <c r="AK25" s="15"/>
      <c r="AL25" s="9">
        <v>0.14000000000000001</v>
      </c>
      <c r="AM25" s="9">
        <v>0.14000000000000001</v>
      </c>
      <c r="AN25" s="9">
        <v>0</v>
      </c>
      <c r="AO25" s="9">
        <v>0</v>
      </c>
      <c r="AP25" s="9">
        <v>2019</v>
      </c>
    </row>
    <row r="26" spans="1:42" x14ac:dyDescent="0.3">
      <c r="A26" s="9" t="s">
        <v>46</v>
      </c>
      <c r="B26" s="9" t="s">
        <v>286</v>
      </c>
      <c r="C26" s="9" t="s">
        <v>294</v>
      </c>
      <c r="D26" s="9" t="s">
        <v>283</v>
      </c>
      <c r="E26" s="9" t="s">
        <v>284</v>
      </c>
      <c r="F26" s="14" t="s">
        <v>285</v>
      </c>
      <c r="G26" s="10" t="s">
        <v>286</v>
      </c>
      <c r="H26" s="10" t="s">
        <v>284</v>
      </c>
      <c r="I26" s="11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9" t="s">
        <v>295</v>
      </c>
      <c r="AE26" s="9" t="s">
        <v>295</v>
      </c>
      <c r="AF26" s="9" t="s">
        <v>295</v>
      </c>
      <c r="AG26" s="9">
        <v>7</v>
      </c>
      <c r="AH26" s="9">
        <v>8</v>
      </c>
      <c r="AI26" s="9">
        <v>2009</v>
      </c>
      <c r="AJ26" s="15">
        <v>0</v>
      </c>
      <c r="AK26" s="15"/>
      <c r="AL26" s="9">
        <v>0.5</v>
      </c>
      <c r="AM26" s="9">
        <v>0.5</v>
      </c>
      <c r="AN26" s="9">
        <v>0</v>
      </c>
      <c r="AO26" s="9">
        <v>0</v>
      </c>
      <c r="AP26" s="9">
        <v>2019</v>
      </c>
    </row>
    <row r="27" spans="1:42" s="17" customFormat="1" x14ac:dyDescent="0.3">
      <c r="A27" s="9" t="s">
        <v>46</v>
      </c>
      <c r="B27" s="9" t="s">
        <v>291</v>
      </c>
      <c r="C27" s="9" t="s">
        <v>296</v>
      </c>
      <c r="D27" s="9" t="s">
        <v>283</v>
      </c>
      <c r="E27" s="9" t="s">
        <v>284</v>
      </c>
      <c r="F27" s="14" t="s">
        <v>285</v>
      </c>
      <c r="G27" s="9" t="s">
        <v>286</v>
      </c>
      <c r="H27" s="44" t="s">
        <v>284</v>
      </c>
      <c r="I27" s="14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 t="s">
        <v>8</v>
      </c>
      <c r="AE27" s="9" t="s">
        <v>8</v>
      </c>
      <c r="AF27" s="9" t="s">
        <v>8</v>
      </c>
      <c r="AG27" s="9">
        <v>7</v>
      </c>
      <c r="AH27" s="9">
        <v>8</v>
      </c>
      <c r="AI27" s="9">
        <v>2009</v>
      </c>
      <c r="AJ27" s="15">
        <v>0</v>
      </c>
      <c r="AK27" s="15"/>
      <c r="AL27" s="9">
        <v>0.14000000000000001</v>
      </c>
      <c r="AM27" s="9">
        <v>0.14000000000000001</v>
      </c>
      <c r="AN27" s="9">
        <v>0</v>
      </c>
      <c r="AO27" s="9">
        <v>0</v>
      </c>
      <c r="AP27" s="9">
        <v>2018</v>
      </c>
    </row>
    <row r="28" spans="1:42" s="17" customFormat="1" hidden="1" x14ac:dyDescent="0.3">
      <c r="A28" s="9" t="s">
        <v>297</v>
      </c>
      <c r="B28" s="9" t="s">
        <v>298</v>
      </c>
      <c r="C28" s="9" t="s">
        <v>299</v>
      </c>
      <c r="D28" s="9" t="s">
        <v>277</v>
      </c>
      <c r="E28" s="9" t="s">
        <v>284</v>
      </c>
      <c r="F28" s="14" t="s">
        <v>285</v>
      </c>
      <c r="G28" s="10" t="s">
        <v>298</v>
      </c>
      <c r="H28" s="10" t="s">
        <v>284</v>
      </c>
      <c r="I28" s="11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9">
        <v>12</v>
      </c>
      <c r="AE28" s="9">
        <v>12</v>
      </c>
      <c r="AF28" s="9">
        <v>2008</v>
      </c>
      <c r="AG28" s="9">
        <v>12</v>
      </c>
      <c r="AH28" s="9">
        <v>12</v>
      </c>
      <c r="AI28" s="9">
        <v>2008</v>
      </c>
      <c r="AJ28" s="15">
        <v>0</v>
      </c>
      <c r="AK28" s="15"/>
      <c r="AL28" s="12">
        <v>14.23</v>
      </c>
      <c r="AM28" s="12">
        <v>1</v>
      </c>
      <c r="AN28" s="9">
        <v>0</v>
      </c>
      <c r="AO28" s="9">
        <v>0</v>
      </c>
      <c r="AP28" s="9">
        <v>2018</v>
      </c>
    </row>
    <row r="29" spans="1:42" hidden="1" x14ac:dyDescent="0.3">
      <c r="A29" s="18" t="s">
        <v>163</v>
      </c>
      <c r="B29" s="9" t="s">
        <v>300</v>
      </c>
      <c r="C29" s="9" t="s">
        <v>301</v>
      </c>
      <c r="D29" s="9" t="s">
        <v>302</v>
      </c>
      <c r="E29" s="9" t="s">
        <v>303</v>
      </c>
      <c r="F29" s="14" t="s">
        <v>304</v>
      </c>
      <c r="G29" s="9" t="s">
        <v>305</v>
      </c>
      <c r="H29" s="9" t="s">
        <v>306</v>
      </c>
      <c r="I29" s="14"/>
      <c r="AD29" s="9">
        <v>6</v>
      </c>
      <c r="AE29" s="9">
        <v>1</v>
      </c>
      <c r="AF29" s="9">
        <v>2012</v>
      </c>
      <c r="AG29" s="9">
        <v>10</v>
      </c>
      <c r="AH29" s="9">
        <v>1</v>
      </c>
      <c r="AI29" s="9">
        <v>2012</v>
      </c>
      <c r="AJ29" s="15">
        <v>0</v>
      </c>
      <c r="AK29" s="15"/>
      <c r="AL29" s="9">
        <v>5</v>
      </c>
      <c r="AM29" s="9">
        <v>2</v>
      </c>
      <c r="AN29" s="9">
        <v>0</v>
      </c>
      <c r="AO29" s="9">
        <v>0</v>
      </c>
      <c r="AP29" s="9">
        <v>2019</v>
      </c>
    </row>
    <row r="30" spans="1:42" hidden="1" x14ac:dyDescent="0.3">
      <c r="A30" s="18" t="s">
        <v>163</v>
      </c>
      <c r="B30" s="9" t="s">
        <v>300</v>
      </c>
      <c r="C30" s="9" t="s">
        <v>307</v>
      </c>
      <c r="D30" s="9" t="s">
        <v>302</v>
      </c>
      <c r="E30" s="9" t="s">
        <v>303</v>
      </c>
      <c r="F30" s="14" t="s">
        <v>304</v>
      </c>
      <c r="G30" s="9" t="s">
        <v>308</v>
      </c>
      <c r="H30" s="9" t="s">
        <v>306</v>
      </c>
      <c r="I30" s="14"/>
      <c r="AD30" s="9">
        <v>6</v>
      </c>
      <c r="AE30" s="9">
        <v>1</v>
      </c>
      <c r="AF30" s="9">
        <v>2012</v>
      </c>
      <c r="AJ30" s="15">
        <v>0</v>
      </c>
      <c r="AK30" s="15"/>
      <c r="AL30" s="9">
        <v>5</v>
      </c>
      <c r="AM30" s="9">
        <v>1.4999999999999999E-2</v>
      </c>
      <c r="AN30" s="9">
        <v>0</v>
      </c>
      <c r="AO30" s="9">
        <v>0</v>
      </c>
      <c r="AP30" s="9">
        <v>2018</v>
      </c>
    </row>
    <row r="31" spans="1:42" hidden="1" x14ac:dyDescent="0.3">
      <c r="A31" s="9" t="s">
        <v>63</v>
      </c>
      <c r="B31" s="9" t="s">
        <v>63</v>
      </c>
      <c r="C31" s="9" t="s">
        <v>309</v>
      </c>
      <c r="D31" s="9" t="s">
        <v>283</v>
      </c>
      <c r="E31" s="9" t="s">
        <v>284</v>
      </c>
      <c r="F31" s="14" t="s">
        <v>293</v>
      </c>
      <c r="G31" s="9" t="s">
        <v>291</v>
      </c>
      <c r="H31" s="9" t="s">
        <v>310</v>
      </c>
      <c r="I31" s="14"/>
      <c r="AD31" s="9">
        <v>24</v>
      </c>
      <c r="AE31" s="9">
        <v>1</v>
      </c>
      <c r="AF31" s="9">
        <v>2019</v>
      </c>
      <c r="AG31" s="9" t="s">
        <v>144</v>
      </c>
      <c r="AH31" s="9" t="s">
        <v>144</v>
      </c>
      <c r="AI31" s="9" t="s">
        <v>144</v>
      </c>
      <c r="AJ31" s="15">
        <v>0</v>
      </c>
      <c r="AK31" s="15"/>
      <c r="AL31" s="22">
        <v>0.59756200000000004</v>
      </c>
      <c r="AM31" s="22">
        <v>0.59756200000000004</v>
      </c>
      <c r="AN31" s="9">
        <v>0</v>
      </c>
      <c r="AO31" s="9">
        <v>0</v>
      </c>
      <c r="AP31" s="9">
        <v>2019</v>
      </c>
    </row>
    <row r="32" spans="1:42" hidden="1" x14ac:dyDescent="0.3">
      <c r="A32" s="9" t="s">
        <v>63</v>
      </c>
      <c r="B32" s="9" t="s">
        <v>63</v>
      </c>
      <c r="C32" s="9" t="s">
        <v>309</v>
      </c>
      <c r="D32" s="9" t="s">
        <v>283</v>
      </c>
      <c r="E32" s="9" t="s">
        <v>284</v>
      </c>
      <c r="F32" s="14" t="s">
        <v>293</v>
      </c>
      <c r="G32" s="9" t="s">
        <v>311</v>
      </c>
      <c r="H32" s="9" t="s">
        <v>310</v>
      </c>
      <c r="I32" s="14"/>
      <c r="AD32" s="9" t="s">
        <v>295</v>
      </c>
      <c r="AE32" s="9" t="s">
        <v>295</v>
      </c>
      <c r="AF32" s="9" t="s">
        <v>295</v>
      </c>
      <c r="AG32" s="9">
        <v>24</v>
      </c>
      <c r="AH32" s="9">
        <v>1</v>
      </c>
      <c r="AI32" s="9">
        <v>2019</v>
      </c>
      <c r="AJ32" s="15">
        <v>0</v>
      </c>
      <c r="AK32" s="15"/>
      <c r="AL32" s="22">
        <v>0.59756200000000004</v>
      </c>
      <c r="AM32" s="22">
        <v>0.59756200000000004</v>
      </c>
      <c r="AN32" s="9">
        <v>0</v>
      </c>
      <c r="AO32" s="9">
        <v>0</v>
      </c>
      <c r="AP32" s="9">
        <v>2018</v>
      </c>
    </row>
    <row r="33" spans="1:42" hidden="1" x14ac:dyDescent="0.3">
      <c r="A33" s="13" t="s">
        <v>312</v>
      </c>
      <c r="B33" s="9" t="s">
        <v>313</v>
      </c>
      <c r="C33" s="9" t="s">
        <v>314</v>
      </c>
      <c r="D33" s="9" t="s">
        <v>277</v>
      </c>
      <c r="E33" s="13" t="s">
        <v>284</v>
      </c>
      <c r="F33" s="14" t="s">
        <v>315</v>
      </c>
      <c r="G33" s="9" t="s">
        <v>316</v>
      </c>
      <c r="H33" s="9" t="s">
        <v>317</v>
      </c>
      <c r="I33" s="14" t="s">
        <v>318</v>
      </c>
      <c r="J33" s="9" t="s">
        <v>316</v>
      </c>
      <c r="K33" s="9" t="s">
        <v>219</v>
      </c>
      <c r="L33" s="9" t="s">
        <v>319</v>
      </c>
      <c r="M33" s="9" t="s">
        <v>316</v>
      </c>
      <c r="N33" s="9" t="s">
        <v>219</v>
      </c>
      <c r="O33" s="9" t="s">
        <v>320</v>
      </c>
      <c r="P33" s="9" t="s">
        <v>316</v>
      </c>
      <c r="Q33" s="9" t="s">
        <v>219</v>
      </c>
      <c r="AD33" s="9">
        <v>9</v>
      </c>
      <c r="AE33" s="9">
        <v>9</v>
      </c>
      <c r="AF33" s="9">
        <v>2004</v>
      </c>
      <c r="AG33" s="9">
        <v>19</v>
      </c>
      <c r="AH33" s="9">
        <v>9</v>
      </c>
      <c r="AI33" s="9">
        <v>2004</v>
      </c>
      <c r="AJ33" s="15">
        <v>0</v>
      </c>
      <c r="AK33" s="15"/>
      <c r="AL33" s="12">
        <v>445</v>
      </c>
      <c r="AM33" s="12">
        <v>2.2000000000000002</v>
      </c>
      <c r="AN33" s="9">
        <v>0</v>
      </c>
      <c r="AO33" s="9">
        <v>2</v>
      </c>
      <c r="AP33" s="9">
        <v>2018</v>
      </c>
    </row>
    <row r="34" spans="1:42" hidden="1" x14ac:dyDescent="0.3">
      <c r="A34" s="9" t="s">
        <v>72</v>
      </c>
      <c r="B34" s="9" t="s">
        <v>321</v>
      </c>
      <c r="C34" s="9">
        <v>4068</v>
      </c>
      <c r="D34" s="13" t="s">
        <v>283</v>
      </c>
      <c r="E34" s="9" t="s">
        <v>284</v>
      </c>
      <c r="F34" s="14" t="s">
        <v>293</v>
      </c>
      <c r="G34" s="9" t="s">
        <v>311</v>
      </c>
      <c r="H34" s="9" t="s">
        <v>310</v>
      </c>
      <c r="I34" s="14"/>
      <c r="AD34" s="9">
        <v>4</v>
      </c>
      <c r="AE34" s="9">
        <v>6</v>
      </c>
      <c r="AF34" s="9">
        <v>2007</v>
      </c>
      <c r="AG34" s="9">
        <v>4</v>
      </c>
      <c r="AH34" s="9">
        <v>6</v>
      </c>
      <c r="AI34" s="9">
        <v>2007</v>
      </c>
      <c r="AJ34" s="15">
        <v>0</v>
      </c>
      <c r="AK34" s="15"/>
      <c r="AL34" s="9">
        <v>0.04</v>
      </c>
      <c r="AM34" s="9">
        <v>0.04</v>
      </c>
      <c r="AN34" s="9">
        <v>0</v>
      </c>
      <c r="AO34" s="9">
        <v>0</v>
      </c>
      <c r="AP34" s="9">
        <v>2018</v>
      </c>
    </row>
    <row r="35" spans="1:42" hidden="1" x14ac:dyDescent="0.3">
      <c r="A35" s="9" t="s">
        <v>72</v>
      </c>
      <c r="B35" s="9" t="s">
        <v>321</v>
      </c>
      <c r="C35" s="9">
        <v>4068</v>
      </c>
      <c r="D35" s="13" t="s">
        <v>283</v>
      </c>
      <c r="E35" s="9" t="s">
        <v>284</v>
      </c>
      <c r="F35" s="14" t="s">
        <v>293</v>
      </c>
      <c r="G35" s="9" t="s">
        <v>322</v>
      </c>
      <c r="H35" s="9" t="s">
        <v>310</v>
      </c>
      <c r="I35" s="14"/>
      <c r="AD35" s="9">
        <v>4</v>
      </c>
      <c r="AE35" s="9">
        <v>6</v>
      </c>
      <c r="AF35" s="9">
        <v>2007</v>
      </c>
      <c r="AG35" s="9">
        <v>4</v>
      </c>
      <c r="AH35" s="9">
        <v>6</v>
      </c>
      <c r="AI35" s="9">
        <v>2007</v>
      </c>
      <c r="AJ35" s="15">
        <v>0</v>
      </c>
      <c r="AK35" s="15"/>
      <c r="AL35" s="9">
        <v>0.04</v>
      </c>
      <c r="AM35" s="9">
        <v>0.04</v>
      </c>
      <c r="AN35" s="9">
        <v>0</v>
      </c>
      <c r="AO35" s="9">
        <v>0</v>
      </c>
      <c r="AP35" s="9">
        <v>2019</v>
      </c>
    </row>
    <row r="36" spans="1:42" hidden="1" x14ac:dyDescent="0.3">
      <c r="A36" s="18" t="s">
        <v>81</v>
      </c>
      <c r="B36" s="9" t="s">
        <v>323</v>
      </c>
      <c r="C36" s="9">
        <v>991020</v>
      </c>
      <c r="D36" s="9" t="s">
        <v>277</v>
      </c>
      <c r="E36" s="9" t="s">
        <v>284</v>
      </c>
      <c r="F36" s="14" t="s">
        <v>223</v>
      </c>
      <c r="G36" s="9" t="s">
        <v>324</v>
      </c>
      <c r="H36" s="9" t="s">
        <v>227</v>
      </c>
      <c r="I36" s="14"/>
      <c r="AD36" s="9">
        <v>23</v>
      </c>
      <c r="AE36" s="9">
        <v>10</v>
      </c>
      <c r="AF36" s="9">
        <v>1999</v>
      </c>
      <c r="AG36" s="9">
        <v>19</v>
      </c>
      <c r="AH36" s="9">
        <v>10</v>
      </c>
      <c r="AI36" s="9">
        <v>1999</v>
      </c>
      <c r="AJ36" s="15">
        <v>0</v>
      </c>
      <c r="AK36" s="15"/>
      <c r="AL36" s="12">
        <v>173</v>
      </c>
      <c r="AM36" s="12">
        <v>7</v>
      </c>
      <c r="AN36" s="9">
        <v>0</v>
      </c>
      <c r="AO36" s="9">
        <v>7</v>
      </c>
      <c r="AP36" s="9">
        <v>2018</v>
      </c>
    </row>
    <row r="37" spans="1:42" hidden="1" x14ac:dyDescent="0.3">
      <c r="A37" s="18" t="s">
        <v>81</v>
      </c>
      <c r="B37" s="9" t="s">
        <v>323</v>
      </c>
      <c r="C37" s="9">
        <v>991020</v>
      </c>
      <c r="D37" s="9" t="s">
        <v>277</v>
      </c>
      <c r="E37" s="9" t="s">
        <v>284</v>
      </c>
      <c r="F37" s="14" t="s">
        <v>223</v>
      </c>
      <c r="G37" s="9" t="s">
        <v>324</v>
      </c>
      <c r="H37" s="9" t="s">
        <v>227</v>
      </c>
      <c r="I37" s="14"/>
      <c r="AD37" s="9">
        <v>23</v>
      </c>
      <c r="AE37" s="9">
        <v>4</v>
      </c>
      <c r="AF37" s="9">
        <v>2008</v>
      </c>
      <c r="AG37" s="9">
        <v>19</v>
      </c>
      <c r="AH37" s="9">
        <v>10</v>
      </c>
      <c r="AI37" s="9">
        <v>1999</v>
      </c>
      <c r="AJ37" s="15">
        <v>0</v>
      </c>
      <c r="AK37" s="15"/>
      <c r="AL37" s="12">
        <v>173</v>
      </c>
      <c r="AM37" s="12">
        <v>0.53</v>
      </c>
      <c r="AN37" s="9">
        <v>0</v>
      </c>
      <c r="AO37" s="9">
        <v>0.2</v>
      </c>
      <c r="AP37" s="9">
        <v>2019</v>
      </c>
    </row>
    <row r="38" spans="1:42" hidden="1" x14ac:dyDescent="0.3">
      <c r="A38" s="9" t="s">
        <v>89</v>
      </c>
      <c r="B38" s="13" t="s">
        <v>325</v>
      </c>
      <c r="C38" s="13" t="s">
        <v>326</v>
      </c>
      <c r="D38" s="9" t="s">
        <v>277</v>
      </c>
      <c r="E38" s="9" t="s">
        <v>284</v>
      </c>
      <c r="F38" s="14" t="s">
        <v>285</v>
      </c>
      <c r="G38" s="9" t="s">
        <v>327</v>
      </c>
      <c r="H38" s="9" t="s">
        <v>287</v>
      </c>
      <c r="I38" s="14"/>
      <c r="AD38" s="9">
        <v>18</v>
      </c>
      <c r="AE38" s="9">
        <v>2</v>
      </c>
      <c r="AF38" s="9">
        <v>2000</v>
      </c>
      <c r="AG38" s="9">
        <v>22</v>
      </c>
      <c r="AH38" s="9">
        <v>2</v>
      </c>
      <c r="AI38" s="9">
        <v>2000</v>
      </c>
      <c r="AJ38" s="15">
        <v>0</v>
      </c>
      <c r="AK38" s="15"/>
      <c r="AL38" s="12">
        <v>3.5</v>
      </c>
      <c r="AM38" s="12">
        <v>0.86</v>
      </c>
      <c r="AN38" s="9">
        <v>0</v>
      </c>
      <c r="AO38" s="9">
        <v>0.08</v>
      </c>
      <c r="AP38" s="9">
        <v>2019</v>
      </c>
    </row>
    <row r="39" spans="1:42" hidden="1" x14ac:dyDescent="0.3">
      <c r="A39" s="9" t="s">
        <v>89</v>
      </c>
      <c r="B39" s="13" t="s">
        <v>325</v>
      </c>
      <c r="C39" s="13" t="s">
        <v>326</v>
      </c>
      <c r="D39" s="9" t="s">
        <v>277</v>
      </c>
      <c r="E39" s="9" t="s">
        <v>284</v>
      </c>
      <c r="F39" s="14" t="s">
        <v>285</v>
      </c>
      <c r="G39" s="9" t="s">
        <v>327</v>
      </c>
      <c r="H39" s="9" t="s">
        <v>287</v>
      </c>
      <c r="I39" s="14" t="s">
        <v>285</v>
      </c>
      <c r="J39" s="9" t="s">
        <v>327</v>
      </c>
      <c r="K39" s="9" t="s">
        <v>287</v>
      </c>
      <c r="L39" s="9" t="s">
        <v>328</v>
      </c>
      <c r="M39" s="9" t="s">
        <v>327</v>
      </c>
      <c r="N39" s="9" t="s">
        <v>287</v>
      </c>
      <c r="O39" s="9" t="s">
        <v>285</v>
      </c>
      <c r="P39" s="9" t="s">
        <v>327</v>
      </c>
      <c r="Q39" s="9" t="s">
        <v>287</v>
      </c>
      <c r="AD39" s="9">
        <v>18</v>
      </c>
      <c r="AE39" s="9" t="s">
        <v>329</v>
      </c>
      <c r="AF39" s="9">
        <v>2000</v>
      </c>
      <c r="AG39" s="9">
        <v>22</v>
      </c>
      <c r="AH39" s="9" t="s">
        <v>330</v>
      </c>
      <c r="AI39" s="9">
        <v>2000</v>
      </c>
      <c r="AJ39" s="15">
        <v>0</v>
      </c>
      <c r="AK39" s="15"/>
      <c r="AL39" s="12">
        <v>3.5</v>
      </c>
      <c r="AM39" s="12">
        <v>0.82</v>
      </c>
      <c r="AN39" s="9">
        <v>0</v>
      </c>
      <c r="AO39" s="9">
        <v>0</v>
      </c>
      <c r="AP39" s="9">
        <v>2018</v>
      </c>
    </row>
    <row r="40" spans="1:42" hidden="1" x14ac:dyDescent="0.3">
      <c r="A40" s="9" t="s">
        <v>94</v>
      </c>
      <c r="B40" s="9" t="s">
        <v>331</v>
      </c>
      <c r="C40" s="9" t="s">
        <v>332</v>
      </c>
      <c r="D40" s="9" t="s">
        <v>238</v>
      </c>
      <c r="E40" s="9" t="s">
        <v>239</v>
      </c>
      <c r="F40" s="14" t="s">
        <v>240</v>
      </c>
      <c r="G40" s="10" t="s">
        <v>333</v>
      </c>
      <c r="H40" s="10" t="s">
        <v>241</v>
      </c>
      <c r="I40" s="11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9">
        <v>28</v>
      </c>
      <c r="AE40" s="9">
        <v>11</v>
      </c>
      <c r="AF40" s="9">
        <v>2016</v>
      </c>
      <c r="AG40" s="9">
        <v>9</v>
      </c>
      <c r="AH40" s="9">
        <v>10</v>
      </c>
      <c r="AI40" s="9">
        <v>2018</v>
      </c>
      <c r="AJ40" s="15">
        <v>0</v>
      </c>
      <c r="AK40" s="15"/>
      <c r="AL40" s="9">
        <v>121.83</v>
      </c>
      <c r="AM40" s="9">
        <v>0</v>
      </c>
      <c r="AN40" s="9">
        <v>0</v>
      </c>
      <c r="AO40" s="9">
        <v>0</v>
      </c>
      <c r="AP40" s="9">
        <v>2019</v>
      </c>
    </row>
    <row r="41" spans="1:42" hidden="1" x14ac:dyDescent="0.3">
      <c r="A41" s="13" t="s">
        <v>94</v>
      </c>
      <c r="B41" s="9" t="s">
        <v>331</v>
      </c>
      <c r="C41" s="9" t="s">
        <v>332</v>
      </c>
      <c r="D41" s="9" t="s">
        <v>238</v>
      </c>
      <c r="E41" s="9" t="s">
        <v>239</v>
      </c>
      <c r="F41" s="14" t="s">
        <v>240</v>
      </c>
      <c r="G41" s="9" t="s">
        <v>333</v>
      </c>
      <c r="H41" s="9" t="s">
        <v>241</v>
      </c>
      <c r="I41" s="14"/>
      <c r="AD41" s="9">
        <v>28</v>
      </c>
      <c r="AE41" s="9">
        <v>11</v>
      </c>
      <c r="AF41" s="9">
        <v>2016</v>
      </c>
      <c r="AG41" s="9">
        <v>9</v>
      </c>
      <c r="AH41" s="9">
        <v>10</v>
      </c>
      <c r="AI41" s="9">
        <v>2018</v>
      </c>
      <c r="AJ41" s="15">
        <v>0</v>
      </c>
      <c r="AK41" s="15"/>
      <c r="AL41" s="9">
        <v>121.83</v>
      </c>
      <c r="AM41" s="9">
        <v>0</v>
      </c>
      <c r="AN41" s="9">
        <v>0</v>
      </c>
      <c r="AO41" s="9">
        <v>0</v>
      </c>
      <c r="AP41" s="9">
        <v>2018</v>
      </c>
    </row>
    <row r="42" spans="1:42" hidden="1" x14ac:dyDescent="0.3">
      <c r="A42" s="13" t="s">
        <v>98</v>
      </c>
      <c r="B42" s="9" t="s">
        <v>334</v>
      </c>
      <c r="C42" s="9" t="s">
        <v>335</v>
      </c>
      <c r="D42" s="9" t="s">
        <v>277</v>
      </c>
      <c r="E42" s="9" t="s">
        <v>239</v>
      </c>
      <c r="F42" s="14" t="s">
        <v>240</v>
      </c>
      <c r="G42" s="9" t="s">
        <v>259</v>
      </c>
      <c r="H42" s="9" t="s">
        <v>239</v>
      </c>
      <c r="I42" s="14"/>
      <c r="AD42" s="9">
        <v>20</v>
      </c>
      <c r="AE42" s="9">
        <v>9</v>
      </c>
      <c r="AF42" s="9">
        <v>2006</v>
      </c>
      <c r="AG42" s="9">
        <v>14</v>
      </c>
      <c r="AH42" s="9">
        <v>7</v>
      </c>
      <c r="AI42" s="9">
        <v>2016</v>
      </c>
      <c r="AJ42" s="15">
        <v>0</v>
      </c>
      <c r="AK42" s="15"/>
      <c r="AL42" s="12">
        <v>87.5</v>
      </c>
      <c r="AM42" s="23">
        <v>2.79</v>
      </c>
      <c r="AN42" s="9">
        <v>0</v>
      </c>
      <c r="AO42" s="9">
        <v>0</v>
      </c>
      <c r="AP42" s="9">
        <v>2018</v>
      </c>
    </row>
    <row r="43" spans="1:42" hidden="1" x14ac:dyDescent="0.3">
      <c r="A43" s="13" t="s">
        <v>98</v>
      </c>
      <c r="B43" s="9" t="s">
        <v>334</v>
      </c>
      <c r="C43" s="9" t="s">
        <v>335</v>
      </c>
      <c r="D43" s="9" t="s">
        <v>277</v>
      </c>
      <c r="E43" s="9" t="s">
        <v>239</v>
      </c>
      <c r="F43" s="14" t="s">
        <v>240</v>
      </c>
      <c r="G43" s="9" t="s">
        <v>259</v>
      </c>
      <c r="H43" s="9" t="s">
        <v>239</v>
      </c>
      <c r="I43" s="14"/>
      <c r="AD43" s="9">
        <v>14</v>
      </c>
      <c r="AE43" s="9">
        <v>7</v>
      </c>
      <c r="AF43" s="9">
        <v>2016</v>
      </c>
      <c r="AG43" s="9">
        <v>14</v>
      </c>
      <c r="AH43" s="9">
        <v>7</v>
      </c>
      <c r="AI43" s="9">
        <v>2016</v>
      </c>
      <c r="AJ43" s="15">
        <v>0</v>
      </c>
      <c r="AK43" s="15"/>
      <c r="AL43" s="12">
        <v>87.5</v>
      </c>
      <c r="AM43" s="23">
        <v>2.79</v>
      </c>
      <c r="AN43" s="9">
        <v>0</v>
      </c>
      <c r="AO43" s="9">
        <v>0</v>
      </c>
      <c r="AP43" s="9">
        <v>2019</v>
      </c>
    </row>
    <row r="44" spans="1:42" hidden="1" x14ac:dyDescent="0.3">
      <c r="A44" s="9" t="s">
        <v>103</v>
      </c>
      <c r="B44" s="9" t="s">
        <v>336</v>
      </c>
      <c r="C44" s="9" t="s">
        <v>337</v>
      </c>
      <c r="D44" s="9" t="s">
        <v>277</v>
      </c>
      <c r="E44" s="9" t="s">
        <v>239</v>
      </c>
      <c r="F44" s="14" t="s">
        <v>240</v>
      </c>
      <c r="G44" s="9" t="s">
        <v>336</v>
      </c>
      <c r="H44" s="9" t="s">
        <v>241</v>
      </c>
      <c r="I44" s="14" t="s">
        <v>240</v>
      </c>
      <c r="J44" s="9" t="s">
        <v>336</v>
      </c>
      <c r="K44" s="9" t="s">
        <v>241</v>
      </c>
      <c r="AD44" s="9">
        <v>7</v>
      </c>
      <c r="AE44" s="9">
        <v>4</v>
      </c>
      <c r="AF44" s="9">
        <v>2015</v>
      </c>
      <c r="AG44" s="9">
        <v>29</v>
      </c>
      <c r="AH44" s="9">
        <v>7</v>
      </c>
      <c r="AI44" s="9">
        <v>2015</v>
      </c>
      <c r="AJ44" s="16">
        <v>0</v>
      </c>
      <c r="AK44" s="16"/>
      <c r="AL44" s="12">
        <v>291.8</v>
      </c>
      <c r="AM44" s="23">
        <v>1.55</v>
      </c>
      <c r="AN44" s="9">
        <v>0</v>
      </c>
      <c r="AO44" s="12">
        <v>0.13</v>
      </c>
      <c r="AP44" s="9">
        <v>2019</v>
      </c>
    </row>
    <row r="45" spans="1:42" hidden="1" x14ac:dyDescent="0.3">
      <c r="A45" s="9" t="s">
        <v>103</v>
      </c>
      <c r="B45" s="9" t="s">
        <v>336</v>
      </c>
      <c r="C45" s="9" t="s">
        <v>337</v>
      </c>
      <c r="D45" s="9" t="s">
        <v>277</v>
      </c>
      <c r="E45" s="9" t="s">
        <v>239</v>
      </c>
      <c r="F45" s="14" t="s">
        <v>240</v>
      </c>
      <c r="G45" s="9" t="s">
        <v>336</v>
      </c>
      <c r="H45" s="9" t="s">
        <v>241</v>
      </c>
      <c r="I45" s="14" t="s">
        <v>240</v>
      </c>
      <c r="J45" s="9" t="s">
        <v>336</v>
      </c>
      <c r="K45" s="9" t="s">
        <v>241</v>
      </c>
      <c r="AD45" s="9">
        <v>7</v>
      </c>
      <c r="AE45" s="9">
        <v>4</v>
      </c>
      <c r="AF45" s="9">
        <v>2015</v>
      </c>
      <c r="AG45" s="9">
        <v>29</v>
      </c>
      <c r="AH45" s="9">
        <v>7</v>
      </c>
      <c r="AI45" s="9">
        <v>2015</v>
      </c>
      <c r="AJ45" s="16">
        <v>0</v>
      </c>
      <c r="AK45" s="16"/>
      <c r="AL45" s="12">
        <v>291.8</v>
      </c>
      <c r="AM45" s="23">
        <v>1.55</v>
      </c>
      <c r="AN45" s="9">
        <v>0</v>
      </c>
      <c r="AO45" s="12">
        <v>0.13</v>
      </c>
      <c r="AP45" s="9">
        <v>2018</v>
      </c>
    </row>
    <row r="46" spans="1:42" hidden="1" x14ac:dyDescent="0.3">
      <c r="A46" s="9" t="s">
        <v>110</v>
      </c>
      <c r="B46" s="9" t="s">
        <v>338</v>
      </c>
      <c r="C46" s="13" t="s">
        <v>339</v>
      </c>
      <c r="D46" s="9" t="s">
        <v>221</v>
      </c>
      <c r="E46" s="9" t="s">
        <v>239</v>
      </c>
      <c r="F46" s="14" t="s">
        <v>240</v>
      </c>
      <c r="G46" s="9" t="s">
        <v>336</v>
      </c>
      <c r="H46" s="9" t="s">
        <v>241</v>
      </c>
      <c r="I46" s="14"/>
      <c r="AD46" s="9">
        <v>2</v>
      </c>
      <c r="AE46" s="9">
        <v>3</v>
      </c>
      <c r="AF46" s="9">
        <v>2018</v>
      </c>
      <c r="AG46" s="9">
        <v>20</v>
      </c>
      <c r="AH46" s="9">
        <v>4</v>
      </c>
      <c r="AI46" s="9">
        <v>2018</v>
      </c>
      <c r="AJ46" s="15">
        <v>3333330</v>
      </c>
      <c r="AK46" s="15"/>
      <c r="AL46" s="9">
        <v>291.7</v>
      </c>
      <c r="AM46" s="9">
        <v>0</v>
      </c>
      <c r="AN46" s="9">
        <v>0</v>
      </c>
      <c r="AO46" s="9">
        <v>0</v>
      </c>
      <c r="AP46" s="9">
        <v>2019</v>
      </c>
    </row>
    <row r="47" spans="1:42" hidden="1" x14ac:dyDescent="0.3">
      <c r="A47" s="9" t="s">
        <v>110</v>
      </c>
      <c r="B47" s="9" t="s">
        <v>340</v>
      </c>
      <c r="C47" s="9" t="s">
        <v>341</v>
      </c>
      <c r="D47" s="9" t="s">
        <v>221</v>
      </c>
      <c r="E47" s="9" t="s">
        <v>239</v>
      </c>
      <c r="F47" s="14" t="s">
        <v>240</v>
      </c>
      <c r="G47" s="9" t="s">
        <v>336</v>
      </c>
      <c r="H47" s="9" t="s">
        <v>241</v>
      </c>
      <c r="I47" s="14"/>
      <c r="AD47" s="9">
        <v>2</v>
      </c>
      <c r="AE47" s="9">
        <v>3</v>
      </c>
      <c r="AF47" s="9">
        <v>2018</v>
      </c>
      <c r="AG47" s="9">
        <v>20</v>
      </c>
      <c r="AH47" s="9">
        <v>4</v>
      </c>
      <c r="AI47" s="9">
        <v>2018</v>
      </c>
      <c r="AJ47" s="15">
        <v>2222220</v>
      </c>
      <c r="AK47" s="15"/>
      <c r="AL47" s="9">
        <v>337.3</v>
      </c>
      <c r="AM47" s="9">
        <v>0</v>
      </c>
      <c r="AN47" s="9">
        <v>0</v>
      </c>
      <c r="AO47" s="9">
        <v>0</v>
      </c>
      <c r="AP47" s="9">
        <v>2019</v>
      </c>
    </row>
    <row r="48" spans="1:42" hidden="1" x14ac:dyDescent="0.3">
      <c r="A48" s="9" t="s">
        <v>110</v>
      </c>
      <c r="B48" s="9" t="s">
        <v>340</v>
      </c>
      <c r="C48" s="9" t="s">
        <v>341</v>
      </c>
      <c r="D48" s="9" t="s">
        <v>221</v>
      </c>
      <c r="E48" s="9" t="s">
        <v>239</v>
      </c>
      <c r="F48" s="14" t="s">
        <v>240</v>
      </c>
      <c r="G48" s="9" t="s">
        <v>336</v>
      </c>
      <c r="H48" s="9" t="s">
        <v>241</v>
      </c>
      <c r="I48" s="14" t="s">
        <v>240</v>
      </c>
      <c r="J48" s="9" t="s">
        <v>336</v>
      </c>
      <c r="K48" s="9" t="s">
        <v>241</v>
      </c>
      <c r="AD48" s="9">
        <v>2</v>
      </c>
      <c r="AE48" s="9">
        <v>3</v>
      </c>
      <c r="AF48" s="9">
        <v>2018</v>
      </c>
      <c r="AG48" s="9">
        <v>20</v>
      </c>
      <c r="AH48" s="9">
        <v>4</v>
      </c>
      <c r="AI48" s="9">
        <v>2018</v>
      </c>
      <c r="AJ48" s="15">
        <v>2222220</v>
      </c>
      <c r="AK48" s="15"/>
      <c r="AL48" s="9">
        <v>337.3</v>
      </c>
      <c r="AM48" s="9">
        <v>0</v>
      </c>
      <c r="AN48" s="9">
        <v>0</v>
      </c>
      <c r="AO48" s="9">
        <v>0</v>
      </c>
      <c r="AP48" s="9">
        <v>2018</v>
      </c>
    </row>
    <row r="49" spans="1:42" hidden="1" x14ac:dyDescent="0.3">
      <c r="A49" s="9" t="s">
        <v>110</v>
      </c>
      <c r="B49" s="9" t="s">
        <v>338</v>
      </c>
      <c r="C49" s="13" t="s">
        <v>339</v>
      </c>
      <c r="D49" s="9" t="s">
        <v>221</v>
      </c>
      <c r="E49" s="9" t="s">
        <v>239</v>
      </c>
      <c r="F49" s="14" t="s">
        <v>240</v>
      </c>
      <c r="G49" s="9" t="s">
        <v>336</v>
      </c>
      <c r="H49" s="9" t="s">
        <v>241</v>
      </c>
      <c r="I49" s="14"/>
      <c r="AD49" s="9">
        <v>2</v>
      </c>
      <c r="AE49" s="9">
        <v>3</v>
      </c>
      <c r="AF49" s="9">
        <v>2018</v>
      </c>
      <c r="AG49" s="9">
        <v>20</v>
      </c>
      <c r="AH49" s="9">
        <v>4</v>
      </c>
      <c r="AI49" s="9">
        <v>2018</v>
      </c>
      <c r="AJ49" s="15">
        <v>3333330</v>
      </c>
      <c r="AK49" s="15"/>
      <c r="AL49" s="9">
        <v>291.7</v>
      </c>
      <c r="AM49" s="9">
        <v>0</v>
      </c>
      <c r="AN49" s="9">
        <v>0</v>
      </c>
      <c r="AO49" s="9">
        <v>0</v>
      </c>
      <c r="AP49" s="9">
        <v>2018</v>
      </c>
    </row>
    <row r="50" spans="1:42" hidden="1" x14ac:dyDescent="0.3">
      <c r="A50" s="9" t="s">
        <v>113</v>
      </c>
      <c r="B50" s="13" t="s">
        <v>342</v>
      </c>
      <c r="C50" s="9" t="s">
        <v>343</v>
      </c>
      <c r="D50" s="9" t="s">
        <v>277</v>
      </c>
      <c r="E50" s="9" t="s">
        <v>284</v>
      </c>
      <c r="F50" s="14" t="s">
        <v>344</v>
      </c>
      <c r="G50" s="9" t="s">
        <v>345</v>
      </c>
      <c r="H50" s="9" t="s">
        <v>310</v>
      </c>
      <c r="I50" s="14"/>
      <c r="AD50" s="9">
        <v>26</v>
      </c>
      <c r="AE50" s="9">
        <v>5</v>
      </c>
      <c r="AF50" s="9">
        <v>1998</v>
      </c>
      <c r="AG50" s="9">
        <v>18</v>
      </c>
      <c r="AH50" s="9">
        <v>2</v>
      </c>
      <c r="AI50" s="9">
        <v>2000</v>
      </c>
      <c r="AJ50" s="15">
        <v>0</v>
      </c>
      <c r="AK50" s="15"/>
      <c r="AL50" s="12">
        <v>2.1579000000000002</v>
      </c>
      <c r="AM50" s="12">
        <v>0.19800000000000001</v>
      </c>
      <c r="AN50" s="9">
        <v>0</v>
      </c>
      <c r="AO50" s="12">
        <v>9.8000000000000004E-2</v>
      </c>
      <c r="AP50" s="9">
        <v>2018</v>
      </c>
    </row>
    <row r="51" spans="1:42" hidden="1" x14ac:dyDescent="0.3">
      <c r="A51" s="9" t="s">
        <v>113</v>
      </c>
      <c r="B51" s="13" t="s">
        <v>342</v>
      </c>
      <c r="C51" s="9" t="s">
        <v>343</v>
      </c>
      <c r="D51" s="9" t="s">
        <v>277</v>
      </c>
      <c r="E51" s="9" t="s">
        <v>284</v>
      </c>
      <c r="F51" s="14" t="s">
        <v>344</v>
      </c>
      <c r="G51" s="9" t="s">
        <v>345</v>
      </c>
      <c r="H51" s="9" t="s">
        <v>310</v>
      </c>
      <c r="I51" s="14"/>
      <c r="AD51" s="9">
        <v>26</v>
      </c>
      <c r="AE51" s="9">
        <v>5</v>
      </c>
      <c r="AF51" s="9">
        <v>1998</v>
      </c>
      <c r="AG51" s="9">
        <v>18</v>
      </c>
      <c r="AH51" s="9">
        <v>2</v>
      </c>
      <c r="AI51" s="9">
        <v>2000</v>
      </c>
      <c r="AJ51" s="15">
        <v>0</v>
      </c>
      <c r="AK51" s="15"/>
      <c r="AL51" s="12">
        <v>2.1579000000000002</v>
      </c>
      <c r="AM51" s="12">
        <v>0.19800000000000001</v>
      </c>
      <c r="AN51" s="9">
        <v>0</v>
      </c>
      <c r="AO51" s="12">
        <v>9.8000000000000004E-2</v>
      </c>
      <c r="AP51" s="9">
        <v>2019</v>
      </c>
    </row>
    <row r="52" spans="1:42" hidden="1" x14ac:dyDescent="0.3">
      <c r="A52" s="9" t="s">
        <v>119</v>
      </c>
      <c r="B52" s="9" t="s">
        <v>346</v>
      </c>
      <c r="C52" s="9" t="s">
        <v>347</v>
      </c>
      <c r="D52" s="9" t="s">
        <v>302</v>
      </c>
      <c r="E52" s="9" t="s">
        <v>284</v>
      </c>
      <c r="F52" s="14" t="s">
        <v>223</v>
      </c>
      <c r="G52" s="9" t="s">
        <v>348</v>
      </c>
      <c r="H52" s="9" t="s">
        <v>227</v>
      </c>
      <c r="I52" s="14"/>
      <c r="J52" s="9" t="s">
        <v>349</v>
      </c>
      <c r="AD52" s="9">
        <v>9</v>
      </c>
      <c r="AE52" s="9">
        <v>11</v>
      </c>
      <c r="AF52" s="9">
        <v>2009</v>
      </c>
      <c r="AG52" s="9">
        <v>9</v>
      </c>
      <c r="AH52" s="9">
        <v>11</v>
      </c>
      <c r="AI52" s="9">
        <v>2009</v>
      </c>
      <c r="AJ52" s="15">
        <v>0</v>
      </c>
      <c r="AK52" s="15"/>
      <c r="AL52" s="9">
        <v>5</v>
      </c>
      <c r="AM52" s="9">
        <v>0.08</v>
      </c>
      <c r="AN52" s="9">
        <v>0</v>
      </c>
      <c r="AO52" s="9">
        <v>0.1</v>
      </c>
      <c r="AP52" s="9">
        <v>2019</v>
      </c>
    </row>
    <row r="53" spans="1:42" hidden="1" x14ac:dyDescent="0.3">
      <c r="A53" s="9" t="s">
        <v>119</v>
      </c>
      <c r="B53" s="9" t="s">
        <v>346</v>
      </c>
      <c r="C53" s="9" t="s">
        <v>347</v>
      </c>
      <c r="D53" s="9" t="s">
        <v>302</v>
      </c>
      <c r="E53" s="9" t="s">
        <v>284</v>
      </c>
      <c r="F53" s="14" t="s">
        <v>223</v>
      </c>
      <c r="G53" s="9" t="s">
        <v>350</v>
      </c>
      <c r="H53" s="9" t="s">
        <v>227</v>
      </c>
      <c r="I53" s="14"/>
      <c r="AD53" s="9">
        <v>9</v>
      </c>
      <c r="AE53" s="9">
        <v>11</v>
      </c>
      <c r="AF53" s="9">
        <v>2009</v>
      </c>
      <c r="AG53" s="9">
        <v>28</v>
      </c>
      <c r="AH53" s="9">
        <v>9</v>
      </c>
      <c r="AI53" s="9">
        <v>2009</v>
      </c>
      <c r="AJ53" s="15">
        <v>0</v>
      </c>
      <c r="AK53" s="15"/>
      <c r="AL53" s="9">
        <v>5</v>
      </c>
      <c r="AM53" s="9">
        <v>0.04</v>
      </c>
      <c r="AN53" s="9">
        <v>0</v>
      </c>
      <c r="AO53" s="9">
        <v>0.02</v>
      </c>
      <c r="AP53" s="9">
        <v>2018</v>
      </c>
    </row>
    <row r="54" spans="1:42" hidden="1" x14ac:dyDescent="0.3">
      <c r="A54" s="13" t="s">
        <v>156</v>
      </c>
      <c r="B54" s="13" t="s">
        <v>351</v>
      </c>
      <c r="C54" s="9">
        <v>9828</v>
      </c>
      <c r="D54" s="9" t="s">
        <v>277</v>
      </c>
      <c r="E54" s="9" t="s">
        <v>284</v>
      </c>
      <c r="F54" s="14" t="s">
        <v>344</v>
      </c>
      <c r="G54" s="9" t="s">
        <v>298</v>
      </c>
      <c r="H54" s="9" t="s">
        <v>284</v>
      </c>
      <c r="I54" s="14"/>
      <c r="AD54" s="9">
        <v>28</v>
      </c>
      <c r="AE54" s="9">
        <v>5</v>
      </c>
      <c r="AF54" s="9">
        <v>1998</v>
      </c>
      <c r="AG54" s="9">
        <v>12</v>
      </c>
      <c r="AH54" s="9">
        <v>1</v>
      </c>
      <c r="AI54" s="9">
        <v>1998</v>
      </c>
      <c r="AJ54" s="15">
        <v>0</v>
      </c>
      <c r="AK54" s="15"/>
      <c r="AL54" s="12">
        <v>13.48</v>
      </c>
      <c r="AM54" s="12">
        <v>0.4</v>
      </c>
      <c r="AN54" s="9">
        <v>0</v>
      </c>
      <c r="AO54" s="9">
        <v>0.2</v>
      </c>
      <c r="AP54" s="9">
        <v>2018</v>
      </c>
    </row>
    <row r="55" spans="1:42" hidden="1" x14ac:dyDescent="0.3">
      <c r="A55" s="13" t="s">
        <v>156</v>
      </c>
      <c r="B55" s="13" t="s">
        <v>351</v>
      </c>
      <c r="C55" s="9">
        <v>9828</v>
      </c>
      <c r="D55" s="9" t="s">
        <v>277</v>
      </c>
      <c r="E55" s="9" t="s">
        <v>284</v>
      </c>
      <c r="F55" s="14" t="s">
        <v>344</v>
      </c>
      <c r="G55" s="9" t="s">
        <v>298</v>
      </c>
      <c r="H55" s="9" t="s">
        <v>284</v>
      </c>
      <c r="I55" s="14"/>
      <c r="AD55" s="9">
        <v>28</v>
      </c>
      <c r="AE55" s="9">
        <v>5</v>
      </c>
      <c r="AF55" s="9">
        <v>1998</v>
      </c>
      <c r="AG55" s="9">
        <v>12</v>
      </c>
      <c r="AH55" s="9">
        <v>1</v>
      </c>
      <c r="AI55" s="9">
        <v>1998</v>
      </c>
      <c r="AJ55" s="15">
        <v>0</v>
      </c>
      <c r="AK55" s="15"/>
      <c r="AL55" s="12">
        <v>13.48</v>
      </c>
      <c r="AM55" s="12">
        <v>0.4</v>
      </c>
      <c r="AN55" s="9">
        <v>0</v>
      </c>
      <c r="AO55" s="9">
        <v>0.2</v>
      </c>
      <c r="AP55" s="9">
        <v>2019</v>
      </c>
    </row>
    <row r="56" spans="1:42" hidden="1" x14ac:dyDescent="0.3">
      <c r="A56" s="9" t="s">
        <v>126</v>
      </c>
      <c r="B56" s="13" t="s">
        <v>352</v>
      </c>
      <c r="C56" s="9">
        <v>10862</v>
      </c>
      <c r="D56" s="9" t="s">
        <v>283</v>
      </c>
      <c r="E56" s="9" t="s">
        <v>284</v>
      </c>
      <c r="F56" s="14" t="s">
        <v>353</v>
      </c>
      <c r="G56" s="9" t="s">
        <v>324</v>
      </c>
      <c r="H56" s="9" t="s">
        <v>354</v>
      </c>
      <c r="I56" s="14"/>
      <c r="AD56" s="9">
        <v>22</v>
      </c>
      <c r="AE56" s="9">
        <v>6</v>
      </c>
      <c r="AF56" s="9">
        <v>2017</v>
      </c>
      <c r="AG56" s="9">
        <v>22</v>
      </c>
      <c r="AH56" s="9">
        <v>6</v>
      </c>
      <c r="AI56" s="9">
        <v>2017</v>
      </c>
      <c r="AJ56" s="15">
        <v>0</v>
      </c>
      <c r="AK56" s="16"/>
      <c r="AL56" s="9">
        <v>0</v>
      </c>
      <c r="AM56" s="9">
        <v>0</v>
      </c>
      <c r="AN56" s="9">
        <v>0</v>
      </c>
      <c r="AO56" s="9">
        <v>0</v>
      </c>
      <c r="AP56" s="9">
        <v>2018</v>
      </c>
    </row>
    <row r="57" spans="1:42" hidden="1" x14ac:dyDescent="0.3">
      <c r="A57" s="13" t="s">
        <v>126</v>
      </c>
      <c r="B57" s="13" t="s">
        <v>352</v>
      </c>
      <c r="C57" s="9">
        <v>10862</v>
      </c>
      <c r="D57" s="9" t="s">
        <v>283</v>
      </c>
      <c r="E57" s="9" t="s">
        <v>284</v>
      </c>
      <c r="F57" s="14" t="s">
        <v>353</v>
      </c>
      <c r="G57" s="10" t="s">
        <v>354</v>
      </c>
      <c r="H57" s="10" t="s">
        <v>355</v>
      </c>
      <c r="I57" s="11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9">
        <v>27</v>
      </c>
      <c r="AE57" s="9">
        <v>6</v>
      </c>
      <c r="AF57" s="9">
        <v>2017</v>
      </c>
      <c r="AG57" s="9">
        <v>6</v>
      </c>
      <c r="AH57" s="9">
        <v>4</v>
      </c>
      <c r="AI57" s="9">
        <v>2018</v>
      </c>
      <c r="AJ57" s="15">
        <v>0</v>
      </c>
      <c r="AK57" s="16"/>
      <c r="AL57" s="9">
        <v>0</v>
      </c>
      <c r="AM57" s="9">
        <v>0</v>
      </c>
      <c r="AN57" s="9">
        <v>0</v>
      </c>
      <c r="AO57" s="9">
        <v>0</v>
      </c>
      <c r="AP57" s="9">
        <v>2019</v>
      </c>
    </row>
    <row r="58" spans="1:42" hidden="1" x14ac:dyDescent="0.3">
      <c r="A58" s="9" t="s">
        <v>130</v>
      </c>
      <c r="B58" s="13" t="s">
        <v>286</v>
      </c>
      <c r="C58" s="9" t="s">
        <v>356</v>
      </c>
      <c r="D58" s="9" t="s">
        <v>283</v>
      </c>
      <c r="E58" s="9" t="s">
        <v>284</v>
      </c>
      <c r="F58" s="14" t="s">
        <v>285</v>
      </c>
      <c r="G58" s="9" t="s">
        <v>357</v>
      </c>
      <c r="H58" s="9" t="s">
        <v>284</v>
      </c>
      <c r="I58" s="14"/>
      <c r="AD58" s="9" t="s">
        <v>144</v>
      </c>
      <c r="AE58" s="9" t="s">
        <v>144</v>
      </c>
      <c r="AF58" s="9" t="s">
        <v>144</v>
      </c>
      <c r="AG58" s="9">
        <v>14</v>
      </c>
      <c r="AH58" s="9">
        <v>12</v>
      </c>
      <c r="AI58" s="9">
        <v>2018</v>
      </c>
      <c r="AJ58" s="15">
        <v>0</v>
      </c>
      <c r="AK58" s="16"/>
      <c r="AL58" s="9">
        <v>1.41</v>
      </c>
      <c r="AM58" s="9">
        <v>1.41</v>
      </c>
      <c r="AN58" s="9">
        <v>0</v>
      </c>
      <c r="AO58" s="9">
        <v>0</v>
      </c>
      <c r="AP58" s="9">
        <v>2019</v>
      </c>
    </row>
    <row r="59" spans="1:42" hidden="1" x14ac:dyDescent="0.3">
      <c r="A59" s="9" t="s">
        <v>130</v>
      </c>
      <c r="B59" s="13" t="s">
        <v>286</v>
      </c>
      <c r="C59" s="9">
        <v>266694</v>
      </c>
      <c r="D59" s="9" t="s">
        <v>283</v>
      </c>
      <c r="E59" s="9" t="s">
        <v>284</v>
      </c>
      <c r="F59" s="14" t="s">
        <v>285</v>
      </c>
      <c r="G59" s="9" t="s">
        <v>357</v>
      </c>
      <c r="H59" s="9" t="s">
        <v>284</v>
      </c>
      <c r="I59" s="14"/>
      <c r="AG59" s="9">
        <v>14</v>
      </c>
      <c r="AH59" s="9">
        <v>12</v>
      </c>
      <c r="AI59" s="9">
        <v>2018</v>
      </c>
      <c r="AJ59" s="15">
        <v>0</v>
      </c>
      <c r="AK59" s="16"/>
      <c r="AL59" s="9">
        <v>1.41</v>
      </c>
      <c r="AM59" s="9">
        <v>1.41</v>
      </c>
      <c r="AN59" s="9">
        <v>0</v>
      </c>
      <c r="AO59" s="9">
        <v>0</v>
      </c>
      <c r="AP59" s="9">
        <v>2018</v>
      </c>
    </row>
    <row r="60" spans="1:42" hidden="1" x14ac:dyDescent="0.3">
      <c r="A60" s="9" t="s">
        <v>134</v>
      </c>
      <c r="B60" s="9" t="s">
        <v>358</v>
      </c>
      <c r="C60" s="9">
        <v>2011770</v>
      </c>
      <c r="D60" s="9" t="s">
        <v>277</v>
      </c>
      <c r="E60" s="9" t="s">
        <v>254</v>
      </c>
      <c r="F60" s="14" t="s">
        <v>223</v>
      </c>
      <c r="G60" s="9" t="s">
        <v>358</v>
      </c>
      <c r="H60" s="13" t="s">
        <v>816</v>
      </c>
      <c r="I60" s="14"/>
      <c r="AD60" s="9" t="s">
        <v>295</v>
      </c>
      <c r="AE60" s="9">
        <v>10</v>
      </c>
      <c r="AF60" s="9">
        <v>2008</v>
      </c>
      <c r="AG60" s="9">
        <v>8</v>
      </c>
      <c r="AH60" s="9">
        <v>6</v>
      </c>
      <c r="AI60" s="9">
        <v>2011</v>
      </c>
      <c r="AJ60" s="15">
        <v>0</v>
      </c>
      <c r="AK60" s="16"/>
      <c r="AL60" s="12">
        <v>661</v>
      </c>
      <c r="AM60" s="12">
        <v>10</v>
      </c>
      <c r="AN60" s="9">
        <v>0</v>
      </c>
      <c r="AO60" s="9">
        <v>0</v>
      </c>
      <c r="AP60" s="9">
        <v>2018</v>
      </c>
    </row>
    <row r="61" spans="1:42" hidden="1" x14ac:dyDescent="0.3">
      <c r="A61" s="13" t="s">
        <v>134</v>
      </c>
      <c r="B61" s="9" t="s">
        <v>358</v>
      </c>
      <c r="C61" s="9">
        <v>2011770</v>
      </c>
      <c r="D61" s="9" t="s">
        <v>277</v>
      </c>
      <c r="E61" s="9" t="s">
        <v>254</v>
      </c>
      <c r="F61" s="14" t="s">
        <v>223</v>
      </c>
      <c r="G61" s="10" t="s">
        <v>358</v>
      </c>
      <c r="H61" s="10" t="s">
        <v>359</v>
      </c>
      <c r="I61" s="11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E61" s="9">
        <v>10</v>
      </c>
      <c r="AF61" s="9">
        <v>2008</v>
      </c>
      <c r="AG61" s="9">
        <v>8</v>
      </c>
      <c r="AH61" s="9">
        <v>6</v>
      </c>
      <c r="AI61" s="9">
        <v>2011</v>
      </c>
      <c r="AJ61" s="15">
        <v>0</v>
      </c>
      <c r="AK61" s="16"/>
      <c r="AL61" s="12">
        <v>661</v>
      </c>
      <c r="AM61" s="12">
        <v>10</v>
      </c>
      <c r="AN61" s="9">
        <v>0</v>
      </c>
      <c r="AO61" s="9">
        <v>0</v>
      </c>
      <c r="AP61" s="9">
        <v>2019</v>
      </c>
    </row>
    <row r="62" spans="1:42" hidden="1" x14ac:dyDescent="0.3">
      <c r="A62" s="9" t="s">
        <v>360</v>
      </c>
      <c r="B62" s="13" t="s">
        <v>361</v>
      </c>
      <c r="C62" s="9" t="s">
        <v>362</v>
      </c>
      <c r="D62" s="9" t="s">
        <v>221</v>
      </c>
      <c r="E62" s="9" t="s">
        <v>239</v>
      </c>
      <c r="F62" s="14" t="s">
        <v>240</v>
      </c>
      <c r="G62" s="9" t="s">
        <v>259</v>
      </c>
      <c r="H62" s="9" t="s">
        <v>239</v>
      </c>
      <c r="I62" s="14"/>
      <c r="AD62" s="9">
        <v>1</v>
      </c>
      <c r="AE62" s="9">
        <v>7</v>
      </c>
      <c r="AF62" s="9">
        <v>2011</v>
      </c>
      <c r="AG62" s="9">
        <v>23</v>
      </c>
      <c r="AH62" s="9">
        <v>2</v>
      </c>
      <c r="AI62" s="9">
        <v>2018</v>
      </c>
      <c r="AJ62" s="15">
        <v>615485</v>
      </c>
      <c r="AK62" s="15"/>
      <c r="AL62" s="9">
        <v>39</v>
      </c>
      <c r="AM62" s="9">
        <v>0</v>
      </c>
      <c r="AN62" s="9">
        <v>0</v>
      </c>
      <c r="AO62" s="9">
        <v>0</v>
      </c>
      <c r="AP62" s="9">
        <v>2019</v>
      </c>
    </row>
    <row r="63" spans="1:42" hidden="1" x14ac:dyDescent="0.3">
      <c r="A63" s="9" t="s">
        <v>360</v>
      </c>
      <c r="B63" s="13" t="s">
        <v>361</v>
      </c>
      <c r="C63" s="9" t="s">
        <v>362</v>
      </c>
      <c r="D63" s="9" t="s">
        <v>221</v>
      </c>
      <c r="E63" s="9" t="s">
        <v>239</v>
      </c>
      <c r="F63" s="14" t="s">
        <v>240</v>
      </c>
      <c r="G63" s="9" t="s">
        <v>259</v>
      </c>
      <c r="H63" s="9" t="s">
        <v>239</v>
      </c>
      <c r="I63" s="14"/>
      <c r="AD63" s="9">
        <v>1</v>
      </c>
      <c r="AE63" s="9">
        <v>7</v>
      </c>
      <c r="AF63" s="9">
        <v>2011</v>
      </c>
      <c r="AG63" s="9">
        <v>14</v>
      </c>
      <c r="AH63" s="9">
        <v>7</v>
      </c>
      <c r="AI63" s="9">
        <v>2011</v>
      </c>
      <c r="AJ63" s="15">
        <v>615485</v>
      </c>
      <c r="AK63" s="15"/>
      <c r="AL63" s="9">
        <v>39</v>
      </c>
      <c r="AM63" s="9">
        <v>0</v>
      </c>
      <c r="AN63" s="17">
        <v>8</v>
      </c>
      <c r="AO63" s="9">
        <v>0</v>
      </c>
      <c r="AP63" s="9">
        <v>2018</v>
      </c>
    </row>
    <row r="64" spans="1:42" hidden="1" x14ac:dyDescent="0.3">
      <c r="A64" s="13" t="s">
        <v>149</v>
      </c>
      <c r="B64" s="9" t="s">
        <v>363</v>
      </c>
      <c r="C64" s="9" t="s">
        <v>364</v>
      </c>
      <c r="D64" s="9" t="s">
        <v>277</v>
      </c>
      <c r="E64" s="9" t="s">
        <v>239</v>
      </c>
      <c r="F64" s="14" t="s">
        <v>240</v>
      </c>
      <c r="G64" s="9" t="s">
        <v>365</v>
      </c>
      <c r="H64" s="9" t="s">
        <v>241</v>
      </c>
      <c r="I64" s="14"/>
      <c r="AD64" s="9">
        <v>17</v>
      </c>
      <c r="AE64" s="9">
        <v>6</v>
      </c>
      <c r="AF64" s="9">
        <v>2010</v>
      </c>
      <c r="AG64" s="9">
        <v>2</v>
      </c>
      <c r="AH64" s="9">
        <v>11</v>
      </c>
      <c r="AI64" s="9">
        <v>2007</v>
      </c>
      <c r="AJ64" s="16"/>
      <c r="AK64" s="15"/>
      <c r="AL64" s="12">
        <v>120</v>
      </c>
      <c r="AM64" s="23">
        <v>1.1200000000000001</v>
      </c>
      <c r="AN64" s="9">
        <v>0</v>
      </c>
      <c r="AO64" s="9">
        <v>0</v>
      </c>
      <c r="AP64" s="9">
        <v>2019</v>
      </c>
    </row>
    <row r="65" spans="1:42" hidden="1" x14ac:dyDescent="0.3">
      <c r="A65" s="13" t="s">
        <v>149</v>
      </c>
      <c r="B65" s="9" t="s">
        <v>363</v>
      </c>
      <c r="C65" s="9" t="s">
        <v>364</v>
      </c>
      <c r="D65" s="9" t="s">
        <v>277</v>
      </c>
      <c r="E65" s="9" t="s">
        <v>239</v>
      </c>
      <c r="F65" s="14" t="s">
        <v>240</v>
      </c>
      <c r="G65" s="9" t="s">
        <v>366</v>
      </c>
      <c r="H65" s="9" t="s">
        <v>241</v>
      </c>
      <c r="I65" s="14" t="s">
        <v>240</v>
      </c>
      <c r="J65" s="9" t="s">
        <v>366</v>
      </c>
      <c r="K65" s="9" t="s">
        <v>241</v>
      </c>
      <c r="AD65" s="9">
        <v>17</v>
      </c>
      <c r="AE65" s="9">
        <v>6</v>
      </c>
      <c r="AF65" s="9">
        <v>2010</v>
      </c>
      <c r="AG65" s="9">
        <v>2</v>
      </c>
      <c r="AH65" s="9">
        <v>11</v>
      </c>
      <c r="AI65" s="9">
        <v>2007</v>
      </c>
      <c r="AJ65" s="16"/>
      <c r="AK65" s="15"/>
      <c r="AL65" s="12">
        <v>120</v>
      </c>
      <c r="AM65" s="23">
        <v>1.1200000000000001</v>
      </c>
      <c r="AN65" s="9">
        <v>0</v>
      </c>
      <c r="AO65" s="9">
        <v>0</v>
      </c>
      <c r="AP65" s="9">
        <v>2018</v>
      </c>
    </row>
    <row r="66" spans="1:42" s="17" customFormat="1" hidden="1" x14ac:dyDescent="0.3">
      <c r="A66" s="9" t="s">
        <v>297</v>
      </c>
      <c r="B66" s="9" t="s">
        <v>298</v>
      </c>
      <c r="C66" s="9" t="s">
        <v>299</v>
      </c>
      <c r="D66" s="9" t="s">
        <v>277</v>
      </c>
      <c r="E66" s="9" t="s">
        <v>284</v>
      </c>
      <c r="F66" s="14" t="s">
        <v>285</v>
      </c>
      <c r="G66" s="10" t="s">
        <v>298</v>
      </c>
      <c r="H66" s="10" t="s">
        <v>284</v>
      </c>
      <c r="I66" s="11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9">
        <v>12</v>
      </c>
      <c r="AE66" s="9">
        <v>12</v>
      </c>
      <c r="AF66" s="9">
        <v>2008</v>
      </c>
      <c r="AG66" s="9">
        <v>12</v>
      </c>
      <c r="AH66" s="9">
        <v>12</v>
      </c>
      <c r="AI66" s="9">
        <v>2008</v>
      </c>
      <c r="AJ66" s="15">
        <v>0</v>
      </c>
      <c r="AK66" s="15"/>
      <c r="AL66" s="12">
        <v>14.23</v>
      </c>
      <c r="AM66" s="12">
        <v>1</v>
      </c>
      <c r="AN66" s="9">
        <v>0</v>
      </c>
      <c r="AO66" s="9">
        <v>0</v>
      </c>
      <c r="AP66" s="9">
        <v>2019</v>
      </c>
    </row>
    <row r="67" spans="1:42" hidden="1" x14ac:dyDescent="0.3">
      <c r="A67" s="13" t="s">
        <v>312</v>
      </c>
      <c r="B67" s="9" t="s">
        <v>313</v>
      </c>
      <c r="C67" s="9" t="s">
        <v>314</v>
      </c>
      <c r="D67" s="9" t="s">
        <v>277</v>
      </c>
      <c r="E67" s="13" t="s">
        <v>284</v>
      </c>
      <c r="F67" s="14" t="s">
        <v>315</v>
      </c>
      <c r="G67" s="9" t="s">
        <v>316</v>
      </c>
      <c r="H67" s="9" t="s">
        <v>317</v>
      </c>
      <c r="I67" s="14" t="s">
        <v>318</v>
      </c>
      <c r="J67" s="9" t="s">
        <v>316</v>
      </c>
      <c r="K67" s="9" t="s">
        <v>219</v>
      </c>
      <c r="L67" s="9" t="s">
        <v>319</v>
      </c>
      <c r="M67" s="9" t="s">
        <v>316</v>
      </c>
      <c r="N67" s="9" t="s">
        <v>219</v>
      </c>
      <c r="O67" s="9" t="s">
        <v>320</v>
      </c>
      <c r="P67" s="9" t="s">
        <v>316</v>
      </c>
      <c r="Q67" s="9" t="s">
        <v>219</v>
      </c>
      <c r="AD67" s="9">
        <v>9</v>
      </c>
      <c r="AE67" s="9">
        <v>9</v>
      </c>
      <c r="AF67" s="9">
        <v>2004</v>
      </c>
      <c r="AG67" s="9">
        <v>19</v>
      </c>
      <c r="AH67" s="9">
        <v>9</v>
      </c>
      <c r="AI67" s="9">
        <v>2004</v>
      </c>
      <c r="AJ67" s="15">
        <v>0</v>
      </c>
      <c r="AK67" s="15"/>
      <c r="AL67" s="12">
        <v>445</v>
      </c>
      <c r="AM67" s="12">
        <v>2.2000000000000002</v>
      </c>
      <c r="AN67" s="9">
        <v>0</v>
      </c>
      <c r="AO67" s="9">
        <v>2</v>
      </c>
      <c r="AP67" s="9">
        <v>2019</v>
      </c>
    </row>
    <row r="68" spans="1:42" hidden="1" x14ac:dyDescent="0.3">
      <c r="A68" s="9" t="s">
        <v>175</v>
      </c>
      <c r="B68" s="13" t="s">
        <v>367</v>
      </c>
      <c r="C68" s="9" t="s">
        <v>368</v>
      </c>
      <c r="D68" s="9" t="s">
        <v>277</v>
      </c>
      <c r="E68" s="13" t="s">
        <v>369</v>
      </c>
      <c r="F68" s="14" t="s">
        <v>285</v>
      </c>
      <c r="G68" s="24" t="s">
        <v>286</v>
      </c>
      <c r="H68" s="24" t="s">
        <v>310</v>
      </c>
      <c r="I68" s="25" t="s">
        <v>285</v>
      </c>
      <c r="J68" s="24" t="s">
        <v>367</v>
      </c>
      <c r="K68" s="10" t="s">
        <v>371</v>
      </c>
      <c r="L68" s="24" t="s">
        <v>285</v>
      </c>
      <c r="M68" s="24" t="s">
        <v>298</v>
      </c>
      <c r="N68" s="24" t="s">
        <v>310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9">
        <v>3</v>
      </c>
      <c r="AE68" s="9">
        <v>2</v>
      </c>
      <c r="AF68" s="9">
        <v>2006</v>
      </c>
      <c r="AG68" s="9">
        <v>19</v>
      </c>
      <c r="AH68" s="9">
        <v>4</v>
      </c>
      <c r="AI68" s="9">
        <v>2006</v>
      </c>
      <c r="AL68" s="9">
        <v>4.6100000000000003</v>
      </c>
      <c r="AP68" s="9">
        <v>2018</v>
      </c>
    </row>
    <row r="69" spans="1:42" hidden="1" x14ac:dyDescent="0.3">
      <c r="A69" s="9" t="s">
        <v>175</v>
      </c>
      <c r="B69" s="13" t="s">
        <v>367</v>
      </c>
      <c r="C69" s="9" t="s">
        <v>368</v>
      </c>
      <c r="D69" s="9" t="s">
        <v>277</v>
      </c>
      <c r="E69" s="13" t="s">
        <v>369</v>
      </c>
      <c r="F69" s="14" t="s">
        <v>285</v>
      </c>
      <c r="G69" s="24" t="s">
        <v>286</v>
      </c>
      <c r="H69" s="24" t="s">
        <v>310</v>
      </c>
      <c r="I69" s="25" t="s">
        <v>285</v>
      </c>
      <c r="J69" s="24" t="s">
        <v>367</v>
      </c>
      <c r="K69" s="10" t="s">
        <v>371</v>
      </c>
      <c r="L69" s="24" t="s">
        <v>285</v>
      </c>
      <c r="M69" s="24" t="s">
        <v>298</v>
      </c>
      <c r="N69" s="24" t="s">
        <v>310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9">
        <v>3</v>
      </c>
      <c r="AE69" s="9">
        <v>2</v>
      </c>
      <c r="AF69" s="9">
        <v>2006</v>
      </c>
      <c r="AG69" s="9">
        <v>19</v>
      </c>
      <c r="AH69" s="9">
        <v>4</v>
      </c>
      <c r="AI69" s="9">
        <v>2006</v>
      </c>
      <c r="AL69" s="9">
        <v>4.6100000000000003</v>
      </c>
      <c r="AP69" s="9">
        <v>2019</v>
      </c>
    </row>
    <row r="75" spans="1:42" x14ac:dyDescent="0.3">
      <c r="AN75" s="13"/>
    </row>
  </sheetData>
  <autoFilter ref="A1:AP69">
    <filterColumn colId="0">
      <filters>
        <filter val="COGECA"/>
      </filters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zoomScale="130" zoomScaleNormal="130" workbookViewId="0">
      <selection activeCell="F5" sqref="F5"/>
    </sheetView>
  </sheetViews>
  <sheetFormatPr baseColWidth="10" defaultColWidth="10.88671875" defaultRowHeight="14.4" x14ac:dyDescent="0.3"/>
  <cols>
    <col min="1" max="1" width="29.5546875" style="17" customWidth="1"/>
    <col min="2" max="2" width="19.5546875" style="17" customWidth="1"/>
    <col min="3" max="3" width="20.109375" style="17" customWidth="1"/>
    <col min="4" max="4" width="13.109375" style="17" bestFit="1" customWidth="1"/>
    <col min="5" max="5" width="9.33203125" style="17" bestFit="1" customWidth="1"/>
    <col min="6" max="6" width="10.88671875" style="17" customWidth="1"/>
    <col min="7" max="7" width="12.109375" style="17" customWidth="1"/>
    <col min="8" max="8" width="13.5546875" style="17" customWidth="1"/>
    <col min="9" max="13" width="10.88671875" style="17" customWidth="1"/>
    <col min="14" max="16384" width="10.88671875" style="17"/>
  </cols>
  <sheetData>
    <row r="1" spans="1:14" ht="15" customHeight="1" x14ac:dyDescent="0.3">
      <c r="A1" s="8" t="s">
        <v>0</v>
      </c>
      <c r="B1" s="17" t="s">
        <v>180</v>
      </c>
      <c r="C1" s="18" t="s">
        <v>393</v>
      </c>
      <c r="D1" s="17" t="s">
        <v>392</v>
      </c>
      <c r="E1" s="17" t="s">
        <v>391</v>
      </c>
      <c r="F1" s="17" t="s">
        <v>390</v>
      </c>
      <c r="G1" s="18" t="s">
        <v>389</v>
      </c>
      <c r="H1" s="18" t="s">
        <v>388</v>
      </c>
      <c r="I1" s="17" t="s">
        <v>387</v>
      </c>
      <c r="J1" s="17" t="s">
        <v>386</v>
      </c>
      <c r="K1" s="17" t="s">
        <v>385</v>
      </c>
      <c r="L1" s="18" t="s">
        <v>384</v>
      </c>
      <c r="M1" s="18" t="s">
        <v>383</v>
      </c>
      <c r="N1" s="17" t="s">
        <v>218</v>
      </c>
    </row>
    <row r="2" spans="1:14" ht="15" customHeight="1" x14ac:dyDescent="0.3">
      <c r="A2" s="17" t="s">
        <v>3</v>
      </c>
      <c r="B2" s="17" t="s">
        <v>220</v>
      </c>
      <c r="C2" s="17" t="s">
        <v>221</v>
      </c>
      <c r="D2" s="26" t="s">
        <v>376</v>
      </c>
      <c r="E2" s="17" t="s">
        <v>382</v>
      </c>
      <c r="I2" s="17">
        <v>365</v>
      </c>
      <c r="J2" s="17">
        <v>105</v>
      </c>
      <c r="N2" s="17">
        <v>2018</v>
      </c>
    </row>
    <row r="3" spans="1:14" ht="15" customHeight="1" x14ac:dyDescent="0.3">
      <c r="A3" s="17" t="s">
        <v>11</v>
      </c>
      <c r="B3" s="17" t="s">
        <v>249</v>
      </c>
      <c r="C3" s="17" t="s">
        <v>221</v>
      </c>
      <c r="D3" s="26" t="s">
        <v>375</v>
      </c>
      <c r="E3" s="26" t="s">
        <v>374</v>
      </c>
      <c r="F3" s="9"/>
      <c r="I3" s="28">
        <v>6360.4</v>
      </c>
      <c r="J3" s="9">
        <v>11953</v>
      </c>
      <c r="K3" s="9"/>
      <c r="L3" s="9"/>
      <c r="M3" s="9"/>
      <c r="N3" s="17">
        <v>2018</v>
      </c>
    </row>
    <row r="4" spans="1:14" ht="15" customHeight="1" x14ac:dyDescent="0.3">
      <c r="A4" s="17" t="s">
        <v>11</v>
      </c>
      <c r="B4" s="17" t="s">
        <v>249</v>
      </c>
      <c r="C4" s="17" t="s">
        <v>221</v>
      </c>
      <c r="D4" s="26" t="s">
        <v>375</v>
      </c>
      <c r="E4" s="26" t="s">
        <v>374</v>
      </c>
      <c r="F4" s="9"/>
      <c r="I4" s="9">
        <v>3422</v>
      </c>
      <c r="J4" s="9">
        <v>16543</v>
      </c>
      <c r="K4" s="9"/>
      <c r="L4" s="9"/>
      <c r="M4" s="9"/>
      <c r="N4" s="17">
        <v>2019</v>
      </c>
    </row>
    <row r="5" spans="1:14" ht="15" customHeight="1" x14ac:dyDescent="0.3">
      <c r="A5" s="17" t="s">
        <v>16</v>
      </c>
      <c r="B5" s="17" t="s">
        <v>253</v>
      </c>
      <c r="C5" s="17" t="s">
        <v>221</v>
      </c>
      <c r="D5" s="26" t="s">
        <v>377</v>
      </c>
      <c r="E5" s="26" t="s">
        <v>263</v>
      </c>
      <c r="F5" s="9"/>
      <c r="I5" s="9">
        <v>39</v>
      </c>
      <c r="J5" s="9"/>
      <c r="K5" s="9"/>
      <c r="L5" s="9"/>
      <c r="M5" s="9"/>
      <c r="N5" s="17">
        <v>2018</v>
      </c>
    </row>
    <row r="6" spans="1:14" ht="15" customHeight="1" x14ac:dyDescent="0.3">
      <c r="A6" s="17" t="s">
        <v>30</v>
      </c>
      <c r="B6" s="17" t="s">
        <v>267</v>
      </c>
      <c r="C6" s="17" t="s">
        <v>221</v>
      </c>
      <c r="D6" s="26" t="s">
        <v>376</v>
      </c>
      <c r="E6" s="26" t="s">
        <v>263</v>
      </c>
      <c r="F6" s="9"/>
      <c r="I6" s="9">
        <v>13472</v>
      </c>
      <c r="J6" s="9"/>
      <c r="K6" s="9"/>
      <c r="L6" s="9"/>
      <c r="M6" s="9"/>
      <c r="N6" s="17">
        <v>2019</v>
      </c>
    </row>
    <row r="7" spans="1:14" ht="15" customHeight="1" x14ac:dyDescent="0.3">
      <c r="A7" s="17" t="s">
        <v>30</v>
      </c>
      <c r="B7" s="17" t="s">
        <v>271</v>
      </c>
      <c r="C7" s="17" t="s">
        <v>221</v>
      </c>
      <c r="D7" s="26" t="s">
        <v>374</v>
      </c>
      <c r="E7" s="26" t="s">
        <v>379</v>
      </c>
      <c r="F7" s="13" t="s">
        <v>381</v>
      </c>
      <c r="G7" s="13" t="s">
        <v>380</v>
      </c>
      <c r="H7" s="9"/>
      <c r="I7" s="9">
        <v>10579</v>
      </c>
      <c r="J7" s="9">
        <v>21598</v>
      </c>
      <c r="K7" s="28">
        <v>44.5</v>
      </c>
      <c r="L7" s="28">
        <v>163.41999999999999</v>
      </c>
      <c r="M7" s="9"/>
      <c r="N7" s="17">
        <v>2019</v>
      </c>
    </row>
    <row r="8" spans="1:14" ht="15" customHeight="1" x14ac:dyDescent="0.3">
      <c r="A8" s="17" t="s">
        <v>30</v>
      </c>
      <c r="B8" s="17" t="s">
        <v>271</v>
      </c>
      <c r="C8" s="17" t="s">
        <v>221</v>
      </c>
      <c r="D8" s="26" t="s">
        <v>379</v>
      </c>
      <c r="E8" s="26" t="s">
        <v>375</v>
      </c>
      <c r="F8" s="9" t="s">
        <v>374</v>
      </c>
      <c r="G8" s="13" t="s">
        <v>378</v>
      </c>
      <c r="H8" s="26" t="s">
        <v>377</v>
      </c>
      <c r="I8" s="9">
        <v>4175</v>
      </c>
      <c r="J8" s="28">
        <v>2476.3000000000002</v>
      </c>
      <c r="K8" s="28">
        <v>104371</v>
      </c>
      <c r="L8" s="28">
        <v>271.5</v>
      </c>
      <c r="M8" s="28">
        <v>228.65</v>
      </c>
      <c r="N8" s="17">
        <v>2018</v>
      </c>
    </row>
    <row r="9" spans="1:14" ht="15" customHeight="1" x14ac:dyDescent="0.3">
      <c r="A9" s="17" t="s">
        <v>42</v>
      </c>
      <c r="B9" s="17" t="s">
        <v>289</v>
      </c>
      <c r="C9" s="17" t="s">
        <v>221</v>
      </c>
      <c r="D9" s="26" t="s">
        <v>374</v>
      </c>
      <c r="E9" s="26" t="s">
        <v>375</v>
      </c>
      <c r="F9" s="9"/>
      <c r="I9" s="9">
        <v>542</v>
      </c>
      <c r="J9" s="9">
        <v>71</v>
      </c>
      <c r="K9" s="9"/>
      <c r="L9" s="9"/>
      <c r="M9" s="9"/>
      <c r="N9" s="17">
        <v>2019</v>
      </c>
    </row>
    <row r="10" spans="1:14" ht="15" customHeight="1" x14ac:dyDescent="0.3">
      <c r="A10" s="18" t="s">
        <v>312</v>
      </c>
      <c r="B10" s="17" t="s">
        <v>314</v>
      </c>
      <c r="C10" s="17" t="s">
        <v>277</v>
      </c>
      <c r="D10" s="26" t="s">
        <v>376</v>
      </c>
      <c r="E10" s="26" t="s">
        <v>374</v>
      </c>
      <c r="I10" s="17">
        <v>329</v>
      </c>
      <c r="J10" s="17">
        <v>11719</v>
      </c>
      <c r="N10" s="17">
        <v>2018</v>
      </c>
    </row>
    <row r="11" spans="1:14" ht="15" customHeight="1" x14ac:dyDescent="0.3">
      <c r="A11" s="17" t="s">
        <v>89</v>
      </c>
      <c r="B11" s="17" t="s">
        <v>326</v>
      </c>
      <c r="C11" s="17" t="s">
        <v>277</v>
      </c>
      <c r="D11" s="26" t="s">
        <v>375</v>
      </c>
      <c r="E11" s="26" t="s">
        <v>263</v>
      </c>
      <c r="I11" s="18">
        <v>450</v>
      </c>
      <c r="N11" s="17">
        <v>2019</v>
      </c>
    </row>
    <row r="12" spans="1:14" ht="15" customHeight="1" x14ac:dyDescent="0.3">
      <c r="A12" s="17" t="s">
        <v>89</v>
      </c>
      <c r="B12" s="17" t="s">
        <v>326</v>
      </c>
      <c r="C12" s="17" t="s">
        <v>277</v>
      </c>
      <c r="D12" s="26" t="s">
        <v>375</v>
      </c>
      <c r="E12" s="26" t="s">
        <v>263</v>
      </c>
      <c r="I12" s="17">
        <v>1005</v>
      </c>
      <c r="N12" s="17">
        <v>2018</v>
      </c>
    </row>
    <row r="13" spans="1:14" ht="15" customHeight="1" x14ac:dyDescent="0.3">
      <c r="A13" s="17" t="s">
        <v>94</v>
      </c>
      <c r="B13" s="17" t="s">
        <v>332</v>
      </c>
      <c r="C13" s="17" t="s">
        <v>238</v>
      </c>
      <c r="D13" s="26" t="s">
        <v>374</v>
      </c>
      <c r="E13" s="26" t="s">
        <v>263</v>
      </c>
      <c r="I13" s="17">
        <v>13088</v>
      </c>
      <c r="N13" s="17">
        <v>2019</v>
      </c>
    </row>
    <row r="14" spans="1:14" ht="15" customHeight="1" x14ac:dyDescent="0.3">
      <c r="A14" s="17" t="s">
        <v>98</v>
      </c>
      <c r="B14" s="17" t="s">
        <v>335</v>
      </c>
      <c r="C14" s="17" t="s">
        <v>277</v>
      </c>
      <c r="D14" s="26" t="s">
        <v>375</v>
      </c>
      <c r="E14" s="26" t="s">
        <v>263</v>
      </c>
      <c r="I14" s="27">
        <v>14178.080000000002</v>
      </c>
      <c r="N14" s="17">
        <v>2018</v>
      </c>
    </row>
    <row r="15" spans="1:14" ht="15" customHeight="1" x14ac:dyDescent="0.3">
      <c r="A15" s="17" t="s">
        <v>103</v>
      </c>
      <c r="B15" s="17" t="s">
        <v>314</v>
      </c>
      <c r="C15" s="17" t="s">
        <v>277</v>
      </c>
      <c r="D15" s="26" t="s">
        <v>374</v>
      </c>
      <c r="E15" s="26" t="s">
        <v>263</v>
      </c>
      <c r="I15" s="17">
        <v>27323</v>
      </c>
      <c r="N15" s="17">
        <v>2019</v>
      </c>
    </row>
    <row r="16" spans="1:14" ht="15" customHeight="1" x14ac:dyDescent="0.3">
      <c r="A16" s="17" t="s">
        <v>103</v>
      </c>
      <c r="B16" s="17">
        <v>4068</v>
      </c>
      <c r="C16" s="17" t="s">
        <v>277</v>
      </c>
      <c r="D16" s="26" t="s">
        <v>373</v>
      </c>
      <c r="E16" s="26" t="s">
        <v>263</v>
      </c>
      <c r="I16" s="17">
        <v>27323</v>
      </c>
      <c r="N16" s="17">
        <v>2019</v>
      </c>
    </row>
    <row r="17" spans="1:14" ht="15" customHeight="1" x14ac:dyDescent="0.3">
      <c r="A17" s="17" t="s">
        <v>103</v>
      </c>
      <c r="C17" s="17" t="s">
        <v>277</v>
      </c>
      <c r="D17" s="26" t="s">
        <v>373</v>
      </c>
      <c r="E17" s="26" t="s">
        <v>263</v>
      </c>
      <c r="I17" s="17">
        <v>21169</v>
      </c>
      <c r="N17" s="17">
        <v>2018</v>
      </c>
    </row>
    <row r="18" spans="1:14" ht="15" customHeight="1" x14ac:dyDescent="0.3">
      <c r="A18" s="17" t="s">
        <v>113</v>
      </c>
      <c r="B18" s="17" t="s">
        <v>343</v>
      </c>
      <c r="C18" s="17" t="s">
        <v>277</v>
      </c>
      <c r="D18" s="26" t="s">
        <v>375</v>
      </c>
      <c r="E18" s="26" t="s">
        <v>263</v>
      </c>
      <c r="I18" s="17">
        <v>30</v>
      </c>
      <c r="N18" s="17">
        <v>2019</v>
      </c>
    </row>
    <row r="19" spans="1:14" ht="15" customHeight="1" x14ac:dyDescent="0.3">
      <c r="A19" s="18" t="s">
        <v>113</v>
      </c>
      <c r="B19" s="17" t="s">
        <v>343</v>
      </c>
      <c r="C19" s="17" t="s">
        <v>277</v>
      </c>
      <c r="D19" s="26" t="s">
        <v>375</v>
      </c>
      <c r="E19" s="26" t="s">
        <v>263</v>
      </c>
      <c r="I19" s="17">
        <v>30</v>
      </c>
      <c r="N19" s="17">
        <v>2018</v>
      </c>
    </row>
    <row r="20" spans="1:14" ht="15" customHeight="1" x14ac:dyDescent="0.3">
      <c r="A20" s="17" t="s">
        <v>156</v>
      </c>
      <c r="B20" s="17">
        <v>9828</v>
      </c>
      <c r="C20" s="17" t="s">
        <v>277</v>
      </c>
      <c r="D20" s="26" t="s">
        <v>375</v>
      </c>
      <c r="E20" s="26" t="s">
        <v>263</v>
      </c>
      <c r="I20" s="17">
        <v>250</v>
      </c>
      <c r="N20" s="17">
        <v>2019</v>
      </c>
    </row>
    <row r="21" spans="1:14" ht="15" customHeight="1" x14ac:dyDescent="0.3">
      <c r="A21" s="17" t="s">
        <v>156</v>
      </c>
      <c r="B21" s="17">
        <v>9828</v>
      </c>
      <c r="C21" s="17" t="s">
        <v>277</v>
      </c>
      <c r="D21" s="26" t="s">
        <v>375</v>
      </c>
      <c r="E21" s="26" t="s">
        <v>263</v>
      </c>
      <c r="I21" s="17">
        <v>2000</v>
      </c>
      <c r="N21" s="17">
        <v>2018</v>
      </c>
    </row>
    <row r="22" spans="1:14" ht="15" customHeight="1" x14ac:dyDescent="0.3">
      <c r="A22" s="17" t="s">
        <v>360</v>
      </c>
      <c r="B22" s="17" t="s">
        <v>362</v>
      </c>
      <c r="C22" s="17" t="s">
        <v>221</v>
      </c>
      <c r="D22" s="26" t="s">
        <v>374</v>
      </c>
      <c r="E22" s="26" t="s">
        <v>263</v>
      </c>
      <c r="I22" s="9">
        <v>1218</v>
      </c>
      <c r="J22" s="9"/>
      <c r="K22" s="9"/>
      <c r="L22" s="9"/>
      <c r="M22" s="9"/>
      <c r="N22" s="17">
        <v>2019</v>
      </c>
    </row>
    <row r="23" spans="1:14" ht="15" customHeight="1" x14ac:dyDescent="0.3">
      <c r="A23" s="18" t="s">
        <v>149</v>
      </c>
      <c r="B23" s="17" t="s">
        <v>364</v>
      </c>
      <c r="C23" s="17" t="s">
        <v>277</v>
      </c>
      <c r="D23" s="26" t="s">
        <v>373</v>
      </c>
      <c r="E23" s="26" t="s">
        <v>372</v>
      </c>
      <c r="I23" s="17">
        <v>11412</v>
      </c>
      <c r="J23" s="17">
        <v>20342</v>
      </c>
      <c r="N23" s="17">
        <v>2019</v>
      </c>
    </row>
  </sheetData>
  <autoFilter ref="A1:N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0"/>
  <sheetViews>
    <sheetView zoomScale="131" zoomScaleNormal="13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2" sqref="E22"/>
    </sheetView>
  </sheetViews>
  <sheetFormatPr baseColWidth="10" defaultColWidth="8.88671875" defaultRowHeight="14.4" x14ac:dyDescent="0.3"/>
  <cols>
    <col min="1" max="1" width="46" style="16" bestFit="1" customWidth="1"/>
    <col min="2" max="2" width="17.5546875" style="16" customWidth="1"/>
    <col min="3" max="3" width="14.88671875" style="16" bestFit="1" customWidth="1"/>
    <col min="4" max="4" width="18.44140625" style="16" bestFit="1" customWidth="1"/>
    <col min="5" max="5" width="13.88671875" style="16" bestFit="1" customWidth="1"/>
    <col min="6" max="6" width="10.44140625" style="16" bestFit="1" customWidth="1"/>
    <col min="7" max="7" width="17.44140625" style="16" bestFit="1" customWidth="1"/>
    <col min="8" max="8" width="8.88671875" style="16"/>
    <col min="9" max="9" width="8.5546875" style="16" customWidth="1"/>
    <col min="10" max="16384" width="8.88671875" style="16"/>
  </cols>
  <sheetData>
    <row r="1" spans="1:8" x14ac:dyDescent="0.3">
      <c r="A1" s="8" t="s">
        <v>0</v>
      </c>
      <c r="B1" s="8" t="s">
        <v>394</v>
      </c>
      <c r="C1" s="8" t="s">
        <v>395</v>
      </c>
      <c r="D1" s="8" t="s">
        <v>396</v>
      </c>
      <c r="E1" s="8" t="s">
        <v>397</v>
      </c>
      <c r="F1" s="16" t="s">
        <v>218</v>
      </c>
      <c r="G1" s="16" t="s">
        <v>784</v>
      </c>
      <c r="H1" s="16" t="s">
        <v>805</v>
      </c>
    </row>
    <row r="2" spans="1:8" hidden="1" x14ac:dyDescent="0.3">
      <c r="A2" s="1" t="s">
        <v>52</v>
      </c>
      <c r="B2" s="16" t="s">
        <v>285</v>
      </c>
      <c r="C2" s="16">
        <v>1830122</v>
      </c>
      <c r="D2" s="16">
        <v>4966191</v>
      </c>
      <c r="E2" s="16">
        <v>1830122</v>
      </c>
      <c r="F2" s="16">
        <v>2018</v>
      </c>
      <c r="G2" s="16">
        <f>6.048*C2</f>
        <v>11068577.856000001</v>
      </c>
    </row>
    <row r="3" spans="1:8" hidden="1" x14ac:dyDescent="0.3">
      <c r="A3" s="1" t="s">
        <v>52</v>
      </c>
      <c r="B3" s="16" t="s">
        <v>328</v>
      </c>
      <c r="C3" s="16">
        <v>31521</v>
      </c>
      <c r="D3" s="16">
        <v>95256</v>
      </c>
      <c r="E3" s="16">
        <v>31521</v>
      </c>
      <c r="F3" s="16">
        <v>2018</v>
      </c>
    </row>
    <row r="4" spans="1:8" hidden="1" x14ac:dyDescent="0.3">
      <c r="A4" s="1" t="s">
        <v>52</v>
      </c>
      <c r="B4" s="16" t="s">
        <v>398</v>
      </c>
      <c r="C4" s="16">
        <v>50726</v>
      </c>
      <c r="D4" s="16">
        <v>118983</v>
      </c>
      <c r="E4" s="16">
        <v>50726</v>
      </c>
      <c r="F4" s="16">
        <v>2018</v>
      </c>
    </row>
    <row r="5" spans="1:8" x14ac:dyDescent="0.3">
      <c r="A5" s="1" t="s">
        <v>52</v>
      </c>
      <c r="B5" s="16" t="s">
        <v>285</v>
      </c>
      <c r="C5" s="16">
        <v>1706082</v>
      </c>
      <c r="D5" s="16">
        <v>4620070</v>
      </c>
      <c r="E5" s="16">
        <v>1706082</v>
      </c>
      <c r="F5" s="16">
        <v>2019</v>
      </c>
      <c r="G5" s="16">
        <f>6.048*C5</f>
        <v>10318383.936000001</v>
      </c>
      <c r="H5" s="16" t="s">
        <v>806</v>
      </c>
    </row>
    <row r="6" spans="1:8" x14ac:dyDescent="0.3">
      <c r="A6" s="1" t="s">
        <v>52</v>
      </c>
      <c r="B6" s="16" t="s">
        <v>328</v>
      </c>
      <c r="C6" s="16">
        <v>31521</v>
      </c>
      <c r="D6" s="16">
        <v>95256</v>
      </c>
      <c r="E6" s="16">
        <v>31521</v>
      </c>
      <c r="F6" s="16">
        <v>2019</v>
      </c>
      <c r="H6" s="16" t="s">
        <v>806</v>
      </c>
    </row>
    <row r="7" spans="1:8" x14ac:dyDescent="0.3">
      <c r="A7" s="1" t="s">
        <v>52</v>
      </c>
      <c r="B7" s="16" t="s">
        <v>398</v>
      </c>
      <c r="C7" s="16">
        <v>46778</v>
      </c>
      <c r="D7" s="16">
        <v>112080</v>
      </c>
      <c r="E7" s="16">
        <v>46778</v>
      </c>
      <c r="F7" s="16">
        <v>2019</v>
      </c>
      <c r="H7" s="16" t="s">
        <v>806</v>
      </c>
    </row>
    <row r="8" spans="1:8" hidden="1" x14ac:dyDescent="0.3">
      <c r="A8" s="3" t="s">
        <v>81</v>
      </c>
      <c r="B8" s="29" t="s">
        <v>223</v>
      </c>
      <c r="C8" s="16">
        <v>1782000</v>
      </c>
      <c r="D8" s="16">
        <v>53312912</v>
      </c>
      <c r="E8" s="16">
        <v>1782000</v>
      </c>
      <c r="F8" s="16">
        <v>2018</v>
      </c>
    </row>
    <row r="9" spans="1:8" hidden="1" x14ac:dyDescent="0.3">
      <c r="A9" s="3" t="s">
        <v>81</v>
      </c>
      <c r="B9" s="29" t="s">
        <v>223</v>
      </c>
      <c r="C9" s="16">
        <v>1701437</v>
      </c>
      <c r="D9" s="16">
        <v>52823568</v>
      </c>
      <c r="E9" s="16">
        <v>1708529</v>
      </c>
      <c r="F9" s="16">
        <v>2019</v>
      </c>
      <c r="H9" s="16" t="s">
        <v>806</v>
      </c>
    </row>
    <row r="10" spans="1:8" x14ac:dyDescent="0.3">
      <c r="A10" s="1" t="s">
        <v>89</v>
      </c>
      <c r="B10" s="16" t="s">
        <v>285</v>
      </c>
      <c r="C10" s="16">
        <v>2647939</v>
      </c>
      <c r="D10" s="16">
        <v>5560671</v>
      </c>
      <c r="E10" s="16">
        <v>2647939</v>
      </c>
      <c r="F10" s="16">
        <v>2019</v>
      </c>
      <c r="G10" s="16">
        <f>6.048*C10</f>
        <v>16014735.072000001</v>
      </c>
      <c r="H10" s="16" t="s">
        <v>806</v>
      </c>
    </row>
    <row r="11" spans="1:8" x14ac:dyDescent="0.3">
      <c r="A11" s="1" t="s">
        <v>89</v>
      </c>
      <c r="B11" s="16" t="s">
        <v>328</v>
      </c>
      <c r="C11" s="16">
        <v>401962</v>
      </c>
      <c r="D11" s="16">
        <v>1326476</v>
      </c>
      <c r="E11" s="16">
        <v>401962</v>
      </c>
      <c r="F11" s="16">
        <v>2019</v>
      </c>
      <c r="H11" s="16" t="s">
        <v>806</v>
      </c>
    </row>
    <row r="12" spans="1:8" x14ac:dyDescent="0.3">
      <c r="A12" s="1" t="s">
        <v>89</v>
      </c>
      <c r="B12" s="16" t="s">
        <v>398</v>
      </c>
      <c r="C12" s="16">
        <v>92774</v>
      </c>
      <c r="D12" s="16">
        <v>278322</v>
      </c>
      <c r="E12" s="16">
        <v>92774</v>
      </c>
      <c r="F12" s="16">
        <v>2019</v>
      </c>
      <c r="H12" s="16" t="s">
        <v>806</v>
      </c>
    </row>
    <row r="13" spans="1:8" hidden="1" x14ac:dyDescent="0.3">
      <c r="A13" s="1" t="s">
        <v>89</v>
      </c>
      <c r="B13" s="16" t="s">
        <v>285</v>
      </c>
      <c r="C13" s="16">
        <v>2558360</v>
      </c>
      <c r="D13" s="16">
        <v>5372556</v>
      </c>
      <c r="E13" s="16">
        <v>2558556</v>
      </c>
      <c r="F13" s="16">
        <v>2018</v>
      </c>
      <c r="G13" s="16">
        <f>6.048*C13</f>
        <v>15472961.279999999</v>
      </c>
    </row>
    <row r="14" spans="1:8" hidden="1" x14ac:dyDescent="0.3">
      <c r="A14" s="1" t="s">
        <v>89</v>
      </c>
      <c r="B14" s="16" t="s">
        <v>328</v>
      </c>
      <c r="C14" s="16">
        <v>363579</v>
      </c>
      <c r="D14" s="16">
        <v>1199811</v>
      </c>
      <c r="E14" s="16">
        <v>363579</v>
      </c>
      <c r="F14" s="16">
        <v>2018</v>
      </c>
    </row>
    <row r="15" spans="1:8" hidden="1" x14ac:dyDescent="0.3">
      <c r="A15" s="1" t="s">
        <v>89</v>
      </c>
      <c r="B15" s="16" t="s">
        <v>398</v>
      </c>
      <c r="C15" s="16">
        <v>97426</v>
      </c>
      <c r="D15" s="16">
        <v>292278</v>
      </c>
      <c r="E15" s="16">
        <v>97426</v>
      </c>
      <c r="F15" s="16">
        <v>2018</v>
      </c>
    </row>
    <row r="16" spans="1:8" ht="15.6" hidden="1" customHeight="1" x14ac:dyDescent="0.3">
      <c r="A16" s="1" t="s">
        <v>175</v>
      </c>
      <c r="B16" s="16" t="s">
        <v>285</v>
      </c>
      <c r="C16" s="16">
        <v>1233461</v>
      </c>
      <c r="D16" s="16">
        <v>2707447</v>
      </c>
      <c r="E16" s="16">
        <v>1233461</v>
      </c>
      <c r="F16" s="16">
        <v>2018</v>
      </c>
      <c r="G16" s="16">
        <f>6.048*C16</f>
        <v>7459972.1280000005</v>
      </c>
    </row>
    <row r="17" spans="1:8" x14ac:dyDescent="0.3">
      <c r="A17" s="1" t="s">
        <v>175</v>
      </c>
      <c r="B17" s="16" t="s">
        <v>285</v>
      </c>
      <c r="C17" s="16">
        <v>745152</v>
      </c>
      <c r="D17" s="16">
        <v>1635608</v>
      </c>
      <c r="E17" s="16">
        <v>745152</v>
      </c>
      <c r="F17" s="16">
        <v>2019</v>
      </c>
      <c r="G17" s="16">
        <f>6.048*C17</f>
        <v>4506679.2960000001</v>
      </c>
      <c r="H17" s="16" t="s">
        <v>807</v>
      </c>
    </row>
    <row r="18" spans="1:8" hidden="1" x14ac:dyDescent="0.3">
      <c r="A18" s="1" t="s">
        <v>175</v>
      </c>
      <c r="B18" s="29" t="s">
        <v>370</v>
      </c>
      <c r="C18" s="16">
        <v>1774882</v>
      </c>
      <c r="D18" s="16">
        <v>3895866</v>
      </c>
      <c r="E18" s="16">
        <v>1774882</v>
      </c>
      <c r="F18" s="16">
        <v>2018</v>
      </c>
    </row>
    <row r="19" spans="1:8" x14ac:dyDescent="0.3">
      <c r="A19" s="1" t="s">
        <v>175</v>
      </c>
      <c r="B19" s="29" t="s">
        <v>370</v>
      </c>
      <c r="C19" s="16">
        <v>1617455</v>
      </c>
      <c r="D19" s="16">
        <v>3550313</v>
      </c>
      <c r="E19" s="16">
        <v>1617455</v>
      </c>
      <c r="F19" s="16">
        <v>2019</v>
      </c>
      <c r="H19" s="16" t="s">
        <v>807</v>
      </c>
    </row>
    <row r="20" spans="1:8" x14ac:dyDescent="0.3">
      <c r="D20" s="32"/>
    </row>
  </sheetData>
  <autoFilter ref="A1:F19">
    <filterColumn colId="1">
      <filters>
        <filter val="ARGILE"/>
        <filter val="CALCAIRE"/>
        <filter val="LATERITE"/>
        <filter val="MARNO CALCAIRE"/>
      </filters>
    </filterColumn>
    <filterColumn colId="5">
      <filters>
        <filter val="2 019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57"/>
  <sheetViews>
    <sheetView zoomScale="130" zoomScaleNormal="130"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N37" sqref="N37"/>
    </sheetView>
  </sheetViews>
  <sheetFormatPr baseColWidth="10" defaultColWidth="8.88671875" defaultRowHeight="14.4" x14ac:dyDescent="0.3"/>
  <cols>
    <col min="1" max="1" width="35.44140625" style="16" customWidth="1"/>
    <col min="2" max="2" width="19.6640625" style="16" customWidth="1"/>
    <col min="3" max="4" width="13.88671875" style="16" customWidth="1"/>
    <col min="5" max="5" width="12.44140625" style="16" customWidth="1"/>
    <col min="6" max="7" width="12.44140625" style="16" bestFit="1" customWidth="1"/>
    <col min="8" max="8" width="16.5546875" style="16" bestFit="1" customWidth="1"/>
    <col min="9" max="9" width="17.44140625" style="16" customWidth="1"/>
    <col min="10" max="10" width="12.44140625" style="16" customWidth="1"/>
    <col min="11" max="12" width="16" style="16" customWidth="1"/>
    <col min="13" max="13" width="16.5546875" style="16" bestFit="1" customWidth="1"/>
    <col min="14" max="14" width="12.88671875" style="16" customWidth="1"/>
    <col min="15" max="15" width="15.5546875" style="16" bestFit="1" customWidth="1"/>
    <col min="16" max="16" width="11" style="16" bestFit="1" customWidth="1"/>
    <col min="17" max="17" width="9.44140625" style="16" bestFit="1" customWidth="1"/>
    <col min="18" max="16384" width="8.88671875" style="16"/>
  </cols>
  <sheetData>
    <row r="1" spans="1:15" x14ac:dyDescent="0.3">
      <c r="A1" s="8" t="s">
        <v>0</v>
      </c>
      <c r="B1" s="16" t="s">
        <v>399</v>
      </c>
      <c r="C1" s="16" t="s">
        <v>400</v>
      </c>
      <c r="D1" s="16" t="s">
        <v>401</v>
      </c>
      <c r="E1" s="16" t="s">
        <v>402</v>
      </c>
      <c r="F1" s="16" t="s">
        <v>403</v>
      </c>
      <c r="G1" s="16" t="s">
        <v>404</v>
      </c>
      <c r="H1" s="16" t="s">
        <v>405</v>
      </c>
      <c r="I1" s="16" t="s">
        <v>406</v>
      </c>
      <c r="J1" s="16" t="s">
        <v>407</v>
      </c>
      <c r="K1" s="16" t="s">
        <v>408</v>
      </c>
      <c r="L1" s="16" t="s">
        <v>409</v>
      </c>
      <c r="M1" s="16" t="s">
        <v>410</v>
      </c>
      <c r="N1" s="16" t="s">
        <v>411</v>
      </c>
      <c r="O1" s="16" t="s">
        <v>412</v>
      </c>
    </row>
    <row r="2" spans="1:15" hidden="1" x14ac:dyDescent="0.3">
      <c r="A2" s="17" t="s">
        <v>9</v>
      </c>
      <c r="B2" s="16" t="s">
        <v>240</v>
      </c>
      <c r="C2" s="30"/>
      <c r="D2" s="30">
        <v>3.0000000000000001E-3</v>
      </c>
      <c r="F2" s="30">
        <v>0</v>
      </c>
      <c r="G2" s="30">
        <v>0</v>
      </c>
      <c r="I2" s="16">
        <v>80075</v>
      </c>
      <c r="K2" s="16">
        <v>0</v>
      </c>
      <c r="L2" s="16">
        <v>0</v>
      </c>
      <c r="M2" s="16">
        <v>2019</v>
      </c>
      <c r="N2" s="30">
        <f t="shared" ref="N2:N33" si="0">C2+D2+(G2-F2)</f>
        <v>3.0000000000000001E-3</v>
      </c>
      <c r="O2" s="16">
        <f>H2+I2+(L2-K2)</f>
        <v>80075</v>
      </c>
    </row>
    <row r="3" spans="1:15" hidden="1" x14ac:dyDescent="0.3">
      <c r="A3" s="17" t="s">
        <v>162</v>
      </c>
      <c r="B3" s="16" t="s">
        <v>413</v>
      </c>
      <c r="E3" s="16">
        <v>2057</v>
      </c>
      <c r="F3" s="16">
        <v>127935</v>
      </c>
      <c r="G3" s="16">
        <v>127913</v>
      </c>
      <c r="M3" s="16">
        <v>2019</v>
      </c>
      <c r="N3" s="16">
        <f t="shared" si="0"/>
        <v>-22</v>
      </c>
      <c r="O3" s="16">
        <v>1484</v>
      </c>
    </row>
    <row r="4" spans="1:15" hidden="1" x14ac:dyDescent="0.3">
      <c r="A4" s="17" t="s">
        <v>162</v>
      </c>
      <c r="B4" s="16" t="s">
        <v>413</v>
      </c>
      <c r="C4" s="16">
        <v>20088.400000000001</v>
      </c>
      <c r="D4" s="16">
        <v>24401</v>
      </c>
      <c r="E4" s="16">
        <v>2057</v>
      </c>
      <c r="F4" s="16">
        <v>2693</v>
      </c>
      <c r="G4" s="16">
        <v>2057</v>
      </c>
      <c r="H4" s="16">
        <v>607373</v>
      </c>
      <c r="I4" s="16">
        <v>679077</v>
      </c>
      <c r="M4" s="16">
        <v>2018</v>
      </c>
      <c r="N4" s="16">
        <f t="shared" si="0"/>
        <v>43853.4</v>
      </c>
      <c r="O4" s="16">
        <f t="shared" ref="O4:O52" si="1">H4+I4+(L4-K4)</f>
        <v>1286450</v>
      </c>
    </row>
    <row r="5" spans="1:15" hidden="1" x14ac:dyDescent="0.3">
      <c r="A5" s="17" t="s">
        <v>280</v>
      </c>
      <c r="B5" s="16" t="s">
        <v>414</v>
      </c>
      <c r="C5" s="16">
        <v>380247</v>
      </c>
      <c r="H5" s="16">
        <v>890540</v>
      </c>
      <c r="M5" s="16">
        <v>2019</v>
      </c>
      <c r="N5" s="16">
        <f t="shared" si="0"/>
        <v>380247</v>
      </c>
      <c r="O5" s="16">
        <f t="shared" si="1"/>
        <v>890540</v>
      </c>
    </row>
    <row r="6" spans="1:15" hidden="1" x14ac:dyDescent="0.3">
      <c r="A6" s="17" t="s">
        <v>46</v>
      </c>
      <c r="B6" s="31" t="s">
        <v>293</v>
      </c>
      <c r="C6" s="16">
        <v>1570000</v>
      </c>
      <c r="H6" s="16">
        <v>19126283</v>
      </c>
      <c r="M6" s="16">
        <v>2018</v>
      </c>
      <c r="N6" s="16">
        <f t="shared" si="0"/>
        <v>1570000</v>
      </c>
      <c r="O6" s="16">
        <v>12513668.9900917</v>
      </c>
    </row>
    <row r="7" spans="1:15" hidden="1" x14ac:dyDescent="0.3">
      <c r="A7" s="17" t="s">
        <v>46</v>
      </c>
      <c r="B7" s="31" t="s">
        <v>293</v>
      </c>
      <c r="C7" s="16">
        <v>1592907</v>
      </c>
      <c r="H7" s="16">
        <v>12696249</v>
      </c>
      <c r="M7" s="16">
        <v>2019</v>
      </c>
      <c r="N7" s="16">
        <f t="shared" si="0"/>
        <v>1592907</v>
      </c>
      <c r="O7" s="16">
        <f t="shared" si="1"/>
        <v>12696249</v>
      </c>
    </row>
    <row r="8" spans="1:15" hidden="1" x14ac:dyDescent="0.3">
      <c r="A8" s="17" t="s">
        <v>297</v>
      </c>
      <c r="B8" s="16" t="s">
        <v>415</v>
      </c>
      <c r="C8" s="16">
        <v>940284</v>
      </c>
      <c r="D8" s="16">
        <v>427619</v>
      </c>
      <c r="F8" s="16">
        <v>4538</v>
      </c>
      <c r="G8" s="16">
        <v>0</v>
      </c>
      <c r="H8" s="16">
        <v>38438175</v>
      </c>
      <c r="I8" s="16">
        <v>16247084</v>
      </c>
      <c r="K8" s="16">
        <v>172032</v>
      </c>
      <c r="L8" s="16">
        <v>0</v>
      </c>
      <c r="M8" s="16">
        <v>2018</v>
      </c>
      <c r="N8" s="16">
        <f t="shared" si="0"/>
        <v>1363365</v>
      </c>
      <c r="O8" s="16">
        <f t="shared" si="1"/>
        <v>54513227</v>
      </c>
    </row>
    <row r="9" spans="1:15" hidden="1" x14ac:dyDescent="0.3">
      <c r="A9" s="17" t="s">
        <v>297</v>
      </c>
      <c r="B9" s="16" t="s">
        <v>415</v>
      </c>
      <c r="C9" s="16">
        <v>1116847</v>
      </c>
      <c r="D9" s="16">
        <v>364038</v>
      </c>
      <c r="G9" s="16">
        <v>0</v>
      </c>
      <c r="H9" s="16">
        <v>47670012</v>
      </c>
      <c r="I9" s="16">
        <v>14057133</v>
      </c>
      <c r="L9" s="16">
        <v>0</v>
      </c>
      <c r="M9" s="16">
        <v>2019</v>
      </c>
      <c r="N9" s="16">
        <f t="shared" si="0"/>
        <v>1480885</v>
      </c>
      <c r="O9" s="16">
        <f t="shared" si="1"/>
        <v>61727145</v>
      </c>
    </row>
    <row r="10" spans="1:15" hidden="1" x14ac:dyDescent="0.3">
      <c r="A10" s="17" t="s">
        <v>63</v>
      </c>
      <c r="B10" s="31" t="s">
        <v>293</v>
      </c>
      <c r="C10" s="16">
        <v>1992891</v>
      </c>
      <c r="D10" s="16">
        <v>0</v>
      </c>
      <c r="E10" s="16">
        <v>0</v>
      </c>
      <c r="F10" s="16">
        <v>0</v>
      </c>
      <c r="G10" s="16">
        <v>0</v>
      </c>
      <c r="H10" s="16">
        <v>16414043</v>
      </c>
      <c r="I10" s="16">
        <v>0</v>
      </c>
      <c r="J10" s="16">
        <v>0</v>
      </c>
      <c r="K10" s="16">
        <v>0</v>
      </c>
      <c r="L10" s="16">
        <v>0</v>
      </c>
      <c r="M10" s="16">
        <v>2019</v>
      </c>
      <c r="N10" s="16">
        <f t="shared" si="0"/>
        <v>1992891</v>
      </c>
      <c r="O10" s="16">
        <f t="shared" si="1"/>
        <v>16414043</v>
      </c>
    </row>
    <row r="11" spans="1:15" hidden="1" x14ac:dyDescent="0.3">
      <c r="A11" s="17" t="s">
        <v>63</v>
      </c>
      <c r="B11" s="31" t="s">
        <v>293</v>
      </c>
      <c r="C11" s="16">
        <v>2595323</v>
      </c>
      <c r="H11" s="16">
        <v>19508275</v>
      </c>
      <c r="M11" s="16">
        <v>2018</v>
      </c>
      <c r="N11" s="16">
        <f t="shared" si="0"/>
        <v>2595323</v>
      </c>
      <c r="O11" s="16">
        <f t="shared" si="1"/>
        <v>19508275</v>
      </c>
    </row>
    <row r="12" spans="1:15" hidden="1" x14ac:dyDescent="0.3">
      <c r="A12" s="17" t="s">
        <v>163</v>
      </c>
      <c r="B12" s="16" t="s">
        <v>304</v>
      </c>
      <c r="D12" s="16">
        <v>4368</v>
      </c>
      <c r="F12" s="16">
        <v>0</v>
      </c>
      <c r="G12" s="16">
        <v>0</v>
      </c>
      <c r="I12" s="16">
        <v>503285</v>
      </c>
      <c r="M12" s="16">
        <v>2019</v>
      </c>
      <c r="N12" s="16">
        <f t="shared" si="0"/>
        <v>4368</v>
      </c>
      <c r="O12" s="16">
        <f t="shared" si="1"/>
        <v>503285</v>
      </c>
    </row>
    <row r="13" spans="1:15" hidden="1" x14ac:dyDescent="0.3">
      <c r="A13" s="17" t="s">
        <v>163</v>
      </c>
      <c r="B13" s="16" t="s">
        <v>304</v>
      </c>
      <c r="D13" s="16">
        <v>11284</v>
      </c>
      <c r="I13" s="16">
        <v>1300152</v>
      </c>
      <c r="M13" s="16">
        <v>2018</v>
      </c>
      <c r="N13" s="16">
        <f t="shared" si="0"/>
        <v>11284</v>
      </c>
      <c r="O13" s="16">
        <f t="shared" si="1"/>
        <v>1300152</v>
      </c>
    </row>
    <row r="14" spans="1:15" hidden="1" x14ac:dyDescent="0.3">
      <c r="A14" s="18" t="s">
        <v>312</v>
      </c>
      <c r="B14" s="16" t="s">
        <v>315</v>
      </c>
      <c r="D14" s="16">
        <v>65007</v>
      </c>
      <c r="F14" s="16">
        <v>5560</v>
      </c>
      <c r="G14" s="16">
        <v>4831</v>
      </c>
      <c r="I14" s="16">
        <v>53373386</v>
      </c>
      <c r="K14" s="16">
        <v>1812011</v>
      </c>
      <c r="L14" s="16">
        <v>2464254</v>
      </c>
      <c r="M14" s="16">
        <v>2018</v>
      </c>
      <c r="N14" s="16">
        <f t="shared" si="0"/>
        <v>64278</v>
      </c>
      <c r="O14" s="16">
        <f t="shared" si="1"/>
        <v>54025629</v>
      </c>
    </row>
    <row r="15" spans="1:15" hidden="1" x14ac:dyDescent="0.3">
      <c r="A15" s="18" t="s">
        <v>312</v>
      </c>
      <c r="B15" s="16" t="s">
        <v>318</v>
      </c>
      <c r="D15" s="16">
        <v>530692</v>
      </c>
      <c r="F15" s="16">
        <v>69574</v>
      </c>
      <c r="G15" s="16">
        <v>45819</v>
      </c>
      <c r="I15" s="16">
        <v>47574723</v>
      </c>
      <c r="K15" s="16">
        <v>3519272</v>
      </c>
      <c r="L15" s="16">
        <v>2426089</v>
      </c>
      <c r="M15" s="16">
        <v>2018</v>
      </c>
      <c r="N15" s="16">
        <f t="shared" si="0"/>
        <v>506937</v>
      </c>
      <c r="O15" s="16">
        <f t="shared" si="1"/>
        <v>46481540</v>
      </c>
    </row>
    <row r="16" spans="1:15" hidden="1" x14ac:dyDescent="0.3">
      <c r="A16" s="18" t="s">
        <v>312</v>
      </c>
      <c r="B16" s="16" t="s">
        <v>319</v>
      </c>
      <c r="D16" s="16">
        <v>3943</v>
      </c>
      <c r="F16" s="16">
        <v>136</v>
      </c>
      <c r="G16" s="16">
        <v>154</v>
      </c>
      <c r="I16" s="16">
        <v>1934974</v>
      </c>
      <c r="K16" s="16">
        <v>44129</v>
      </c>
      <c r="L16" s="16">
        <v>44816</v>
      </c>
      <c r="M16" s="16">
        <v>2018</v>
      </c>
      <c r="N16" s="16">
        <f t="shared" si="0"/>
        <v>3961</v>
      </c>
      <c r="O16" s="16">
        <f t="shared" si="1"/>
        <v>1935661</v>
      </c>
    </row>
    <row r="17" spans="1:15" hidden="1" x14ac:dyDescent="0.3">
      <c r="A17" s="18" t="s">
        <v>312</v>
      </c>
      <c r="B17" s="16" t="s">
        <v>416</v>
      </c>
      <c r="D17" s="16">
        <v>6760</v>
      </c>
      <c r="F17" s="16">
        <v>1362</v>
      </c>
      <c r="G17" s="16">
        <v>247</v>
      </c>
      <c r="I17" s="16">
        <v>2064692</v>
      </c>
      <c r="K17" s="16">
        <v>202920</v>
      </c>
      <c r="L17" s="16">
        <v>44676</v>
      </c>
      <c r="M17" s="16">
        <v>2018</v>
      </c>
      <c r="N17" s="16">
        <f t="shared" si="0"/>
        <v>5645</v>
      </c>
      <c r="O17" s="16">
        <f t="shared" si="1"/>
        <v>1906448</v>
      </c>
    </row>
    <row r="18" spans="1:15" hidden="1" x14ac:dyDescent="0.3">
      <c r="A18" s="18" t="s">
        <v>312</v>
      </c>
      <c r="B18" s="16" t="s">
        <v>417</v>
      </c>
      <c r="D18" s="16">
        <v>28418</v>
      </c>
      <c r="F18" s="16">
        <v>9777</v>
      </c>
      <c r="G18" s="16">
        <v>10650</v>
      </c>
      <c r="I18" s="16">
        <v>8565752</v>
      </c>
      <c r="K18" s="16">
        <v>934024</v>
      </c>
      <c r="L18" s="16">
        <v>1781046</v>
      </c>
      <c r="M18" s="16">
        <v>2018</v>
      </c>
      <c r="N18" s="16">
        <f t="shared" si="0"/>
        <v>29291</v>
      </c>
      <c r="O18" s="16">
        <f t="shared" si="1"/>
        <v>9412774</v>
      </c>
    </row>
    <row r="19" spans="1:15" hidden="1" x14ac:dyDescent="0.3">
      <c r="A19" s="17" t="s">
        <v>72</v>
      </c>
      <c r="B19" s="31" t="s">
        <v>293</v>
      </c>
      <c r="C19" s="16">
        <v>27875</v>
      </c>
      <c r="H19" s="16">
        <v>63149</v>
      </c>
      <c r="M19" s="16">
        <v>2019</v>
      </c>
      <c r="N19" s="16">
        <f t="shared" si="0"/>
        <v>27875</v>
      </c>
      <c r="O19" s="16">
        <f t="shared" si="1"/>
        <v>63149</v>
      </c>
    </row>
    <row r="20" spans="1:15" hidden="1" x14ac:dyDescent="0.3">
      <c r="A20" s="18" t="s">
        <v>81</v>
      </c>
      <c r="B20" s="16" t="s">
        <v>418</v>
      </c>
      <c r="C20" s="16">
        <v>58943</v>
      </c>
      <c r="D20" s="16">
        <v>95216</v>
      </c>
      <c r="F20" s="16">
        <v>57525</v>
      </c>
      <c r="G20" s="16">
        <v>38362</v>
      </c>
      <c r="H20" s="16">
        <v>117770301</v>
      </c>
      <c r="I20" s="16">
        <v>20184454</v>
      </c>
      <c r="K20" s="16">
        <v>11163680</v>
      </c>
      <c r="L20" s="16">
        <v>8079399</v>
      </c>
      <c r="M20" s="16">
        <v>2018</v>
      </c>
      <c r="N20" s="16">
        <f t="shared" si="0"/>
        <v>134996</v>
      </c>
      <c r="O20" s="16">
        <f t="shared" si="1"/>
        <v>134870474</v>
      </c>
    </row>
    <row r="21" spans="1:15" hidden="1" x14ac:dyDescent="0.3">
      <c r="A21" s="18" t="s">
        <v>81</v>
      </c>
      <c r="B21" s="16" t="s">
        <v>419</v>
      </c>
      <c r="C21" s="16">
        <v>33</v>
      </c>
      <c r="D21" s="16">
        <v>475792</v>
      </c>
      <c r="F21" s="16">
        <v>17653</v>
      </c>
      <c r="G21" s="16">
        <v>88866</v>
      </c>
      <c r="H21" s="16">
        <v>16877</v>
      </c>
      <c r="I21" s="16">
        <v>182461271</v>
      </c>
      <c r="K21" s="16">
        <v>4435700</v>
      </c>
      <c r="L21" s="16">
        <v>23278085</v>
      </c>
      <c r="M21" s="16">
        <v>2018</v>
      </c>
      <c r="N21" s="16">
        <f t="shared" si="0"/>
        <v>547038</v>
      </c>
      <c r="O21" s="16">
        <f t="shared" si="1"/>
        <v>201320533</v>
      </c>
    </row>
    <row r="22" spans="1:15" hidden="1" x14ac:dyDescent="0.3">
      <c r="A22" s="18" t="s">
        <v>81</v>
      </c>
      <c r="B22" s="16" t="s">
        <v>418</v>
      </c>
      <c r="C22" s="16">
        <v>75427</v>
      </c>
      <c r="D22" s="16">
        <v>97201</v>
      </c>
      <c r="F22" s="16">
        <v>38362</v>
      </c>
      <c r="G22" s="16">
        <v>24364</v>
      </c>
      <c r="H22" s="16">
        <v>16037099</v>
      </c>
      <c r="I22" s="16">
        <v>22031441</v>
      </c>
      <c r="K22" s="16">
        <v>8079399</v>
      </c>
      <c r="L22" s="16">
        <v>5510398</v>
      </c>
      <c r="M22" s="16">
        <v>2019</v>
      </c>
      <c r="N22" s="16">
        <f t="shared" si="0"/>
        <v>158630</v>
      </c>
      <c r="O22" s="16">
        <f t="shared" si="1"/>
        <v>35499539</v>
      </c>
    </row>
    <row r="23" spans="1:15" hidden="1" x14ac:dyDescent="0.3">
      <c r="A23" s="18" t="s">
        <v>81</v>
      </c>
      <c r="B23" s="16" t="s">
        <v>419</v>
      </c>
      <c r="C23" s="16">
        <v>97</v>
      </c>
      <c r="D23" s="16">
        <v>537424</v>
      </c>
      <c r="F23" s="16">
        <v>88866</v>
      </c>
      <c r="G23" s="16">
        <v>58924</v>
      </c>
      <c r="H23" s="16">
        <v>51178</v>
      </c>
      <c r="I23" s="16">
        <v>219159910</v>
      </c>
      <c r="K23" s="16">
        <v>23276085</v>
      </c>
      <c r="L23" s="16">
        <v>14746805</v>
      </c>
      <c r="M23" s="16">
        <v>2019</v>
      </c>
      <c r="N23" s="16">
        <f t="shared" si="0"/>
        <v>507579</v>
      </c>
      <c r="O23" s="16">
        <f t="shared" si="1"/>
        <v>210681808</v>
      </c>
    </row>
    <row r="24" spans="1:15" hidden="1" x14ac:dyDescent="0.3">
      <c r="A24" s="18" t="s">
        <v>81</v>
      </c>
      <c r="B24" s="16" t="s">
        <v>413</v>
      </c>
      <c r="F24" s="16">
        <v>70440</v>
      </c>
      <c r="G24" s="16">
        <v>71572</v>
      </c>
      <c r="K24" s="16">
        <v>2127894</v>
      </c>
      <c r="L24" s="16">
        <v>2219687</v>
      </c>
      <c r="M24" s="16">
        <v>2019</v>
      </c>
      <c r="N24" s="16">
        <f t="shared" si="0"/>
        <v>1132</v>
      </c>
      <c r="O24" s="16">
        <f t="shared" si="1"/>
        <v>91793</v>
      </c>
    </row>
    <row r="25" spans="1:15" hidden="1" x14ac:dyDescent="0.3">
      <c r="A25" s="17" t="s">
        <v>89</v>
      </c>
      <c r="B25" s="16" t="s">
        <v>415</v>
      </c>
      <c r="C25" s="16">
        <v>1707485</v>
      </c>
      <c r="D25" s="16">
        <v>1047215</v>
      </c>
      <c r="E25" s="16">
        <v>4100</v>
      </c>
      <c r="F25" s="16">
        <v>13139</v>
      </c>
      <c r="G25" s="16">
        <v>13150</v>
      </c>
      <c r="H25" s="16">
        <v>70284602</v>
      </c>
      <c r="I25" s="16">
        <v>41787921</v>
      </c>
      <c r="J25" s="16">
        <v>153735</v>
      </c>
      <c r="K25" s="16">
        <v>390372</v>
      </c>
      <c r="L25" s="16">
        <v>365998</v>
      </c>
      <c r="M25" s="16">
        <v>2019</v>
      </c>
      <c r="N25" s="16">
        <f t="shared" si="0"/>
        <v>2754711</v>
      </c>
      <c r="O25" s="16">
        <f t="shared" si="1"/>
        <v>112048149</v>
      </c>
    </row>
    <row r="26" spans="1:15" hidden="1" x14ac:dyDescent="0.3">
      <c r="A26" s="17" t="s">
        <v>89</v>
      </c>
      <c r="B26" s="16" t="s">
        <v>415</v>
      </c>
      <c r="C26" s="16">
        <v>1596214</v>
      </c>
      <c r="D26" s="16">
        <v>1150722</v>
      </c>
      <c r="E26" s="16">
        <v>3943</v>
      </c>
      <c r="F26" s="16">
        <v>9720</v>
      </c>
      <c r="G26" s="16">
        <v>13139</v>
      </c>
      <c r="H26" s="16">
        <v>62849574</v>
      </c>
      <c r="I26" s="16">
        <v>44119596</v>
      </c>
      <c r="J26" s="16">
        <v>152383</v>
      </c>
      <c r="K26" s="16">
        <v>266840</v>
      </c>
      <c r="L26" s="16">
        <v>390372</v>
      </c>
      <c r="M26" s="16">
        <v>2018</v>
      </c>
      <c r="N26" s="16">
        <f t="shared" si="0"/>
        <v>2750355</v>
      </c>
      <c r="O26" s="16">
        <f t="shared" si="1"/>
        <v>107092702</v>
      </c>
    </row>
    <row r="27" spans="1:15" hidden="1" x14ac:dyDescent="0.3">
      <c r="A27" s="17" t="s">
        <v>98</v>
      </c>
      <c r="B27" s="16" t="s">
        <v>240</v>
      </c>
      <c r="C27" s="30"/>
      <c r="D27" s="30">
        <v>4.452</v>
      </c>
      <c r="F27" s="30"/>
      <c r="G27" s="30">
        <v>0.42230000000000001</v>
      </c>
      <c r="I27" s="16">
        <v>100183726</v>
      </c>
      <c r="L27" s="16">
        <v>4745936</v>
      </c>
      <c r="M27" s="16">
        <v>2018</v>
      </c>
      <c r="N27" s="30">
        <f t="shared" si="0"/>
        <v>4.8742999999999999</v>
      </c>
      <c r="O27" s="16">
        <f t="shared" si="1"/>
        <v>104929662</v>
      </c>
    </row>
    <row r="28" spans="1:15" hidden="1" x14ac:dyDescent="0.3">
      <c r="A28" s="3" t="s">
        <v>98</v>
      </c>
      <c r="B28" s="16" t="s">
        <v>420</v>
      </c>
      <c r="D28" s="30">
        <v>0.189</v>
      </c>
      <c r="I28" s="16">
        <v>48742</v>
      </c>
      <c r="M28" s="16">
        <v>2018</v>
      </c>
      <c r="N28" s="30">
        <f t="shared" si="0"/>
        <v>0.189</v>
      </c>
      <c r="O28" s="16">
        <f t="shared" si="1"/>
        <v>48742</v>
      </c>
    </row>
    <row r="29" spans="1:15" hidden="1" x14ac:dyDescent="0.3">
      <c r="A29" s="17" t="s">
        <v>98</v>
      </c>
      <c r="B29" s="16" t="s">
        <v>240</v>
      </c>
      <c r="C29" s="30"/>
      <c r="D29" s="30">
        <v>5.7830000000000004</v>
      </c>
      <c r="F29" s="30">
        <v>0.42199999999999999</v>
      </c>
      <c r="G29" s="30">
        <v>0.245</v>
      </c>
      <c r="I29" s="16">
        <v>141239790</v>
      </c>
      <c r="K29" s="16">
        <v>4745935</v>
      </c>
      <c r="L29" s="16">
        <v>3185962</v>
      </c>
      <c r="M29" s="16">
        <v>2019</v>
      </c>
      <c r="N29" s="30">
        <f t="shared" si="0"/>
        <v>5.6060000000000008</v>
      </c>
      <c r="O29" s="16">
        <f t="shared" si="1"/>
        <v>139679817</v>
      </c>
    </row>
    <row r="30" spans="1:15" hidden="1" x14ac:dyDescent="0.3">
      <c r="A30" s="17" t="s">
        <v>103</v>
      </c>
      <c r="B30" s="16" t="s">
        <v>240</v>
      </c>
      <c r="C30" s="30">
        <v>2.8000000000000001E-2</v>
      </c>
      <c r="D30" s="30">
        <v>6.94</v>
      </c>
      <c r="F30" s="30">
        <v>0.13</v>
      </c>
      <c r="G30" s="30">
        <v>0.11</v>
      </c>
      <c r="H30" s="16">
        <v>711877</v>
      </c>
      <c r="I30" s="16">
        <v>173006105</v>
      </c>
      <c r="K30" s="16">
        <v>1239448</v>
      </c>
      <c r="L30" s="16">
        <v>1551857</v>
      </c>
      <c r="M30" s="16">
        <v>2018</v>
      </c>
      <c r="N30" s="30">
        <f t="shared" si="0"/>
        <v>6.9480000000000004</v>
      </c>
      <c r="O30" s="16">
        <f t="shared" si="1"/>
        <v>174030391</v>
      </c>
    </row>
    <row r="31" spans="1:15" hidden="1" x14ac:dyDescent="0.3">
      <c r="A31" s="17" t="s">
        <v>103</v>
      </c>
      <c r="B31" s="16" t="s">
        <v>420</v>
      </c>
      <c r="D31" s="30">
        <v>0.6</v>
      </c>
      <c r="I31" s="16">
        <v>185348</v>
      </c>
      <c r="M31" s="16">
        <v>2018</v>
      </c>
      <c r="N31" s="30">
        <f t="shared" si="0"/>
        <v>0.6</v>
      </c>
      <c r="O31" s="16">
        <f t="shared" si="1"/>
        <v>185348</v>
      </c>
    </row>
    <row r="32" spans="1:15" hidden="1" x14ac:dyDescent="0.3">
      <c r="A32" s="17" t="s">
        <v>103</v>
      </c>
      <c r="B32" s="16" t="s">
        <v>240</v>
      </c>
      <c r="C32" s="30">
        <v>0.57999999999999996</v>
      </c>
      <c r="D32" s="30">
        <v>6.03</v>
      </c>
      <c r="F32" s="30">
        <v>0.11</v>
      </c>
      <c r="G32" s="30">
        <v>0.2</v>
      </c>
      <c r="H32" s="16">
        <v>16645002</v>
      </c>
      <c r="I32" s="16">
        <v>170508238</v>
      </c>
      <c r="K32" s="16">
        <v>1551857</v>
      </c>
      <c r="L32" s="16">
        <v>3160292</v>
      </c>
      <c r="M32" s="16">
        <v>2019</v>
      </c>
      <c r="N32" s="30">
        <f t="shared" si="0"/>
        <v>6.7</v>
      </c>
      <c r="O32" s="16">
        <f t="shared" si="1"/>
        <v>188761675</v>
      </c>
    </row>
    <row r="33" spans="1:16" hidden="1" x14ac:dyDescent="0.3">
      <c r="A33" s="17" t="s">
        <v>103</v>
      </c>
      <c r="B33" s="16" t="s">
        <v>420</v>
      </c>
      <c r="D33" s="30">
        <v>0.48</v>
      </c>
      <c r="I33" s="16">
        <v>160845</v>
      </c>
      <c r="M33" s="16">
        <v>2019</v>
      </c>
      <c r="N33" s="30">
        <f t="shared" si="0"/>
        <v>0.48</v>
      </c>
      <c r="O33" s="16">
        <f t="shared" si="1"/>
        <v>160845</v>
      </c>
    </row>
    <row r="34" spans="1:16" hidden="1" x14ac:dyDescent="0.3">
      <c r="A34" s="17" t="s">
        <v>113</v>
      </c>
      <c r="B34" s="16" t="s">
        <v>344</v>
      </c>
      <c r="C34" s="16">
        <v>0</v>
      </c>
      <c r="D34" s="16">
        <v>60953</v>
      </c>
      <c r="I34" s="16">
        <v>1679079</v>
      </c>
      <c r="M34" s="16">
        <v>2018</v>
      </c>
      <c r="N34" s="16">
        <v>77832</v>
      </c>
      <c r="O34" s="16">
        <f t="shared" si="1"/>
        <v>1679079</v>
      </c>
    </row>
    <row r="35" spans="1:16" hidden="1" x14ac:dyDescent="0.3">
      <c r="A35" s="18" t="s">
        <v>113</v>
      </c>
      <c r="B35" s="16" t="s">
        <v>421</v>
      </c>
      <c r="C35" s="16">
        <v>57</v>
      </c>
      <c r="D35" s="16">
        <v>7745</v>
      </c>
      <c r="H35" s="16">
        <v>5786</v>
      </c>
      <c r="I35" s="16">
        <v>500776</v>
      </c>
      <c r="M35" s="16">
        <v>2018</v>
      </c>
      <c r="N35" s="16">
        <v>11498</v>
      </c>
      <c r="O35" s="16">
        <f t="shared" si="1"/>
        <v>506562</v>
      </c>
    </row>
    <row r="36" spans="1:16" s="20" customFormat="1" x14ac:dyDescent="0.3">
      <c r="A36" s="14" t="s">
        <v>113</v>
      </c>
      <c r="B36" s="20" t="s">
        <v>344</v>
      </c>
      <c r="D36" s="20">
        <v>52633</v>
      </c>
      <c r="F36" s="20">
        <v>11831</v>
      </c>
      <c r="G36" s="20">
        <v>11962</v>
      </c>
      <c r="I36" s="20">
        <v>1529972</v>
      </c>
      <c r="M36" s="20">
        <v>2019</v>
      </c>
      <c r="N36" s="20">
        <f t="shared" ref="N36:N53" si="2">C36+D36+(G36-F36)</f>
        <v>52764</v>
      </c>
      <c r="O36" s="20">
        <f t="shared" si="1"/>
        <v>1529972</v>
      </c>
      <c r="P36" s="20">
        <f>+O36/N36</f>
        <v>28.996512773860967</v>
      </c>
    </row>
    <row r="37" spans="1:16" s="20" customFormat="1" x14ac:dyDescent="0.3">
      <c r="A37" s="14" t="s">
        <v>113</v>
      </c>
      <c r="B37" s="20" t="s">
        <v>421</v>
      </c>
      <c r="C37" s="20">
        <v>58</v>
      </c>
      <c r="D37" s="20">
        <v>10637</v>
      </c>
      <c r="F37" s="20">
        <v>2677</v>
      </c>
      <c r="G37" s="20">
        <v>3195</v>
      </c>
      <c r="H37" s="20">
        <v>4375</v>
      </c>
      <c r="I37" s="20">
        <v>712151</v>
      </c>
      <c r="M37" s="20">
        <v>2019</v>
      </c>
      <c r="N37" s="20">
        <f t="shared" si="2"/>
        <v>11213</v>
      </c>
      <c r="O37" s="20">
        <f t="shared" si="1"/>
        <v>716526</v>
      </c>
      <c r="P37" s="20">
        <f>+O37/N37</f>
        <v>63.901364487648266</v>
      </c>
    </row>
    <row r="38" spans="1:16" hidden="1" x14ac:dyDescent="0.3">
      <c r="A38" s="17" t="s">
        <v>119</v>
      </c>
      <c r="B38" s="16" t="s">
        <v>413</v>
      </c>
      <c r="C38" s="16">
        <v>57986.37</v>
      </c>
      <c r="D38" s="16">
        <v>49337.3</v>
      </c>
      <c r="F38" s="16">
        <v>14881</v>
      </c>
      <c r="G38" s="16">
        <v>24834.455999999998</v>
      </c>
      <c r="H38" s="16">
        <v>1657156</v>
      </c>
      <c r="I38" s="16">
        <v>1414520</v>
      </c>
      <c r="K38" s="16">
        <v>425904</v>
      </c>
      <c r="L38" s="16">
        <v>710779</v>
      </c>
      <c r="M38" s="16">
        <v>2019</v>
      </c>
      <c r="N38" s="16">
        <f t="shared" si="2"/>
        <v>117277.12600000002</v>
      </c>
      <c r="O38" s="16">
        <f t="shared" si="1"/>
        <v>3356551</v>
      </c>
    </row>
    <row r="39" spans="1:16" hidden="1" x14ac:dyDescent="0.3">
      <c r="A39" s="17" t="s">
        <v>119</v>
      </c>
      <c r="B39" s="16" t="s">
        <v>413</v>
      </c>
      <c r="C39" s="16">
        <v>19578</v>
      </c>
      <c r="D39" s="16">
        <v>73434</v>
      </c>
      <c r="E39" s="16">
        <v>14881</v>
      </c>
      <c r="F39" s="16">
        <v>14881</v>
      </c>
      <c r="G39" s="16">
        <v>18240</v>
      </c>
      <c r="H39" s="16">
        <v>610399</v>
      </c>
      <c r="I39" s="16">
        <v>1994982</v>
      </c>
      <c r="J39" s="16">
        <v>710779</v>
      </c>
      <c r="L39" s="16">
        <v>522041.1898694298</v>
      </c>
      <c r="M39" s="16">
        <v>2018</v>
      </c>
      <c r="N39" s="16">
        <f t="shared" si="2"/>
        <v>96371</v>
      </c>
      <c r="O39" s="16">
        <f t="shared" si="1"/>
        <v>3127422.1898694299</v>
      </c>
    </row>
    <row r="40" spans="1:16" hidden="1" x14ac:dyDescent="0.3">
      <c r="A40" s="18" t="s">
        <v>156</v>
      </c>
      <c r="B40" s="16" t="s">
        <v>344</v>
      </c>
      <c r="C40" s="16">
        <v>5312</v>
      </c>
      <c r="D40" s="16">
        <v>142757</v>
      </c>
      <c r="E40" s="16">
        <v>144909</v>
      </c>
      <c r="F40" s="16">
        <v>4429</v>
      </c>
      <c r="G40" s="16">
        <v>1269</v>
      </c>
      <c r="H40" s="16">
        <v>246385</v>
      </c>
      <c r="I40" s="16">
        <v>6354810</v>
      </c>
      <c r="M40" s="16">
        <v>2019</v>
      </c>
      <c r="N40" s="16">
        <f t="shared" si="2"/>
        <v>144909</v>
      </c>
      <c r="O40" s="16">
        <f t="shared" si="1"/>
        <v>6601195</v>
      </c>
    </row>
    <row r="41" spans="1:16" hidden="1" x14ac:dyDescent="0.3">
      <c r="A41" s="18" t="s">
        <v>156</v>
      </c>
      <c r="B41" s="16" t="s">
        <v>344</v>
      </c>
      <c r="C41" s="16">
        <v>3886</v>
      </c>
      <c r="D41" s="16">
        <v>171797</v>
      </c>
      <c r="E41" s="16">
        <v>171972</v>
      </c>
      <c r="F41" s="16">
        <v>8140</v>
      </c>
      <c r="G41" s="16">
        <v>4429</v>
      </c>
      <c r="H41" s="16">
        <v>218074</v>
      </c>
      <c r="I41" s="16">
        <v>6902248</v>
      </c>
      <c r="M41" s="16">
        <v>2018</v>
      </c>
      <c r="N41" s="16">
        <f t="shared" si="2"/>
        <v>171972</v>
      </c>
      <c r="O41" s="16">
        <f t="shared" si="1"/>
        <v>7120322</v>
      </c>
    </row>
    <row r="42" spans="1:16" hidden="1" x14ac:dyDescent="0.3">
      <c r="A42" s="16" t="s">
        <v>126</v>
      </c>
      <c r="B42" s="16" t="s">
        <v>353</v>
      </c>
      <c r="C42" s="16">
        <v>4801.1816374615173</v>
      </c>
      <c r="H42" s="16">
        <v>41892</v>
      </c>
      <c r="M42" s="16">
        <v>2018</v>
      </c>
      <c r="N42" s="16">
        <f t="shared" si="2"/>
        <v>4801.1816374615173</v>
      </c>
      <c r="O42" s="16">
        <f t="shared" si="1"/>
        <v>41892</v>
      </c>
    </row>
    <row r="43" spans="1:16" hidden="1" x14ac:dyDescent="0.3">
      <c r="A43" s="16" t="s">
        <v>126</v>
      </c>
      <c r="B43" s="16" t="s">
        <v>353</v>
      </c>
      <c r="C43" s="16">
        <v>98355</v>
      </c>
      <c r="H43" s="16">
        <v>858182</v>
      </c>
      <c r="M43" s="16">
        <v>2019</v>
      </c>
      <c r="N43" s="16">
        <f t="shared" si="2"/>
        <v>98355</v>
      </c>
      <c r="O43" s="16">
        <f t="shared" si="1"/>
        <v>858182</v>
      </c>
      <c r="P43" s="43">
        <f>+O43/N43</f>
        <v>8.7253520410756948</v>
      </c>
    </row>
    <row r="44" spans="1:16" hidden="1" x14ac:dyDescent="0.3">
      <c r="A44" s="17" t="s">
        <v>134</v>
      </c>
      <c r="B44" s="16" t="s">
        <v>413</v>
      </c>
      <c r="C44" s="16">
        <v>47655</v>
      </c>
      <c r="D44" s="16">
        <v>439168</v>
      </c>
      <c r="F44" s="16">
        <v>1159826</v>
      </c>
      <c r="G44" s="16">
        <v>1244000</v>
      </c>
      <c r="H44" s="16">
        <v>2374122</v>
      </c>
      <c r="I44" s="16">
        <v>15193548</v>
      </c>
      <c r="K44" s="16">
        <v>41853898.491689995</v>
      </c>
      <c r="L44" s="16">
        <v>44891431.75240282</v>
      </c>
      <c r="M44" s="16">
        <v>2018</v>
      </c>
      <c r="N44" s="16">
        <f t="shared" si="2"/>
        <v>570997</v>
      </c>
      <c r="O44" s="16">
        <f t="shared" si="1"/>
        <v>20605203.260712825</v>
      </c>
    </row>
    <row r="45" spans="1:16" hidden="1" x14ac:dyDescent="0.3">
      <c r="A45" s="17" t="s">
        <v>134</v>
      </c>
      <c r="B45" s="16" t="s">
        <v>413</v>
      </c>
      <c r="C45" s="16">
        <v>145502</v>
      </c>
      <c r="D45" s="16">
        <v>476309</v>
      </c>
      <c r="F45" s="16">
        <v>1244000</v>
      </c>
      <c r="G45" s="16">
        <v>1098340</v>
      </c>
      <c r="H45" s="16">
        <v>5692920</v>
      </c>
      <c r="I45" s="16">
        <v>18759638</v>
      </c>
      <c r="K45" s="16">
        <v>48672810.243158169</v>
      </c>
      <c r="L45" s="16">
        <v>43258600.616238624</v>
      </c>
      <c r="M45" s="16">
        <v>2019</v>
      </c>
      <c r="N45" s="16">
        <f t="shared" si="2"/>
        <v>476151</v>
      </c>
      <c r="O45" s="16">
        <f>H45+I45+(L45-K45)</f>
        <v>19038348.373080455</v>
      </c>
    </row>
    <row r="46" spans="1:16" hidden="1" x14ac:dyDescent="0.3">
      <c r="A46" s="18" t="s">
        <v>312</v>
      </c>
      <c r="B46" s="16" t="s">
        <v>315</v>
      </c>
      <c r="D46" s="16">
        <v>58396</v>
      </c>
      <c r="F46" s="16">
        <v>4973</v>
      </c>
      <c r="G46" s="16">
        <v>4985</v>
      </c>
      <c r="I46" s="16">
        <v>52667857</v>
      </c>
      <c r="K46" s="16">
        <v>2464000</v>
      </c>
      <c r="L46" s="16">
        <v>2661000</v>
      </c>
      <c r="M46" s="16">
        <v>2019</v>
      </c>
      <c r="N46" s="16">
        <f t="shared" si="2"/>
        <v>58408</v>
      </c>
      <c r="O46" s="16">
        <f t="shared" si="1"/>
        <v>52864857</v>
      </c>
    </row>
    <row r="47" spans="1:16" hidden="1" x14ac:dyDescent="0.3">
      <c r="A47" s="18" t="s">
        <v>312</v>
      </c>
      <c r="B47" s="16" t="s">
        <v>318</v>
      </c>
      <c r="D47" s="16">
        <v>502202</v>
      </c>
      <c r="F47" s="16">
        <v>45278</v>
      </c>
      <c r="G47" s="16">
        <v>35358</v>
      </c>
      <c r="I47" s="16">
        <v>50005135</v>
      </c>
      <c r="K47" s="16">
        <v>2426000</v>
      </c>
      <c r="L47" s="16">
        <v>2004000</v>
      </c>
      <c r="M47" s="16">
        <v>2019</v>
      </c>
      <c r="N47" s="16">
        <f t="shared" si="2"/>
        <v>492282</v>
      </c>
      <c r="O47" s="16">
        <f t="shared" si="1"/>
        <v>49583135</v>
      </c>
    </row>
    <row r="48" spans="1:16" hidden="1" x14ac:dyDescent="0.3">
      <c r="A48" s="18" t="s">
        <v>312</v>
      </c>
      <c r="B48" s="16" t="s">
        <v>319</v>
      </c>
      <c r="D48" s="16">
        <v>3769</v>
      </c>
      <c r="F48" s="16">
        <v>156</v>
      </c>
      <c r="G48" s="16">
        <v>1</v>
      </c>
      <c r="I48" s="16">
        <v>2414292</v>
      </c>
      <c r="K48" s="16">
        <v>44816</v>
      </c>
      <c r="L48" s="16">
        <v>563</v>
      </c>
      <c r="M48" s="16">
        <v>2019</v>
      </c>
      <c r="N48" s="16">
        <f t="shared" si="2"/>
        <v>3614</v>
      </c>
      <c r="O48" s="16">
        <f t="shared" si="1"/>
        <v>2370039</v>
      </c>
    </row>
    <row r="49" spans="1:15" hidden="1" x14ac:dyDescent="0.3">
      <c r="A49" s="18" t="s">
        <v>312</v>
      </c>
      <c r="B49" s="16" t="s">
        <v>416</v>
      </c>
      <c r="D49" s="16">
        <v>6532</v>
      </c>
      <c r="F49" s="16">
        <v>206</v>
      </c>
      <c r="G49" s="16">
        <v>189</v>
      </c>
      <c r="I49" s="16">
        <v>2591469</v>
      </c>
      <c r="K49" s="16">
        <v>44675</v>
      </c>
      <c r="L49" s="16">
        <v>45033</v>
      </c>
      <c r="M49" s="16">
        <v>2019</v>
      </c>
      <c r="N49" s="16">
        <f t="shared" si="2"/>
        <v>6515</v>
      </c>
      <c r="O49" s="16">
        <f t="shared" si="1"/>
        <v>2591827</v>
      </c>
    </row>
    <row r="50" spans="1:15" hidden="1" x14ac:dyDescent="0.3">
      <c r="A50" s="18" t="s">
        <v>312</v>
      </c>
      <c r="B50" s="16" t="s">
        <v>417</v>
      </c>
      <c r="D50" s="16">
        <v>31025</v>
      </c>
      <c r="F50" s="16">
        <v>10650</v>
      </c>
      <c r="G50" s="16">
        <v>1938</v>
      </c>
      <c r="I50" s="16">
        <v>7005808</v>
      </c>
      <c r="K50" s="16">
        <v>1781046</v>
      </c>
      <c r="L50" s="16">
        <v>358766</v>
      </c>
      <c r="M50" s="16">
        <v>2019</v>
      </c>
      <c r="N50" s="16">
        <f t="shared" si="2"/>
        <v>22313</v>
      </c>
      <c r="O50" s="16">
        <f t="shared" si="1"/>
        <v>5583528</v>
      </c>
    </row>
    <row r="51" spans="1:15" hidden="1" x14ac:dyDescent="0.3">
      <c r="A51" s="17" t="s">
        <v>130</v>
      </c>
      <c r="B51" s="31" t="s">
        <v>285</v>
      </c>
      <c r="C51" s="16">
        <v>662120.84896608652</v>
      </c>
      <c r="H51" s="16">
        <v>4036281</v>
      </c>
      <c r="M51" s="16">
        <v>2018</v>
      </c>
      <c r="N51" s="16">
        <f t="shared" si="2"/>
        <v>662120.84896608652</v>
      </c>
      <c r="O51" s="16">
        <f t="shared" si="1"/>
        <v>4036281</v>
      </c>
    </row>
    <row r="52" spans="1:15" hidden="1" x14ac:dyDescent="0.3">
      <c r="A52" s="17" t="s">
        <v>130</v>
      </c>
      <c r="B52" s="31" t="s">
        <v>285</v>
      </c>
      <c r="C52" s="16">
        <v>427458</v>
      </c>
      <c r="H52" s="16">
        <v>2605779</v>
      </c>
      <c r="M52" s="16">
        <v>2019</v>
      </c>
      <c r="N52" s="16">
        <f t="shared" si="2"/>
        <v>427458</v>
      </c>
      <c r="O52" s="16">
        <f t="shared" si="1"/>
        <v>2605779</v>
      </c>
    </row>
    <row r="53" spans="1:15" hidden="1" x14ac:dyDescent="0.3">
      <c r="A53" s="17" t="s">
        <v>9</v>
      </c>
      <c r="B53" s="16" t="s">
        <v>240</v>
      </c>
      <c r="C53" s="30"/>
      <c r="D53" s="30">
        <v>6.3E-2</v>
      </c>
      <c r="F53" s="30">
        <v>0</v>
      </c>
      <c r="G53" s="30">
        <v>0</v>
      </c>
      <c r="I53" s="16">
        <v>1240248</v>
      </c>
      <c r="K53" s="16">
        <v>0</v>
      </c>
      <c r="L53" s="16">
        <v>0</v>
      </c>
      <c r="M53" s="16">
        <v>2018</v>
      </c>
      <c r="N53" s="30">
        <f t="shared" si="2"/>
        <v>6.3E-2</v>
      </c>
      <c r="O53" s="16">
        <f>H53+I53+(L53-K53)</f>
        <v>1240248</v>
      </c>
    </row>
    <row r="54" spans="1:15" hidden="1" x14ac:dyDescent="0.3">
      <c r="A54" s="1" t="s">
        <v>175</v>
      </c>
      <c r="B54" s="29" t="s">
        <v>415</v>
      </c>
      <c r="C54" s="16">
        <v>2195180</v>
      </c>
      <c r="D54" s="16">
        <v>454988</v>
      </c>
      <c r="F54" s="16">
        <v>12787</v>
      </c>
      <c r="G54" s="16">
        <v>17392</v>
      </c>
      <c r="H54" s="16">
        <v>91829270</v>
      </c>
      <c r="I54" s="16">
        <v>17512938</v>
      </c>
      <c r="K54" s="16">
        <v>422056</v>
      </c>
      <c r="L54" s="16">
        <v>644719</v>
      </c>
      <c r="M54" s="16">
        <v>2018</v>
      </c>
      <c r="N54" s="16">
        <f>C54+D54+(G54-F54)</f>
        <v>2654773</v>
      </c>
      <c r="O54" s="16">
        <f t="shared" ref="O54:O57" si="3">H54+I54+(L54-K54)</f>
        <v>109564871</v>
      </c>
    </row>
    <row r="55" spans="1:15" hidden="1" x14ac:dyDescent="0.3">
      <c r="A55" s="1" t="s">
        <v>175</v>
      </c>
      <c r="B55" s="29" t="s">
        <v>415</v>
      </c>
      <c r="C55" s="16">
        <v>2245068</v>
      </c>
      <c r="D55" s="16">
        <v>345050</v>
      </c>
      <c r="H55" s="16">
        <v>93916196.184531569</v>
      </c>
      <c r="I55" s="16">
        <v>14881660</v>
      </c>
      <c r="M55" s="16">
        <v>2019</v>
      </c>
      <c r="N55" s="16">
        <f t="shared" ref="N55:N57" si="4">C55+D55+(G55-F55)</f>
        <v>2590118</v>
      </c>
      <c r="O55" s="16">
        <f t="shared" si="3"/>
        <v>108797856.18453157</v>
      </c>
    </row>
    <row r="56" spans="1:15" hidden="1" x14ac:dyDescent="0.3">
      <c r="A56" s="16" t="s">
        <v>46</v>
      </c>
      <c r="B56" s="31" t="s">
        <v>285</v>
      </c>
      <c r="C56" s="16">
        <v>24210</v>
      </c>
      <c r="H56" s="16">
        <v>145259.35722819594</v>
      </c>
      <c r="M56" s="16">
        <v>2018</v>
      </c>
      <c r="N56" s="16">
        <f t="shared" si="4"/>
        <v>24210</v>
      </c>
      <c r="O56" s="16">
        <f t="shared" si="3"/>
        <v>145259.35722819594</v>
      </c>
    </row>
    <row r="57" spans="1:15" hidden="1" x14ac:dyDescent="0.3">
      <c r="A57" s="16" t="s">
        <v>46</v>
      </c>
      <c r="B57" s="31" t="s">
        <v>285</v>
      </c>
      <c r="C57" s="16">
        <v>37665</v>
      </c>
      <c r="H57" s="16">
        <v>225989</v>
      </c>
      <c r="M57" s="16">
        <v>2019</v>
      </c>
      <c r="N57" s="16">
        <f t="shared" si="4"/>
        <v>37665</v>
      </c>
      <c r="O57" s="16">
        <f t="shared" si="3"/>
        <v>225989</v>
      </c>
    </row>
  </sheetData>
  <autoFilter ref="A1:O57">
    <filterColumn colId="0">
      <filters>
        <filter val="SENEGAL MINES SA"/>
      </filters>
    </filterColumn>
    <filterColumn colId="12">
      <filters>
        <filter val="2 019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60"/>
  <sheetViews>
    <sheetView tabSelected="1" zoomScale="115" zoomScaleNormal="115" workbookViewId="0">
      <pane xSplit="1" ySplit="1" topLeftCell="N25" activePane="bottomRight" state="frozen"/>
      <selection pane="topRight" activeCell="B1" sqref="B1"/>
      <selection pane="bottomLeft" activeCell="A2" sqref="A2"/>
      <selection pane="bottomRight" activeCell="O9" sqref="O9"/>
    </sheetView>
  </sheetViews>
  <sheetFormatPr baseColWidth="10" defaultColWidth="8.88671875" defaultRowHeight="14.4" x14ac:dyDescent="0.3"/>
  <cols>
    <col min="1" max="1" width="35.44140625" style="16" customWidth="1"/>
    <col min="2" max="2" width="10.5546875" style="16" bestFit="1" customWidth="1"/>
    <col min="3" max="3" width="19.6640625" style="16" customWidth="1"/>
    <col min="4" max="5" width="13.88671875" style="16" customWidth="1"/>
    <col min="6" max="6" width="12.44140625" style="16" customWidth="1"/>
    <col min="7" max="7" width="13.109375" style="16" customWidth="1"/>
    <col min="8" max="8" width="13.5546875" style="16" customWidth="1"/>
    <col min="9" max="9" width="16.5546875" style="16" bestFit="1" customWidth="1"/>
    <col min="10" max="10" width="17.44140625" style="16" customWidth="1"/>
    <col min="11" max="11" width="12.44140625" style="16" customWidth="1"/>
    <col min="12" max="12" width="16" style="16" customWidth="1"/>
    <col min="13" max="13" width="17.109375" style="16" customWidth="1"/>
    <col min="14" max="14" width="16.5546875" style="16" bestFit="1" customWidth="1"/>
    <col min="15" max="15" width="15.44140625" style="16" customWidth="1"/>
    <col min="16" max="16" width="15.5546875" style="16" bestFit="1" customWidth="1"/>
    <col min="17" max="17" width="13" style="16" bestFit="1" customWidth="1"/>
    <col min="18" max="19" width="9.44140625" style="16" bestFit="1" customWidth="1"/>
    <col min="20" max="16384" width="8.88671875" style="16"/>
  </cols>
  <sheetData>
    <row r="1" spans="1:16" x14ac:dyDescent="0.3">
      <c r="A1" s="34" t="s">
        <v>0</v>
      </c>
      <c r="B1" s="34" t="s">
        <v>785</v>
      </c>
      <c r="C1" s="16" t="s">
        <v>399</v>
      </c>
      <c r="D1" s="16" t="s">
        <v>400</v>
      </c>
      <c r="E1" s="16" t="s">
        <v>401</v>
      </c>
      <c r="F1" s="16" t="s">
        <v>402</v>
      </c>
      <c r="G1" s="16" t="s">
        <v>403</v>
      </c>
      <c r="H1" s="16" t="s">
        <v>404</v>
      </c>
      <c r="I1" s="16" t="s">
        <v>405</v>
      </c>
      <c r="J1" s="16" t="s">
        <v>406</v>
      </c>
      <c r="K1" s="16" t="s">
        <v>407</v>
      </c>
      <c r="L1" s="16" t="s">
        <v>408</v>
      </c>
      <c r="M1" s="16" t="s">
        <v>409</v>
      </c>
      <c r="N1" s="16" t="s">
        <v>410</v>
      </c>
      <c r="O1" s="16" t="s">
        <v>411</v>
      </c>
      <c r="P1" s="16" t="s">
        <v>412</v>
      </c>
    </row>
    <row r="2" spans="1:16" hidden="1" x14ac:dyDescent="0.3">
      <c r="A2" s="35" t="s">
        <v>9</v>
      </c>
      <c r="B2" s="36" t="s">
        <v>242</v>
      </c>
      <c r="C2" s="16" t="s">
        <v>240</v>
      </c>
      <c r="D2" s="30"/>
      <c r="E2" s="30">
        <v>3.0000000000000001E-3</v>
      </c>
      <c r="G2" s="30">
        <v>0</v>
      </c>
      <c r="H2" s="30">
        <v>0</v>
      </c>
      <c r="J2" s="16">
        <v>80075</v>
      </c>
      <c r="L2" s="16">
        <v>0</v>
      </c>
      <c r="M2" s="16">
        <v>0</v>
      </c>
      <c r="N2" s="16">
        <v>2019</v>
      </c>
      <c r="O2" s="30">
        <f t="shared" ref="O2:O33" si="0">D2+E2+(H2-G2)</f>
        <v>3.0000000000000001E-3</v>
      </c>
      <c r="P2" s="16">
        <f>I2+J2+(M2-L2)</f>
        <v>80075</v>
      </c>
    </row>
    <row r="3" spans="1:16" hidden="1" x14ac:dyDescent="0.3">
      <c r="A3" s="35" t="s">
        <v>162</v>
      </c>
      <c r="B3" s="36" t="s">
        <v>278</v>
      </c>
      <c r="C3" s="16" t="s">
        <v>413</v>
      </c>
      <c r="F3" s="16">
        <v>2057</v>
      </c>
      <c r="G3" s="16">
        <v>127935</v>
      </c>
      <c r="H3" s="16">
        <v>127913</v>
      </c>
      <c r="N3" s="16">
        <v>2019</v>
      </c>
      <c r="O3" s="16">
        <f t="shared" si="0"/>
        <v>-22</v>
      </c>
      <c r="P3" s="16">
        <v>1484</v>
      </c>
    </row>
    <row r="4" spans="1:16" hidden="1" x14ac:dyDescent="0.3">
      <c r="A4" s="35" t="s">
        <v>162</v>
      </c>
      <c r="B4" s="36" t="s">
        <v>278</v>
      </c>
      <c r="C4" s="16" t="s">
        <v>413</v>
      </c>
      <c r="D4" s="16">
        <v>20088.400000000001</v>
      </c>
      <c r="E4" s="16">
        <v>24401</v>
      </c>
      <c r="F4" s="16">
        <v>2057</v>
      </c>
      <c r="G4" s="16">
        <v>2693</v>
      </c>
      <c r="H4" s="16">
        <v>2057</v>
      </c>
      <c r="I4" s="16">
        <v>607373</v>
      </c>
      <c r="J4" s="16">
        <v>679077</v>
      </c>
      <c r="N4" s="16">
        <v>2018</v>
      </c>
      <c r="O4" s="16">
        <f t="shared" si="0"/>
        <v>43853.4</v>
      </c>
      <c r="P4" s="16">
        <f>I4+J4+(M4-L4)</f>
        <v>1286450</v>
      </c>
    </row>
    <row r="5" spans="1:16" hidden="1" x14ac:dyDescent="0.3">
      <c r="A5" s="35" t="s">
        <v>280</v>
      </c>
      <c r="B5" s="36" t="s">
        <v>310</v>
      </c>
      <c r="C5" s="16" t="s">
        <v>414</v>
      </c>
      <c r="D5" s="16">
        <v>380247</v>
      </c>
      <c r="I5" s="16">
        <v>890540</v>
      </c>
      <c r="N5" s="16">
        <v>2019</v>
      </c>
      <c r="O5" s="16">
        <f t="shared" si="0"/>
        <v>380247</v>
      </c>
      <c r="P5" s="16">
        <f>I5+J5+(M5-L5)</f>
        <v>890540</v>
      </c>
    </row>
    <row r="6" spans="1:16" hidden="1" x14ac:dyDescent="0.3">
      <c r="A6" s="35" t="s">
        <v>46</v>
      </c>
      <c r="B6" s="36" t="s">
        <v>310</v>
      </c>
      <c r="C6" s="31" t="s">
        <v>293</v>
      </c>
      <c r="D6" s="16">
        <v>1570000</v>
      </c>
      <c r="I6" s="16">
        <v>19126283</v>
      </c>
      <c r="N6" s="16">
        <v>2018</v>
      </c>
      <c r="O6" s="16">
        <f t="shared" si="0"/>
        <v>1570000</v>
      </c>
      <c r="P6" s="16">
        <v>12513668.9900917</v>
      </c>
    </row>
    <row r="7" spans="1:16" hidden="1" x14ac:dyDescent="0.3">
      <c r="A7" s="35" t="s">
        <v>46</v>
      </c>
      <c r="B7" s="36" t="s">
        <v>310</v>
      </c>
      <c r="C7" s="31" t="s">
        <v>293</v>
      </c>
      <c r="D7" s="16">
        <v>1592907</v>
      </c>
      <c r="I7" s="16">
        <v>12696249</v>
      </c>
      <c r="N7" s="16">
        <v>2019</v>
      </c>
      <c r="O7" s="16">
        <f t="shared" si="0"/>
        <v>1592907</v>
      </c>
      <c r="P7" s="16">
        <f t="shared" ref="P7:P38" si="1">I7+J7+(M7-L7)</f>
        <v>12696249</v>
      </c>
    </row>
    <row r="8" spans="1:16" hidden="1" x14ac:dyDescent="0.3">
      <c r="A8" s="35" t="s">
        <v>297</v>
      </c>
      <c r="B8" s="36" t="s">
        <v>310</v>
      </c>
      <c r="C8" s="16" t="s">
        <v>415</v>
      </c>
      <c r="D8" s="16">
        <v>940284</v>
      </c>
      <c r="E8" s="16">
        <v>427619</v>
      </c>
      <c r="G8" s="16">
        <v>4538</v>
      </c>
      <c r="H8" s="16">
        <v>0</v>
      </c>
      <c r="I8" s="16">
        <v>38438175</v>
      </c>
      <c r="J8" s="16">
        <v>16247084</v>
      </c>
      <c r="L8" s="16">
        <v>172032</v>
      </c>
      <c r="M8" s="16">
        <v>0</v>
      </c>
      <c r="N8" s="16">
        <v>2018</v>
      </c>
      <c r="O8" s="16">
        <f t="shared" si="0"/>
        <v>1363365</v>
      </c>
      <c r="P8" s="16">
        <f t="shared" si="1"/>
        <v>54513227</v>
      </c>
    </row>
    <row r="9" spans="1:16" hidden="1" x14ac:dyDescent="0.3">
      <c r="A9" s="35" t="s">
        <v>297</v>
      </c>
      <c r="B9" s="36" t="s">
        <v>310</v>
      </c>
      <c r="C9" s="16" t="s">
        <v>415</v>
      </c>
      <c r="D9" s="16">
        <v>1116847</v>
      </c>
      <c r="E9" s="16">
        <v>364038</v>
      </c>
      <c r="H9" s="16">
        <v>0</v>
      </c>
      <c r="I9" s="16">
        <v>47670012</v>
      </c>
      <c r="J9" s="16">
        <v>14057133</v>
      </c>
      <c r="M9" s="16">
        <v>0</v>
      </c>
      <c r="N9" s="16">
        <v>2019</v>
      </c>
      <c r="O9" s="16">
        <f t="shared" si="0"/>
        <v>1480885</v>
      </c>
      <c r="P9" s="16">
        <f t="shared" si="1"/>
        <v>61727145</v>
      </c>
    </row>
    <row r="10" spans="1:16" hidden="1" x14ac:dyDescent="0.3">
      <c r="A10" s="35" t="s">
        <v>63</v>
      </c>
      <c r="B10" s="36" t="s">
        <v>310</v>
      </c>
      <c r="C10" s="31" t="s">
        <v>293</v>
      </c>
      <c r="D10" s="16">
        <v>1992891</v>
      </c>
      <c r="E10" s="16">
        <v>0</v>
      </c>
      <c r="F10" s="16">
        <v>0</v>
      </c>
      <c r="G10" s="16">
        <v>0</v>
      </c>
      <c r="H10" s="16">
        <v>0</v>
      </c>
      <c r="I10" s="16">
        <v>16414043</v>
      </c>
      <c r="J10" s="16">
        <v>0</v>
      </c>
      <c r="K10" s="16">
        <v>0</v>
      </c>
      <c r="L10" s="16">
        <v>0</v>
      </c>
      <c r="M10" s="16">
        <v>0</v>
      </c>
      <c r="N10" s="16">
        <v>2019</v>
      </c>
      <c r="O10" s="16">
        <f t="shared" si="0"/>
        <v>1992891</v>
      </c>
      <c r="P10" s="16">
        <f t="shared" si="1"/>
        <v>16414043</v>
      </c>
    </row>
    <row r="11" spans="1:16" hidden="1" x14ac:dyDescent="0.3">
      <c r="A11" s="35" t="s">
        <v>63</v>
      </c>
      <c r="B11" s="36" t="s">
        <v>310</v>
      </c>
      <c r="C11" s="31" t="s">
        <v>293</v>
      </c>
      <c r="D11" s="16">
        <v>2595323</v>
      </c>
      <c r="I11" s="16">
        <v>19508275</v>
      </c>
      <c r="N11" s="16">
        <v>2018</v>
      </c>
      <c r="O11" s="16">
        <f t="shared" si="0"/>
        <v>2595323</v>
      </c>
      <c r="P11" s="16">
        <f t="shared" si="1"/>
        <v>19508275</v>
      </c>
    </row>
    <row r="12" spans="1:16" hidden="1" x14ac:dyDescent="0.3">
      <c r="A12" s="35" t="s">
        <v>163</v>
      </c>
      <c r="B12" s="36" t="s">
        <v>786</v>
      </c>
      <c r="C12" s="16" t="s">
        <v>304</v>
      </c>
      <c r="E12" s="16">
        <v>4368</v>
      </c>
      <c r="G12" s="16">
        <v>0</v>
      </c>
      <c r="H12" s="16">
        <v>0</v>
      </c>
      <c r="J12" s="16">
        <v>503285</v>
      </c>
      <c r="N12" s="16">
        <v>2019</v>
      </c>
      <c r="O12" s="16">
        <f t="shared" si="0"/>
        <v>4368</v>
      </c>
      <c r="P12" s="16">
        <f t="shared" si="1"/>
        <v>503285</v>
      </c>
    </row>
    <row r="13" spans="1:16" hidden="1" x14ac:dyDescent="0.3">
      <c r="A13" s="35" t="s">
        <v>163</v>
      </c>
      <c r="B13" s="36" t="s">
        <v>786</v>
      </c>
      <c r="C13" s="16" t="s">
        <v>304</v>
      </c>
      <c r="E13" s="16">
        <v>11284</v>
      </c>
      <c r="J13" s="16">
        <v>1300152</v>
      </c>
      <c r="N13" s="16">
        <v>2018</v>
      </c>
      <c r="O13" s="16">
        <f t="shared" si="0"/>
        <v>11284</v>
      </c>
      <c r="P13" s="16">
        <f t="shared" si="1"/>
        <v>1300152</v>
      </c>
    </row>
    <row r="14" spans="1:16" hidden="1" x14ac:dyDescent="0.3">
      <c r="A14" s="36" t="s">
        <v>312</v>
      </c>
      <c r="B14" s="36" t="s">
        <v>234</v>
      </c>
      <c r="C14" s="16" t="s">
        <v>315</v>
      </c>
      <c r="E14" s="16">
        <v>65007</v>
      </c>
      <c r="G14" s="16">
        <v>5560</v>
      </c>
      <c r="H14" s="16">
        <v>4831</v>
      </c>
      <c r="J14" s="16">
        <v>53373386</v>
      </c>
      <c r="L14" s="16">
        <v>1812011</v>
      </c>
      <c r="M14" s="16">
        <v>2464254</v>
      </c>
      <c r="N14" s="16">
        <v>2018</v>
      </c>
      <c r="O14" s="16">
        <f t="shared" si="0"/>
        <v>64278</v>
      </c>
      <c r="P14" s="16">
        <f t="shared" si="1"/>
        <v>54025629</v>
      </c>
    </row>
    <row r="15" spans="1:16" hidden="1" x14ac:dyDescent="0.3">
      <c r="A15" s="36" t="s">
        <v>312</v>
      </c>
      <c r="B15" s="36" t="s">
        <v>234</v>
      </c>
      <c r="C15" s="16" t="s">
        <v>318</v>
      </c>
      <c r="E15" s="16">
        <v>530692</v>
      </c>
      <c r="G15" s="16">
        <v>69574</v>
      </c>
      <c r="H15" s="16">
        <v>45819</v>
      </c>
      <c r="J15" s="16">
        <v>47574723</v>
      </c>
      <c r="L15" s="16">
        <v>3519272</v>
      </c>
      <c r="M15" s="16">
        <v>2426089</v>
      </c>
      <c r="N15" s="16">
        <v>2018</v>
      </c>
      <c r="O15" s="16">
        <f t="shared" si="0"/>
        <v>506937</v>
      </c>
      <c r="P15" s="16">
        <f t="shared" si="1"/>
        <v>46481540</v>
      </c>
    </row>
    <row r="16" spans="1:16" hidden="1" x14ac:dyDescent="0.3">
      <c r="A16" s="36" t="s">
        <v>312</v>
      </c>
      <c r="B16" s="36" t="s">
        <v>234</v>
      </c>
      <c r="C16" s="16" t="s">
        <v>319</v>
      </c>
      <c r="E16" s="16">
        <v>3943</v>
      </c>
      <c r="G16" s="16">
        <v>136</v>
      </c>
      <c r="H16" s="16">
        <v>154</v>
      </c>
      <c r="J16" s="16">
        <v>1934974</v>
      </c>
      <c r="L16" s="16">
        <v>44129</v>
      </c>
      <c r="M16" s="16">
        <v>44816</v>
      </c>
      <c r="N16" s="16">
        <v>2018</v>
      </c>
      <c r="O16" s="16">
        <f t="shared" si="0"/>
        <v>3961</v>
      </c>
      <c r="P16" s="16">
        <f t="shared" si="1"/>
        <v>1935661</v>
      </c>
    </row>
    <row r="17" spans="1:16" hidden="1" x14ac:dyDescent="0.3">
      <c r="A17" s="36" t="s">
        <v>312</v>
      </c>
      <c r="B17" s="36" t="s">
        <v>234</v>
      </c>
      <c r="C17" s="16" t="s">
        <v>416</v>
      </c>
      <c r="E17" s="16">
        <v>6760</v>
      </c>
      <c r="G17" s="16">
        <v>1362</v>
      </c>
      <c r="H17" s="16">
        <v>247</v>
      </c>
      <c r="J17" s="16">
        <v>2064692</v>
      </c>
      <c r="L17" s="16">
        <v>202920</v>
      </c>
      <c r="M17" s="16">
        <v>44676</v>
      </c>
      <c r="N17" s="16">
        <v>2018</v>
      </c>
      <c r="O17" s="16">
        <f t="shared" si="0"/>
        <v>5645</v>
      </c>
      <c r="P17" s="16">
        <f t="shared" si="1"/>
        <v>1906448</v>
      </c>
    </row>
    <row r="18" spans="1:16" hidden="1" x14ac:dyDescent="0.3">
      <c r="A18" s="36" t="s">
        <v>312</v>
      </c>
      <c r="B18" s="36" t="s">
        <v>234</v>
      </c>
      <c r="C18" s="16" t="s">
        <v>417</v>
      </c>
      <c r="E18" s="16">
        <v>28418</v>
      </c>
      <c r="G18" s="16">
        <v>9777</v>
      </c>
      <c r="H18" s="16">
        <v>10650</v>
      </c>
      <c r="J18" s="16">
        <v>8565752</v>
      </c>
      <c r="L18" s="16">
        <v>934024</v>
      </c>
      <c r="M18" s="16">
        <v>1781046</v>
      </c>
      <c r="N18" s="16">
        <v>2018</v>
      </c>
      <c r="O18" s="16">
        <f t="shared" si="0"/>
        <v>29291</v>
      </c>
      <c r="P18" s="16">
        <f t="shared" si="1"/>
        <v>9412774</v>
      </c>
    </row>
    <row r="19" spans="1:16" hidden="1" x14ac:dyDescent="0.3">
      <c r="A19" s="35" t="s">
        <v>72</v>
      </c>
      <c r="B19" s="36" t="s">
        <v>310</v>
      </c>
      <c r="C19" s="31" t="s">
        <v>293</v>
      </c>
      <c r="D19" s="16">
        <v>27875</v>
      </c>
      <c r="I19" s="16">
        <v>63149</v>
      </c>
      <c r="N19" s="16">
        <v>2019</v>
      </c>
      <c r="O19" s="16">
        <f t="shared" si="0"/>
        <v>27875</v>
      </c>
      <c r="P19" s="16">
        <f t="shared" si="1"/>
        <v>63149</v>
      </c>
    </row>
    <row r="20" spans="1:16" hidden="1" x14ac:dyDescent="0.3">
      <c r="A20" s="36" t="s">
        <v>81</v>
      </c>
      <c r="B20" s="36" t="s">
        <v>310</v>
      </c>
      <c r="C20" s="16" t="s">
        <v>418</v>
      </c>
      <c r="D20" s="16">
        <v>58943</v>
      </c>
      <c r="E20" s="16">
        <v>95216</v>
      </c>
      <c r="G20" s="16">
        <v>57525</v>
      </c>
      <c r="H20" s="16">
        <v>38362</v>
      </c>
      <c r="I20" s="16">
        <v>117770301</v>
      </c>
      <c r="J20" s="16">
        <v>20184454</v>
      </c>
      <c r="L20" s="16">
        <v>11163680</v>
      </c>
      <c r="M20" s="16">
        <v>8079399</v>
      </c>
      <c r="N20" s="16">
        <v>2018</v>
      </c>
      <c r="O20" s="16">
        <f t="shared" si="0"/>
        <v>134996</v>
      </c>
      <c r="P20" s="16">
        <f t="shared" si="1"/>
        <v>134870474</v>
      </c>
    </row>
    <row r="21" spans="1:16" hidden="1" x14ac:dyDescent="0.3">
      <c r="A21" s="36" t="s">
        <v>81</v>
      </c>
      <c r="B21" s="36" t="s">
        <v>310</v>
      </c>
      <c r="C21" s="16" t="s">
        <v>419</v>
      </c>
      <c r="D21" s="16">
        <v>33</v>
      </c>
      <c r="E21" s="16">
        <v>475792</v>
      </c>
      <c r="G21" s="16">
        <v>17653</v>
      </c>
      <c r="H21" s="16">
        <v>88866</v>
      </c>
      <c r="I21" s="16">
        <v>16877</v>
      </c>
      <c r="J21" s="16">
        <v>182461271</v>
      </c>
      <c r="L21" s="16">
        <v>4435700</v>
      </c>
      <c r="M21" s="16">
        <v>23278085</v>
      </c>
      <c r="N21" s="16">
        <v>2018</v>
      </c>
      <c r="O21" s="16">
        <f t="shared" si="0"/>
        <v>547038</v>
      </c>
      <c r="P21" s="16">
        <f t="shared" si="1"/>
        <v>201320533</v>
      </c>
    </row>
    <row r="22" spans="1:16" hidden="1" x14ac:dyDescent="0.3">
      <c r="A22" s="36" t="s">
        <v>81</v>
      </c>
      <c r="B22" s="36" t="s">
        <v>310</v>
      </c>
      <c r="C22" s="16" t="s">
        <v>418</v>
      </c>
      <c r="D22" s="16">
        <v>75427</v>
      </c>
      <c r="E22" s="16">
        <v>97201</v>
      </c>
      <c r="G22" s="16">
        <v>38362</v>
      </c>
      <c r="H22" s="16">
        <v>24364</v>
      </c>
      <c r="I22" s="16">
        <v>16037099</v>
      </c>
      <c r="J22" s="16">
        <v>22031441</v>
      </c>
      <c r="L22" s="16">
        <v>8079399</v>
      </c>
      <c r="M22" s="16">
        <v>5510398</v>
      </c>
      <c r="N22" s="16">
        <v>2019</v>
      </c>
      <c r="O22" s="16">
        <f t="shared" si="0"/>
        <v>158630</v>
      </c>
      <c r="P22" s="16">
        <f t="shared" si="1"/>
        <v>35499539</v>
      </c>
    </row>
    <row r="23" spans="1:16" hidden="1" x14ac:dyDescent="0.3">
      <c r="A23" s="36" t="s">
        <v>81</v>
      </c>
      <c r="B23" s="36" t="s">
        <v>310</v>
      </c>
      <c r="C23" s="16" t="s">
        <v>419</v>
      </c>
      <c r="D23" s="16">
        <v>97</v>
      </c>
      <c r="E23" s="16">
        <v>537424</v>
      </c>
      <c r="G23" s="16">
        <v>88866</v>
      </c>
      <c r="H23" s="16">
        <v>58924</v>
      </c>
      <c r="I23" s="16">
        <v>51178</v>
      </c>
      <c r="J23" s="16">
        <v>219159910</v>
      </c>
      <c r="L23" s="16">
        <v>23276085</v>
      </c>
      <c r="M23" s="16">
        <v>14746805</v>
      </c>
      <c r="N23" s="16">
        <v>2019</v>
      </c>
      <c r="O23" s="16">
        <f t="shared" si="0"/>
        <v>507579</v>
      </c>
      <c r="P23" s="16">
        <f t="shared" si="1"/>
        <v>210681808</v>
      </c>
    </row>
    <row r="24" spans="1:16" hidden="1" x14ac:dyDescent="0.3">
      <c r="A24" s="36" t="s">
        <v>81</v>
      </c>
      <c r="B24" s="36" t="s">
        <v>310</v>
      </c>
      <c r="C24" s="16" t="s">
        <v>413</v>
      </c>
      <c r="G24" s="16">
        <v>70440</v>
      </c>
      <c r="H24" s="16">
        <v>71572</v>
      </c>
      <c r="L24" s="16">
        <v>2127894</v>
      </c>
      <c r="M24" s="16">
        <v>2219687</v>
      </c>
      <c r="N24" s="16">
        <v>2019</v>
      </c>
      <c r="O24" s="16">
        <f t="shared" si="0"/>
        <v>1132</v>
      </c>
      <c r="P24" s="16">
        <f t="shared" si="1"/>
        <v>91793</v>
      </c>
    </row>
    <row r="25" spans="1:16" x14ac:dyDescent="0.3">
      <c r="A25" s="35" t="s">
        <v>89</v>
      </c>
      <c r="B25" s="36" t="s">
        <v>310</v>
      </c>
      <c r="C25" s="16" t="s">
        <v>415</v>
      </c>
      <c r="D25" s="16">
        <v>1707485</v>
      </c>
      <c r="E25" s="16">
        <v>1047215</v>
      </c>
      <c r="F25" s="16">
        <v>4100</v>
      </c>
      <c r="G25" s="16">
        <v>13139</v>
      </c>
      <c r="H25" s="16">
        <v>13150</v>
      </c>
      <c r="I25" s="16">
        <v>70284602</v>
      </c>
      <c r="J25" s="16">
        <v>41787921</v>
      </c>
      <c r="K25" s="16">
        <v>153735</v>
      </c>
      <c r="L25" s="16">
        <v>390372</v>
      </c>
      <c r="M25" s="16">
        <v>365998</v>
      </c>
      <c r="N25" s="16">
        <v>2019</v>
      </c>
      <c r="O25" s="16">
        <f t="shared" si="0"/>
        <v>2754711</v>
      </c>
      <c r="P25" s="16">
        <f t="shared" si="1"/>
        <v>112048149</v>
      </c>
    </row>
    <row r="26" spans="1:16" x14ac:dyDescent="0.3">
      <c r="A26" s="35" t="s">
        <v>89</v>
      </c>
      <c r="B26" s="36" t="s">
        <v>310</v>
      </c>
      <c r="C26" s="16" t="s">
        <v>415</v>
      </c>
      <c r="D26" s="16">
        <v>1596214</v>
      </c>
      <c r="E26" s="16">
        <v>1150722</v>
      </c>
      <c r="F26" s="16">
        <v>3943</v>
      </c>
      <c r="G26" s="16">
        <v>9720</v>
      </c>
      <c r="H26" s="16">
        <v>13139</v>
      </c>
      <c r="I26" s="16">
        <v>62849574</v>
      </c>
      <c r="J26" s="16">
        <v>44119596</v>
      </c>
      <c r="K26" s="16">
        <v>152383</v>
      </c>
      <c r="L26" s="16">
        <v>266840</v>
      </c>
      <c r="M26" s="16">
        <v>390372</v>
      </c>
      <c r="N26" s="16">
        <v>2018</v>
      </c>
      <c r="O26" s="16">
        <f t="shared" si="0"/>
        <v>2750355</v>
      </c>
      <c r="P26" s="16">
        <f t="shared" si="1"/>
        <v>107092702</v>
      </c>
    </row>
    <row r="27" spans="1:16" hidden="1" x14ac:dyDescent="0.3">
      <c r="A27" s="35" t="s">
        <v>98</v>
      </c>
      <c r="B27" s="36" t="s">
        <v>242</v>
      </c>
      <c r="C27" s="16" t="s">
        <v>240</v>
      </c>
      <c r="D27" s="30"/>
      <c r="E27" s="30">
        <v>4.452</v>
      </c>
      <c r="G27" s="30"/>
      <c r="H27" s="30">
        <v>0.42230000000000001</v>
      </c>
      <c r="J27" s="16">
        <v>100183726</v>
      </c>
      <c r="M27" s="16">
        <v>4745936</v>
      </c>
      <c r="N27" s="16">
        <v>2018</v>
      </c>
      <c r="O27" s="30">
        <f t="shared" si="0"/>
        <v>4.8742999999999999</v>
      </c>
      <c r="P27" s="16">
        <f t="shared" si="1"/>
        <v>104929662</v>
      </c>
    </row>
    <row r="28" spans="1:16" hidden="1" x14ac:dyDescent="0.3">
      <c r="A28" s="3" t="s">
        <v>98</v>
      </c>
      <c r="B28" s="36" t="s">
        <v>242</v>
      </c>
      <c r="C28" s="16" t="s">
        <v>420</v>
      </c>
      <c r="E28" s="30">
        <v>0.189</v>
      </c>
      <c r="J28" s="16">
        <v>48742</v>
      </c>
      <c r="N28" s="16">
        <v>2018</v>
      </c>
      <c r="O28" s="30">
        <f t="shared" si="0"/>
        <v>0.189</v>
      </c>
      <c r="P28" s="16">
        <f t="shared" si="1"/>
        <v>48742</v>
      </c>
    </row>
    <row r="29" spans="1:16" hidden="1" x14ac:dyDescent="0.3">
      <c r="A29" s="35" t="s">
        <v>98</v>
      </c>
      <c r="B29" s="36" t="s">
        <v>242</v>
      </c>
      <c r="C29" s="16" t="s">
        <v>240</v>
      </c>
      <c r="D29" s="30"/>
      <c r="E29" s="30">
        <v>5.7830000000000004</v>
      </c>
      <c r="G29" s="30">
        <v>0.42199999999999999</v>
      </c>
      <c r="H29" s="30">
        <v>0.245</v>
      </c>
      <c r="J29" s="20">
        <v>147148317</v>
      </c>
      <c r="K29" s="20"/>
      <c r="L29" s="20">
        <v>4745935</v>
      </c>
      <c r="M29" s="20">
        <v>3185962</v>
      </c>
      <c r="N29" s="16">
        <v>2019</v>
      </c>
      <c r="O29" s="30">
        <f t="shared" si="0"/>
        <v>5.6060000000000008</v>
      </c>
      <c r="P29" s="16">
        <v>150790991</v>
      </c>
    </row>
    <row r="30" spans="1:16" hidden="1" x14ac:dyDescent="0.3">
      <c r="A30" s="35" t="s">
        <v>103</v>
      </c>
      <c r="B30" s="36" t="s">
        <v>242</v>
      </c>
      <c r="C30" s="16" t="s">
        <v>240</v>
      </c>
      <c r="D30" s="30">
        <v>0.03</v>
      </c>
      <c r="E30" s="30">
        <v>7.62</v>
      </c>
      <c r="G30" s="30">
        <v>0.13</v>
      </c>
      <c r="H30" s="30">
        <v>0.11</v>
      </c>
      <c r="I30" s="16">
        <v>711877</v>
      </c>
      <c r="J30" s="16">
        <v>173006105</v>
      </c>
      <c r="L30" s="16">
        <v>1239448</v>
      </c>
      <c r="M30" s="16">
        <v>1551857</v>
      </c>
      <c r="N30" s="16">
        <v>2018</v>
      </c>
      <c r="O30" s="30">
        <f t="shared" si="0"/>
        <v>7.6300000000000008</v>
      </c>
      <c r="P30" s="16">
        <f t="shared" si="1"/>
        <v>174030391</v>
      </c>
    </row>
    <row r="31" spans="1:16" hidden="1" x14ac:dyDescent="0.3">
      <c r="A31" s="35" t="s">
        <v>103</v>
      </c>
      <c r="B31" s="36" t="s">
        <v>242</v>
      </c>
      <c r="C31" s="16" t="s">
        <v>420</v>
      </c>
      <c r="E31" s="30">
        <v>0.6</v>
      </c>
      <c r="J31" s="16">
        <v>185348</v>
      </c>
      <c r="N31" s="16">
        <v>2018</v>
      </c>
      <c r="O31" s="30">
        <f t="shared" si="0"/>
        <v>0.6</v>
      </c>
      <c r="P31" s="16">
        <f t="shared" si="1"/>
        <v>185348</v>
      </c>
    </row>
    <row r="32" spans="1:16" hidden="1" x14ac:dyDescent="0.3">
      <c r="A32" s="35" t="s">
        <v>103</v>
      </c>
      <c r="B32" s="36" t="s">
        <v>242</v>
      </c>
      <c r="C32" s="16" t="s">
        <v>240</v>
      </c>
      <c r="D32" s="30">
        <v>0.64</v>
      </c>
      <c r="E32" s="30">
        <v>6.62</v>
      </c>
      <c r="G32" s="30">
        <v>0.11</v>
      </c>
      <c r="H32" s="30">
        <v>0.2</v>
      </c>
      <c r="I32" s="16">
        <v>16645002</v>
      </c>
      <c r="J32" s="16">
        <v>170508238</v>
      </c>
      <c r="L32" s="16">
        <v>1551857</v>
      </c>
      <c r="M32" s="16">
        <v>3160292</v>
      </c>
      <c r="N32" s="16">
        <v>2019</v>
      </c>
      <c r="O32" s="30">
        <f t="shared" si="0"/>
        <v>7.35</v>
      </c>
      <c r="P32" s="16">
        <f t="shared" si="1"/>
        <v>188761675</v>
      </c>
    </row>
    <row r="33" spans="1:16" hidden="1" x14ac:dyDescent="0.3">
      <c r="A33" s="35" t="s">
        <v>103</v>
      </c>
      <c r="B33" s="36" t="s">
        <v>242</v>
      </c>
      <c r="C33" s="16" t="s">
        <v>420</v>
      </c>
      <c r="E33" s="30">
        <v>0.48</v>
      </c>
      <c r="J33" s="16">
        <v>160845</v>
      </c>
      <c r="N33" s="16">
        <v>2019</v>
      </c>
      <c r="O33" s="30">
        <f t="shared" si="0"/>
        <v>0.48</v>
      </c>
      <c r="P33" s="16">
        <f t="shared" si="1"/>
        <v>160845</v>
      </c>
    </row>
    <row r="34" spans="1:16" hidden="1" x14ac:dyDescent="0.3">
      <c r="A34" s="35" t="s">
        <v>113</v>
      </c>
      <c r="B34" s="36" t="s">
        <v>310</v>
      </c>
      <c r="C34" s="16" t="s">
        <v>344</v>
      </c>
      <c r="D34" s="16">
        <v>0</v>
      </c>
      <c r="E34" s="16">
        <v>60953</v>
      </c>
      <c r="J34" s="16">
        <v>1679079</v>
      </c>
      <c r="N34" s="16">
        <v>2018</v>
      </c>
      <c r="O34" s="16">
        <v>77832</v>
      </c>
      <c r="P34" s="16">
        <f t="shared" si="1"/>
        <v>1679079</v>
      </c>
    </row>
    <row r="35" spans="1:16" hidden="1" x14ac:dyDescent="0.3">
      <c r="A35" s="36" t="s">
        <v>113</v>
      </c>
      <c r="B35" s="36" t="s">
        <v>310</v>
      </c>
      <c r="C35" s="16" t="s">
        <v>421</v>
      </c>
      <c r="D35" s="16">
        <v>57</v>
      </c>
      <c r="E35" s="16">
        <v>7745</v>
      </c>
      <c r="I35" s="16">
        <v>5786</v>
      </c>
      <c r="J35" s="16">
        <v>500776</v>
      </c>
      <c r="N35" s="16">
        <v>2018</v>
      </c>
      <c r="O35" s="16">
        <v>11498</v>
      </c>
      <c r="P35" s="16">
        <f t="shared" si="1"/>
        <v>506562</v>
      </c>
    </row>
    <row r="36" spans="1:16" hidden="1" x14ac:dyDescent="0.3">
      <c r="A36" s="35" t="s">
        <v>113</v>
      </c>
      <c r="B36" s="36" t="s">
        <v>310</v>
      </c>
      <c r="C36" s="16" t="s">
        <v>344</v>
      </c>
      <c r="E36" s="16">
        <v>52633</v>
      </c>
      <c r="G36" s="16">
        <v>11831</v>
      </c>
      <c r="H36" s="16">
        <v>11962</v>
      </c>
      <c r="J36" s="16">
        <v>1529972</v>
      </c>
      <c r="N36" s="16">
        <v>2019</v>
      </c>
      <c r="O36" s="16">
        <f t="shared" ref="O36:O59" si="2">D36+E36+(H36-G36)</f>
        <v>52764</v>
      </c>
      <c r="P36" s="16">
        <f t="shared" si="1"/>
        <v>1529972</v>
      </c>
    </row>
    <row r="37" spans="1:16" hidden="1" x14ac:dyDescent="0.3">
      <c r="A37" s="35" t="s">
        <v>113</v>
      </c>
      <c r="B37" s="36" t="s">
        <v>310</v>
      </c>
      <c r="C37" s="16" t="s">
        <v>421</v>
      </c>
      <c r="D37" s="16">
        <v>58</v>
      </c>
      <c r="E37" s="16">
        <v>10637</v>
      </c>
      <c r="G37" s="16">
        <v>2677</v>
      </c>
      <c r="H37" s="16">
        <v>3195</v>
      </c>
      <c r="I37" s="16">
        <v>4375</v>
      </c>
      <c r="J37" s="16">
        <v>712151</v>
      </c>
      <c r="N37" s="16">
        <v>2019</v>
      </c>
      <c r="O37" s="16">
        <f t="shared" si="2"/>
        <v>11213</v>
      </c>
      <c r="P37" s="16">
        <f t="shared" si="1"/>
        <v>716526</v>
      </c>
    </row>
    <row r="38" spans="1:16" hidden="1" x14ac:dyDescent="0.3">
      <c r="A38" s="35" t="s">
        <v>119</v>
      </c>
      <c r="B38" s="36" t="s">
        <v>310</v>
      </c>
      <c r="C38" s="16" t="s">
        <v>413</v>
      </c>
      <c r="D38" s="16">
        <v>57986.37</v>
      </c>
      <c r="E38" s="16">
        <v>49337.3</v>
      </c>
      <c r="G38" s="16">
        <v>14881</v>
      </c>
      <c r="H38" s="16">
        <v>24834.455999999998</v>
      </c>
      <c r="I38" s="16">
        <v>1657156</v>
      </c>
      <c r="J38" s="16">
        <v>1414520</v>
      </c>
      <c r="L38" s="16">
        <v>425904</v>
      </c>
      <c r="M38" s="16">
        <v>710779</v>
      </c>
      <c r="N38" s="16">
        <v>2019</v>
      </c>
      <c r="O38" s="16">
        <f t="shared" si="2"/>
        <v>117277.12600000002</v>
      </c>
      <c r="P38" s="16">
        <f t="shared" si="1"/>
        <v>3356551</v>
      </c>
    </row>
    <row r="39" spans="1:16" hidden="1" x14ac:dyDescent="0.3">
      <c r="A39" s="35" t="s">
        <v>119</v>
      </c>
      <c r="B39" s="36" t="s">
        <v>310</v>
      </c>
      <c r="C39" s="16" t="s">
        <v>413</v>
      </c>
      <c r="D39" s="16">
        <v>19578</v>
      </c>
      <c r="E39" s="16">
        <v>73434</v>
      </c>
      <c r="F39" s="16">
        <v>14881</v>
      </c>
      <c r="G39" s="16">
        <v>14881</v>
      </c>
      <c r="H39" s="16">
        <v>18240</v>
      </c>
      <c r="I39" s="16">
        <v>610399</v>
      </c>
      <c r="J39" s="16">
        <v>1994982</v>
      </c>
      <c r="K39" s="16">
        <v>710779</v>
      </c>
      <c r="M39" s="16">
        <v>522041.1898694298</v>
      </c>
      <c r="N39" s="16">
        <v>2018</v>
      </c>
      <c r="O39" s="16">
        <f t="shared" si="2"/>
        <v>96371</v>
      </c>
      <c r="P39" s="16">
        <f t="shared" ref="P39:P59" si="3">I39+J39+(M39-L39)</f>
        <v>3127422.1898694299</v>
      </c>
    </row>
    <row r="40" spans="1:16" hidden="1" x14ac:dyDescent="0.3">
      <c r="A40" s="36" t="s">
        <v>156</v>
      </c>
      <c r="B40" s="36" t="s">
        <v>310</v>
      </c>
      <c r="C40" s="16" t="s">
        <v>344</v>
      </c>
      <c r="D40" s="16">
        <v>5312</v>
      </c>
      <c r="E40" s="16">
        <v>142757</v>
      </c>
      <c r="F40" s="16">
        <v>144909</v>
      </c>
      <c r="G40" s="16">
        <v>4429</v>
      </c>
      <c r="H40" s="16">
        <v>1269</v>
      </c>
      <c r="I40" s="16">
        <v>246385</v>
      </c>
      <c r="J40" s="16">
        <v>6354810</v>
      </c>
      <c r="N40" s="16">
        <v>2019</v>
      </c>
      <c r="O40" s="16">
        <f t="shared" si="2"/>
        <v>144909</v>
      </c>
      <c r="P40" s="16">
        <f t="shared" si="3"/>
        <v>6601195</v>
      </c>
    </row>
    <row r="41" spans="1:16" hidden="1" x14ac:dyDescent="0.3">
      <c r="A41" s="36" t="s">
        <v>156</v>
      </c>
      <c r="B41" s="36" t="s">
        <v>310</v>
      </c>
      <c r="C41" s="16" t="s">
        <v>344</v>
      </c>
      <c r="D41" s="16">
        <v>3886</v>
      </c>
      <c r="E41" s="16">
        <v>171797</v>
      </c>
      <c r="F41" s="16">
        <v>171972</v>
      </c>
      <c r="G41" s="16">
        <v>8140</v>
      </c>
      <c r="H41" s="16">
        <v>4429</v>
      </c>
      <c r="I41" s="16">
        <v>218074</v>
      </c>
      <c r="J41" s="16">
        <v>6902248</v>
      </c>
      <c r="N41" s="16">
        <v>2018</v>
      </c>
      <c r="O41" s="16">
        <f t="shared" si="2"/>
        <v>171972</v>
      </c>
      <c r="P41" s="16">
        <f t="shared" si="3"/>
        <v>7120322</v>
      </c>
    </row>
    <row r="42" spans="1:16" hidden="1" x14ac:dyDescent="0.3">
      <c r="A42" s="35" t="s">
        <v>126</v>
      </c>
      <c r="B42" s="36" t="s">
        <v>310</v>
      </c>
      <c r="C42" s="16" t="s">
        <v>353</v>
      </c>
      <c r="D42" s="16">
        <v>4801.1816374615173</v>
      </c>
      <c r="I42" s="16">
        <v>41892</v>
      </c>
      <c r="N42" s="16">
        <v>2018</v>
      </c>
      <c r="O42" s="16">
        <f t="shared" si="2"/>
        <v>4801.1816374615173</v>
      </c>
      <c r="P42" s="16">
        <f t="shared" si="3"/>
        <v>41892</v>
      </c>
    </row>
    <row r="43" spans="1:16" hidden="1" x14ac:dyDescent="0.3">
      <c r="A43" s="35" t="s">
        <v>126</v>
      </c>
      <c r="B43" s="36" t="s">
        <v>310</v>
      </c>
      <c r="C43" s="16" t="s">
        <v>353</v>
      </c>
      <c r="D43" s="16">
        <v>98355</v>
      </c>
      <c r="I43" s="16">
        <v>858182</v>
      </c>
      <c r="N43" s="16">
        <v>2019</v>
      </c>
      <c r="O43" s="16">
        <f t="shared" si="2"/>
        <v>98355</v>
      </c>
      <c r="P43" s="16">
        <f t="shared" si="3"/>
        <v>858182</v>
      </c>
    </row>
    <row r="44" spans="1:16" hidden="1" x14ac:dyDescent="0.3">
      <c r="A44" s="35" t="s">
        <v>134</v>
      </c>
      <c r="B44" s="36" t="s">
        <v>256</v>
      </c>
      <c r="C44" s="16" t="s">
        <v>413</v>
      </c>
      <c r="D44" s="16">
        <v>47655</v>
      </c>
      <c r="E44" s="16">
        <v>439168</v>
      </c>
      <c r="G44" s="16">
        <v>1159826</v>
      </c>
      <c r="H44" s="16">
        <v>1244000</v>
      </c>
      <c r="I44" s="16">
        <v>2374122</v>
      </c>
      <c r="J44" s="16">
        <v>15193548</v>
      </c>
      <c r="M44" s="16">
        <v>5767940</v>
      </c>
      <c r="N44" s="16">
        <v>2018</v>
      </c>
      <c r="O44" s="16">
        <f t="shared" si="2"/>
        <v>570997</v>
      </c>
      <c r="P44" s="16">
        <f t="shared" si="3"/>
        <v>23335610</v>
      </c>
    </row>
    <row r="45" spans="1:16" hidden="1" x14ac:dyDescent="0.3">
      <c r="A45" s="35" t="s">
        <v>134</v>
      </c>
      <c r="B45" s="36" t="s">
        <v>256</v>
      </c>
      <c r="C45" s="16" t="s">
        <v>413</v>
      </c>
      <c r="D45" s="16">
        <v>145502</v>
      </c>
      <c r="E45" s="16">
        <v>476309</v>
      </c>
      <c r="G45" s="16">
        <v>1244000</v>
      </c>
      <c r="H45" s="16">
        <v>1098340</v>
      </c>
      <c r="I45" s="16">
        <v>5692920</v>
      </c>
      <c r="J45" s="16">
        <v>18759638</v>
      </c>
      <c r="M45" s="16">
        <v>4233884</v>
      </c>
      <c r="N45" s="16">
        <v>2019</v>
      </c>
      <c r="O45" s="16">
        <f t="shared" si="2"/>
        <v>476151</v>
      </c>
      <c r="P45" s="16">
        <f t="shared" si="3"/>
        <v>28686442</v>
      </c>
    </row>
    <row r="46" spans="1:16" hidden="1" x14ac:dyDescent="0.3">
      <c r="A46" s="36" t="s">
        <v>312</v>
      </c>
      <c r="B46" s="36" t="s">
        <v>234</v>
      </c>
      <c r="C46" s="16" t="s">
        <v>315</v>
      </c>
      <c r="E46" s="16">
        <v>58396</v>
      </c>
      <c r="G46" s="16">
        <v>4973</v>
      </c>
      <c r="H46" s="16">
        <v>4985</v>
      </c>
      <c r="J46" s="16">
        <v>52667857</v>
      </c>
      <c r="L46" s="16">
        <v>2464000</v>
      </c>
      <c r="M46" s="16">
        <v>2661000</v>
      </c>
      <c r="N46" s="16">
        <v>2019</v>
      </c>
      <c r="O46" s="16">
        <f t="shared" si="2"/>
        <v>58408</v>
      </c>
      <c r="P46" s="16">
        <f t="shared" si="3"/>
        <v>52864857</v>
      </c>
    </row>
    <row r="47" spans="1:16" hidden="1" x14ac:dyDescent="0.3">
      <c r="A47" s="36" t="s">
        <v>312</v>
      </c>
      <c r="B47" s="36" t="s">
        <v>234</v>
      </c>
      <c r="C47" s="16" t="s">
        <v>318</v>
      </c>
      <c r="E47" s="16">
        <v>502202</v>
      </c>
      <c r="G47" s="16">
        <v>45278</v>
      </c>
      <c r="H47" s="16">
        <v>35358</v>
      </c>
      <c r="J47" s="16">
        <v>50005135</v>
      </c>
      <c r="L47" s="16">
        <v>2426000</v>
      </c>
      <c r="M47" s="16">
        <v>2004000</v>
      </c>
      <c r="N47" s="16">
        <v>2019</v>
      </c>
      <c r="O47" s="16">
        <f t="shared" si="2"/>
        <v>492282</v>
      </c>
      <c r="P47" s="16">
        <f t="shared" si="3"/>
        <v>49583135</v>
      </c>
    </row>
    <row r="48" spans="1:16" hidden="1" x14ac:dyDescent="0.3">
      <c r="A48" s="36" t="s">
        <v>312</v>
      </c>
      <c r="B48" s="36" t="s">
        <v>234</v>
      </c>
      <c r="C48" s="16" t="s">
        <v>319</v>
      </c>
      <c r="E48" s="16">
        <v>3769</v>
      </c>
      <c r="G48" s="16">
        <v>156</v>
      </c>
      <c r="H48" s="16">
        <v>1</v>
      </c>
      <c r="J48" s="16">
        <v>2414292</v>
      </c>
      <c r="L48" s="16">
        <v>44816</v>
      </c>
      <c r="M48" s="16">
        <v>563</v>
      </c>
      <c r="N48" s="16">
        <v>2019</v>
      </c>
      <c r="O48" s="16">
        <f t="shared" si="2"/>
        <v>3614</v>
      </c>
      <c r="P48" s="16">
        <f t="shared" si="3"/>
        <v>2370039</v>
      </c>
    </row>
    <row r="49" spans="1:16" hidden="1" x14ac:dyDescent="0.3">
      <c r="A49" s="36" t="s">
        <v>312</v>
      </c>
      <c r="B49" s="36" t="s">
        <v>234</v>
      </c>
      <c r="C49" s="16" t="s">
        <v>416</v>
      </c>
      <c r="E49" s="16">
        <v>6532</v>
      </c>
      <c r="G49" s="16">
        <v>206</v>
      </c>
      <c r="H49" s="16">
        <v>189</v>
      </c>
      <c r="J49" s="16">
        <v>2591469</v>
      </c>
      <c r="L49" s="16">
        <v>44675</v>
      </c>
      <c r="M49" s="16">
        <v>45033</v>
      </c>
      <c r="N49" s="16">
        <v>2019</v>
      </c>
      <c r="O49" s="16">
        <f t="shared" si="2"/>
        <v>6515</v>
      </c>
      <c r="P49" s="16">
        <f t="shared" si="3"/>
        <v>2591827</v>
      </c>
    </row>
    <row r="50" spans="1:16" hidden="1" x14ac:dyDescent="0.3">
      <c r="A50" s="36" t="s">
        <v>312</v>
      </c>
      <c r="B50" s="36" t="s">
        <v>234</v>
      </c>
      <c r="C50" s="16" t="s">
        <v>417</v>
      </c>
      <c r="E50" s="16">
        <v>31025</v>
      </c>
      <c r="G50" s="16">
        <v>10650</v>
      </c>
      <c r="H50" s="16">
        <v>1938</v>
      </c>
      <c r="J50" s="16">
        <v>7005808</v>
      </c>
      <c r="L50" s="16">
        <v>1781046</v>
      </c>
      <c r="M50" s="16">
        <v>358766</v>
      </c>
      <c r="N50" s="16">
        <v>2019</v>
      </c>
      <c r="O50" s="16">
        <f t="shared" si="2"/>
        <v>22313</v>
      </c>
      <c r="P50" s="16">
        <f t="shared" si="3"/>
        <v>5583528</v>
      </c>
    </row>
    <row r="51" spans="1:16" hidden="1" x14ac:dyDescent="0.3">
      <c r="A51" s="35" t="s">
        <v>130</v>
      </c>
      <c r="B51" s="36" t="s">
        <v>310</v>
      </c>
      <c r="C51" s="31" t="s">
        <v>285</v>
      </c>
      <c r="D51" s="16">
        <v>662120.84896608652</v>
      </c>
      <c r="I51" s="16">
        <v>4036281</v>
      </c>
      <c r="N51" s="16">
        <v>2018</v>
      </c>
      <c r="O51" s="16">
        <f t="shared" si="2"/>
        <v>662120.84896608652</v>
      </c>
      <c r="P51" s="16">
        <f t="shared" si="3"/>
        <v>4036281</v>
      </c>
    </row>
    <row r="52" spans="1:16" hidden="1" x14ac:dyDescent="0.3">
      <c r="A52" s="35" t="s">
        <v>130</v>
      </c>
      <c r="B52" s="36" t="s">
        <v>310</v>
      </c>
      <c r="C52" s="31" t="s">
        <v>285</v>
      </c>
      <c r="D52" s="16">
        <v>427458</v>
      </c>
      <c r="I52" s="16">
        <v>2605779</v>
      </c>
      <c r="N52" s="16">
        <v>2019</v>
      </c>
      <c r="O52" s="16">
        <f t="shared" si="2"/>
        <v>427458</v>
      </c>
      <c r="P52" s="16">
        <f t="shared" si="3"/>
        <v>2605779</v>
      </c>
    </row>
    <row r="53" spans="1:16" hidden="1" x14ac:dyDescent="0.3">
      <c r="A53" s="35" t="s">
        <v>9</v>
      </c>
      <c r="B53" s="36" t="s">
        <v>242</v>
      </c>
      <c r="C53" s="16" t="s">
        <v>240</v>
      </c>
      <c r="D53" s="30"/>
      <c r="E53" s="30">
        <v>6.3E-2</v>
      </c>
      <c r="G53" s="30">
        <v>0</v>
      </c>
      <c r="H53" s="30">
        <v>0</v>
      </c>
      <c r="J53" s="16">
        <v>1240248</v>
      </c>
      <c r="L53" s="16">
        <v>0</v>
      </c>
      <c r="M53" s="16">
        <v>0</v>
      </c>
      <c r="N53" s="16">
        <v>2018</v>
      </c>
      <c r="O53" s="30">
        <f t="shared" si="2"/>
        <v>6.3E-2</v>
      </c>
      <c r="P53" s="16">
        <f t="shared" si="3"/>
        <v>1240248</v>
      </c>
    </row>
    <row r="54" spans="1:16" hidden="1" x14ac:dyDescent="0.3">
      <c r="A54" s="1" t="s">
        <v>175</v>
      </c>
      <c r="B54" s="1" t="s">
        <v>369</v>
      </c>
      <c r="C54" s="29" t="s">
        <v>415</v>
      </c>
      <c r="D54" s="16">
        <v>2195180</v>
      </c>
      <c r="E54" s="16">
        <v>454988</v>
      </c>
      <c r="G54" s="16">
        <v>12787</v>
      </c>
      <c r="H54" s="16">
        <v>17392</v>
      </c>
      <c r="I54" s="16">
        <v>91829270</v>
      </c>
      <c r="J54" s="16">
        <v>17512938</v>
      </c>
      <c r="L54" s="16">
        <v>422056</v>
      </c>
      <c r="M54" s="16">
        <v>644719</v>
      </c>
      <c r="N54" s="16">
        <v>2018</v>
      </c>
      <c r="O54" s="16">
        <f t="shared" si="2"/>
        <v>2654773</v>
      </c>
      <c r="P54" s="16">
        <f t="shared" si="3"/>
        <v>109564871</v>
      </c>
    </row>
    <row r="55" spans="1:16" hidden="1" x14ac:dyDescent="0.3">
      <c r="A55" s="1" t="s">
        <v>175</v>
      </c>
      <c r="B55" s="1" t="s">
        <v>369</v>
      </c>
      <c r="C55" s="29" t="s">
        <v>415</v>
      </c>
      <c r="D55" s="16">
        <v>2245068</v>
      </c>
      <c r="E55" s="16">
        <v>345050</v>
      </c>
      <c r="I55" s="16">
        <v>93916196.184531569</v>
      </c>
      <c r="J55" s="16">
        <v>14881660</v>
      </c>
      <c r="N55" s="16">
        <v>2019</v>
      </c>
      <c r="O55" s="16">
        <f t="shared" si="2"/>
        <v>2590118</v>
      </c>
      <c r="P55" s="16">
        <f t="shared" si="3"/>
        <v>108797856.18453157</v>
      </c>
    </row>
    <row r="56" spans="1:16" hidden="1" x14ac:dyDescent="0.3">
      <c r="A56" s="35" t="s">
        <v>46</v>
      </c>
      <c r="B56" s="16" t="s">
        <v>310</v>
      </c>
      <c r="C56" s="31" t="s">
        <v>285</v>
      </c>
      <c r="D56" s="16">
        <v>24210</v>
      </c>
      <c r="I56" s="16">
        <v>145259.35722819594</v>
      </c>
      <c r="N56" s="16">
        <v>2018</v>
      </c>
      <c r="O56" s="16">
        <f t="shared" si="2"/>
        <v>24210</v>
      </c>
      <c r="P56" s="16">
        <f t="shared" si="3"/>
        <v>145259.35722819594</v>
      </c>
    </row>
    <row r="57" spans="1:16" hidden="1" x14ac:dyDescent="0.3">
      <c r="A57" s="35" t="s">
        <v>46</v>
      </c>
      <c r="B57" s="16" t="s">
        <v>310</v>
      </c>
      <c r="C57" s="31" t="s">
        <v>285</v>
      </c>
      <c r="D57" s="16">
        <v>37665</v>
      </c>
      <c r="I57" s="16">
        <v>225989</v>
      </c>
      <c r="N57" s="16">
        <v>2019</v>
      </c>
      <c r="O57" s="16">
        <f t="shared" si="2"/>
        <v>37665</v>
      </c>
      <c r="P57" s="16">
        <f t="shared" si="3"/>
        <v>225989</v>
      </c>
    </row>
    <row r="58" spans="1:16" hidden="1" x14ac:dyDescent="0.3">
      <c r="A58" s="3" t="s">
        <v>81</v>
      </c>
      <c r="B58" s="16" t="s">
        <v>310</v>
      </c>
      <c r="C58" s="29" t="s">
        <v>413</v>
      </c>
      <c r="D58" s="16">
        <v>1782000</v>
      </c>
      <c r="I58" s="16">
        <v>53312912</v>
      </c>
      <c r="N58" s="16">
        <v>2018</v>
      </c>
      <c r="O58" s="16">
        <f t="shared" si="2"/>
        <v>1782000</v>
      </c>
      <c r="P58" s="16">
        <f t="shared" si="3"/>
        <v>53312912</v>
      </c>
    </row>
    <row r="59" spans="1:16" hidden="1" x14ac:dyDescent="0.3">
      <c r="A59" s="3" t="s">
        <v>81</v>
      </c>
      <c r="B59" s="16" t="s">
        <v>310</v>
      </c>
      <c r="C59" s="29" t="s">
        <v>413</v>
      </c>
      <c r="D59" s="16">
        <v>1701437</v>
      </c>
      <c r="I59" s="16">
        <v>52823568</v>
      </c>
      <c r="N59" s="16">
        <v>2019</v>
      </c>
      <c r="O59" s="16">
        <f t="shared" si="2"/>
        <v>1701437</v>
      </c>
      <c r="P59" s="16">
        <f t="shared" si="3"/>
        <v>52823568</v>
      </c>
    </row>
    <row r="60" spans="1:16" hidden="1" x14ac:dyDescent="0.3">
      <c r="H60" s="16">
        <f>H45-G45</f>
        <v>-145660</v>
      </c>
    </row>
  </sheetData>
  <autoFilter ref="A1:S60">
    <filterColumn colId="0">
      <filters>
        <filter val="LES CIMENTS DU SAHEL SA"/>
      </filters>
    </filterColumn>
  </autoFilter>
  <dataValidations count="1">
    <dataValidation allowBlank="1" showInputMessage="1" showErrorMessage="1" errorTitle="Erreur de saisie" error="La cellule ne peut prendre que du numérique." promptTitle="Information" prompt="Cette cellule ne peut prendre que du numérique," sqref="M44:M45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93"/>
  <sheetViews>
    <sheetView zoomScale="120" zoomScaleNormal="120" workbookViewId="0">
      <selection activeCell="B195" sqref="B195"/>
    </sheetView>
  </sheetViews>
  <sheetFormatPr baseColWidth="10" defaultColWidth="8.88671875" defaultRowHeight="14.4" x14ac:dyDescent="0.3"/>
  <cols>
    <col min="1" max="1" width="32.109375" style="16" customWidth="1"/>
    <col min="2" max="2" width="17.88671875" style="16" customWidth="1"/>
    <col min="3" max="3" width="30" style="16" customWidth="1"/>
    <col min="4" max="4" width="13.44140625" style="16" bestFit="1" customWidth="1"/>
    <col min="5" max="5" width="16.5546875" style="16" bestFit="1" customWidth="1"/>
    <col min="6" max="6" width="14.44140625" style="16" bestFit="1" customWidth="1"/>
    <col min="7" max="7" width="8.88671875" style="16"/>
    <col min="8" max="8" width="11" style="16" bestFit="1" customWidth="1"/>
    <col min="9" max="16384" width="8.88671875" style="16"/>
  </cols>
  <sheetData>
    <row r="1" spans="1:6" x14ac:dyDescent="0.3">
      <c r="A1" s="1" t="s">
        <v>0</v>
      </c>
      <c r="B1" s="16" t="s">
        <v>422</v>
      </c>
      <c r="C1" s="16" t="s">
        <v>423</v>
      </c>
      <c r="D1" s="16" t="s">
        <v>424</v>
      </c>
      <c r="E1" s="16" t="s">
        <v>425</v>
      </c>
      <c r="F1" s="16" t="s">
        <v>410</v>
      </c>
    </row>
    <row r="2" spans="1:6" x14ac:dyDescent="0.3">
      <c r="A2" s="3" t="s">
        <v>9</v>
      </c>
      <c r="B2" s="16" t="s">
        <v>240</v>
      </c>
      <c r="C2" s="16" t="s">
        <v>426</v>
      </c>
      <c r="D2" s="30">
        <v>3.0000000000000001E-3</v>
      </c>
      <c r="E2" s="16">
        <v>80075</v>
      </c>
      <c r="F2" s="16">
        <v>2019</v>
      </c>
    </row>
    <row r="3" spans="1:6" x14ac:dyDescent="0.3">
      <c r="A3" s="3" t="s">
        <v>9</v>
      </c>
      <c r="B3" s="16" t="s">
        <v>240</v>
      </c>
      <c r="C3" s="16" t="s">
        <v>426</v>
      </c>
      <c r="D3" s="30">
        <v>6.3E-2</v>
      </c>
      <c r="E3" s="16">
        <v>1240248</v>
      </c>
      <c r="F3" s="16">
        <v>2018</v>
      </c>
    </row>
    <row r="4" spans="1:6" hidden="1" x14ac:dyDescent="0.3">
      <c r="A4" s="3" t="s">
        <v>162</v>
      </c>
      <c r="B4" s="16" t="s">
        <v>427</v>
      </c>
      <c r="C4" s="16" t="s">
        <v>428</v>
      </c>
      <c r="D4" s="16">
        <v>24401</v>
      </c>
      <c r="E4" s="16">
        <v>679077</v>
      </c>
      <c r="F4" s="16">
        <v>2018</v>
      </c>
    </row>
    <row r="5" spans="1:6" hidden="1" x14ac:dyDescent="0.3">
      <c r="A5" s="1" t="s">
        <v>52</v>
      </c>
      <c r="B5" s="16" t="s">
        <v>415</v>
      </c>
      <c r="C5" s="16" t="s">
        <v>429</v>
      </c>
      <c r="D5" s="16">
        <v>29942</v>
      </c>
      <c r="E5" s="16">
        <v>1134965</v>
      </c>
      <c r="F5" s="16">
        <v>2018</v>
      </c>
    </row>
    <row r="6" spans="1:6" hidden="1" x14ac:dyDescent="0.3">
      <c r="A6" s="1" t="s">
        <v>52</v>
      </c>
      <c r="B6" s="16" t="s">
        <v>415</v>
      </c>
      <c r="C6" s="16" t="s">
        <v>430</v>
      </c>
      <c r="D6" s="16">
        <v>372094</v>
      </c>
      <c r="E6" s="16">
        <v>14186771</v>
      </c>
      <c r="F6" s="16">
        <v>2018</v>
      </c>
    </row>
    <row r="7" spans="1:6" hidden="1" x14ac:dyDescent="0.3">
      <c r="A7" s="1" t="s">
        <v>52</v>
      </c>
      <c r="B7" s="16" t="s">
        <v>415</v>
      </c>
      <c r="C7" s="16" t="s">
        <v>431</v>
      </c>
      <c r="D7" s="16">
        <v>25657</v>
      </c>
      <c r="E7" s="16">
        <v>998526</v>
      </c>
      <c r="F7" s="16">
        <v>2018</v>
      </c>
    </row>
    <row r="8" spans="1:6" hidden="1" x14ac:dyDescent="0.3">
      <c r="A8" s="1" t="s">
        <v>52</v>
      </c>
      <c r="B8" s="16" t="s">
        <v>415</v>
      </c>
      <c r="C8" s="16" t="s">
        <v>430</v>
      </c>
      <c r="D8" s="16">
        <v>328788</v>
      </c>
      <c r="E8" s="16">
        <v>12783555</v>
      </c>
      <c r="F8" s="16">
        <v>2019</v>
      </c>
    </row>
    <row r="9" spans="1:6" hidden="1" x14ac:dyDescent="0.3">
      <c r="A9" s="1" t="s">
        <v>52</v>
      </c>
      <c r="B9" s="16" t="s">
        <v>415</v>
      </c>
      <c r="C9" s="16" t="s">
        <v>431</v>
      </c>
      <c r="D9" s="16">
        <v>35250</v>
      </c>
      <c r="E9" s="16">
        <v>1273577</v>
      </c>
      <c r="F9" s="16">
        <v>2019</v>
      </c>
    </row>
    <row r="10" spans="1:6" hidden="1" x14ac:dyDescent="0.3">
      <c r="A10" s="1" t="s">
        <v>163</v>
      </c>
      <c r="B10" s="16" t="s">
        <v>304</v>
      </c>
      <c r="C10" s="16" t="s">
        <v>432</v>
      </c>
      <c r="D10" s="16">
        <v>4368</v>
      </c>
      <c r="E10" s="16">
        <v>131040</v>
      </c>
      <c r="F10" s="16">
        <v>2019</v>
      </c>
    </row>
    <row r="11" spans="1:6" hidden="1" x14ac:dyDescent="0.3">
      <c r="A11" s="1" t="s">
        <v>163</v>
      </c>
      <c r="B11" s="16" t="s">
        <v>304</v>
      </c>
      <c r="C11" s="16" t="s">
        <v>432</v>
      </c>
      <c r="D11" s="16">
        <v>11284</v>
      </c>
      <c r="E11" s="16">
        <v>338520</v>
      </c>
      <c r="F11" s="16">
        <v>2018</v>
      </c>
    </row>
    <row r="12" spans="1:6" hidden="1" x14ac:dyDescent="0.3">
      <c r="A12" s="3" t="s">
        <v>312</v>
      </c>
      <c r="B12" s="16" t="s">
        <v>433</v>
      </c>
      <c r="C12" s="16" t="s">
        <v>434</v>
      </c>
      <c r="D12" s="16">
        <v>2.0430000000000001</v>
      </c>
      <c r="E12" s="16">
        <v>4662.1450000000004</v>
      </c>
      <c r="F12" s="16">
        <v>2019</v>
      </c>
    </row>
    <row r="13" spans="1:6" hidden="1" x14ac:dyDescent="0.3">
      <c r="A13" s="3" t="s">
        <v>312</v>
      </c>
      <c r="B13" s="16" t="s">
        <v>433</v>
      </c>
      <c r="C13" s="16" t="s">
        <v>435</v>
      </c>
      <c r="D13" s="16">
        <v>439.92</v>
      </c>
      <c r="E13" s="16">
        <v>175825.21799999999</v>
      </c>
      <c r="F13" s="16">
        <v>2019</v>
      </c>
    </row>
    <row r="14" spans="1:6" hidden="1" x14ac:dyDescent="0.3">
      <c r="A14" s="3" t="s">
        <v>312</v>
      </c>
      <c r="B14" s="16" t="s">
        <v>433</v>
      </c>
      <c r="C14" s="16" t="s">
        <v>436</v>
      </c>
      <c r="D14" s="16">
        <v>35755.440000000002</v>
      </c>
      <c r="E14" s="16">
        <v>3277431.091</v>
      </c>
      <c r="F14" s="16">
        <v>2019</v>
      </c>
    </row>
    <row r="15" spans="1:6" hidden="1" x14ac:dyDescent="0.3">
      <c r="A15" s="3" t="s">
        <v>312</v>
      </c>
      <c r="B15" s="16" t="s">
        <v>433</v>
      </c>
      <c r="C15" s="16" t="s">
        <v>432</v>
      </c>
      <c r="D15" s="16">
        <v>50251.474999999999</v>
      </c>
      <c r="E15" s="16">
        <v>6509347.6840000004</v>
      </c>
      <c r="F15" s="16">
        <v>2019</v>
      </c>
    </row>
    <row r="16" spans="1:6" hidden="1" x14ac:dyDescent="0.3">
      <c r="A16" s="3" t="s">
        <v>312</v>
      </c>
      <c r="B16" s="16" t="s">
        <v>433</v>
      </c>
      <c r="C16" s="16" t="s">
        <v>437</v>
      </c>
      <c r="D16" s="16">
        <v>1060.0340000000001</v>
      </c>
      <c r="E16" s="16">
        <v>586821.696</v>
      </c>
      <c r="F16" s="16">
        <v>2019</v>
      </c>
    </row>
    <row r="17" spans="1:6" hidden="1" x14ac:dyDescent="0.3">
      <c r="A17" s="3" t="s">
        <v>312</v>
      </c>
      <c r="B17" s="16" t="s">
        <v>433</v>
      </c>
      <c r="C17" s="16" t="s">
        <v>438</v>
      </c>
      <c r="D17" s="16">
        <v>640</v>
      </c>
      <c r="E17" s="16">
        <v>348132.72</v>
      </c>
      <c r="F17" s="16">
        <v>2019</v>
      </c>
    </row>
    <row r="18" spans="1:6" hidden="1" x14ac:dyDescent="0.3">
      <c r="A18" s="3" t="s">
        <v>312</v>
      </c>
      <c r="B18" s="16" t="s">
        <v>433</v>
      </c>
      <c r="C18" s="16" t="s">
        <v>439</v>
      </c>
      <c r="D18" s="16">
        <v>740</v>
      </c>
      <c r="E18" s="16">
        <v>323447.69</v>
      </c>
      <c r="F18" s="16">
        <v>2019</v>
      </c>
    </row>
    <row r="19" spans="1:6" hidden="1" x14ac:dyDescent="0.3">
      <c r="A19" s="3" t="s">
        <v>312</v>
      </c>
      <c r="B19" s="16" t="s">
        <v>433</v>
      </c>
      <c r="C19" s="16" t="s">
        <v>440</v>
      </c>
      <c r="D19" s="16">
        <v>360</v>
      </c>
      <c r="E19" s="16">
        <v>204683.87700000001</v>
      </c>
      <c r="F19" s="16">
        <v>2019</v>
      </c>
    </row>
    <row r="20" spans="1:6" hidden="1" x14ac:dyDescent="0.3">
      <c r="A20" s="3" t="s">
        <v>312</v>
      </c>
      <c r="B20" s="16" t="s">
        <v>433</v>
      </c>
      <c r="C20" s="16" t="s">
        <v>441</v>
      </c>
      <c r="D20" s="16">
        <v>131972.63200000001</v>
      </c>
      <c r="E20" s="16">
        <v>13887462.924000001</v>
      </c>
      <c r="F20" s="16">
        <v>2019</v>
      </c>
    </row>
    <row r="21" spans="1:6" hidden="1" x14ac:dyDescent="0.3">
      <c r="A21" s="3" t="s">
        <v>312</v>
      </c>
      <c r="B21" s="16" t="s">
        <v>433</v>
      </c>
      <c r="C21" s="16" t="s">
        <v>442</v>
      </c>
      <c r="D21" s="16">
        <v>33003.612000000001</v>
      </c>
      <c r="E21" s="16">
        <v>2822576.82</v>
      </c>
      <c r="F21" s="16">
        <v>2019</v>
      </c>
    </row>
    <row r="22" spans="1:6" hidden="1" x14ac:dyDescent="0.3">
      <c r="A22" s="3" t="s">
        <v>312</v>
      </c>
      <c r="B22" s="16" t="s">
        <v>433</v>
      </c>
      <c r="C22" s="16" t="s">
        <v>443</v>
      </c>
      <c r="D22" s="16">
        <v>120</v>
      </c>
      <c r="E22" s="16">
        <v>76506.596999999994</v>
      </c>
      <c r="F22" s="16">
        <v>2019</v>
      </c>
    </row>
    <row r="23" spans="1:6" hidden="1" x14ac:dyDescent="0.3">
      <c r="A23" s="3" t="s">
        <v>312</v>
      </c>
      <c r="B23" s="16" t="s">
        <v>433</v>
      </c>
      <c r="C23" s="16" t="s">
        <v>428</v>
      </c>
      <c r="D23" s="16">
        <v>1560</v>
      </c>
      <c r="E23" s="16">
        <v>666909.87600000005</v>
      </c>
      <c r="F23" s="16">
        <v>2019</v>
      </c>
    </row>
    <row r="24" spans="1:6" hidden="1" x14ac:dyDescent="0.3">
      <c r="A24" s="3" t="s">
        <v>312</v>
      </c>
      <c r="B24" s="16" t="s">
        <v>433</v>
      </c>
      <c r="C24" s="16" t="s">
        <v>444</v>
      </c>
      <c r="D24" s="16">
        <v>10720.864</v>
      </c>
      <c r="E24" s="16">
        <v>1620371.3910000001</v>
      </c>
      <c r="F24" s="16">
        <v>2019</v>
      </c>
    </row>
    <row r="25" spans="1:6" hidden="1" x14ac:dyDescent="0.3">
      <c r="A25" s="3" t="s">
        <v>312</v>
      </c>
      <c r="B25" s="16" t="s">
        <v>433</v>
      </c>
      <c r="C25" s="16" t="s">
        <v>445</v>
      </c>
      <c r="D25" s="16">
        <v>120</v>
      </c>
      <c r="E25" s="16">
        <v>50574.671999999999</v>
      </c>
      <c r="F25" s="16">
        <v>2019</v>
      </c>
    </row>
    <row r="26" spans="1:6" hidden="1" x14ac:dyDescent="0.3">
      <c r="A26" s="3" t="s">
        <v>312</v>
      </c>
      <c r="B26" s="16" t="s">
        <v>433</v>
      </c>
      <c r="C26" s="16" t="s">
        <v>446</v>
      </c>
      <c r="D26" s="16">
        <v>60</v>
      </c>
      <c r="E26" s="16">
        <v>25579.583999999999</v>
      </c>
      <c r="F26" s="16">
        <v>2019</v>
      </c>
    </row>
    <row r="27" spans="1:6" hidden="1" x14ac:dyDescent="0.3">
      <c r="A27" s="3" t="s">
        <v>312</v>
      </c>
      <c r="B27" s="16" t="s">
        <v>433</v>
      </c>
      <c r="C27" s="16" t="s">
        <v>447</v>
      </c>
      <c r="D27" s="16">
        <v>12000.173000000001</v>
      </c>
      <c r="E27" s="16">
        <v>1477074.834</v>
      </c>
      <c r="F27" s="16">
        <v>2019</v>
      </c>
    </row>
    <row r="28" spans="1:6" hidden="1" x14ac:dyDescent="0.3">
      <c r="A28" s="3" t="s">
        <v>312</v>
      </c>
      <c r="B28" s="16" t="s">
        <v>433</v>
      </c>
      <c r="C28" s="16" t="s">
        <v>448</v>
      </c>
      <c r="D28" s="16">
        <v>137096.70199999999</v>
      </c>
      <c r="E28" s="16">
        <v>11805065.457</v>
      </c>
      <c r="F28" s="16">
        <v>2019</v>
      </c>
    </row>
    <row r="29" spans="1:6" hidden="1" x14ac:dyDescent="0.3">
      <c r="A29" s="3" t="s">
        <v>312</v>
      </c>
      <c r="B29" s="16" t="s">
        <v>433</v>
      </c>
      <c r="C29" s="16" t="s">
        <v>449</v>
      </c>
      <c r="D29" s="16">
        <v>440</v>
      </c>
      <c r="E29" s="16">
        <v>204756.9</v>
      </c>
      <c r="F29" s="16">
        <v>2019</v>
      </c>
    </row>
    <row r="30" spans="1:6" hidden="1" x14ac:dyDescent="0.3">
      <c r="A30" s="3" t="s">
        <v>312</v>
      </c>
      <c r="B30" s="16" t="s">
        <v>433</v>
      </c>
      <c r="C30" s="16" t="s">
        <v>450</v>
      </c>
      <c r="D30" s="16">
        <v>32689.506000000001</v>
      </c>
      <c r="E30" s="16">
        <v>2859546.469</v>
      </c>
      <c r="F30" s="16">
        <v>2019</v>
      </c>
    </row>
    <row r="31" spans="1:6" hidden="1" x14ac:dyDescent="0.3">
      <c r="A31" s="3" t="s">
        <v>312</v>
      </c>
      <c r="B31" s="16" t="s">
        <v>433</v>
      </c>
      <c r="C31" s="16" t="s">
        <v>451</v>
      </c>
      <c r="D31" s="16">
        <v>34515.169000000002</v>
      </c>
      <c r="E31" s="16">
        <v>3040784.148</v>
      </c>
      <c r="F31" s="16">
        <v>2019</v>
      </c>
    </row>
    <row r="32" spans="1:6" hidden="1" x14ac:dyDescent="0.3">
      <c r="A32" s="3" t="s">
        <v>312</v>
      </c>
      <c r="B32" s="16" t="s">
        <v>433</v>
      </c>
      <c r="C32" s="16" t="s">
        <v>452</v>
      </c>
      <c r="D32" s="16">
        <v>60.015999999999998</v>
      </c>
      <c r="E32" s="16">
        <v>24846.36</v>
      </c>
      <c r="F32" s="16">
        <v>2019</v>
      </c>
    </row>
    <row r="33" spans="1:6" hidden="1" x14ac:dyDescent="0.3">
      <c r="A33" s="3" t="s">
        <v>312</v>
      </c>
      <c r="B33" s="16" t="s">
        <v>433</v>
      </c>
      <c r="C33" s="16" t="s">
        <v>453</v>
      </c>
      <c r="D33" s="16">
        <v>35678.434000000001</v>
      </c>
      <c r="E33" s="16">
        <v>3037501.898</v>
      </c>
      <c r="F33" s="16">
        <v>2019</v>
      </c>
    </row>
    <row r="34" spans="1:6" hidden="1" x14ac:dyDescent="0.3">
      <c r="A34" s="3" t="s">
        <v>312</v>
      </c>
      <c r="B34" s="16" t="s">
        <v>433</v>
      </c>
      <c r="C34" s="16" t="s">
        <v>454</v>
      </c>
      <c r="D34" s="16">
        <v>16268.802</v>
      </c>
      <c r="E34" s="16">
        <v>2114063.389</v>
      </c>
      <c r="F34" s="16">
        <v>2019</v>
      </c>
    </row>
    <row r="35" spans="1:6" hidden="1" x14ac:dyDescent="0.3">
      <c r="A35" s="3" t="s">
        <v>312</v>
      </c>
      <c r="B35" s="16" t="s">
        <v>433</v>
      </c>
      <c r="C35" s="16" t="s">
        <v>455</v>
      </c>
      <c r="D35" s="16">
        <v>400</v>
      </c>
      <c r="E35" s="16">
        <v>169857.63</v>
      </c>
      <c r="F35" s="16">
        <v>2019</v>
      </c>
    </row>
    <row r="36" spans="1:6" hidden="1" x14ac:dyDescent="0.3">
      <c r="A36" s="3" t="s">
        <v>312</v>
      </c>
      <c r="B36" s="16" t="s">
        <v>433</v>
      </c>
      <c r="C36" s="16" t="s">
        <v>456</v>
      </c>
      <c r="D36" s="16">
        <v>20</v>
      </c>
      <c r="E36" s="16">
        <v>13712.6</v>
      </c>
      <c r="F36" s="16">
        <v>2019</v>
      </c>
    </row>
    <row r="37" spans="1:6" hidden="1" x14ac:dyDescent="0.3">
      <c r="A37" s="3" t="s">
        <v>312</v>
      </c>
      <c r="B37" s="16" t="s">
        <v>315</v>
      </c>
      <c r="C37" s="16" t="s">
        <v>435</v>
      </c>
      <c r="D37" s="16">
        <v>60</v>
      </c>
      <c r="E37" s="16">
        <v>25934.856</v>
      </c>
      <c r="F37" s="16">
        <v>2019</v>
      </c>
    </row>
    <row r="38" spans="1:6" hidden="1" x14ac:dyDescent="0.3">
      <c r="A38" s="3" t="s">
        <v>312</v>
      </c>
      <c r="B38" s="16" t="s">
        <v>315</v>
      </c>
      <c r="C38" s="16" t="s">
        <v>457</v>
      </c>
      <c r="D38" s="16">
        <v>793.02</v>
      </c>
      <c r="E38" s="16">
        <v>697609.772</v>
      </c>
      <c r="F38" s="16">
        <v>2019</v>
      </c>
    </row>
    <row r="39" spans="1:6" hidden="1" x14ac:dyDescent="0.3">
      <c r="A39" s="3" t="s">
        <v>312</v>
      </c>
      <c r="B39" s="16" t="s">
        <v>315</v>
      </c>
      <c r="C39" s="16" t="s">
        <v>434</v>
      </c>
      <c r="D39" s="16">
        <v>1509.951</v>
      </c>
      <c r="E39" s="16">
        <v>1510675.4620000001</v>
      </c>
      <c r="F39" s="16">
        <v>2019</v>
      </c>
    </row>
    <row r="40" spans="1:6" hidden="1" x14ac:dyDescent="0.3">
      <c r="A40" s="3" t="s">
        <v>312</v>
      </c>
      <c r="B40" s="16" t="s">
        <v>315</v>
      </c>
      <c r="C40" s="16" t="s">
        <v>436</v>
      </c>
      <c r="D40" s="16">
        <v>3545.2190000000001</v>
      </c>
      <c r="E40" s="16">
        <v>3132088.193</v>
      </c>
      <c r="F40" s="16">
        <v>2019</v>
      </c>
    </row>
    <row r="41" spans="1:6" hidden="1" x14ac:dyDescent="0.3">
      <c r="A41" s="3" t="s">
        <v>312</v>
      </c>
      <c r="B41" s="16" t="s">
        <v>315</v>
      </c>
      <c r="C41" s="16" t="s">
        <v>458</v>
      </c>
      <c r="D41" s="16">
        <v>432.59</v>
      </c>
      <c r="E41" s="16">
        <v>407332.69500000001</v>
      </c>
      <c r="F41" s="16">
        <v>2019</v>
      </c>
    </row>
    <row r="42" spans="1:6" hidden="1" x14ac:dyDescent="0.3">
      <c r="A42" s="3" t="s">
        <v>312</v>
      </c>
      <c r="B42" s="16" t="s">
        <v>315</v>
      </c>
      <c r="C42" s="16" t="s">
        <v>432</v>
      </c>
      <c r="D42" s="16">
        <v>18211.957999999999</v>
      </c>
      <c r="E42" s="16">
        <v>9588818.2980000004</v>
      </c>
      <c r="F42" s="16">
        <v>2019</v>
      </c>
    </row>
    <row r="43" spans="1:6" hidden="1" x14ac:dyDescent="0.3">
      <c r="A43" s="3" t="s">
        <v>312</v>
      </c>
      <c r="B43" s="16" t="s">
        <v>315</v>
      </c>
      <c r="C43" s="16" t="s">
        <v>437</v>
      </c>
      <c r="D43" s="16">
        <v>480</v>
      </c>
      <c r="E43" s="16">
        <v>287176.7</v>
      </c>
      <c r="F43" s="16">
        <v>2019</v>
      </c>
    </row>
    <row r="44" spans="1:6" hidden="1" x14ac:dyDescent="0.3">
      <c r="A44" s="3" t="s">
        <v>312</v>
      </c>
      <c r="B44" s="16" t="s">
        <v>315</v>
      </c>
      <c r="C44" s="16" t="s">
        <v>438</v>
      </c>
      <c r="D44" s="16">
        <v>200</v>
      </c>
      <c r="E44" s="16">
        <v>125996.45</v>
      </c>
      <c r="F44" s="16">
        <v>2019</v>
      </c>
    </row>
    <row r="45" spans="1:6" hidden="1" x14ac:dyDescent="0.3">
      <c r="A45" s="3" t="s">
        <v>312</v>
      </c>
      <c r="B45" s="16" t="s">
        <v>315</v>
      </c>
      <c r="C45" s="16" t="s">
        <v>440</v>
      </c>
      <c r="D45" s="16">
        <v>18835.03</v>
      </c>
      <c r="E45" s="16">
        <v>16759043.528000001</v>
      </c>
      <c r="F45" s="16">
        <v>2019</v>
      </c>
    </row>
    <row r="46" spans="1:6" hidden="1" x14ac:dyDescent="0.3">
      <c r="A46" s="3" t="s">
        <v>312</v>
      </c>
      <c r="B46" s="16" t="s">
        <v>315</v>
      </c>
      <c r="C46" s="16" t="s">
        <v>441</v>
      </c>
      <c r="D46" s="16">
        <v>5856.48</v>
      </c>
      <c r="E46" s="16">
        <v>5698452.3770000003</v>
      </c>
      <c r="F46" s="16">
        <v>2019</v>
      </c>
    </row>
    <row r="47" spans="1:6" hidden="1" x14ac:dyDescent="0.3">
      <c r="A47" s="3" t="s">
        <v>312</v>
      </c>
      <c r="B47" s="16" t="s">
        <v>315</v>
      </c>
      <c r="C47" s="16" t="s">
        <v>443</v>
      </c>
      <c r="D47" s="16">
        <v>1883.97</v>
      </c>
      <c r="E47" s="16">
        <v>1768991.2379999999</v>
      </c>
      <c r="F47" s="16">
        <v>2019</v>
      </c>
    </row>
    <row r="48" spans="1:6" hidden="1" x14ac:dyDescent="0.3">
      <c r="A48" s="3" t="s">
        <v>312</v>
      </c>
      <c r="B48" s="16" t="s">
        <v>315</v>
      </c>
      <c r="C48" s="16" t="s">
        <v>459</v>
      </c>
      <c r="D48" s="16">
        <v>1005.884</v>
      </c>
      <c r="E48" s="16">
        <v>235791.51500000001</v>
      </c>
      <c r="F48" s="16">
        <v>2019</v>
      </c>
    </row>
    <row r="49" spans="1:6" hidden="1" x14ac:dyDescent="0.3">
      <c r="A49" s="3" t="s">
        <v>312</v>
      </c>
      <c r="B49" s="16" t="s">
        <v>315</v>
      </c>
      <c r="C49" s="16" t="s">
        <v>428</v>
      </c>
      <c r="D49" s="16">
        <v>787.56299999999999</v>
      </c>
      <c r="E49" s="16">
        <v>697884.69200000004</v>
      </c>
      <c r="F49" s="16">
        <v>2019</v>
      </c>
    </row>
    <row r="50" spans="1:6" hidden="1" x14ac:dyDescent="0.3">
      <c r="A50" s="3" t="s">
        <v>312</v>
      </c>
      <c r="B50" s="16" t="s">
        <v>315</v>
      </c>
      <c r="C50" s="16" t="s">
        <v>460</v>
      </c>
      <c r="D50" s="16">
        <v>3019.4090000000001</v>
      </c>
      <c r="E50" s="16">
        <v>2752054.2119999998</v>
      </c>
      <c r="F50" s="16">
        <v>2019</v>
      </c>
    </row>
    <row r="51" spans="1:6" hidden="1" x14ac:dyDescent="0.3">
      <c r="A51" s="3" t="s">
        <v>312</v>
      </c>
      <c r="B51" s="16" t="s">
        <v>315</v>
      </c>
      <c r="C51" s="16" t="s">
        <v>444</v>
      </c>
      <c r="D51" s="16">
        <v>3581.1860000000001</v>
      </c>
      <c r="E51" s="16">
        <v>3487715.93</v>
      </c>
      <c r="F51" s="16">
        <v>2019</v>
      </c>
    </row>
    <row r="52" spans="1:6" hidden="1" x14ac:dyDescent="0.3">
      <c r="A52" s="3" t="s">
        <v>312</v>
      </c>
      <c r="B52" s="16" t="s">
        <v>315</v>
      </c>
      <c r="C52" s="16" t="s">
        <v>445</v>
      </c>
      <c r="D52" s="16">
        <v>300.94600000000003</v>
      </c>
      <c r="E52" s="16">
        <v>280903.277</v>
      </c>
      <c r="F52" s="16">
        <v>2019</v>
      </c>
    </row>
    <row r="53" spans="1:6" hidden="1" x14ac:dyDescent="0.3">
      <c r="A53" s="3" t="s">
        <v>312</v>
      </c>
      <c r="B53" s="16" t="s">
        <v>315</v>
      </c>
      <c r="C53" s="16" t="s">
        <v>447</v>
      </c>
      <c r="D53" s="16">
        <v>692.35299999999995</v>
      </c>
      <c r="E53" s="16">
        <v>1318614.7590000001</v>
      </c>
      <c r="F53" s="16">
        <v>2019</v>
      </c>
    </row>
    <row r="54" spans="1:6" hidden="1" x14ac:dyDescent="0.3">
      <c r="A54" s="3" t="s">
        <v>312</v>
      </c>
      <c r="B54" s="16" t="s">
        <v>315</v>
      </c>
      <c r="C54" s="16" t="s">
        <v>461</v>
      </c>
      <c r="D54" s="16">
        <v>881.77200000000005</v>
      </c>
      <c r="E54" s="16">
        <v>819992.83600000001</v>
      </c>
      <c r="F54" s="16">
        <v>2019</v>
      </c>
    </row>
    <row r="55" spans="1:6" hidden="1" x14ac:dyDescent="0.3">
      <c r="A55" s="3" t="s">
        <v>312</v>
      </c>
      <c r="B55" s="16" t="s">
        <v>315</v>
      </c>
      <c r="C55" s="16" t="s">
        <v>449</v>
      </c>
      <c r="D55" s="16">
        <v>1742.8009999999999</v>
      </c>
      <c r="E55" s="16">
        <v>1510053.148</v>
      </c>
      <c r="F55" s="16">
        <v>2019</v>
      </c>
    </row>
    <row r="56" spans="1:6" hidden="1" x14ac:dyDescent="0.3">
      <c r="A56" s="3" t="s">
        <v>312</v>
      </c>
      <c r="B56" s="16" t="s">
        <v>315</v>
      </c>
      <c r="C56" s="16" t="s">
        <v>450</v>
      </c>
      <c r="D56" s="16">
        <v>529.81899999999996</v>
      </c>
      <c r="E56" s="16">
        <v>622824.52899999998</v>
      </c>
      <c r="F56" s="16">
        <v>2019</v>
      </c>
    </row>
    <row r="57" spans="1:6" hidden="1" x14ac:dyDescent="0.3">
      <c r="A57" s="3" t="s">
        <v>312</v>
      </c>
      <c r="B57" s="16" t="s">
        <v>315</v>
      </c>
      <c r="C57" s="16" t="s">
        <v>451</v>
      </c>
      <c r="D57" s="16">
        <v>59.113999999999997</v>
      </c>
      <c r="E57" s="16">
        <v>54513.959000000003</v>
      </c>
      <c r="F57" s="16">
        <v>2019</v>
      </c>
    </row>
    <row r="58" spans="1:6" hidden="1" x14ac:dyDescent="0.3">
      <c r="A58" s="3" t="s">
        <v>312</v>
      </c>
      <c r="B58" s="16" t="s">
        <v>315</v>
      </c>
      <c r="C58" s="16" t="s">
        <v>454</v>
      </c>
      <c r="D58" s="16">
        <v>22610.453000000001</v>
      </c>
      <c r="E58" s="16">
        <v>7952913.2390000001</v>
      </c>
      <c r="F58" s="16">
        <v>2019</v>
      </c>
    </row>
    <row r="59" spans="1:6" hidden="1" x14ac:dyDescent="0.3">
      <c r="A59" s="3" t="s">
        <v>312</v>
      </c>
      <c r="B59" s="16" t="s">
        <v>315</v>
      </c>
      <c r="C59" s="16" t="s">
        <v>462</v>
      </c>
      <c r="D59" s="16">
        <v>1652.912</v>
      </c>
      <c r="E59" s="16">
        <v>1458268.5870000001</v>
      </c>
      <c r="F59" s="16">
        <v>2019</v>
      </c>
    </row>
    <row r="60" spans="1:6" hidden="1" x14ac:dyDescent="0.3">
      <c r="A60" s="3" t="s">
        <v>312</v>
      </c>
      <c r="B60" s="16" t="s">
        <v>315</v>
      </c>
      <c r="C60" s="16" t="s">
        <v>455</v>
      </c>
      <c r="D60" s="16">
        <v>60</v>
      </c>
      <c r="E60" s="16">
        <v>24394.86</v>
      </c>
      <c r="F60" s="16">
        <v>2019</v>
      </c>
    </row>
    <row r="61" spans="1:6" hidden="1" x14ac:dyDescent="0.3">
      <c r="A61" s="3" t="s">
        <v>312</v>
      </c>
      <c r="B61" s="16" t="s">
        <v>315</v>
      </c>
      <c r="C61" s="16" t="s">
        <v>456</v>
      </c>
      <c r="D61" s="16">
        <v>40.012999999999998</v>
      </c>
      <c r="E61" s="16">
        <v>32994.042000000001</v>
      </c>
      <c r="F61" s="16">
        <v>2019</v>
      </c>
    </row>
    <row r="62" spans="1:6" hidden="1" x14ac:dyDescent="0.3">
      <c r="A62" s="3" t="s">
        <v>312</v>
      </c>
      <c r="B62" s="16" t="s">
        <v>433</v>
      </c>
      <c r="C62" s="16" t="s">
        <v>435</v>
      </c>
      <c r="D62" s="16">
        <v>60</v>
      </c>
      <c r="E62" s="16">
        <v>55099.970999999998</v>
      </c>
      <c r="F62" s="16">
        <v>2018</v>
      </c>
    </row>
    <row r="63" spans="1:6" hidden="1" x14ac:dyDescent="0.3">
      <c r="A63" s="3" t="s">
        <v>312</v>
      </c>
      <c r="B63" s="16" t="s">
        <v>433</v>
      </c>
      <c r="C63" s="16" t="s">
        <v>715</v>
      </c>
      <c r="D63" s="16">
        <v>260</v>
      </c>
      <c r="E63" s="16">
        <v>96713.24</v>
      </c>
      <c r="F63" s="16">
        <v>2018</v>
      </c>
    </row>
    <row r="64" spans="1:6" hidden="1" x14ac:dyDescent="0.3">
      <c r="A64" s="3" t="s">
        <v>312</v>
      </c>
      <c r="B64" s="16" t="s">
        <v>433</v>
      </c>
      <c r="C64" s="16" t="s">
        <v>436</v>
      </c>
      <c r="D64" s="16">
        <v>34430</v>
      </c>
      <c r="E64" s="16">
        <v>2993403.0959999999</v>
      </c>
      <c r="F64" s="16">
        <v>2018</v>
      </c>
    </row>
    <row r="65" spans="1:6" hidden="1" x14ac:dyDescent="0.3">
      <c r="A65" s="3" t="s">
        <v>312</v>
      </c>
      <c r="B65" s="16" t="s">
        <v>433</v>
      </c>
      <c r="C65" s="16" t="s">
        <v>432</v>
      </c>
      <c r="D65" s="16">
        <v>680</v>
      </c>
      <c r="E65" s="16">
        <v>195556.33199999999</v>
      </c>
      <c r="F65" s="16">
        <v>2018</v>
      </c>
    </row>
    <row r="66" spans="1:6" hidden="1" x14ac:dyDescent="0.3">
      <c r="A66" s="3" t="s">
        <v>312</v>
      </c>
      <c r="B66" s="16" t="s">
        <v>433</v>
      </c>
      <c r="C66" s="16" t="s">
        <v>716</v>
      </c>
      <c r="D66" s="16">
        <v>200</v>
      </c>
      <c r="E66" s="16">
        <v>65972.042000000001</v>
      </c>
      <c r="F66" s="16">
        <v>2018</v>
      </c>
    </row>
    <row r="67" spans="1:6" hidden="1" x14ac:dyDescent="0.3">
      <c r="A67" s="3" t="s">
        <v>312</v>
      </c>
      <c r="B67" s="16" t="s">
        <v>433</v>
      </c>
      <c r="C67" s="16" t="s">
        <v>717</v>
      </c>
      <c r="D67" s="16">
        <v>1200</v>
      </c>
      <c r="E67" s="16">
        <v>490504.228</v>
      </c>
      <c r="F67" s="16">
        <v>2018</v>
      </c>
    </row>
    <row r="68" spans="1:6" hidden="1" x14ac:dyDescent="0.3">
      <c r="A68" s="3" t="s">
        <v>312</v>
      </c>
      <c r="B68" s="16" t="s">
        <v>433</v>
      </c>
      <c r="C68" s="16" t="s">
        <v>438</v>
      </c>
      <c r="D68" s="16">
        <v>850</v>
      </c>
      <c r="E68" s="16">
        <v>463134.66899999999</v>
      </c>
      <c r="F68" s="16">
        <v>2018</v>
      </c>
    </row>
    <row r="69" spans="1:6" hidden="1" x14ac:dyDescent="0.3">
      <c r="A69" s="3" t="s">
        <v>312</v>
      </c>
      <c r="B69" s="16" t="s">
        <v>433</v>
      </c>
      <c r="C69" s="16" t="s">
        <v>718</v>
      </c>
      <c r="D69" s="16">
        <v>100</v>
      </c>
      <c r="E69" s="16">
        <v>30660.937000000002</v>
      </c>
      <c r="F69" s="16">
        <v>2018</v>
      </c>
    </row>
    <row r="70" spans="1:6" hidden="1" x14ac:dyDescent="0.3">
      <c r="A70" s="3" t="s">
        <v>312</v>
      </c>
      <c r="B70" s="16" t="s">
        <v>433</v>
      </c>
      <c r="C70" s="16" t="s">
        <v>440</v>
      </c>
      <c r="D70" s="16">
        <v>320</v>
      </c>
      <c r="E70" s="16">
        <v>176401.772</v>
      </c>
      <c r="F70" s="16">
        <v>2018</v>
      </c>
    </row>
    <row r="71" spans="1:6" hidden="1" x14ac:dyDescent="0.3">
      <c r="A71" s="3" t="s">
        <v>312</v>
      </c>
      <c r="B71" s="16" t="s">
        <v>433</v>
      </c>
      <c r="C71" s="16" t="s">
        <v>719</v>
      </c>
      <c r="D71" s="16">
        <v>51025</v>
      </c>
      <c r="E71" s="16">
        <v>4911807.0719999997</v>
      </c>
      <c r="F71" s="16">
        <v>2018</v>
      </c>
    </row>
    <row r="72" spans="1:6" hidden="1" x14ac:dyDescent="0.3">
      <c r="A72" s="3" t="s">
        <v>312</v>
      </c>
      <c r="B72" s="16" t="s">
        <v>433</v>
      </c>
      <c r="C72" s="16" t="s">
        <v>443</v>
      </c>
      <c r="D72" s="16">
        <v>100</v>
      </c>
      <c r="E72" s="16">
        <v>51333.428999999996</v>
      </c>
      <c r="F72" s="16">
        <v>2018</v>
      </c>
    </row>
    <row r="73" spans="1:6" hidden="1" x14ac:dyDescent="0.3">
      <c r="A73" s="3" t="s">
        <v>312</v>
      </c>
      <c r="B73" s="16" t="s">
        <v>433</v>
      </c>
      <c r="C73" s="16" t="s">
        <v>720</v>
      </c>
      <c r="D73" s="16">
        <v>20</v>
      </c>
      <c r="E73" s="16">
        <v>6961.308</v>
      </c>
      <c r="F73" s="16">
        <v>2018</v>
      </c>
    </row>
    <row r="74" spans="1:6" hidden="1" x14ac:dyDescent="0.3">
      <c r="A74" s="3" t="s">
        <v>312</v>
      </c>
      <c r="B74" s="16" t="s">
        <v>433</v>
      </c>
      <c r="C74" s="16" t="s">
        <v>428</v>
      </c>
      <c r="D74" s="16">
        <v>920</v>
      </c>
      <c r="E74" s="16">
        <v>287139.43199999997</v>
      </c>
      <c r="F74" s="16">
        <v>2018</v>
      </c>
    </row>
    <row r="75" spans="1:6" hidden="1" x14ac:dyDescent="0.3">
      <c r="A75" s="3" t="s">
        <v>312</v>
      </c>
      <c r="B75" s="16" t="s">
        <v>433</v>
      </c>
      <c r="C75" s="16" t="s">
        <v>444</v>
      </c>
      <c r="D75" s="16">
        <v>100</v>
      </c>
      <c r="E75" s="16">
        <v>38519.616999999998</v>
      </c>
      <c r="F75" s="16">
        <v>2018</v>
      </c>
    </row>
    <row r="76" spans="1:6" hidden="1" x14ac:dyDescent="0.3">
      <c r="A76" s="3" t="s">
        <v>312</v>
      </c>
      <c r="B76" s="16" t="s">
        <v>433</v>
      </c>
      <c r="C76" s="16" t="s">
        <v>445</v>
      </c>
      <c r="D76" s="16">
        <v>80</v>
      </c>
      <c r="E76" s="16">
        <v>27235.292000000001</v>
      </c>
      <c r="F76" s="16">
        <v>2018</v>
      </c>
    </row>
    <row r="77" spans="1:6" hidden="1" x14ac:dyDescent="0.3">
      <c r="A77" s="3" t="s">
        <v>312</v>
      </c>
      <c r="B77" s="16" t="s">
        <v>433</v>
      </c>
      <c r="C77" s="16" t="s">
        <v>430</v>
      </c>
      <c r="D77" s="16">
        <v>80</v>
      </c>
      <c r="E77" s="16">
        <v>24542.876</v>
      </c>
      <c r="F77" s="16">
        <v>2018</v>
      </c>
    </row>
    <row r="78" spans="1:6" hidden="1" x14ac:dyDescent="0.3">
      <c r="A78" s="3" t="s">
        <v>312</v>
      </c>
      <c r="B78" s="16" t="s">
        <v>433</v>
      </c>
      <c r="C78" s="16" t="s">
        <v>446</v>
      </c>
      <c r="D78" s="16">
        <v>80</v>
      </c>
      <c r="E78" s="16">
        <v>27423.788</v>
      </c>
      <c r="F78" s="16">
        <v>2018</v>
      </c>
    </row>
    <row r="79" spans="1:6" hidden="1" x14ac:dyDescent="0.3">
      <c r="A79" s="3" t="s">
        <v>312</v>
      </c>
      <c r="B79" s="16" t="s">
        <v>433</v>
      </c>
      <c r="C79" s="16" t="s">
        <v>447</v>
      </c>
      <c r="D79" s="16">
        <v>23450</v>
      </c>
      <c r="E79" s="16">
        <v>2106198.6740000001</v>
      </c>
      <c r="F79" s="16">
        <v>2018</v>
      </c>
    </row>
    <row r="80" spans="1:6" hidden="1" x14ac:dyDescent="0.3">
      <c r="A80" s="3" t="s">
        <v>312</v>
      </c>
      <c r="B80" s="16" t="s">
        <v>433</v>
      </c>
      <c r="C80" s="16" t="s">
        <v>461</v>
      </c>
      <c r="D80" s="16">
        <v>21246</v>
      </c>
      <c r="E80" s="16">
        <v>3596707.6439999999</v>
      </c>
      <c r="F80" s="16">
        <v>2018</v>
      </c>
    </row>
    <row r="81" spans="1:6" hidden="1" x14ac:dyDescent="0.3">
      <c r="A81" s="3" t="s">
        <v>312</v>
      </c>
      <c r="B81" s="16" t="s">
        <v>433</v>
      </c>
      <c r="C81" s="16" t="s">
        <v>721</v>
      </c>
      <c r="D81" s="16">
        <v>49591</v>
      </c>
      <c r="E81" s="16">
        <v>4131716.0290000001</v>
      </c>
      <c r="F81" s="16">
        <v>2018</v>
      </c>
    </row>
    <row r="82" spans="1:6" hidden="1" x14ac:dyDescent="0.3">
      <c r="A82" s="3" t="s">
        <v>312</v>
      </c>
      <c r="B82" s="16" t="s">
        <v>433</v>
      </c>
      <c r="C82" s="16" t="s">
        <v>722</v>
      </c>
      <c r="D82" s="16">
        <v>71116</v>
      </c>
      <c r="E82" s="16">
        <v>6200263.0269999998</v>
      </c>
      <c r="F82" s="16">
        <v>2018</v>
      </c>
    </row>
    <row r="83" spans="1:6" hidden="1" x14ac:dyDescent="0.3">
      <c r="A83" s="3" t="s">
        <v>312</v>
      </c>
      <c r="B83" s="16" t="s">
        <v>433</v>
      </c>
      <c r="C83" s="16" t="s">
        <v>448</v>
      </c>
      <c r="D83" s="16">
        <v>30025</v>
      </c>
      <c r="E83" s="16">
        <v>2380790.2999999998</v>
      </c>
      <c r="F83" s="16">
        <v>2018</v>
      </c>
    </row>
    <row r="84" spans="1:6" hidden="1" x14ac:dyDescent="0.3">
      <c r="A84" s="3" t="s">
        <v>312</v>
      </c>
      <c r="B84" s="16" t="s">
        <v>433</v>
      </c>
      <c r="C84" s="16" t="s">
        <v>449</v>
      </c>
      <c r="D84" s="16">
        <v>40</v>
      </c>
      <c r="E84" s="16">
        <v>13321.224</v>
      </c>
      <c r="F84" s="16">
        <v>2018</v>
      </c>
    </row>
    <row r="85" spans="1:6" hidden="1" x14ac:dyDescent="0.3">
      <c r="A85" s="3" t="s">
        <v>312</v>
      </c>
      <c r="B85" s="16" t="s">
        <v>433</v>
      </c>
      <c r="C85" s="16" t="s">
        <v>450</v>
      </c>
      <c r="D85" s="16">
        <v>360</v>
      </c>
      <c r="E85" s="16">
        <v>119547.245</v>
      </c>
      <c r="F85" s="16">
        <v>2018</v>
      </c>
    </row>
    <row r="86" spans="1:6" hidden="1" x14ac:dyDescent="0.3">
      <c r="A86" s="3" t="s">
        <v>312</v>
      </c>
      <c r="B86" s="16" t="s">
        <v>433</v>
      </c>
      <c r="C86" s="16" t="s">
        <v>723</v>
      </c>
      <c r="D86" s="16">
        <v>80</v>
      </c>
      <c r="E86" s="16">
        <v>21144.799999999999</v>
      </c>
      <c r="F86" s="16">
        <v>2018</v>
      </c>
    </row>
    <row r="87" spans="1:6" hidden="1" x14ac:dyDescent="0.3">
      <c r="A87" s="3" t="s">
        <v>312</v>
      </c>
      <c r="B87" s="16" t="s">
        <v>433</v>
      </c>
      <c r="C87" s="16" t="s">
        <v>453</v>
      </c>
      <c r="D87" s="16">
        <v>17185</v>
      </c>
      <c r="E87" s="16">
        <v>1403119.889</v>
      </c>
      <c r="F87" s="16">
        <v>2018</v>
      </c>
    </row>
    <row r="88" spans="1:6" hidden="1" x14ac:dyDescent="0.3">
      <c r="A88" s="3" t="s">
        <v>312</v>
      </c>
      <c r="B88" s="16" t="s">
        <v>433</v>
      </c>
      <c r="C88" s="16" t="s">
        <v>454</v>
      </c>
      <c r="D88" s="16">
        <v>35100</v>
      </c>
      <c r="E88" s="16">
        <v>4087569.807</v>
      </c>
      <c r="F88" s="16">
        <v>2018</v>
      </c>
    </row>
    <row r="89" spans="1:6" hidden="1" x14ac:dyDescent="0.3">
      <c r="A89" s="3" t="s">
        <v>312</v>
      </c>
      <c r="B89" s="16" t="s">
        <v>433</v>
      </c>
      <c r="C89" s="16" t="s">
        <v>455</v>
      </c>
      <c r="D89" s="16">
        <v>15457</v>
      </c>
      <c r="E89" s="16">
        <v>1352089.5789999999</v>
      </c>
      <c r="F89" s="16">
        <v>2018</v>
      </c>
    </row>
    <row r="90" spans="1:6" hidden="1" x14ac:dyDescent="0.3">
      <c r="A90" s="3" t="s">
        <v>312</v>
      </c>
      <c r="B90" s="16" t="s">
        <v>433</v>
      </c>
      <c r="C90" s="16" t="s">
        <v>463</v>
      </c>
      <c r="D90" s="16">
        <v>80524</v>
      </c>
      <c r="E90" s="16">
        <v>11524090.241</v>
      </c>
      <c r="F90" s="16">
        <v>2018</v>
      </c>
    </row>
    <row r="91" spans="1:6" hidden="1" x14ac:dyDescent="0.3">
      <c r="A91" s="3" t="s">
        <v>312</v>
      </c>
      <c r="B91" s="16" t="s">
        <v>315</v>
      </c>
      <c r="C91" s="16" t="s">
        <v>435</v>
      </c>
      <c r="D91" s="16">
        <v>66</v>
      </c>
      <c r="E91" s="16">
        <v>56934.362999999998</v>
      </c>
      <c r="F91" s="16">
        <v>2018</v>
      </c>
    </row>
    <row r="92" spans="1:6" hidden="1" x14ac:dyDescent="0.3">
      <c r="A92" s="3" t="s">
        <v>312</v>
      </c>
      <c r="B92" s="16" t="s">
        <v>315</v>
      </c>
      <c r="C92" s="16" t="s">
        <v>457</v>
      </c>
      <c r="D92" s="16">
        <v>917</v>
      </c>
      <c r="E92" s="16">
        <v>680757.68900000001</v>
      </c>
      <c r="F92" s="16">
        <v>2018</v>
      </c>
    </row>
    <row r="93" spans="1:6" hidden="1" x14ac:dyDescent="0.3">
      <c r="A93" s="3" t="s">
        <v>312</v>
      </c>
      <c r="B93" s="16" t="s">
        <v>315</v>
      </c>
      <c r="C93" s="16" t="s">
        <v>715</v>
      </c>
      <c r="D93" s="16">
        <v>330</v>
      </c>
      <c r="E93" s="16">
        <v>294275.34600000002</v>
      </c>
      <c r="F93" s="16">
        <v>2018</v>
      </c>
    </row>
    <row r="94" spans="1:6" hidden="1" x14ac:dyDescent="0.3">
      <c r="A94" s="3" t="s">
        <v>312</v>
      </c>
      <c r="B94" s="16" t="s">
        <v>315</v>
      </c>
      <c r="C94" s="16" t="s">
        <v>434</v>
      </c>
      <c r="D94" s="16">
        <v>782</v>
      </c>
      <c r="E94" s="16">
        <v>696754.31900000002</v>
      </c>
      <c r="F94" s="16">
        <v>2018</v>
      </c>
    </row>
    <row r="95" spans="1:6" hidden="1" x14ac:dyDescent="0.3">
      <c r="A95" s="3" t="s">
        <v>312</v>
      </c>
      <c r="B95" s="16" t="s">
        <v>315</v>
      </c>
      <c r="C95" s="16" t="s">
        <v>436</v>
      </c>
      <c r="D95" s="16">
        <v>2087</v>
      </c>
      <c r="E95" s="16">
        <v>1884260.466</v>
      </c>
      <c r="F95" s="16">
        <v>2018</v>
      </c>
    </row>
    <row r="96" spans="1:6" hidden="1" x14ac:dyDescent="0.3">
      <c r="A96" s="3" t="s">
        <v>312</v>
      </c>
      <c r="B96" s="16" t="s">
        <v>315</v>
      </c>
      <c r="C96" s="16" t="s">
        <v>458</v>
      </c>
      <c r="D96" s="16">
        <v>1923</v>
      </c>
      <c r="E96" s="16">
        <v>1674472.577</v>
      </c>
      <c r="F96" s="16">
        <v>2018</v>
      </c>
    </row>
    <row r="97" spans="1:6" hidden="1" x14ac:dyDescent="0.3">
      <c r="A97" s="3" t="s">
        <v>312</v>
      </c>
      <c r="B97" s="16" t="s">
        <v>315</v>
      </c>
      <c r="C97" s="16" t="s">
        <v>432</v>
      </c>
      <c r="D97" s="16">
        <v>5807</v>
      </c>
      <c r="E97" s="16">
        <v>1403897.7720000001</v>
      </c>
      <c r="F97" s="16">
        <v>2018</v>
      </c>
    </row>
    <row r="98" spans="1:6" hidden="1" x14ac:dyDescent="0.3">
      <c r="A98" s="3" t="s">
        <v>312</v>
      </c>
      <c r="B98" s="16" t="s">
        <v>315</v>
      </c>
      <c r="C98" s="16" t="s">
        <v>440</v>
      </c>
      <c r="D98" s="16">
        <v>15120</v>
      </c>
      <c r="E98" s="16">
        <v>12571018.659</v>
      </c>
      <c r="F98" s="16">
        <v>2018</v>
      </c>
    </row>
    <row r="99" spans="1:6" hidden="1" x14ac:dyDescent="0.3">
      <c r="A99" s="3" t="s">
        <v>312</v>
      </c>
      <c r="B99" s="16" t="s">
        <v>315</v>
      </c>
      <c r="C99" s="16" t="s">
        <v>719</v>
      </c>
      <c r="D99" s="16">
        <v>12006</v>
      </c>
      <c r="E99" s="16">
        <v>10653272.761</v>
      </c>
      <c r="F99" s="16">
        <v>2018</v>
      </c>
    </row>
    <row r="100" spans="1:6" hidden="1" x14ac:dyDescent="0.3">
      <c r="A100" s="3" t="s">
        <v>312</v>
      </c>
      <c r="B100" s="16" t="s">
        <v>315</v>
      </c>
      <c r="C100" s="16" t="s">
        <v>443</v>
      </c>
      <c r="D100" s="16">
        <v>2440</v>
      </c>
      <c r="E100" s="16">
        <v>2044949.645</v>
      </c>
      <c r="F100" s="16">
        <v>2018</v>
      </c>
    </row>
    <row r="101" spans="1:6" hidden="1" x14ac:dyDescent="0.3">
      <c r="A101" s="3" t="s">
        <v>312</v>
      </c>
      <c r="B101" s="16" t="s">
        <v>315</v>
      </c>
      <c r="C101" s="16" t="s">
        <v>428</v>
      </c>
      <c r="D101" s="16">
        <v>2282</v>
      </c>
      <c r="E101" s="16">
        <v>1713117.284</v>
      </c>
      <c r="F101" s="16">
        <v>2018</v>
      </c>
    </row>
    <row r="102" spans="1:6" hidden="1" x14ac:dyDescent="0.3">
      <c r="A102" s="3" t="s">
        <v>312</v>
      </c>
      <c r="B102" s="16" t="s">
        <v>315</v>
      </c>
      <c r="C102" s="16" t="s">
        <v>724</v>
      </c>
      <c r="D102" s="16">
        <v>228</v>
      </c>
      <c r="E102" s="16">
        <v>158804.83799999999</v>
      </c>
      <c r="F102" s="16">
        <v>2018</v>
      </c>
    </row>
    <row r="103" spans="1:6" hidden="1" x14ac:dyDescent="0.3">
      <c r="A103" s="3" t="s">
        <v>312</v>
      </c>
      <c r="B103" s="16" t="s">
        <v>315</v>
      </c>
      <c r="C103" s="16" t="s">
        <v>460</v>
      </c>
      <c r="D103" s="16">
        <v>2314</v>
      </c>
      <c r="E103" s="16">
        <v>1902066.088</v>
      </c>
      <c r="F103" s="16">
        <v>2018</v>
      </c>
    </row>
    <row r="104" spans="1:6" hidden="1" x14ac:dyDescent="0.3">
      <c r="A104" s="3" t="s">
        <v>312</v>
      </c>
      <c r="B104" s="16" t="s">
        <v>315</v>
      </c>
      <c r="C104" s="16" t="s">
        <v>444</v>
      </c>
      <c r="D104" s="16">
        <v>1330</v>
      </c>
      <c r="E104" s="16">
        <v>1254746.8019999999</v>
      </c>
      <c r="F104" s="16">
        <v>2018</v>
      </c>
    </row>
    <row r="105" spans="1:6" hidden="1" x14ac:dyDescent="0.3">
      <c r="A105" s="3" t="s">
        <v>312</v>
      </c>
      <c r="B105" s="16" t="s">
        <v>315</v>
      </c>
      <c r="C105" s="16" t="s">
        <v>445</v>
      </c>
      <c r="D105" s="16">
        <v>22</v>
      </c>
      <c r="E105" s="16">
        <v>20975.567999999999</v>
      </c>
      <c r="F105" s="16">
        <v>2018</v>
      </c>
    </row>
    <row r="106" spans="1:6" hidden="1" x14ac:dyDescent="0.3">
      <c r="A106" s="3" t="s">
        <v>312</v>
      </c>
      <c r="B106" s="16" t="s">
        <v>315</v>
      </c>
      <c r="C106" s="16" t="s">
        <v>447</v>
      </c>
      <c r="D106" s="16">
        <v>424</v>
      </c>
      <c r="E106" s="16">
        <v>336816.94300000003</v>
      </c>
      <c r="F106" s="16">
        <v>2018</v>
      </c>
    </row>
    <row r="107" spans="1:6" hidden="1" x14ac:dyDescent="0.3">
      <c r="A107" s="3" t="s">
        <v>312</v>
      </c>
      <c r="B107" s="16" t="s">
        <v>315</v>
      </c>
      <c r="C107" s="16" t="s">
        <v>461</v>
      </c>
      <c r="D107" s="16">
        <v>974</v>
      </c>
      <c r="E107" s="16">
        <v>882675.076</v>
      </c>
      <c r="F107" s="16">
        <v>2018</v>
      </c>
    </row>
    <row r="108" spans="1:6" hidden="1" x14ac:dyDescent="0.3">
      <c r="A108" s="3" t="s">
        <v>312</v>
      </c>
      <c r="B108" s="16" t="s">
        <v>315</v>
      </c>
      <c r="C108" s="16" t="s">
        <v>722</v>
      </c>
      <c r="D108" s="16">
        <v>1437</v>
      </c>
      <c r="E108" s="16">
        <v>1084855.459</v>
      </c>
      <c r="F108" s="16">
        <v>2018</v>
      </c>
    </row>
    <row r="109" spans="1:6" hidden="1" x14ac:dyDescent="0.3">
      <c r="A109" s="3" t="s">
        <v>312</v>
      </c>
      <c r="B109" s="16" t="s">
        <v>315</v>
      </c>
      <c r="C109" s="16" t="s">
        <v>449</v>
      </c>
      <c r="D109" s="16">
        <v>413</v>
      </c>
      <c r="E109" s="16">
        <v>369332.27100000001</v>
      </c>
      <c r="F109" s="16">
        <v>2018</v>
      </c>
    </row>
    <row r="110" spans="1:6" hidden="1" x14ac:dyDescent="0.3">
      <c r="A110" s="3" t="s">
        <v>312</v>
      </c>
      <c r="B110" s="16" t="s">
        <v>315</v>
      </c>
      <c r="C110" s="16" t="s">
        <v>450</v>
      </c>
      <c r="D110" s="16">
        <v>485</v>
      </c>
      <c r="E110" s="16">
        <v>433765.45600000001</v>
      </c>
      <c r="F110" s="16">
        <v>2018</v>
      </c>
    </row>
    <row r="111" spans="1:6" hidden="1" x14ac:dyDescent="0.3">
      <c r="A111" s="3" t="s">
        <v>312</v>
      </c>
      <c r="B111" s="16" t="s">
        <v>315</v>
      </c>
      <c r="C111" s="16" t="s">
        <v>451</v>
      </c>
      <c r="D111" s="16">
        <v>198</v>
      </c>
      <c r="E111" s="16">
        <v>179156.89499999999</v>
      </c>
      <c r="F111" s="16">
        <v>2018</v>
      </c>
    </row>
    <row r="112" spans="1:6" hidden="1" x14ac:dyDescent="0.3">
      <c r="A112" s="3" t="s">
        <v>312</v>
      </c>
      <c r="B112" s="16" t="s">
        <v>315</v>
      </c>
      <c r="C112" s="16" t="s">
        <v>723</v>
      </c>
      <c r="D112" s="16">
        <v>148</v>
      </c>
      <c r="E112" s="16">
        <v>92378.46</v>
      </c>
      <c r="F112" s="16">
        <v>2018</v>
      </c>
    </row>
    <row r="113" spans="1:6" hidden="1" x14ac:dyDescent="0.3">
      <c r="A113" s="3" t="s">
        <v>312</v>
      </c>
      <c r="B113" s="16" t="s">
        <v>315</v>
      </c>
      <c r="C113" s="16" t="s">
        <v>454</v>
      </c>
      <c r="D113" s="16">
        <v>16032</v>
      </c>
      <c r="E113" s="16">
        <v>5935666.2029999997</v>
      </c>
      <c r="F113" s="16">
        <v>2018</v>
      </c>
    </row>
    <row r="114" spans="1:6" hidden="1" x14ac:dyDescent="0.3">
      <c r="A114" s="3" t="s">
        <v>312</v>
      </c>
      <c r="B114" s="16" t="s">
        <v>315</v>
      </c>
      <c r="C114" s="16" t="s">
        <v>455</v>
      </c>
      <c r="D114" s="16">
        <v>80</v>
      </c>
      <c r="E114" s="16">
        <v>23450.7</v>
      </c>
      <c r="F114" s="16">
        <v>2018</v>
      </c>
    </row>
    <row r="115" spans="1:6" hidden="1" x14ac:dyDescent="0.3">
      <c r="A115" s="3" t="s">
        <v>312</v>
      </c>
      <c r="B115" s="16" t="s">
        <v>315</v>
      </c>
      <c r="C115" s="16" t="s">
        <v>463</v>
      </c>
      <c r="D115" s="16">
        <v>27503</v>
      </c>
      <c r="E115" s="16">
        <v>16890111.287</v>
      </c>
      <c r="F115" s="16">
        <v>2018</v>
      </c>
    </row>
    <row r="116" spans="1:6" hidden="1" x14ac:dyDescent="0.3">
      <c r="A116" s="3" t="s">
        <v>81</v>
      </c>
      <c r="B116" s="16" t="s">
        <v>464</v>
      </c>
      <c r="C116" s="16" t="s">
        <v>465</v>
      </c>
      <c r="D116" s="16">
        <v>70502</v>
      </c>
      <c r="E116" s="16">
        <v>21115662</v>
      </c>
      <c r="F116" s="16">
        <v>2018</v>
      </c>
    </row>
    <row r="117" spans="1:6" hidden="1" x14ac:dyDescent="0.3">
      <c r="A117" s="3" t="s">
        <v>81</v>
      </c>
      <c r="B117" s="16" t="s">
        <v>464</v>
      </c>
      <c r="C117" s="16" t="s">
        <v>428</v>
      </c>
      <c r="D117" s="16">
        <v>383027</v>
      </c>
      <c r="E117" s="16">
        <v>161345610</v>
      </c>
      <c r="F117" s="16">
        <v>2018</v>
      </c>
    </row>
    <row r="118" spans="1:6" hidden="1" x14ac:dyDescent="0.3">
      <c r="A118" s="3" t="s">
        <v>81</v>
      </c>
      <c r="B118" s="29" t="s">
        <v>466</v>
      </c>
      <c r="C118" s="16" t="s">
        <v>467</v>
      </c>
      <c r="D118" s="16">
        <v>5924</v>
      </c>
      <c r="E118" s="16">
        <v>1048668</v>
      </c>
      <c r="F118" s="16">
        <v>2018</v>
      </c>
    </row>
    <row r="119" spans="1:6" hidden="1" x14ac:dyDescent="0.3">
      <c r="A119" s="3" t="s">
        <v>81</v>
      </c>
      <c r="B119" s="29" t="s">
        <v>466</v>
      </c>
      <c r="C119" s="16" t="s">
        <v>443</v>
      </c>
      <c r="D119" s="16">
        <v>11002</v>
      </c>
      <c r="E119" s="16">
        <v>2599985</v>
      </c>
      <c r="F119" s="16">
        <v>2018</v>
      </c>
    </row>
    <row r="120" spans="1:6" hidden="1" x14ac:dyDescent="0.3">
      <c r="A120" s="3" t="s">
        <v>81</v>
      </c>
      <c r="B120" s="29" t="s">
        <v>466</v>
      </c>
      <c r="C120" s="16" t="s">
        <v>429</v>
      </c>
      <c r="D120" s="16">
        <v>53</v>
      </c>
      <c r="E120" s="16">
        <v>12313</v>
      </c>
      <c r="F120" s="16">
        <v>2018</v>
      </c>
    </row>
    <row r="121" spans="1:6" hidden="1" x14ac:dyDescent="0.3">
      <c r="A121" s="3" t="s">
        <v>81</v>
      </c>
      <c r="B121" s="29" t="s">
        <v>466</v>
      </c>
      <c r="C121" s="16" t="s">
        <v>430</v>
      </c>
      <c r="D121" s="16">
        <v>23541</v>
      </c>
      <c r="E121" s="16">
        <v>5264464</v>
      </c>
      <c r="F121" s="16">
        <v>2018</v>
      </c>
    </row>
    <row r="122" spans="1:6" hidden="1" x14ac:dyDescent="0.3">
      <c r="A122" s="3" t="s">
        <v>81</v>
      </c>
      <c r="B122" s="29" t="s">
        <v>466</v>
      </c>
      <c r="C122" s="16" t="s">
        <v>468</v>
      </c>
      <c r="D122" s="16">
        <v>15</v>
      </c>
      <c r="E122" s="16">
        <v>3375</v>
      </c>
      <c r="F122" s="16">
        <v>2018</v>
      </c>
    </row>
    <row r="123" spans="1:6" hidden="1" x14ac:dyDescent="0.3">
      <c r="A123" s="3" t="s">
        <v>81</v>
      </c>
      <c r="B123" s="29" t="s">
        <v>466</v>
      </c>
      <c r="C123" s="16" t="s">
        <v>469</v>
      </c>
      <c r="D123" s="16">
        <v>20165</v>
      </c>
      <c r="E123" s="16">
        <v>4309265</v>
      </c>
      <c r="F123" s="16">
        <v>2018</v>
      </c>
    </row>
    <row r="124" spans="1:6" hidden="1" x14ac:dyDescent="0.3">
      <c r="A124" s="3" t="s">
        <v>81</v>
      </c>
      <c r="B124" s="29" t="s">
        <v>466</v>
      </c>
      <c r="C124" s="16" t="s">
        <v>454</v>
      </c>
      <c r="D124" s="16">
        <v>34517</v>
      </c>
      <c r="E124" s="16">
        <v>6946384</v>
      </c>
      <c r="F124" s="16">
        <v>2018</v>
      </c>
    </row>
    <row r="125" spans="1:6" hidden="1" x14ac:dyDescent="0.3">
      <c r="A125" s="3" t="s">
        <v>81</v>
      </c>
      <c r="B125" s="16" t="s">
        <v>466</v>
      </c>
      <c r="C125" s="16" t="s">
        <v>430</v>
      </c>
      <c r="D125" s="16">
        <v>97201</v>
      </c>
      <c r="E125" s="16">
        <v>22031441</v>
      </c>
      <c r="F125" s="16">
        <v>2019</v>
      </c>
    </row>
    <row r="126" spans="1:6" hidden="1" x14ac:dyDescent="0.3">
      <c r="A126" s="3" t="s">
        <v>81</v>
      </c>
      <c r="B126" s="16" t="s">
        <v>464</v>
      </c>
      <c r="C126" s="16" t="s">
        <v>465</v>
      </c>
      <c r="D126" s="16">
        <v>39023</v>
      </c>
      <c r="E126" s="16">
        <v>15984675</v>
      </c>
      <c r="F126" s="16">
        <v>2019</v>
      </c>
    </row>
    <row r="127" spans="1:6" hidden="1" x14ac:dyDescent="0.3">
      <c r="A127" s="3" t="s">
        <v>81</v>
      </c>
      <c r="B127" s="16" t="s">
        <v>464</v>
      </c>
      <c r="C127" s="16" t="s">
        <v>428</v>
      </c>
      <c r="D127" s="16">
        <v>493951</v>
      </c>
      <c r="E127" s="16">
        <v>201048595</v>
      </c>
      <c r="F127" s="16">
        <v>2019</v>
      </c>
    </row>
    <row r="128" spans="1:6" hidden="1" x14ac:dyDescent="0.3">
      <c r="A128" s="3" t="s">
        <v>81</v>
      </c>
      <c r="B128" s="16" t="s">
        <v>470</v>
      </c>
      <c r="C128" s="16" t="s">
        <v>443</v>
      </c>
      <c r="D128" s="16">
        <v>4451</v>
      </c>
      <c r="E128" s="16">
        <v>2126639</v>
      </c>
      <c r="F128" s="16">
        <v>2019</v>
      </c>
    </row>
    <row r="129" spans="1:6" hidden="1" x14ac:dyDescent="0.3">
      <c r="A129" s="1" t="s">
        <v>89</v>
      </c>
      <c r="B129" s="16" t="s">
        <v>415</v>
      </c>
      <c r="C129" s="16" t="s">
        <v>431</v>
      </c>
      <c r="D129" s="16">
        <v>166195</v>
      </c>
      <c r="E129" s="16">
        <v>6717794</v>
      </c>
      <c r="F129" s="16">
        <v>2019</v>
      </c>
    </row>
    <row r="130" spans="1:6" hidden="1" x14ac:dyDescent="0.3">
      <c r="A130" s="1" t="s">
        <v>89</v>
      </c>
      <c r="B130" s="16" t="s">
        <v>415</v>
      </c>
      <c r="C130" s="16" t="s">
        <v>471</v>
      </c>
      <c r="D130" s="16">
        <v>1105</v>
      </c>
      <c r="E130" s="16">
        <v>42845</v>
      </c>
      <c r="F130" s="16">
        <v>2019</v>
      </c>
    </row>
    <row r="131" spans="1:6" hidden="1" x14ac:dyDescent="0.3">
      <c r="A131" s="1" t="s">
        <v>89</v>
      </c>
      <c r="B131" s="16" t="s">
        <v>415</v>
      </c>
      <c r="C131" s="16" t="s">
        <v>429</v>
      </c>
      <c r="D131" s="16">
        <v>632</v>
      </c>
      <c r="E131" s="16">
        <v>27720</v>
      </c>
      <c r="F131" s="16">
        <v>2019</v>
      </c>
    </row>
    <row r="132" spans="1:6" hidden="1" x14ac:dyDescent="0.3">
      <c r="A132" s="1" t="s">
        <v>89</v>
      </c>
      <c r="B132" s="16" t="s">
        <v>415</v>
      </c>
      <c r="C132" s="16" t="s">
        <v>430</v>
      </c>
      <c r="D132" s="16">
        <v>871587</v>
      </c>
      <c r="E132" s="16">
        <v>34697666</v>
      </c>
      <c r="F132" s="16">
        <v>2019</v>
      </c>
    </row>
    <row r="133" spans="1:6" hidden="1" x14ac:dyDescent="0.3">
      <c r="A133" s="1" t="s">
        <v>89</v>
      </c>
      <c r="B133" s="16" t="s">
        <v>415</v>
      </c>
      <c r="C133" s="16" t="s">
        <v>468</v>
      </c>
      <c r="D133" s="16">
        <v>7696</v>
      </c>
      <c r="E133" s="16">
        <v>307896</v>
      </c>
      <c r="F133" s="16">
        <v>2019</v>
      </c>
    </row>
    <row r="134" spans="1:6" hidden="1" x14ac:dyDescent="0.3">
      <c r="A134" s="1" t="s">
        <v>89</v>
      </c>
      <c r="B134" s="16" t="s">
        <v>415</v>
      </c>
      <c r="C134" s="16" t="s">
        <v>431</v>
      </c>
      <c r="D134" s="16">
        <v>135007</v>
      </c>
      <c r="E134" s="16">
        <v>5125158</v>
      </c>
      <c r="F134" s="16">
        <v>2018</v>
      </c>
    </row>
    <row r="135" spans="1:6" hidden="1" x14ac:dyDescent="0.3">
      <c r="A135" s="1" t="s">
        <v>89</v>
      </c>
      <c r="B135" s="16" t="s">
        <v>415</v>
      </c>
      <c r="C135" s="16" t="s">
        <v>471</v>
      </c>
      <c r="D135" s="16">
        <v>1101</v>
      </c>
      <c r="E135" s="16">
        <v>42402</v>
      </c>
      <c r="F135" s="16">
        <v>2018</v>
      </c>
    </row>
    <row r="136" spans="1:6" hidden="1" x14ac:dyDescent="0.3">
      <c r="A136" s="1" t="s">
        <v>89</v>
      </c>
      <c r="B136" s="16" t="s">
        <v>415</v>
      </c>
      <c r="C136" s="29" t="s">
        <v>429</v>
      </c>
      <c r="D136" s="16">
        <v>5714</v>
      </c>
      <c r="E136" s="16">
        <v>219839</v>
      </c>
      <c r="F136" s="16">
        <v>2018</v>
      </c>
    </row>
    <row r="137" spans="1:6" hidden="1" x14ac:dyDescent="0.3">
      <c r="A137" s="1" t="s">
        <v>89</v>
      </c>
      <c r="B137" s="16" t="s">
        <v>415</v>
      </c>
      <c r="C137" s="16" t="s">
        <v>430</v>
      </c>
      <c r="D137" s="16">
        <v>1005499</v>
      </c>
      <c r="E137" s="16">
        <v>38599438</v>
      </c>
      <c r="F137" s="16">
        <v>2018</v>
      </c>
    </row>
    <row r="138" spans="1:6" hidden="1" x14ac:dyDescent="0.3">
      <c r="A138" s="1" t="s">
        <v>89</v>
      </c>
      <c r="B138" s="16" t="s">
        <v>415</v>
      </c>
      <c r="C138" s="16" t="s">
        <v>468</v>
      </c>
      <c r="D138" s="16">
        <v>3401</v>
      </c>
      <c r="E138" s="16">
        <v>132759</v>
      </c>
      <c r="F138" s="16">
        <v>2018</v>
      </c>
    </row>
    <row r="139" spans="1:6" x14ac:dyDescent="0.3">
      <c r="A139" s="3" t="s">
        <v>98</v>
      </c>
      <c r="B139" s="16" t="s">
        <v>240</v>
      </c>
      <c r="C139" s="16" t="s">
        <v>454</v>
      </c>
      <c r="D139" s="30">
        <v>4.452</v>
      </c>
      <c r="E139" s="16">
        <v>100232469</v>
      </c>
      <c r="F139" s="16">
        <v>2018</v>
      </c>
    </row>
    <row r="140" spans="1:6" x14ac:dyDescent="0.3">
      <c r="A140" s="3" t="s">
        <v>98</v>
      </c>
      <c r="B140" s="16" t="s">
        <v>240</v>
      </c>
      <c r="C140" s="16" t="s">
        <v>454</v>
      </c>
      <c r="D140" s="30">
        <v>5.7830000000000004</v>
      </c>
      <c r="E140" s="16">
        <v>141239790</v>
      </c>
      <c r="F140" s="16">
        <v>2019</v>
      </c>
    </row>
    <row r="141" spans="1:6" hidden="1" x14ac:dyDescent="0.3">
      <c r="A141" s="3" t="s">
        <v>98</v>
      </c>
      <c r="B141" s="16" t="s">
        <v>420</v>
      </c>
      <c r="C141" s="16" t="s">
        <v>454</v>
      </c>
      <c r="D141" s="30">
        <v>0.189</v>
      </c>
      <c r="E141" s="16">
        <v>48742</v>
      </c>
      <c r="F141" s="16">
        <v>2018</v>
      </c>
    </row>
    <row r="142" spans="1:6" x14ac:dyDescent="0.3">
      <c r="A142" s="1" t="s">
        <v>103</v>
      </c>
      <c r="B142" s="16" t="s">
        <v>240</v>
      </c>
      <c r="C142" s="16" t="s">
        <v>472</v>
      </c>
      <c r="D142" s="30">
        <v>4.9800000000000004</v>
      </c>
      <c r="E142" s="16">
        <v>141290591</v>
      </c>
      <c r="F142" s="16">
        <v>2019</v>
      </c>
    </row>
    <row r="143" spans="1:6" x14ac:dyDescent="0.3">
      <c r="A143" s="1" t="s">
        <v>103</v>
      </c>
      <c r="B143" s="16" t="s">
        <v>240</v>
      </c>
      <c r="C143" s="16" t="s">
        <v>454</v>
      </c>
      <c r="D143" s="30">
        <v>0.45</v>
      </c>
      <c r="E143" s="16">
        <v>12048128</v>
      </c>
      <c r="F143" s="16">
        <v>2019</v>
      </c>
    </row>
    <row r="144" spans="1:6" x14ac:dyDescent="0.3">
      <c r="A144" s="1" t="s">
        <v>103</v>
      </c>
      <c r="B144" s="16" t="s">
        <v>240</v>
      </c>
      <c r="C144" s="16" t="s">
        <v>473</v>
      </c>
      <c r="D144" s="30">
        <v>0.59</v>
      </c>
      <c r="E144" s="16">
        <v>17169519</v>
      </c>
      <c r="F144" s="16">
        <v>2019</v>
      </c>
    </row>
    <row r="145" spans="1:6" hidden="1" x14ac:dyDescent="0.3">
      <c r="A145" s="1" t="s">
        <v>103</v>
      </c>
      <c r="B145" s="16" t="s">
        <v>420</v>
      </c>
      <c r="C145" s="16" t="s">
        <v>472</v>
      </c>
      <c r="D145" s="30">
        <v>0.43</v>
      </c>
      <c r="E145" s="16">
        <v>144938</v>
      </c>
      <c r="F145" s="16">
        <v>2019</v>
      </c>
    </row>
    <row r="146" spans="1:6" hidden="1" x14ac:dyDescent="0.3">
      <c r="A146" s="1" t="s">
        <v>103</v>
      </c>
      <c r="B146" s="16" t="s">
        <v>420</v>
      </c>
      <c r="C146" s="16" t="s">
        <v>454</v>
      </c>
      <c r="D146" s="30">
        <v>0.04</v>
      </c>
      <c r="E146" s="16">
        <v>15907</v>
      </c>
      <c r="F146" s="16">
        <v>2019</v>
      </c>
    </row>
    <row r="147" spans="1:6" x14ac:dyDescent="0.3">
      <c r="A147" s="1" t="s">
        <v>103</v>
      </c>
      <c r="B147" s="16" t="s">
        <v>240</v>
      </c>
      <c r="C147" s="16" t="s">
        <v>472</v>
      </c>
      <c r="D147" s="30">
        <v>3.32</v>
      </c>
      <c r="E147" s="16">
        <v>80479252</v>
      </c>
      <c r="F147" s="16">
        <v>2018</v>
      </c>
    </row>
    <row r="148" spans="1:6" x14ac:dyDescent="0.3">
      <c r="A148" s="1" t="s">
        <v>103</v>
      </c>
      <c r="B148" s="16" t="s">
        <v>240</v>
      </c>
      <c r="C148" s="16" t="s">
        <v>454</v>
      </c>
      <c r="D148" s="30">
        <v>3.29</v>
      </c>
      <c r="E148" s="16">
        <v>76651561</v>
      </c>
      <c r="F148" s="16">
        <v>2018</v>
      </c>
    </row>
    <row r="149" spans="1:6" x14ac:dyDescent="0.3">
      <c r="A149" s="1" t="s">
        <v>103</v>
      </c>
      <c r="B149" s="16" t="s">
        <v>240</v>
      </c>
      <c r="C149" s="16" t="s">
        <v>473</v>
      </c>
      <c r="D149" s="30">
        <v>0.63</v>
      </c>
      <c r="E149" s="16">
        <v>15875293</v>
      </c>
      <c r="F149" s="16">
        <v>2018</v>
      </c>
    </row>
    <row r="150" spans="1:6" hidden="1" x14ac:dyDescent="0.3">
      <c r="A150" s="1" t="s">
        <v>103</v>
      </c>
      <c r="B150" s="16" t="s">
        <v>420</v>
      </c>
      <c r="C150" s="16" t="s">
        <v>472</v>
      </c>
      <c r="D150" s="30">
        <v>0.47</v>
      </c>
      <c r="E150" s="16">
        <v>124722</v>
      </c>
      <c r="F150" s="16">
        <v>2018</v>
      </c>
    </row>
    <row r="151" spans="1:6" hidden="1" x14ac:dyDescent="0.3">
      <c r="A151" s="1" t="s">
        <v>103</v>
      </c>
      <c r="B151" s="16" t="s">
        <v>420</v>
      </c>
      <c r="C151" s="16" t="s">
        <v>454</v>
      </c>
      <c r="D151" s="30">
        <v>0.18</v>
      </c>
      <c r="E151" s="16">
        <v>61226</v>
      </c>
      <c r="F151" s="16">
        <v>2018</v>
      </c>
    </row>
    <row r="152" spans="1:6" hidden="1" x14ac:dyDescent="0.3">
      <c r="A152" s="3" t="s">
        <v>113</v>
      </c>
      <c r="B152" s="16" t="s">
        <v>344</v>
      </c>
      <c r="C152" s="16" t="s">
        <v>436</v>
      </c>
      <c r="D152" s="16">
        <v>19761</v>
      </c>
      <c r="E152" s="16">
        <v>639306.39300000004</v>
      </c>
      <c r="F152" s="16">
        <v>2018</v>
      </c>
    </row>
    <row r="153" spans="1:6" hidden="1" x14ac:dyDescent="0.3">
      <c r="A153" s="3" t="s">
        <v>113</v>
      </c>
      <c r="B153" s="16" t="s">
        <v>344</v>
      </c>
      <c r="C153" s="16" t="s">
        <v>474</v>
      </c>
      <c r="D153" s="16">
        <v>32872</v>
      </c>
      <c r="E153" s="16">
        <v>937266.73600000003</v>
      </c>
      <c r="F153" s="16">
        <v>2018</v>
      </c>
    </row>
    <row r="154" spans="1:6" hidden="1" x14ac:dyDescent="0.3">
      <c r="A154" s="3" t="s">
        <v>113</v>
      </c>
      <c r="B154" s="16" t="s">
        <v>421</v>
      </c>
      <c r="C154" s="16" t="s">
        <v>436</v>
      </c>
      <c r="D154" s="16">
        <v>10001</v>
      </c>
      <c r="E154" s="16">
        <v>639306.39300000004</v>
      </c>
      <c r="F154" s="16">
        <v>2018</v>
      </c>
    </row>
    <row r="155" spans="1:6" hidden="1" x14ac:dyDescent="0.3">
      <c r="A155" s="3" t="s">
        <v>113</v>
      </c>
      <c r="B155" s="16" t="s">
        <v>421</v>
      </c>
      <c r="C155" s="16" t="s">
        <v>475</v>
      </c>
      <c r="D155" s="16">
        <v>922</v>
      </c>
      <c r="E155" s="16">
        <v>82237.487999999998</v>
      </c>
      <c r="F155" s="16">
        <v>2018</v>
      </c>
    </row>
    <row r="156" spans="1:6" hidden="1" x14ac:dyDescent="0.3">
      <c r="A156" s="3" t="s">
        <v>113</v>
      </c>
      <c r="B156" s="16" t="s">
        <v>344</v>
      </c>
      <c r="C156" s="16" t="s">
        <v>436</v>
      </c>
      <c r="D156" s="16">
        <v>19761</v>
      </c>
      <c r="E156" s="16">
        <v>639306.39300000004</v>
      </c>
      <c r="F156" s="16">
        <v>2019</v>
      </c>
    </row>
    <row r="157" spans="1:6" hidden="1" x14ac:dyDescent="0.3">
      <c r="A157" s="3" t="s">
        <v>113</v>
      </c>
      <c r="B157" s="16" t="s">
        <v>344</v>
      </c>
      <c r="C157" s="16" t="s">
        <v>474</v>
      </c>
      <c r="D157" s="16">
        <v>32872</v>
      </c>
      <c r="E157" s="16">
        <v>937266.73600000003</v>
      </c>
      <c r="F157" s="16">
        <v>2019</v>
      </c>
    </row>
    <row r="158" spans="1:6" hidden="1" x14ac:dyDescent="0.3">
      <c r="A158" s="3" t="s">
        <v>113</v>
      </c>
      <c r="B158" s="16" t="s">
        <v>421</v>
      </c>
      <c r="C158" s="16" t="s">
        <v>436</v>
      </c>
      <c r="D158" s="16">
        <v>10001</v>
      </c>
      <c r="E158" s="16">
        <v>639306.39300000004</v>
      </c>
      <c r="F158" s="16">
        <v>2019</v>
      </c>
    </row>
    <row r="159" spans="1:6" hidden="1" x14ac:dyDescent="0.3">
      <c r="A159" s="3" t="s">
        <v>113</v>
      </c>
      <c r="B159" s="16" t="s">
        <v>421</v>
      </c>
      <c r="C159" s="16" t="s">
        <v>475</v>
      </c>
      <c r="D159" s="16">
        <v>922</v>
      </c>
      <c r="E159" s="16">
        <v>82237.487999999998</v>
      </c>
      <c r="F159" s="16">
        <v>2019</v>
      </c>
    </row>
    <row r="160" spans="1:6" hidden="1" x14ac:dyDescent="0.3">
      <c r="A160" s="3" t="s">
        <v>119</v>
      </c>
      <c r="B160" s="16" t="s">
        <v>427</v>
      </c>
      <c r="C160" s="16" t="s">
        <v>476</v>
      </c>
      <c r="D160" s="16">
        <v>25</v>
      </c>
      <c r="E160" s="16">
        <v>2069</v>
      </c>
      <c r="F160" s="16">
        <v>2019</v>
      </c>
    </row>
    <row r="161" spans="1:6" hidden="1" x14ac:dyDescent="0.3">
      <c r="A161" s="3" t="s">
        <v>119</v>
      </c>
      <c r="B161" s="16" t="s">
        <v>427</v>
      </c>
      <c r="C161" s="16" t="s">
        <v>477</v>
      </c>
      <c r="D161" s="16">
        <v>600</v>
      </c>
      <c r="E161" s="16">
        <v>46456</v>
      </c>
      <c r="F161" s="16">
        <v>2019</v>
      </c>
    </row>
    <row r="162" spans="1:6" hidden="1" x14ac:dyDescent="0.3">
      <c r="A162" s="3" t="s">
        <v>119</v>
      </c>
      <c r="B162" s="16" t="s">
        <v>427</v>
      </c>
      <c r="C162" s="16" t="s">
        <v>440</v>
      </c>
      <c r="D162" s="16">
        <v>6285</v>
      </c>
      <c r="E162" s="16">
        <v>176056</v>
      </c>
      <c r="F162" s="16">
        <v>2019</v>
      </c>
    </row>
    <row r="163" spans="1:6" hidden="1" x14ac:dyDescent="0.3">
      <c r="A163" s="3" t="s">
        <v>119</v>
      </c>
      <c r="B163" s="16" t="s">
        <v>427</v>
      </c>
      <c r="C163" s="16" t="s">
        <v>440</v>
      </c>
      <c r="D163" s="16">
        <v>38646.843000000001</v>
      </c>
      <c r="E163" s="16">
        <v>1038659</v>
      </c>
      <c r="F163" s="16">
        <v>2019</v>
      </c>
    </row>
    <row r="164" spans="1:6" hidden="1" x14ac:dyDescent="0.3">
      <c r="A164" s="3" t="s">
        <v>119</v>
      </c>
      <c r="B164" s="16" t="s">
        <v>427</v>
      </c>
      <c r="C164" s="16" t="s">
        <v>445</v>
      </c>
      <c r="D164" s="16">
        <v>3480</v>
      </c>
      <c r="E164" s="16">
        <v>216898</v>
      </c>
      <c r="F164" s="16">
        <v>2019</v>
      </c>
    </row>
    <row r="165" spans="1:6" hidden="1" x14ac:dyDescent="0.3">
      <c r="A165" s="3" t="s">
        <v>119</v>
      </c>
      <c r="B165" s="16" t="s">
        <v>427</v>
      </c>
      <c r="C165" s="16" t="s">
        <v>476</v>
      </c>
      <c r="D165" s="16">
        <v>300</v>
      </c>
      <c r="E165" s="16">
        <v>20283</v>
      </c>
      <c r="F165" s="16">
        <v>2019</v>
      </c>
    </row>
    <row r="166" spans="1:6" hidden="1" x14ac:dyDescent="0.3">
      <c r="A166" s="3" t="s">
        <v>119</v>
      </c>
      <c r="B166" s="16" t="s">
        <v>427</v>
      </c>
      <c r="C166" s="16" t="s">
        <v>478</v>
      </c>
      <c r="D166" s="16">
        <v>73434</v>
      </c>
      <c r="E166" s="16">
        <v>1994982</v>
      </c>
      <c r="F166" s="16">
        <v>2018</v>
      </c>
    </row>
    <row r="167" spans="1:6" hidden="1" x14ac:dyDescent="0.3">
      <c r="A167" s="3" t="s">
        <v>156</v>
      </c>
      <c r="B167" s="16" t="s">
        <v>344</v>
      </c>
      <c r="C167" s="16" t="s">
        <v>443</v>
      </c>
      <c r="D167" s="16">
        <v>66636</v>
      </c>
      <c r="E167" s="16">
        <v>2997931</v>
      </c>
      <c r="F167" s="16">
        <v>2019</v>
      </c>
    </row>
    <row r="168" spans="1:6" hidden="1" x14ac:dyDescent="0.3">
      <c r="A168" s="3" t="s">
        <v>156</v>
      </c>
      <c r="B168" s="16" t="s">
        <v>344</v>
      </c>
      <c r="C168" s="16" t="s">
        <v>479</v>
      </c>
      <c r="D168" s="16">
        <v>32331</v>
      </c>
      <c r="E168" s="16">
        <v>1444315</v>
      </c>
      <c r="F168" s="16">
        <v>2019</v>
      </c>
    </row>
    <row r="169" spans="1:6" hidden="1" x14ac:dyDescent="0.3">
      <c r="A169" s="3" t="s">
        <v>156</v>
      </c>
      <c r="B169" s="16" t="s">
        <v>344</v>
      </c>
      <c r="C169" s="16" t="s">
        <v>474</v>
      </c>
      <c r="D169" s="16">
        <v>43791</v>
      </c>
      <c r="E169" s="16">
        <v>1912565</v>
      </c>
      <c r="F169" s="16">
        <v>2019</v>
      </c>
    </row>
    <row r="170" spans="1:6" hidden="1" x14ac:dyDescent="0.3">
      <c r="A170" s="3" t="s">
        <v>156</v>
      </c>
      <c r="B170" s="16" t="s">
        <v>344</v>
      </c>
      <c r="C170" s="16" t="s">
        <v>443</v>
      </c>
      <c r="D170" s="16">
        <v>88844</v>
      </c>
      <c r="E170" s="16">
        <v>3602341</v>
      </c>
      <c r="F170" s="16">
        <v>2018</v>
      </c>
    </row>
    <row r="171" spans="1:6" hidden="1" x14ac:dyDescent="0.3">
      <c r="A171" s="3" t="s">
        <v>156</v>
      </c>
      <c r="B171" s="16" t="s">
        <v>344</v>
      </c>
      <c r="C171" s="16" t="s">
        <v>479</v>
      </c>
      <c r="D171" s="16">
        <v>50893</v>
      </c>
      <c r="E171" s="16">
        <v>2074491</v>
      </c>
      <c r="F171" s="16">
        <v>2018</v>
      </c>
    </row>
    <row r="172" spans="1:6" hidden="1" x14ac:dyDescent="0.3">
      <c r="A172" s="3" t="s">
        <v>156</v>
      </c>
      <c r="B172" s="16" t="s">
        <v>344</v>
      </c>
      <c r="C172" s="16" t="s">
        <v>474</v>
      </c>
      <c r="D172" s="16">
        <v>32060</v>
      </c>
      <c r="E172" s="16">
        <v>1225416</v>
      </c>
      <c r="F172" s="16">
        <v>2018</v>
      </c>
    </row>
    <row r="173" spans="1:6" hidden="1" x14ac:dyDescent="0.3">
      <c r="A173" s="3" t="s">
        <v>134</v>
      </c>
      <c r="B173" s="16" t="s">
        <v>427</v>
      </c>
      <c r="C173" s="16" t="s">
        <v>450</v>
      </c>
      <c r="D173" s="16">
        <v>292529</v>
      </c>
      <c r="E173" s="16">
        <v>9661037.1280473601</v>
      </c>
      <c r="F173" s="16">
        <v>2019</v>
      </c>
    </row>
    <row r="174" spans="1:6" hidden="1" x14ac:dyDescent="0.3">
      <c r="A174" s="3" t="s">
        <v>134</v>
      </c>
      <c r="B174" s="16" t="s">
        <v>427</v>
      </c>
      <c r="C174" s="16" t="s">
        <v>725</v>
      </c>
      <c r="D174" s="16">
        <v>1112</v>
      </c>
      <c r="E174" s="16">
        <v>41609.127899045641</v>
      </c>
      <c r="F174" s="16">
        <v>2019</v>
      </c>
    </row>
    <row r="175" spans="1:6" hidden="1" x14ac:dyDescent="0.3">
      <c r="A175" s="3" t="s">
        <v>134</v>
      </c>
      <c r="B175" s="16" t="s">
        <v>427</v>
      </c>
      <c r="C175" s="16" t="s">
        <v>480</v>
      </c>
      <c r="D175" s="16">
        <v>5504</v>
      </c>
      <c r="E175" s="16">
        <v>184803.61092135878</v>
      </c>
      <c r="F175" s="16">
        <v>2019</v>
      </c>
    </row>
    <row r="176" spans="1:6" hidden="1" x14ac:dyDescent="0.3">
      <c r="A176" s="3" t="s">
        <v>134</v>
      </c>
      <c r="B176" s="16" t="s">
        <v>427</v>
      </c>
      <c r="C176" s="16" t="s">
        <v>481</v>
      </c>
      <c r="D176" s="16">
        <v>162550</v>
      </c>
      <c r="E176" s="16">
        <v>8565785.2961136959</v>
      </c>
      <c r="F176" s="16">
        <v>2019</v>
      </c>
    </row>
    <row r="177" spans="1:7" hidden="1" x14ac:dyDescent="0.3">
      <c r="A177" s="3" t="s">
        <v>134</v>
      </c>
      <c r="B177" s="16" t="s">
        <v>427</v>
      </c>
      <c r="C177" s="16" t="s">
        <v>430</v>
      </c>
      <c r="D177" s="16">
        <v>14614</v>
      </c>
      <c r="E177" s="16">
        <v>306402.83701853751</v>
      </c>
      <c r="F177" s="16">
        <v>2019</v>
      </c>
    </row>
    <row r="178" spans="1:7" hidden="1" x14ac:dyDescent="0.3">
      <c r="A178" s="3" t="s">
        <v>134</v>
      </c>
      <c r="B178" s="16" t="s">
        <v>427</v>
      </c>
      <c r="C178" s="16" t="s">
        <v>482</v>
      </c>
      <c r="D178" s="16">
        <v>27500</v>
      </c>
      <c r="E178" s="16">
        <v>742102.06184414867</v>
      </c>
      <c r="F178" s="16">
        <v>2018</v>
      </c>
    </row>
    <row r="179" spans="1:7" hidden="1" x14ac:dyDescent="0.3">
      <c r="A179" s="3" t="s">
        <v>134</v>
      </c>
      <c r="B179" s="16" t="s">
        <v>427</v>
      </c>
      <c r="C179" s="16" t="s">
        <v>430</v>
      </c>
      <c r="D179" s="16">
        <v>34000</v>
      </c>
      <c r="E179" s="16">
        <v>582476.91247690353</v>
      </c>
      <c r="F179" s="16">
        <v>2018</v>
      </c>
    </row>
    <row r="180" spans="1:7" hidden="1" x14ac:dyDescent="0.3">
      <c r="A180" s="3" t="s">
        <v>134</v>
      </c>
      <c r="B180" s="16" t="s">
        <v>427</v>
      </c>
      <c r="C180" s="16" t="s">
        <v>450</v>
      </c>
      <c r="D180" s="16">
        <v>136565</v>
      </c>
      <c r="E180" s="16">
        <v>3685278.8391180425</v>
      </c>
      <c r="F180" s="16">
        <v>2018</v>
      </c>
    </row>
    <row r="181" spans="1:7" hidden="1" x14ac:dyDescent="0.3">
      <c r="A181" s="3" t="s">
        <v>134</v>
      </c>
      <c r="B181" s="16" t="s">
        <v>427</v>
      </c>
      <c r="C181" s="16" t="s">
        <v>481</v>
      </c>
      <c r="D181" s="16">
        <v>233000</v>
      </c>
      <c r="E181" s="16">
        <v>10032571.221239913</v>
      </c>
      <c r="F181" s="16">
        <v>2018</v>
      </c>
    </row>
    <row r="182" spans="1:7" hidden="1" x14ac:dyDescent="0.3">
      <c r="A182" s="3" t="s">
        <v>134</v>
      </c>
      <c r="B182" s="16" t="s">
        <v>427</v>
      </c>
      <c r="C182" s="16" t="s">
        <v>483</v>
      </c>
      <c r="D182" s="16">
        <v>5600</v>
      </c>
      <c r="E182" s="16">
        <v>151118.96532099028</v>
      </c>
      <c r="F182" s="16">
        <v>2018</v>
      </c>
    </row>
    <row r="183" spans="1:7" hidden="1" x14ac:dyDescent="0.3">
      <c r="A183" s="1" t="s">
        <v>175</v>
      </c>
      <c r="B183" s="29" t="s">
        <v>415</v>
      </c>
      <c r="C183" s="29" t="s">
        <v>431</v>
      </c>
      <c r="D183" s="16">
        <v>40230</v>
      </c>
      <c r="E183" s="16">
        <v>1758366</v>
      </c>
      <c r="F183" s="16">
        <v>2018</v>
      </c>
    </row>
    <row r="184" spans="1:7" hidden="1" x14ac:dyDescent="0.3">
      <c r="A184" s="1" t="s">
        <v>175</v>
      </c>
      <c r="B184" s="29" t="s">
        <v>415</v>
      </c>
      <c r="C184" s="29" t="s">
        <v>484</v>
      </c>
      <c r="D184" s="16">
        <v>1400</v>
      </c>
      <c r="E184" s="16">
        <v>56000</v>
      </c>
      <c r="F184" s="16">
        <v>2018</v>
      </c>
    </row>
    <row r="185" spans="1:7" hidden="1" x14ac:dyDescent="0.3">
      <c r="A185" s="1" t="s">
        <v>175</v>
      </c>
      <c r="B185" s="29" t="s">
        <v>415</v>
      </c>
      <c r="C185" s="29" t="s">
        <v>429</v>
      </c>
      <c r="D185" s="16">
        <v>17275</v>
      </c>
      <c r="E185" s="16">
        <v>872264</v>
      </c>
      <c r="F185" s="16">
        <v>2018</v>
      </c>
    </row>
    <row r="186" spans="1:7" hidden="1" x14ac:dyDescent="0.3">
      <c r="A186" s="1" t="s">
        <v>175</v>
      </c>
      <c r="B186" s="29" t="s">
        <v>415</v>
      </c>
      <c r="C186" s="29" t="s">
        <v>430</v>
      </c>
      <c r="D186" s="16">
        <v>384898</v>
      </c>
      <c r="E186" s="16">
        <v>16593971</v>
      </c>
      <c r="F186" s="16">
        <v>2018</v>
      </c>
    </row>
    <row r="187" spans="1:7" hidden="1" x14ac:dyDescent="0.3">
      <c r="A187" s="1" t="s">
        <v>175</v>
      </c>
      <c r="B187" s="29" t="s">
        <v>415</v>
      </c>
      <c r="C187" s="29" t="s">
        <v>468</v>
      </c>
      <c r="D187" s="16">
        <v>8375</v>
      </c>
      <c r="E187" s="16">
        <v>418540</v>
      </c>
      <c r="F187" s="16">
        <v>2018</v>
      </c>
    </row>
    <row r="188" spans="1:7" hidden="1" x14ac:dyDescent="0.3">
      <c r="A188" s="1" t="s">
        <v>175</v>
      </c>
      <c r="B188" s="29" t="s">
        <v>415</v>
      </c>
      <c r="C188" s="29" t="s">
        <v>480</v>
      </c>
      <c r="D188" s="16">
        <v>35</v>
      </c>
      <c r="E188" s="16">
        <v>1400</v>
      </c>
      <c r="F188" s="16">
        <v>2019</v>
      </c>
      <c r="G188" s="45"/>
    </row>
    <row r="189" spans="1:7" hidden="1" x14ac:dyDescent="0.3">
      <c r="A189" s="1" t="s">
        <v>175</v>
      </c>
      <c r="B189" s="29" t="s">
        <v>415</v>
      </c>
      <c r="C189" s="29" t="s">
        <v>431</v>
      </c>
      <c r="D189" s="16">
        <v>25699</v>
      </c>
      <c r="E189" s="16">
        <v>1122957</v>
      </c>
      <c r="F189" s="16">
        <v>2019</v>
      </c>
      <c r="G189" s="45"/>
    </row>
    <row r="190" spans="1:7" hidden="1" x14ac:dyDescent="0.3">
      <c r="A190" s="1" t="s">
        <v>175</v>
      </c>
      <c r="B190" s="29" t="s">
        <v>415</v>
      </c>
      <c r="C190" s="29" t="s">
        <v>484</v>
      </c>
      <c r="D190" s="16">
        <v>790</v>
      </c>
      <c r="E190" s="16">
        <v>31600</v>
      </c>
      <c r="F190" s="16">
        <v>2019</v>
      </c>
      <c r="G190" s="45"/>
    </row>
    <row r="191" spans="1:7" hidden="1" x14ac:dyDescent="0.3">
      <c r="A191" s="1" t="s">
        <v>175</v>
      </c>
      <c r="B191" s="29" t="s">
        <v>415</v>
      </c>
      <c r="C191" s="29" t="s">
        <v>429</v>
      </c>
      <c r="D191" s="16">
        <v>5256</v>
      </c>
      <c r="E191" s="16">
        <v>282330</v>
      </c>
      <c r="F191" s="16">
        <v>2019</v>
      </c>
      <c r="G191" s="45"/>
    </row>
    <row r="192" spans="1:7" hidden="1" x14ac:dyDescent="0.3">
      <c r="A192" s="1" t="s">
        <v>175</v>
      </c>
      <c r="B192" s="29" t="s">
        <v>415</v>
      </c>
      <c r="C192" s="29" t="s">
        <v>430</v>
      </c>
      <c r="D192" s="16">
        <v>309554</v>
      </c>
      <c r="E192" s="16">
        <v>13294733</v>
      </c>
      <c r="F192" s="16">
        <v>2019</v>
      </c>
      <c r="G192" s="45"/>
    </row>
    <row r="193" spans="1:7" hidden="1" x14ac:dyDescent="0.3">
      <c r="A193" s="1" t="s">
        <v>175</v>
      </c>
      <c r="B193" s="29" t="s">
        <v>415</v>
      </c>
      <c r="C193" s="29" t="s">
        <v>468</v>
      </c>
      <c r="D193" s="16">
        <v>3716</v>
      </c>
      <c r="E193" s="16">
        <v>148640</v>
      </c>
      <c r="F193" s="16">
        <v>2019</v>
      </c>
      <c r="G193" s="45"/>
    </row>
  </sheetData>
  <autoFilter ref="A1:H193">
    <filterColumn colId="1">
      <filters>
        <filter val="OR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L59"/>
  <sheetViews>
    <sheetView zoomScale="140" zoomScaleNormal="140"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F63" sqref="F62:F63"/>
    </sheetView>
  </sheetViews>
  <sheetFormatPr baseColWidth="10" defaultColWidth="8.88671875" defaultRowHeight="14.4" x14ac:dyDescent="0.3"/>
  <cols>
    <col min="1" max="1" width="33" style="16" customWidth="1"/>
    <col min="2" max="7" width="17.44140625" style="16" customWidth="1"/>
    <col min="8" max="8" width="16" style="16" customWidth="1"/>
    <col min="9" max="9" width="17.44140625" style="16" customWidth="1"/>
    <col min="10" max="10" width="18.44140625" style="16" customWidth="1"/>
    <col min="11" max="11" width="10.44140625" style="16" bestFit="1" customWidth="1"/>
    <col min="12" max="12" width="19.109375" style="16" bestFit="1" customWidth="1"/>
    <col min="13" max="16384" width="8.88671875" style="16"/>
  </cols>
  <sheetData>
    <row r="1" spans="1:12" x14ac:dyDescent="0.3">
      <c r="A1" s="1" t="s">
        <v>0</v>
      </c>
      <c r="B1" s="16" t="s">
        <v>485</v>
      </c>
      <c r="C1" s="16" t="s">
        <v>486</v>
      </c>
      <c r="D1" s="16" t="s">
        <v>487</v>
      </c>
      <c r="E1" s="16" t="s">
        <v>488</v>
      </c>
      <c r="F1" s="16" t="s">
        <v>489</v>
      </c>
      <c r="G1" s="16" t="s">
        <v>490</v>
      </c>
      <c r="H1" s="16" t="s">
        <v>491</v>
      </c>
      <c r="I1" s="16" t="s">
        <v>492</v>
      </c>
      <c r="J1" s="16" t="s">
        <v>493</v>
      </c>
      <c r="K1" s="16" t="s">
        <v>410</v>
      </c>
      <c r="L1" s="16" t="s">
        <v>787</v>
      </c>
    </row>
    <row r="2" spans="1:12" hidden="1" x14ac:dyDescent="0.3">
      <c r="A2" s="17" t="s">
        <v>3</v>
      </c>
      <c r="B2" s="16">
        <v>2584</v>
      </c>
      <c r="C2" s="16">
        <v>396</v>
      </c>
      <c r="D2" s="16">
        <v>15292</v>
      </c>
      <c r="E2" s="16">
        <v>63</v>
      </c>
      <c r="J2" s="16">
        <v>18335</v>
      </c>
      <c r="K2" s="16">
        <v>2018</v>
      </c>
      <c r="L2" s="16" t="s">
        <v>788</v>
      </c>
    </row>
    <row r="3" spans="1:12" hidden="1" x14ac:dyDescent="0.3">
      <c r="A3" s="17" t="s">
        <v>3</v>
      </c>
      <c r="B3" s="16">
        <v>76676</v>
      </c>
      <c r="C3" s="16">
        <v>390</v>
      </c>
      <c r="D3" s="16">
        <v>65874</v>
      </c>
      <c r="E3" s="16">
        <v>2858</v>
      </c>
      <c r="F3" s="16">
        <v>344864</v>
      </c>
      <c r="G3" s="16">
        <v>14</v>
      </c>
      <c r="J3" s="16">
        <v>490676</v>
      </c>
      <c r="K3" s="16">
        <v>2018</v>
      </c>
      <c r="L3" s="16" t="s">
        <v>788</v>
      </c>
    </row>
    <row r="4" spans="1:12" hidden="1" x14ac:dyDescent="0.3">
      <c r="A4" s="17" t="s">
        <v>3</v>
      </c>
      <c r="B4" s="16">
        <v>7825</v>
      </c>
      <c r="C4" s="16">
        <v>456</v>
      </c>
      <c r="D4" s="16">
        <v>31309</v>
      </c>
      <c r="E4" s="16">
        <v>4</v>
      </c>
      <c r="F4" s="16">
        <v>49063</v>
      </c>
      <c r="G4" s="16">
        <v>0</v>
      </c>
      <c r="J4" s="16">
        <v>88657</v>
      </c>
      <c r="K4" s="16">
        <v>2019</v>
      </c>
      <c r="L4" s="16" t="s">
        <v>788</v>
      </c>
    </row>
    <row r="5" spans="1:12" hidden="1" x14ac:dyDescent="0.3">
      <c r="A5" s="17" t="s">
        <v>3</v>
      </c>
      <c r="B5" s="16">
        <v>4034</v>
      </c>
      <c r="C5" s="16">
        <v>73</v>
      </c>
      <c r="D5" s="16">
        <v>13526</v>
      </c>
      <c r="E5" s="16">
        <v>4</v>
      </c>
      <c r="F5" s="16">
        <v>102761</v>
      </c>
      <c r="G5" s="16">
        <v>0</v>
      </c>
      <c r="H5" s="16">
        <v>27643</v>
      </c>
      <c r="I5" s="16">
        <v>0</v>
      </c>
      <c r="J5" s="16">
        <v>148041</v>
      </c>
      <c r="K5" s="16">
        <v>2019</v>
      </c>
      <c r="L5" s="16" t="s">
        <v>788</v>
      </c>
    </row>
    <row r="6" spans="1:12" hidden="1" x14ac:dyDescent="0.3">
      <c r="A6" s="17" t="s">
        <v>9</v>
      </c>
      <c r="B6" s="16">
        <v>102977</v>
      </c>
      <c r="C6" s="16">
        <v>9000</v>
      </c>
      <c r="D6" s="16">
        <v>74532</v>
      </c>
      <c r="E6" s="16">
        <v>21197</v>
      </c>
      <c r="F6" s="16">
        <v>63225</v>
      </c>
      <c r="H6" s="16">
        <v>43</v>
      </c>
      <c r="I6" s="16">
        <v>85122</v>
      </c>
      <c r="J6" s="16">
        <v>356096</v>
      </c>
      <c r="K6" s="16">
        <v>2019</v>
      </c>
      <c r="L6" s="16" t="s">
        <v>789</v>
      </c>
    </row>
    <row r="7" spans="1:12" hidden="1" x14ac:dyDescent="0.3">
      <c r="A7" s="17" t="s">
        <v>9</v>
      </c>
      <c r="B7" s="16">
        <v>371962</v>
      </c>
      <c r="C7" s="16">
        <v>19400</v>
      </c>
      <c r="D7" s="16">
        <v>573548</v>
      </c>
      <c r="E7" s="16">
        <v>3280</v>
      </c>
      <c r="F7" s="16">
        <v>208537</v>
      </c>
      <c r="G7" s="16">
        <v>12992</v>
      </c>
      <c r="I7" s="16">
        <v>5000</v>
      </c>
      <c r="J7" s="16">
        <v>1194719</v>
      </c>
      <c r="K7" s="16">
        <v>2018</v>
      </c>
      <c r="L7" s="16" t="s">
        <v>789</v>
      </c>
    </row>
    <row r="8" spans="1:12" hidden="1" x14ac:dyDescent="0.3">
      <c r="A8" s="17" t="s">
        <v>11</v>
      </c>
      <c r="B8" s="16">
        <v>250124</v>
      </c>
      <c r="C8" s="16">
        <v>138022</v>
      </c>
      <c r="D8" s="16">
        <v>1260229</v>
      </c>
      <c r="E8" s="16">
        <v>3360</v>
      </c>
      <c r="F8" s="16">
        <v>1371124</v>
      </c>
      <c r="H8" s="16">
        <v>49579</v>
      </c>
      <c r="J8" s="16">
        <v>3072438</v>
      </c>
      <c r="K8" s="16">
        <v>2018</v>
      </c>
      <c r="L8" s="16" t="s">
        <v>788</v>
      </c>
    </row>
    <row r="9" spans="1:12" hidden="1" x14ac:dyDescent="0.3">
      <c r="A9" s="17" t="s">
        <v>11</v>
      </c>
      <c r="B9" s="16">
        <v>344427</v>
      </c>
      <c r="C9" s="16">
        <v>161489</v>
      </c>
      <c r="D9" s="16">
        <v>1437044</v>
      </c>
      <c r="E9" s="16">
        <v>5644</v>
      </c>
      <c r="F9" s="16">
        <v>1170026</v>
      </c>
      <c r="H9" s="16">
        <v>52184</v>
      </c>
      <c r="J9" s="16">
        <v>3170814</v>
      </c>
      <c r="K9" s="16">
        <v>2019</v>
      </c>
      <c r="L9" s="16" t="s">
        <v>788</v>
      </c>
    </row>
    <row r="10" spans="1:12" x14ac:dyDescent="0.3">
      <c r="A10" s="17" t="s">
        <v>16</v>
      </c>
      <c r="D10" s="16">
        <v>1470</v>
      </c>
      <c r="E10" s="16">
        <v>12814</v>
      </c>
      <c r="F10" s="16">
        <v>48395</v>
      </c>
      <c r="H10" s="16">
        <v>74837</v>
      </c>
      <c r="J10" s="16">
        <v>137516.27600000001</v>
      </c>
      <c r="K10" s="16">
        <v>2018</v>
      </c>
      <c r="L10" s="16" t="s">
        <v>788</v>
      </c>
    </row>
    <row r="11" spans="1:12" x14ac:dyDescent="0.3">
      <c r="A11" s="17" t="s">
        <v>16</v>
      </c>
      <c r="D11" s="16">
        <v>5</v>
      </c>
      <c r="E11" s="16">
        <v>657</v>
      </c>
      <c r="F11" s="16">
        <v>18098</v>
      </c>
      <c r="I11" s="16">
        <v>500</v>
      </c>
      <c r="J11" s="16">
        <v>19260</v>
      </c>
      <c r="K11" s="16">
        <v>2019</v>
      </c>
      <c r="L11" s="16" t="s">
        <v>788</v>
      </c>
    </row>
    <row r="12" spans="1:12" hidden="1" x14ac:dyDescent="0.3">
      <c r="A12" s="17" t="s">
        <v>257</v>
      </c>
      <c r="B12" s="16">
        <v>2025</v>
      </c>
      <c r="D12" s="16">
        <v>73011</v>
      </c>
      <c r="E12" s="16">
        <v>2434</v>
      </c>
      <c r="J12" s="16">
        <v>77470</v>
      </c>
      <c r="K12" s="16">
        <v>2019</v>
      </c>
      <c r="L12" s="16" t="s">
        <v>788</v>
      </c>
    </row>
    <row r="13" spans="1:12" hidden="1" x14ac:dyDescent="0.3">
      <c r="A13" s="18" t="s">
        <v>24</v>
      </c>
      <c r="B13" s="16">
        <v>73280</v>
      </c>
      <c r="C13" s="16">
        <v>1457</v>
      </c>
      <c r="D13" s="16">
        <v>633432</v>
      </c>
      <c r="E13" s="16">
        <v>1905</v>
      </c>
      <c r="J13" s="16">
        <v>710074</v>
      </c>
      <c r="K13" s="16">
        <v>2019</v>
      </c>
      <c r="L13" s="16" t="s">
        <v>788</v>
      </c>
    </row>
    <row r="14" spans="1:12" hidden="1" x14ac:dyDescent="0.3">
      <c r="A14" s="18" t="s">
        <v>24</v>
      </c>
      <c r="B14" s="16">
        <v>17583</v>
      </c>
      <c r="C14" s="16">
        <v>15</v>
      </c>
      <c r="D14" s="16">
        <v>90891</v>
      </c>
      <c r="E14" s="16">
        <v>431</v>
      </c>
      <c r="J14" s="16">
        <v>108920</v>
      </c>
      <c r="K14" s="16">
        <v>2019</v>
      </c>
      <c r="L14" s="16" t="s">
        <v>788</v>
      </c>
    </row>
    <row r="15" spans="1:12" hidden="1" x14ac:dyDescent="0.3">
      <c r="A15" s="17" t="s">
        <v>30</v>
      </c>
      <c r="B15" s="16">
        <f>427300+143125</f>
        <v>570425</v>
      </c>
      <c r="C15" s="16">
        <v>56454</v>
      </c>
      <c r="D15" s="16">
        <v>7074259</v>
      </c>
      <c r="E15" s="16">
        <v>9162</v>
      </c>
      <c r="F15" s="16">
        <v>1559689</v>
      </c>
      <c r="H15" s="16">
        <v>72996</v>
      </c>
      <c r="K15" s="16">
        <v>2018</v>
      </c>
      <c r="L15" s="16" t="s">
        <v>788</v>
      </c>
    </row>
    <row r="16" spans="1:12" hidden="1" x14ac:dyDescent="0.3">
      <c r="A16" s="17" t="s">
        <v>30</v>
      </c>
      <c r="B16" s="16">
        <v>299091</v>
      </c>
      <c r="C16" s="16">
        <v>40443</v>
      </c>
      <c r="D16" s="16">
        <v>2454907</v>
      </c>
      <c r="E16" s="16">
        <v>4666</v>
      </c>
      <c r="F16" s="16">
        <v>989744</v>
      </c>
      <c r="H16" s="16">
        <v>24877</v>
      </c>
      <c r="K16" s="16">
        <v>2019</v>
      </c>
      <c r="L16" s="16" t="s">
        <v>788</v>
      </c>
    </row>
    <row r="17" spans="1:12" hidden="1" x14ac:dyDescent="0.3">
      <c r="A17" s="18" t="s">
        <v>162</v>
      </c>
      <c r="C17" s="16">
        <v>1504</v>
      </c>
      <c r="D17" s="16">
        <v>259982</v>
      </c>
      <c r="E17" s="16">
        <v>363722</v>
      </c>
      <c r="F17" s="16">
        <v>226524</v>
      </c>
      <c r="G17" s="16">
        <v>1072522</v>
      </c>
      <c r="H17" s="16">
        <v>246501</v>
      </c>
      <c r="J17" s="16">
        <v>2170755</v>
      </c>
      <c r="K17" s="16">
        <v>2019</v>
      </c>
      <c r="L17" s="16" t="s">
        <v>277</v>
      </c>
    </row>
    <row r="18" spans="1:12" hidden="1" x14ac:dyDescent="0.3">
      <c r="A18" s="18" t="s">
        <v>162</v>
      </c>
      <c r="B18" s="16">
        <v>305747</v>
      </c>
      <c r="C18" s="16">
        <v>265641</v>
      </c>
      <c r="D18" s="16">
        <v>929122</v>
      </c>
      <c r="E18" s="16">
        <v>246429</v>
      </c>
      <c r="F18" s="16">
        <v>396836</v>
      </c>
      <c r="G18" s="16">
        <v>488726</v>
      </c>
      <c r="H18" s="16">
        <v>2741910</v>
      </c>
      <c r="J18" s="16">
        <v>5374411</v>
      </c>
      <c r="K18" s="16">
        <v>2018</v>
      </c>
      <c r="L18" s="16" t="s">
        <v>277</v>
      </c>
    </row>
    <row r="19" spans="1:12" hidden="1" x14ac:dyDescent="0.3">
      <c r="A19" s="17" t="s">
        <v>280</v>
      </c>
      <c r="B19" s="16">
        <v>522681</v>
      </c>
      <c r="D19" s="16">
        <v>225489</v>
      </c>
      <c r="E19" s="16">
        <v>33052</v>
      </c>
      <c r="F19" s="16">
        <v>148407</v>
      </c>
      <c r="I19" s="16">
        <v>5000</v>
      </c>
      <c r="J19" s="16">
        <v>934629</v>
      </c>
      <c r="K19" s="16">
        <v>2019</v>
      </c>
      <c r="L19" s="16" t="s">
        <v>283</v>
      </c>
    </row>
    <row r="20" spans="1:12" hidden="1" x14ac:dyDescent="0.3">
      <c r="A20" s="18" t="s">
        <v>42</v>
      </c>
      <c r="B20" s="16">
        <f>1495+2475+4653+1844</f>
        <v>10467</v>
      </c>
      <c r="C20" s="16">
        <f>662</f>
        <v>662</v>
      </c>
      <c r="D20" s="16">
        <f>690+25+1280+5125+17000+1000+1239+12625+1478</f>
        <v>40462</v>
      </c>
      <c r="E20" s="16">
        <v>8068</v>
      </c>
      <c r="F20" s="16">
        <f>91789+53522+2453</f>
        <v>147764</v>
      </c>
      <c r="J20" s="16">
        <v>207423</v>
      </c>
      <c r="K20" s="16">
        <v>2019</v>
      </c>
      <c r="L20" s="16" t="s">
        <v>788</v>
      </c>
    </row>
    <row r="21" spans="1:12" hidden="1" x14ac:dyDescent="0.3">
      <c r="A21" s="17" t="s">
        <v>46</v>
      </c>
      <c r="B21" s="16">
        <v>8521615.0360000003</v>
      </c>
      <c r="C21" s="16">
        <v>93818.660999999993</v>
      </c>
      <c r="D21" s="16">
        <v>1937226.4550000001</v>
      </c>
      <c r="E21" s="16">
        <v>986369</v>
      </c>
      <c r="F21" s="16">
        <v>1699369.67</v>
      </c>
      <c r="G21" s="16">
        <v>3780.7089999999998</v>
      </c>
      <c r="H21" s="16">
        <v>112581.758</v>
      </c>
      <c r="I21" s="16">
        <v>671478.6</v>
      </c>
      <c r="J21" s="16">
        <v>14026239.889</v>
      </c>
      <c r="K21" s="16">
        <v>2019</v>
      </c>
      <c r="L21" s="16" t="s">
        <v>283</v>
      </c>
    </row>
    <row r="22" spans="1:12" hidden="1" x14ac:dyDescent="0.3">
      <c r="A22" s="17" t="s">
        <v>46</v>
      </c>
      <c r="B22" s="16">
        <v>8658661.1429999992</v>
      </c>
      <c r="C22" s="16">
        <v>3567973.7259999998</v>
      </c>
      <c r="D22" s="16">
        <v>2042780.118</v>
      </c>
      <c r="E22" s="16">
        <v>1204456.155</v>
      </c>
      <c r="F22" s="16">
        <v>1541239.7109999999</v>
      </c>
      <c r="G22" s="16">
        <v>172531.49</v>
      </c>
      <c r="H22" s="16">
        <v>10029.128000000001</v>
      </c>
      <c r="I22" s="16">
        <v>2380191.9</v>
      </c>
      <c r="J22" s="16">
        <v>19577863.370999996</v>
      </c>
      <c r="K22" s="16">
        <v>2018</v>
      </c>
      <c r="L22" s="16" t="s">
        <v>283</v>
      </c>
    </row>
    <row r="23" spans="1:12" hidden="1" x14ac:dyDescent="0.3">
      <c r="A23" s="17" t="s">
        <v>297</v>
      </c>
      <c r="B23" s="16">
        <v>30624697</v>
      </c>
      <c r="C23" s="16">
        <v>3202319</v>
      </c>
      <c r="D23" s="16">
        <f>124615+502905+370459+452+217698+173994+587294+1081096+53238+30472</f>
        <v>3142223</v>
      </c>
      <c r="E23" s="16">
        <v>240599</v>
      </c>
      <c r="F23" s="16">
        <v>5792073</v>
      </c>
      <c r="G23" s="16">
        <v>4530352</v>
      </c>
      <c r="H23" s="16">
        <v>191537</v>
      </c>
      <c r="J23" s="16">
        <v>47723800</v>
      </c>
      <c r="K23" s="16">
        <v>2018</v>
      </c>
      <c r="L23" s="16" t="s">
        <v>277</v>
      </c>
    </row>
    <row r="24" spans="1:12" hidden="1" x14ac:dyDescent="0.3">
      <c r="A24" s="17" t="s">
        <v>297</v>
      </c>
      <c r="B24" s="16">
        <v>27986990</v>
      </c>
      <c r="C24" s="16">
        <v>227943</v>
      </c>
      <c r="D24" s="16">
        <v>3441680</v>
      </c>
      <c r="E24" s="16">
        <v>334188</v>
      </c>
      <c r="F24" s="16">
        <v>5867066</v>
      </c>
      <c r="G24" s="16">
        <v>2967372</v>
      </c>
      <c r="H24" s="16">
        <v>299527</v>
      </c>
      <c r="J24" s="16">
        <v>41124766</v>
      </c>
      <c r="K24" s="16">
        <v>2019</v>
      </c>
      <c r="L24" s="16" t="s">
        <v>277</v>
      </c>
    </row>
    <row r="25" spans="1:12" hidden="1" x14ac:dyDescent="0.3">
      <c r="A25" s="17" t="s">
        <v>63</v>
      </c>
      <c r="B25" s="16">
        <v>5036942</v>
      </c>
      <c r="C25" s="16">
        <v>3427573</v>
      </c>
      <c r="D25" s="16">
        <v>2476819</v>
      </c>
      <c r="E25" s="16">
        <v>1476394</v>
      </c>
      <c r="F25" s="16">
        <v>838215</v>
      </c>
      <c r="G25" s="16">
        <v>555263</v>
      </c>
      <c r="H25" s="16">
        <v>510155</v>
      </c>
      <c r="I25" s="16">
        <v>2431518</v>
      </c>
      <c r="J25" s="16">
        <v>16752879</v>
      </c>
      <c r="K25" s="16">
        <v>2019</v>
      </c>
      <c r="L25" s="16" t="s">
        <v>283</v>
      </c>
    </row>
    <row r="26" spans="1:12" hidden="1" x14ac:dyDescent="0.3">
      <c r="A26" s="17" t="s">
        <v>63</v>
      </c>
      <c r="B26" s="16">
        <v>3609594</v>
      </c>
      <c r="C26" s="16">
        <v>1437424</v>
      </c>
      <c r="D26" s="16">
        <v>944104</v>
      </c>
      <c r="E26" s="16">
        <v>346648</v>
      </c>
      <c r="F26" s="16">
        <v>544041</v>
      </c>
      <c r="G26" s="16">
        <v>697188</v>
      </c>
      <c r="H26" s="16">
        <v>132256</v>
      </c>
      <c r="I26" s="16">
        <v>374572</v>
      </c>
      <c r="J26" s="16">
        <v>8085827</v>
      </c>
      <c r="K26" s="16">
        <v>2018</v>
      </c>
      <c r="L26" s="16" t="s">
        <v>283</v>
      </c>
    </row>
    <row r="27" spans="1:12" hidden="1" x14ac:dyDescent="0.3">
      <c r="A27" s="18" t="s">
        <v>163</v>
      </c>
      <c r="B27" s="16">
        <v>209693.18299999999</v>
      </c>
      <c r="C27" s="16">
        <v>9105.259</v>
      </c>
      <c r="D27" s="16">
        <v>155924.96100000001</v>
      </c>
      <c r="E27" s="16">
        <v>84561.816999999995</v>
      </c>
      <c r="F27" s="16">
        <v>25854.179</v>
      </c>
      <c r="H27" s="16">
        <v>836.2</v>
      </c>
      <c r="I27" s="16">
        <v>655.20000000000005</v>
      </c>
      <c r="J27" s="16">
        <v>486630.799</v>
      </c>
      <c r="K27" s="16">
        <v>2019</v>
      </c>
      <c r="L27" s="16" t="s">
        <v>302</v>
      </c>
    </row>
    <row r="28" spans="1:12" hidden="1" x14ac:dyDescent="0.3">
      <c r="A28" s="18" t="s">
        <v>163</v>
      </c>
      <c r="B28" s="16">
        <v>96271</v>
      </c>
      <c r="C28" s="16">
        <v>165698</v>
      </c>
      <c r="D28" s="16">
        <v>76125</v>
      </c>
      <c r="E28" s="16">
        <v>6297</v>
      </c>
      <c r="F28" s="16">
        <v>79252</v>
      </c>
      <c r="H28" s="16">
        <v>11842</v>
      </c>
      <c r="J28" s="16">
        <v>435485</v>
      </c>
      <c r="K28" s="16">
        <v>2018</v>
      </c>
      <c r="L28" s="16" t="s">
        <v>302</v>
      </c>
    </row>
    <row r="29" spans="1:12" hidden="1" x14ac:dyDescent="0.3">
      <c r="A29" s="18" t="s">
        <v>312</v>
      </c>
      <c r="B29" s="16">
        <v>24872142</v>
      </c>
      <c r="C29" s="16">
        <v>6906052</v>
      </c>
      <c r="D29" s="16">
        <v>24215482</v>
      </c>
      <c r="E29" s="16">
        <v>5272876</v>
      </c>
      <c r="F29" s="16">
        <v>11472496</v>
      </c>
      <c r="G29" s="16">
        <v>8160988</v>
      </c>
      <c r="H29" s="16">
        <v>5797376</v>
      </c>
      <c r="J29" s="16">
        <v>86697412</v>
      </c>
      <c r="K29" s="16">
        <v>2018</v>
      </c>
      <c r="L29" s="16" t="s">
        <v>277</v>
      </c>
    </row>
    <row r="30" spans="1:12" hidden="1" x14ac:dyDescent="0.3">
      <c r="A30" s="18" t="s">
        <v>312</v>
      </c>
      <c r="B30" s="16">
        <v>20126401</v>
      </c>
      <c r="C30" s="16">
        <v>8244536</v>
      </c>
      <c r="D30" s="16">
        <v>22901592</v>
      </c>
      <c r="E30" s="16">
        <v>28</v>
      </c>
      <c r="F30" s="16">
        <v>18052261</v>
      </c>
      <c r="G30" s="16">
        <v>7449430</v>
      </c>
      <c r="H30" s="16">
        <v>727774</v>
      </c>
      <c r="J30" s="16">
        <v>77502022</v>
      </c>
      <c r="K30" s="16">
        <v>2019</v>
      </c>
      <c r="L30" s="16" t="s">
        <v>277</v>
      </c>
    </row>
    <row r="31" spans="1:12" hidden="1" x14ac:dyDescent="0.3">
      <c r="A31" s="18" t="s">
        <v>81</v>
      </c>
      <c r="B31" s="16">
        <v>101515094</v>
      </c>
      <c r="C31" s="16">
        <v>21833368</v>
      </c>
      <c r="D31" s="16">
        <v>23314619</v>
      </c>
      <c r="E31" s="16">
        <v>20</v>
      </c>
      <c r="F31" s="16">
        <v>21210355</v>
      </c>
      <c r="G31" s="16">
        <v>16245573</v>
      </c>
      <c r="H31" s="16">
        <v>7344937</v>
      </c>
      <c r="J31" s="16">
        <v>191463966</v>
      </c>
      <c r="K31" s="16">
        <v>2018</v>
      </c>
      <c r="L31" s="16" t="s">
        <v>277</v>
      </c>
    </row>
    <row r="32" spans="1:12" hidden="1" x14ac:dyDescent="0.3">
      <c r="A32" s="18" t="s">
        <v>81</v>
      </c>
      <c r="B32" s="16">
        <v>110673849</v>
      </c>
      <c r="C32" s="16">
        <v>26460794</v>
      </c>
      <c r="D32" s="16">
        <v>23618375</v>
      </c>
      <c r="F32" s="16">
        <v>21683657</v>
      </c>
      <c r="G32" s="16">
        <v>10408614</v>
      </c>
      <c r="H32" s="16">
        <v>9048841</v>
      </c>
      <c r="J32" s="16">
        <v>201894130</v>
      </c>
      <c r="K32" s="16">
        <v>2019</v>
      </c>
      <c r="L32" s="16" t="s">
        <v>277</v>
      </c>
    </row>
    <row r="33" spans="1:12" hidden="1" x14ac:dyDescent="0.3">
      <c r="A33" s="17" t="s">
        <v>89</v>
      </c>
      <c r="B33" s="16">
        <v>65340697</v>
      </c>
      <c r="C33" s="16">
        <v>1326444</v>
      </c>
      <c r="D33" s="16">
        <v>4128688</v>
      </c>
      <c r="E33" s="16">
        <v>1818244</v>
      </c>
      <c r="F33" s="16">
        <v>6427710</v>
      </c>
      <c r="G33" s="16">
        <v>2268659</v>
      </c>
      <c r="H33" s="16">
        <v>723209</v>
      </c>
      <c r="J33" s="16">
        <v>82033651</v>
      </c>
      <c r="K33" s="16">
        <v>2019</v>
      </c>
      <c r="L33" s="16" t="s">
        <v>277</v>
      </c>
    </row>
    <row r="34" spans="1:12" hidden="1" x14ac:dyDescent="0.3">
      <c r="A34" s="17" t="s">
        <v>89</v>
      </c>
      <c r="B34" s="16">
        <v>69518821</v>
      </c>
      <c r="C34" s="16">
        <v>1546117</v>
      </c>
      <c r="D34" s="16">
        <v>5225042</v>
      </c>
      <c r="E34" s="16">
        <v>152903</v>
      </c>
      <c r="F34" s="16">
        <v>6001001</v>
      </c>
      <c r="G34" s="16">
        <v>2849310</v>
      </c>
      <c r="H34" s="16">
        <v>740304</v>
      </c>
      <c r="J34" s="16">
        <v>86033498</v>
      </c>
      <c r="K34" s="16">
        <v>2018</v>
      </c>
      <c r="L34" s="16" t="s">
        <v>277</v>
      </c>
    </row>
    <row r="35" spans="1:12" hidden="1" x14ac:dyDescent="0.3">
      <c r="A35" s="17" t="s">
        <v>94</v>
      </c>
      <c r="B35" s="16">
        <f>1000+1000+7266+134+1687+18549+48445+16537</f>
        <v>94618</v>
      </c>
      <c r="C35" s="16">
        <v>0</v>
      </c>
      <c r="D35" s="16">
        <f>82779+26460+33184+5521+284212+20080+14430+121241</f>
        <v>587907</v>
      </c>
      <c r="E35" s="16">
        <v>131246.60800000001</v>
      </c>
      <c r="F35" s="16">
        <f>677070.404+364198+248835+23010+41025</f>
        <v>1354138.4040000001</v>
      </c>
      <c r="G35" s="16">
        <v>0</v>
      </c>
      <c r="H35" s="16">
        <v>0</v>
      </c>
      <c r="I35" s="16">
        <v>0</v>
      </c>
      <c r="J35" s="16">
        <v>2167910.0120000001</v>
      </c>
      <c r="K35" s="16">
        <v>2019</v>
      </c>
      <c r="L35" s="16" t="s">
        <v>789</v>
      </c>
    </row>
    <row r="36" spans="1:12" hidden="1" x14ac:dyDescent="0.3">
      <c r="A36" s="18" t="s">
        <v>98</v>
      </c>
      <c r="B36" s="16">
        <v>17985332</v>
      </c>
      <c r="C36" s="16">
        <v>965605</v>
      </c>
      <c r="D36" s="16">
        <v>29709761</v>
      </c>
      <c r="E36" s="16">
        <v>5752843</v>
      </c>
      <c r="F36" s="16">
        <v>7337601</v>
      </c>
      <c r="G36" s="16">
        <v>10960502</v>
      </c>
      <c r="H36" s="16">
        <v>588711</v>
      </c>
      <c r="J36" s="16">
        <v>73300355</v>
      </c>
      <c r="K36" s="16">
        <v>2018</v>
      </c>
      <c r="L36" s="16" t="s">
        <v>277</v>
      </c>
    </row>
    <row r="37" spans="1:12" hidden="1" x14ac:dyDescent="0.3">
      <c r="A37" s="18" t="s">
        <v>98</v>
      </c>
      <c r="B37" s="16">
        <v>21560625</v>
      </c>
      <c r="C37" s="16">
        <v>1832046</v>
      </c>
      <c r="D37" s="16">
        <v>38850622</v>
      </c>
      <c r="E37" s="16">
        <v>7838925</v>
      </c>
      <c r="F37" s="16">
        <v>8555427</v>
      </c>
      <c r="G37" s="16">
        <v>7516331</v>
      </c>
      <c r="H37" s="16">
        <v>24704471</v>
      </c>
      <c r="I37" s="16">
        <v>0</v>
      </c>
      <c r="J37" s="16">
        <v>110858447</v>
      </c>
      <c r="K37" s="16">
        <v>2019</v>
      </c>
      <c r="L37" s="16" t="s">
        <v>277</v>
      </c>
    </row>
    <row r="38" spans="1:12" hidden="1" x14ac:dyDescent="0.3">
      <c r="A38" s="17" t="s">
        <v>103</v>
      </c>
      <c r="B38" s="16">
        <v>54775794</v>
      </c>
      <c r="C38" s="16">
        <v>1731918</v>
      </c>
      <c r="D38" s="16">
        <v>33922375</v>
      </c>
      <c r="E38" s="16">
        <v>11321885</v>
      </c>
      <c r="F38" s="16">
        <v>9366437</v>
      </c>
      <c r="G38" s="16">
        <v>783248</v>
      </c>
      <c r="H38" s="16">
        <v>1144188</v>
      </c>
      <c r="I38" s="16">
        <v>9388018</v>
      </c>
      <c r="J38" s="16">
        <v>122433863</v>
      </c>
      <c r="K38" s="16">
        <v>2019</v>
      </c>
      <c r="L38" s="16" t="s">
        <v>277</v>
      </c>
    </row>
    <row r="39" spans="1:12" hidden="1" x14ac:dyDescent="0.3">
      <c r="A39" s="17" t="s">
        <v>103</v>
      </c>
      <c r="B39" s="16">
        <v>49031264</v>
      </c>
      <c r="C39" s="16">
        <v>1492715</v>
      </c>
      <c r="D39" s="16">
        <v>33389882</v>
      </c>
      <c r="E39" s="16">
        <v>15618230</v>
      </c>
      <c r="F39" s="16">
        <v>16698695</v>
      </c>
      <c r="G39" s="16">
        <v>1197227</v>
      </c>
      <c r="H39" s="16">
        <v>13707111</v>
      </c>
      <c r="I39" s="16">
        <v>7298587</v>
      </c>
      <c r="J39" s="16">
        <v>138433711</v>
      </c>
      <c r="K39" s="16">
        <v>2018</v>
      </c>
      <c r="L39" s="16" t="s">
        <v>277</v>
      </c>
    </row>
    <row r="40" spans="1:12" hidden="1" x14ac:dyDescent="0.3">
      <c r="A40" s="17" t="s">
        <v>110</v>
      </c>
      <c r="B40" s="16">
        <v>129731</v>
      </c>
      <c r="C40" s="16">
        <v>2744</v>
      </c>
      <c r="D40" s="16">
        <v>153754</v>
      </c>
      <c r="E40" s="16">
        <v>16051</v>
      </c>
      <c r="F40" s="16">
        <v>421677</v>
      </c>
      <c r="G40" s="16">
        <v>78</v>
      </c>
      <c r="H40" s="16">
        <v>634334</v>
      </c>
      <c r="I40" s="16">
        <v>0</v>
      </c>
      <c r="J40" s="16">
        <v>1358369</v>
      </c>
      <c r="K40" s="16">
        <v>2019</v>
      </c>
      <c r="L40" s="16" t="s">
        <v>788</v>
      </c>
    </row>
    <row r="41" spans="1:12" hidden="1" x14ac:dyDescent="0.3">
      <c r="A41" s="17" t="s">
        <v>110</v>
      </c>
      <c r="B41" s="16">
        <v>265256</v>
      </c>
      <c r="C41" s="16">
        <v>15002</v>
      </c>
      <c r="D41" s="16">
        <v>342071</v>
      </c>
      <c r="E41" s="16">
        <v>1008892</v>
      </c>
      <c r="F41" s="16">
        <v>685251</v>
      </c>
      <c r="G41" s="16">
        <v>2565</v>
      </c>
      <c r="H41" s="16">
        <v>551876</v>
      </c>
      <c r="I41" s="16">
        <v>0</v>
      </c>
      <c r="J41" s="16">
        <v>2870913</v>
      </c>
      <c r="K41" s="16">
        <v>2018</v>
      </c>
      <c r="L41" s="16" t="s">
        <v>788</v>
      </c>
    </row>
    <row r="42" spans="1:12" hidden="1" x14ac:dyDescent="0.3">
      <c r="A42" s="17" t="s">
        <v>113</v>
      </c>
      <c r="B42" s="16">
        <v>677744</v>
      </c>
      <c r="C42" s="16">
        <v>312690.27899999998</v>
      </c>
      <c r="D42" s="16">
        <v>579406.09900000005</v>
      </c>
      <c r="E42" s="16">
        <v>29866.9</v>
      </c>
      <c r="F42" s="16">
        <v>474897.27500000002</v>
      </c>
      <c r="G42" s="16">
        <v>100061.21799999999</v>
      </c>
      <c r="H42" s="16">
        <v>480900.81300000002</v>
      </c>
      <c r="I42" s="16">
        <v>0</v>
      </c>
      <c r="J42" s="16">
        <v>2655566.5839999998</v>
      </c>
      <c r="K42" s="16">
        <v>2019</v>
      </c>
      <c r="L42" s="16" t="s">
        <v>277</v>
      </c>
    </row>
    <row r="43" spans="1:12" hidden="1" x14ac:dyDescent="0.3">
      <c r="A43" s="17" t="s">
        <v>113</v>
      </c>
      <c r="B43" s="16">
        <v>677547</v>
      </c>
      <c r="C43" s="16">
        <v>312690.27899999998</v>
      </c>
      <c r="D43" s="16">
        <v>579406.09900000005</v>
      </c>
      <c r="E43" s="16">
        <v>29866.9</v>
      </c>
      <c r="F43" s="16">
        <v>474897.27500000002</v>
      </c>
      <c r="G43" s="16">
        <v>100061.21799999999</v>
      </c>
      <c r="H43" s="16">
        <v>480900.81300000002</v>
      </c>
      <c r="I43" s="16">
        <v>0</v>
      </c>
      <c r="J43" s="16">
        <v>2655369.5839999998</v>
      </c>
      <c r="K43" s="16">
        <v>2018</v>
      </c>
      <c r="L43" s="16" t="s">
        <v>277</v>
      </c>
    </row>
    <row r="44" spans="1:12" hidden="1" x14ac:dyDescent="0.3">
      <c r="A44" s="17" t="s">
        <v>119</v>
      </c>
      <c r="B44" s="16">
        <v>608030</v>
      </c>
      <c r="C44" s="16">
        <v>600101</v>
      </c>
      <c r="D44" s="16">
        <v>1124745</v>
      </c>
      <c r="E44" s="16">
        <v>49718</v>
      </c>
      <c r="F44" s="16">
        <v>704057</v>
      </c>
      <c r="G44" s="16">
        <v>37570</v>
      </c>
      <c r="H44" s="16">
        <v>75605</v>
      </c>
      <c r="I44" s="16">
        <v>5000</v>
      </c>
      <c r="J44" s="16">
        <v>3204826</v>
      </c>
      <c r="K44" s="16">
        <v>2019</v>
      </c>
      <c r="L44" s="16" t="s">
        <v>302</v>
      </c>
    </row>
    <row r="45" spans="1:12" hidden="1" x14ac:dyDescent="0.3">
      <c r="A45" s="17" t="s">
        <v>119</v>
      </c>
      <c r="B45" s="16">
        <v>320023</v>
      </c>
      <c r="C45" s="16">
        <v>662389</v>
      </c>
      <c r="D45" s="16">
        <v>1004835</v>
      </c>
      <c r="E45" s="16">
        <v>77521</v>
      </c>
      <c r="F45" s="16">
        <v>790066</v>
      </c>
      <c r="G45" s="16">
        <v>44239</v>
      </c>
      <c r="H45" s="16">
        <v>23267</v>
      </c>
      <c r="I45" s="16">
        <v>5000</v>
      </c>
      <c r="J45" s="16">
        <v>2927340</v>
      </c>
      <c r="K45" s="16">
        <v>2018</v>
      </c>
      <c r="L45" s="16" t="s">
        <v>302</v>
      </c>
    </row>
    <row r="46" spans="1:12" hidden="1" x14ac:dyDescent="0.3">
      <c r="A46" s="18" t="s">
        <v>156</v>
      </c>
      <c r="B46" s="16">
        <v>690815</v>
      </c>
      <c r="C46" s="16">
        <v>2694194</v>
      </c>
      <c r="D46" s="16">
        <v>1798217</v>
      </c>
      <c r="E46" s="16">
        <v>96827</v>
      </c>
      <c r="F46" s="16">
        <v>553224</v>
      </c>
      <c r="G46" s="16">
        <v>23615</v>
      </c>
      <c r="H46" s="16">
        <v>28536</v>
      </c>
      <c r="I46" s="16">
        <v>150845</v>
      </c>
      <c r="J46" s="16">
        <v>6036273</v>
      </c>
      <c r="K46" s="16">
        <v>2019</v>
      </c>
      <c r="L46" s="16" t="s">
        <v>277</v>
      </c>
    </row>
    <row r="47" spans="1:12" hidden="1" x14ac:dyDescent="0.3">
      <c r="A47" s="18" t="s">
        <v>156</v>
      </c>
      <c r="B47" s="16">
        <v>615792</v>
      </c>
      <c r="C47" s="16">
        <v>3058457</v>
      </c>
      <c r="D47" s="16">
        <v>915782</v>
      </c>
      <c r="E47" s="16">
        <v>120847</v>
      </c>
      <c r="F47" s="16">
        <v>766704</v>
      </c>
      <c r="G47" s="16">
        <v>30859</v>
      </c>
      <c r="I47" s="16">
        <v>249178</v>
      </c>
      <c r="J47" s="16">
        <v>5757619</v>
      </c>
      <c r="K47" s="16">
        <v>2018</v>
      </c>
      <c r="L47" s="16" t="s">
        <v>277</v>
      </c>
    </row>
    <row r="48" spans="1:12" hidden="1" x14ac:dyDescent="0.3">
      <c r="A48" s="17" t="s">
        <v>126</v>
      </c>
      <c r="B48" s="16">
        <v>305878</v>
      </c>
      <c r="C48" s="16">
        <v>144</v>
      </c>
      <c r="D48" s="16">
        <v>30751</v>
      </c>
      <c r="E48" s="16">
        <v>2049</v>
      </c>
      <c r="F48" s="16">
        <v>37909</v>
      </c>
      <c r="G48" s="16">
        <v>293</v>
      </c>
      <c r="H48" s="16">
        <v>18149</v>
      </c>
      <c r="J48" s="16">
        <v>395173</v>
      </c>
      <c r="K48" s="16">
        <v>2018</v>
      </c>
      <c r="L48" s="16" t="s">
        <v>283</v>
      </c>
    </row>
    <row r="49" spans="1:12" hidden="1" x14ac:dyDescent="0.3">
      <c r="A49" s="17" t="s">
        <v>126</v>
      </c>
      <c r="B49" s="16">
        <v>620159</v>
      </c>
      <c r="C49" s="16">
        <v>400</v>
      </c>
      <c r="D49" s="16">
        <v>175759</v>
      </c>
      <c r="E49" s="16">
        <v>45981</v>
      </c>
      <c r="F49" s="16">
        <v>156621</v>
      </c>
      <c r="G49" s="16">
        <v>458</v>
      </c>
      <c r="H49" s="16">
        <v>134633</v>
      </c>
      <c r="I49" s="16">
        <v>4290</v>
      </c>
      <c r="J49" s="16">
        <v>1138301</v>
      </c>
      <c r="K49" s="16">
        <v>2019</v>
      </c>
      <c r="L49" s="16" t="s">
        <v>283</v>
      </c>
    </row>
    <row r="50" spans="1:12" hidden="1" x14ac:dyDescent="0.3">
      <c r="A50" s="17" t="s">
        <v>130</v>
      </c>
      <c r="B50" s="16">
        <v>1310931</v>
      </c>
      <c r="C50" s="16">
        <v>807407</v>
      </c>
      <c r="D50" s="16">
        <v>974661</v>
      </c>
      <c r="E50" s="16">
        <v>211647</v>
      </c>
      <c r="F50" s="16">
        <v>586501</v>
      </c>
      <c r="G50" s="16">
        <v>611964</v>
      </c>
      <c r="H50" s="16">
        <v>112756</v>
      </c>
      <c r="I50" s="16">
        <v>5000</v>
      </c>
      <c r="J50" s="16">
        <v>4620867</v>
      </c>
      <c r="K50" s="16">
        <v>2019</v>
      </c>
      <c r="L50" s="16" t="s">
        <v>283</v>
      </c>
    </row>
    <row r="51" spans="1:12" hidden="1" x14ac:dyDescent="0.3">
      <c r="A51" s="17" t="s">
        <v>130</v>
      </c>
      <c r="B51" s="16">
        <v>1713724</v>
      </c>
      <c r="C51" s="16">
        <v>1437424</v>
      </c>
      <c r="D51" s="16">
        <v>949104</v>
      </c>
      <c r="E51" s="16">
        <v>346648</v>
      </c>
      <c r="F51" s="16">
        <v>616879.45900000003</v>
      </c>
      <c r="G51" s="16">
        <v>697188</v>
      </c>
      <c r="H51" s="16">
        <v>132255</v>
      </c>
      <c r="I51" s="16">
        <v>371572</v>
      </c>
      <c r="J51" s="16">
        <v>6264794.4589999998</v>
      </c>
      <c r="K51" s="16">
        <v>2018</v>
      </c>
      <c r="L51" s="16" t="s">
        <v>283</v>
      </c>
    </row>
    <row r="52" spans="1:12" hidden="1" x14ac:dyDescent="0.3">
      <c r="A52" s="17" t="s">
        <v>134</v>
      </c>
      <c r="B52" s="16">
        <v>4656311</v>
      </c>
      <c r="C52" s="16">
        <v>11594668</v>
      </c>
      <c r="D52" s="16">
        <v>3785603</v>
      </c>
      <c r="E52" s="16">
        <v>463260</v>
      </c>
      <c r="F52" s="16">
        <v>2461786</v>
      </c>
      <c r="G52" s="16">
        <v>1384535</v>
      </c>
      <c r="H52" s="16">
        <v>291659</v>
      </c>
      <c r="I52" s="16">
        <v>0</v>
      </c>
      <c r="J52" s="16">
        <v>24637822</v>
      </c>
      <c r="K52" s="16">
        <v>2019</v>
      </c>
      <c r="L52" s="16" t="s">
        <v>277</v>
      </c>
    </row>
    <row r="53" spans="1:12" hidden="1" x14ac:dyDescent="0.3">
      <c r="A53" s="17" t="s">
        <v>134</v>
      </c>
      <c r="B53" s="16">
        <v>2606972</v>
      </c>
      <c r="C53" s="16">
        <v>9089660</v>
      </c>
      <c r="D53" s="16">
        <v>3323503</v>
      </c>
      <c r="E53" s="16">
        <v>313756</v>
      </c>
      <c r="F53" s="16">
        <v>2039172</v>
      </c>
      <c r="G53" s="16">
        <v>1129014</v>
      </c>
      <c r="H53" s="16">
        <v>231208</v>
      </c>
      <c r="J53" s="16">
        <v>18733285</v>
      </c>
      <c r="K53" s="16">
        <v>2018</v>
      </c>
      <c r="L53" s="16" t="s">
        <v>277</v>
      </c>
    </row>
    <row r="54" spans="1:12" hidden="1" x14ac:dyDescent="0.3">
      <c r="A54" s="17" t="s">
        <v>360</v>
      </c>
      <c r="B54" s="16">
        <v>12484</v>
      </c>
      <c r="C54" s="16">
        <v>163</v>
      </c>
      <c r="D54" s="16">
        <v>101781</v>
      </c>
      <c r="E54" s="16">
        <v>548</v>
      </c>
      <c r="J54" s="16">
        <v>114976</v>
      </c>
      <c r="K54" s="16">
        <v>2019</v>
      </c>
      <c r="L54" s="16" t="s">
        <v>788</v>
      </c>
    </row>
    <row r="55" spans="1:12" hidden="1" x14ac:dyDescent="0.3">
      <c r="A55" s="17" t="s">
        <v>360</v>
      </c>
      <c r="B55" s="16">
        <v>7333</v>
      </c>
      <c r="C55" s="16">
        <v>131</v>
      </c>
      <c r="D55" s="16">
        <v>12075</v>
      </c>
      <c r="F55" s="16">
        <v>79200</v>
      </c>
      <c r="J55" s="16">
        <v>98739</v>
      </c>
      <c r="K55" s="16">
        <v>2018</v>
      </c>
      <c r="L55" s="16" t="s">
        <v>788</v>
      </c>
    </row>
    <row r="56" spans="1:12" hidden="1" x14ac:dyDescent="0.3">
      <c r="A56" s="18" t="s">
        <v>149</v>
      </c>
      <c r="B56" s="16">
        <v>1001983</v>
      </c>
      <c r="C56" s="16">
        <v>72450</v>
      </c>
      <c r="D56" s="16">
        <v>646659</v>
      </c>
      <c r="E56" s="16">
        <v>20426</v>
      </c>
      <c r="F56" s="16">
        <v>841755</v>
      </c>
      <c r="G56" s="16">
        <v>201877</v>
      </c>
      <c r="H56" s="16">
        <v>71129</v>
      </c>
      <c r="J56" s="16">
        <v>2856279</v>
      </c>
      <c r="K56" s="16">
        <v>2019</v>
      </c>
      <c r="L56" s="16" t="s">
        <v>277</v>
      </c>
    </row>
    <row r="57" spans="1:12" hidden="1" x14ac:dyDescent="0.3">
      <c r="A57" s="18" t="s">
        <v>149</v>
      </c>
      <c r="B57" s="16">
        <f>356801+18622+457+2757+5497+37294+7857+249+9054</f>
        <v>438588</v>
      </c>
      <c r="C57" s="16">
        <v>33098</v>
      </c>
      <c r="D57" s="16">
        <v>897191</v>
      </c>
      <c r="E57" s="16">
        <v>23495</v>
      </c>
      <c r="F57" s="16">
        <v>47449</v>
      </c>
      <c r="G57" s="16">
        <v>299209</v>
      </c>
      <c r="H57" s="16">
        <v>875791</v>
      </c>
      <c r="J57" s="16">
        <v>2614821</v>
      </c>
      <c r="K57" s="16">
        <v>2018</v>
      </c>
      <c r="L57" s="16" t="s">
        <v>277</v>
      </c>
    </row>
    <row r="58" spans="1:12" hidden="1" x14ac:dyDescent="0.3">
      <c r="A58" s="1" t="s">
        <v>175</v>
      </c>
      <c r="B58" s="16">
        <v>64766368</v>
      </c>
      <c r="C58" s="16">
        <v>2588547</v>
      </c>
      <c r="D58" s="16">
        <v>21345637</v>
      </c>
      <c r="E58" s="16">
        <v>1483978</v>
      </c>
      <c r="F58" s="16">
        <v>10692134</v>
      </c>
      <c r="G58" s="16">
        <v>1588322</v>
      </c>
      <c r="H58" s="16">
        <v>1646800</v>
      </c>
      <c r="J58" s="16">
        <v>104111786</v>
      </c>
      <c r="K58" s="16">
        <v>2018</v>
      </c>
      <c r="L58" s="16" t="s">
        <v>277</v>
      </c>
    </row>
    <row r="59" spans="1:12" hidden="1" x14ac:dyDescent="0.3">
      <c r="A59" s="1" t="s">
        <v>175</v>
      </c>
      <c r="B59" s="16">
        <v>54690141</v>
      </c>
      <c r="C59" s="16">
        <v>1595743</v>
      </c>
      <c r="D59" s="16">
        <v>19828104</v>
      </c>
      <c r="E59" s="16">
        <v>1486379</v>
      </c>
      <c r="F59" s="16">
        <v>11213771</v>
      </c>
      <c r="G59" s="16">
        <v>1766009</v>
      </c>
      <c r="H59" s="16">
        <v>255106</v>
      </c>
      <c r="J59" s="16">
        <f>SUM(B59:I59)</f>
        <v>90835253</v>
      </c>
      <c r="K59" s="16">
        <v>2019</v>
      </c>
      <c r="L59" s="16" t="s">
        <v>277</v>
      </c>
    </row>
  </sheetData>
  <autoFilter ref="A1:L59">
    <filterColumn colId="0">
      <filters>
        <filter val="AMAFRIQUE"/>
      </filters>
    </filterColumn>
  </autoFilter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O22"/>
  <sheetViews>
    <sheetView zoomScaleNormal="100" workbookViewId="0">
      <selection activeCell="C31" sqref="C31"/>
    </sheetView>
  </sheetViews>
  <sheetFormatPr baseColWidth="10" defaultColWidth="8.88671875" defaultRowHeight="14.4" x14ac:dyDescent="0.3"/>
  <cols>
    <col min="1" max="1" width="44.88671875" style="16" bestFit="1" customWidth="1"/>
    <col min="2" max="2" width="16.5546875" style="16" customWidth="1"/>
    <col min="3" max="3" width="18.33203125" style="16" customWidth="1"/>
    <col min="4" max="5" width="14.44140625" style="16" customWidth="1"/>
    <col min="6" max="7" width="18" style="16" customWidth="1"/>
    <col min="8" max="11" width="13.33203125" style="16" customWidth="1"/>
    <col min="12" max="13" width="15.109375" style="16" customWidth="1"/>
    <col min="14" max="14" width="17.33203125" style="16" customWidth="1"/>
    <col min="15" max="15" width="14.5546875" style="16" customWidth="1"/>
    <col min="16" max="16384" width="8.88671875" style="16"/>
  </cols>
  <sheetData>
    <row r="1" spans="1:15" x14ac:dyDescent="0.3">
      <c r="A1" s="1" t="s">
        <v>0</v>
      </c>
      <c r="B1" s="16" t="s">
        <v>494</v>
      </c>
      <c r="C1" s="16" t="s">
        <v>495</v>
      </c>
      <c r="D1" s="16" t="s">
        <v>496</v>
      </c>
      <c r="E1" s="16" t="s">
        <v>410</v>
      </c>
      <c r="F1" s="16" t="s">
        <v>497</v>
      </c>
      <c r="G1" s="16" t="s">
        <v>498</v>
      </c>
      <c r="H1" s="29" t="s">
        <v>499</v>
      </c>
      <c r="I1" s="29" t="s">
        <v>500</v>
      </c>
      <c r="J1" s="29" t="s">
        <v>501</v>
      </c>
      <c r="K1" s="29" t="s">
        <v>502</v>
      </c>
      <c r="L1" s="29" t="s">
        <v>503</v>
      </c>
      <c r="M1" s="29" t="s">
        <v>504</v>
      </c>
      <c r="N1" s="29" t="s">
        <v>505</v>
      </c>
      <c r="O1" s="29" t="s">
        <v>506</v>
      </c>
    </row>
    <row r="2" spans="1:15" hidden="1" x14ac:dyDescent="0.3">
      <c r="A2" s="16" t="s">
        <v>11</v>
      </c>
      <c r="B2" s="16">
        <v>214443.79963090841</v>
      </c>
      <c r="C2" s="16">
        <v>26644</v>
      </c>
      <c r="E2" s="16">
        <v>2018</v>
      </c>
      <c r="F2" s="32">
        <f>+B2/1000</f>
        <v>214.44379963090842</v>
      </c>
      <c r="G2" s="32">
        <f>+F2+D2</f>
        <v>214.44379963090842</v>
      </c>
      <c r="H2" s="29" t="s">
        <v>507</v>
      </c>
      <c r="I2" s="29" t="s">
        <v>508</v>
      </c>
      <c r="J2" s="29" t="s">
        <v>508</v>
      </c>
      <c r="K2" s="29" t="s">
        <v>508</v>
      </c>
      <c r="L2" s="16">
        <v>52553</v>
      </c>
    </row>
    <row r="3" spans="1:15" x14ac:dyDescent="0.3">
      <c r="A3" s="16" t="s">
        <v>30</v>
      </c>
      <c r="B3" s="16">
        <v>2400000</v>
      </c>
      <c r="C3" s="16">
        <v>105774</v>
      </c>
      <c r="E3" s="16">
        <v>2019</v>
      </c>
      <c r="F3" s="32">
        <f t="shared" ref="F3:F22" si="0">+B3/1000</f>
        <v>2400</v>
      </c>
      <c r="G3" s="32">
        <f t="shared" ref="G3:G22" si="1">+F3+D3</f>
        <v>2400</v>
      </c>
      <c r="H3" s="29" t="s">
        <v>507</v>
      </c>
      <c r="I3" s="29" t="s">
        <v>508</v>
      </c>
      <c r="J3" s="29" t="s">
        <v>508</v>
      </c>
      <c r="K3" s="29" t="s">
        <v>508</v>
      </c>
      <c r="L3" s="16">
        <v>207400</v>
      </c>
    </row>
    <row r="4" spans="1:15" hidden="1" x14ac:dyDescent="0.3">
      <c r="A4" s="16" t="s">
        <v>30</v>
      </c>
      <c r="B4" s="16">
        <v>2284800</v>
      </c>
      <c r="C4" s="16">
        <v>140005.20000000001</v>
      </c>
      <c r="E4" s="16">
        <v>2018</v>
      </c>
      <c r="F4" s="32">
        <f t="shared" si="0"/>
        <v>2284.8000000000002</v>
      </c>
      <c r="G4" s="32">
        <f t="shared" si="1"/>
        <v>2284.8000000000002</v>
      </c>
      <c r="H4" s="29" t="s">
        <v>507</v>
      </c>
      <c r="I4" s="29" t="s">
        <v>508</v>
      </c>
      <c r="J4" s="29" t="s">
        <v>508</v>
      </c>
      <c r="K4" s="29" t="s">
        <v>508</v>
      </c>
      <c r="L4" s="16">
        <v>274520</v>
      </c>
    </row>
    <row r="5" spans="1:15" x14ac:dyDescent="0.3">
      <c r="A5" s="16" t="s">
        <v>297</v>
      </c>
      <c r="B5" s="16">
        <v>120141576</v>
      </c>
      <c r="C5" s="16">
        <v>10772886</v>
      </c>
      <c r="E5" s="16">
        <v>2019</v>
      </c>
      <c r="F5" s="32">
        <f t="shared" si="0"/>
        <v>120141.576</v>
      </c>
      <c r="G5" s="32">
        <f t="shared" si="1"/>
        <v>120141.576</v>
      </c>
      <c r="H5" s="29" t="s">
        <v>507</v>
      </c>
      <c r="I5" s="29" t="s">
        <v>508</v>
      </c>
      <c r="J5" s="29" t="s">
        <v>507</v>
      </c>
      <c r="K5" s="29" t="s">
        <v>508</v>
      </c>
      <c r="L5" s="16">
        <v>2774226</v>
      </c>
      <c r="N5" s="16">
        <v>229181</v>
      </c>
    </row>
    <row r="6" spans="1:15" hidden="1" x14ac:dyDescent="0.3">
      <c r="A6" s="16" t="s">
        <v>297</v>
      </c>
      <c r="B6" s="16">
        <v>101416659</v>
      </c>
      <c r="C6" s="16">
        <v>6085153</v>
      </c>
      <c r="D6" s="16">
        <f>7299366/1000</f>
        <v>7299.366</v>
      </c>
      <c r="E6" s="16">
        <v>2018</v>
      </c>
      <c r="F6" s="32">
        <f t="shared" si="0"/>
        <v>101416.659</v>
      </c>
      <c r="G6" s="32">
        <f t="shared" si="1"/>
        <v>108716.02499999999</v>
      </c>
      <c r="H6" s="29" t="s">
        <v>507</v>
      </c>
      <c r="I6" s="29" t="s">
        <v>508</v>
      </c>
      <c r="J6" s="29" t="s">
        <v>507</v>
      </c>
      <c r="K6" s="29" t="s">
        <v>508</v>
      </c>
      <c r="L6" s="16">
        <v>4157919</v>
      </c>
      <c r="N6" s="16">
        <v>237166</v>
      </c>
    </row>
    <row r="7" spans="1:15" x14ac:dyDescent="0.3">
      <c r="A7" s="16" t="s">
        <v>63</v>
      </c>
      <c r="B7" s="16">
        <v>12834881.497898489</v>
      </c>
      <c r="C7" s="16">
        <v>1247622.9099999999</v>
      </c>
      <c r="D7" s="16">
        <v>0</v>
      </c>
      <c r="E7" s="16">
        <v>2019</v>
      </c>
      <c r="F7" s="32">
        <f t="shared" si="0"/>
        <v>12834.88149789849</v>
      </c>
      <c r="G7" s="32">
        <f t="shared" si="1"/>
        <v>12834.88149789849</v>
      </c>
      <c r="H7" s="29" t="s">
        <v>507</v>
      </c>
      <c r="I7" s="29" t="s">
        <v>508</v>
      </c>
      <c r="J7" s="29" t="s">
        <v>508</v>
      </c>
      <c r="K7" s="29" t="s">
        <v>508</v>
      </c>
      <c r="L7" s="16">
        <v>3145400</v>
      </c>
    </row>
    <row r="8" spans="1:15" hidden="1" x14ac:dyDescent="0.3">
      <c r="A8" s="16" t="s">
        <v>63</v>
      </c>
      <c r="B8" s="16">
        <v>13650986.381086541</v>
      </c>
      <c r="C8" s="16">
        <v>1162727.2239999999</v>
      </c>
      <c r="D8" s="16">
        <v>0</v>
      </c>
      <c r="E8" s="16">
        <v>2018</v>
      </c>
      <c r="F8" s="32">
        <f t="shared" si="0"/>
        <v>13650.986381086541</v>
      </c>
      <c r="G8" s="32">
        <f t="shared" si="1"/>
        <v>13650.986381086541</v>
      </c>
      <c r="H8" s="29" t="s">
        <v>507</v>
      </c>
      <c r="I8" s="29" t="s">
        <v>508</v>
      </c>
      <c r="J8" s="29" t="s">
        <v>508</v>
      </c>
      <c r="K8" s="29" t="s">
        <v>508</v>
      </c>
      <c r="L8" s="16">
        <v>3345400</v>
      </c>
      <c r="M8" s="16">
        <f>M7/273.88</f>
        <v>0</v>
      </c>
    </row>
    <row r="9" spans="1:15" hidden="1" x14ac:dyDescent="0.3">
      <c r="A9" s="16" t="s">
        <v>312</v>
      </c>
      <c r="B9" s="16">
        <v>134585550</v>
      </c>
      <c r="C9" s="16">
        <v>9956419</v>
      </c>
      <c r="E9" s="16">
        <v>2018</v>
      </c>
      <c r="F9" s="32">
        <f t="shared" si="0"/>
        <v>134585.54999999999</v>
      </c>
      <c r="G9" s="32">
        <f t="shared" si="1"/>
        <v>134585.54999999999</v>
      </c>
      <c r="H9" s="29" t="s">
        <v>507</v>
      </c>
      <c r="I9" s="29" t="s">
        <v>508</v>
      </c>
      <c r="J9" s="29" t="s">
        <v>508</v>
      </c>
      <c r="K9" s="29" t="s">
        <v>507</v>
      </c>
      <c r="L9" s="16">
        <v>403529</v>
      </c>
      <c r="O9" s="16">
        <v>29045</v>
      </c>
    </row>
    <row r="10" spans="1:15" hidden="1" x14ac:dyDescent="0.3">
      <c r="A10" s="16" t="s">
        <v>81</v>
      </c>
      <c r="B10" s="16">
        <v>126549642</v>
      </c>
      <c r="C10" s="16">
        <v>6100616</v>
      </c>
      <c r="D10" s="16">
        <f>46210000/1000</f>
        <v>46210</v>
      </c>
      <c r="E10" s="16">
        <v>2018</v>
      </c>
      <c r="F10" s="32">
        <f t="shared" si="0"/>
        <v>126549.64200000001</v>
      </c>
      <c r="G10" s="32">
        <f t="shared" si="1"/>
        <v>172759.64199999999</v>
      </c>
      <c r="H10" s="29" t="s">
        <v>507</v>
      </c>
      <c r="I10" s="29" t="s">
        <v>508</v>
      </c>
      <c r="J10" s="29" t="s">
        <v>507</v>
      </c>
      <c r="K10" s="29" t="s">
        <v>508</v>
      </c>
      <c r="L10" s="16">
        <v>147000</v>
      </c>
      <c r="N10" s="16">
        <v>182979</v>
      </c>
    </row>
    <row r="11" spans="1:15" x14ac:dyDescent="0.3">
      <c r="A11" s="16" t="s">
        <v>81</v>
      </c>
      <c r="B11" s="16">
        <v>257279841</v>
      </c>
      <c r="C11" s="16">
        <v>8067202</v>
      </c>
      <c r="D11" s="16">
        <f>52467000/1000</f>
        <v>52467</v>
      </c>
      <c r="E11" s="16">
        <v>2019</v>
      </c>
      <c r="F11" s="32">
        <f t="shared" si="0"/>
        <v>257279.84099999999</v>
      </c>
      <c r="G11" s="32">
        <f t="shared" si="1"/>
        <v>309746.84100000001</v>
      </c>
      <c r="H11" s="29" t="s">
        <v>507</v>
      </c>
      <c r="I11" s="29" t="s">
        <v>508</v>
      </c>
      <c r="J11" s="29" t="s">
        <v>507</v>
      </c>
      <c r="K11" s="29" t="s">
        <v>508</v>
      </c>
      <c r="L11" s="16">
        <v>6062</v>
      </c>
      <c r="N11" s="16">
        <v>172666</v>
      </c>
    </row>
    <row r="12" spans="1:15" x14ac:dyDescent="0.3">
      <c r="A12" s="16" t="s">
        <v>89</v>
      </c>
      <c r="B12" s="16">
        <v>219430681</v>
      </c>
      <c r="C12" s="16">
        <v>15379725</v>
      </c>
      <c r="E12" s="16">
        <v>2019</v>
      </c>
      <c r="F12" s="32">
        <f t="shared" si="0"/>
        <v>219430.68100000001</v>
      </c>
      <c r="G12" s="32">
        <f t="shared" si="1"/>
        <v>219430.68100000001</v>
      </c>
      <c r="H12" s="29" t="s">
        <v>507</v>
      </c>
      <c r="I12" s="29" t="s">
        <v>507</v>
      </c>
      <c r="J12" s="29" t="s">
        <v>508</v>
      </c>
      <c r="K12" s="29" t="s">
        <v>508</v>
      </c>
      <c r="L12" s="16">
        <v>12660310</v>
      </c>
      <c r="M12" s="16">
        <v>34291694</v>
      </c>
    </row>
    <row r="13" spans="1:15" hidden="1" x14ac:dyDescent="0.3">
      <c r="A13" s="16" t="s">
        <v>89</v>
      </c>
      <c r="B13" s="16">
        <v>211664011</v>
      </c>
      <c r="C13" s="16">
        <v>16614011</v>
      </c>
      <c r="E13" s="16">
        <v>2018</v>
      </c>
      <c r="F13" s="32">
        <f t="shared" si="0"/>
        <v>211664.011</v>
      </c>
      <c r="G13" s="32">
        <f t="shared" si="1"/>
        <v>211664.011</v>
      </c>
      <c r="H13" s="29" t="s">
        <v>507</v>
      </c>
      <c r="I13" s="29" t="s">
        <v>507</v>
      </c>
      <c r="J13" s="29" t="s">
        <v>508</v>
      </c>
      <c r="K13" s="29" t="s">
        <v>508</v>
      </c>
      <c r="L13" s="16">
        <v>12461462</v>
      </c>
      <c r="M13" s="16">
        <v>34047558</v>
      </c>
    </row>
    <row r="14" spans="1:15" x14ac:dyDescent="0.3">
      <c r="A14" s="16" t="s">
        <v>94</v>
      </c>
      <c r="B14" s="16">
        <v>1351143.2446061384</v>
      </c>
      <c r="C14" s="16">
        <v>212413.48</v>
      </c>
      <c r="E14" s="16">
        <v>2019</v>
      </c>
      <c r="F14" s="32">
        <f>+B14/1000</f>
        <v>1351.1432446061385</v>
      </c>
      <c r="G14" s="32">
        <f t="shared" si="1"/>
        <v>1351.1432446061385</v>
      </c>
      <c r="H14" s="29" t="s">
        <v>507</v>
      </c>
      <c r="I14" s="29" t="s">
        <v>508</v>
      </c>
      <c r="J14" s="29" t="s">
        <v>508</v>
      </c>
      <c r="K14" s="29" t="s">
        <v>508</v>
      </c>
      <c r="L14" s="16">
        <v>331120</v>
      </c>
    </row>
    <row r="15" spans="1:15" hidden="1" x14ac:dyDescent="0.3">
      <c r="A15" s="16" t="s">
        <v>98</v>
      </c>
      <c r="B15" s="16">
        <v>53761566</v>
      </c>
      <c r="C15" s="16">
        <v>7956596</v>
      </c>
      <c r="E15" s="16">
        <v>2018</v>
      </c>
      <c r="F15" s="32">
        <f t="shared" si="0"/>
        <v>53761.565999999999</v>
      </c>
      <c r="G15" s="32">
        <f t="shared" si="1"/>
        <v>53761.565999999999</v>
      </c>
      <c r="H15" s="29" t="s">
        <v>507</v>
      </c>
      <c r="I15" s="29" t="s">
        <v>508</v>
      </c>
      <c r="J15" s="29" t="s">
        <v>508</v>
      </c>
      <c r="K15" s="29" t="s">
        <v>508</v>
      </c>
      <c r="L15" s="16">
        <v>13559</v>
      </c>
    </row>
    <row r="16" spans="1:15" x14ac:dyDescent="0.3">
      <c r="A16" s="16" t="s">
        <v>98</v>
      </c>
      <c r="B16" s="16">
        <v>73838678</v>
      </c>
      <c r="C16" s="16">
        <v>8829520</v>
      </c>
      <c r="D16" s="16">
        <v>0</v>
      </c>
      <c r="E16" s="16">
        <v>2019</v>
      </c>
      <c r="F16" s="32">
        <f t="shared" si="0"/>
        <v>73838.678</v>
      </c>
      <c r="G16" s="32">
        <f t="shared" si="1"/>
        <v>73838.678</v>
      </c>
      <c r="H16" s="29" t="s">
        <v>507</v>
      </c>
      <c r="I16" s="29" t="s">
        <v>508</v>
      </c>
      <c r="J16" s="29" t="s">
        <v>508</v>
      </c>
      <c r="K16" s="29" t="s">
        <v>508</v>
      </c>
      <c r="L16" s="16">
        <v>18656958</v>
      </c>
    </row>
    <row r="17" spans="1:13" x14ac:dyDescent="0.3">
      <c r="A17" s="16" t="s">
        <v>103</v>
      </c>
      <c r="B17" s="16">
        <v>145200000</v>
      </c>
      <c r="C17" s="16">
        <v>10000000</v>
      </c>
      <c r="E17" s="16">
        <v>2019</v>
      </c>
      <c r="F17" s="32">
        <f t="shared" si="0"/>
        <v>145200</v>
      </c>
      <c r="G17" s="32">
        <f t="shared" si="1"/>
        <v>145200</v>
      </c>
      <c r="H17" s="29" t="s">
        <v>507</v>
      </c>
      <c r="I17" s="29" t="s">
        <v>507</v>
      </c>
      <c r="J17" s="29" t="s">
        <v>508</v>
      </c>
      <c r="K17" s="29" t="s">
        <v>508</v>
      </c>
      <c r="L17" s="16">
        <v>72000</v>
      </c>
      <c r="M17" s="16">
        <v>31200000</v>
      </c>
    </row>
    <row r="18" spans="1:13" hidden="1" x14ac:dyDescent="0.3">
      <c r="A18" s="16" t="s">
        <v>103</v>
      </c>
      <c r="B18" s="16">
        <v>141012255</v>
      </c>
      <c r="C18" s="16">
        <v>10787907</v>
      </c>
      <c r="E18" s="16">
        <v>2018</v>
      </c>
      <c r="F18" s="32">
        <f t="shared" si="0"/>
        <v>141012.255</v>
      </c>
      <c r="G18" s="32">
        <f t="shared" si="1"/>
        <v>141012.255</v>
      </c>
      <c r="H18" s="29" t="s">
        <v>507</v>
      </c>
      <c r="I18" s="29" t="s">
        <v>507</v>
      </c>
      <c r="J18" s="29" t="s">
        <v>508</v>
      </c>
      <c r="K18" s="29" t="s">
        <v>508</v>
      </c>
      <c r="L18" s="16">
        <v>140481</v>
      </c>
      <c r="M18" s="16">
        <v>351719145</v>
      </c>
    </row>
    <row r="19" spans="1:13" hidden="1" x14ac:dyDescent="0.3">
      <c r="A19" s="16" t="s">
        <v>126</v>
      </c>
      <c r="B19" s="16">
        <v>1100</v>
      </c>
      <c r="E19" s="16">
        <v>2018</v>
      </c>
      <c r="F19" s="32">
        <f t="shared" si="0"/>
        <v>1.1000000000000001</v>
      </c>
      <c r="G19" s="32">
        <f t="shared" si="1"/>
        <v>1.1000000000000001</v>
      </c>
      <c r="H19" s="29" t="s">
        <v>508</v>
      </c>
      <c r="I19" s="29" t="s">
        <v>507</v>
      </c>
      <c r="J19" s="29" t="s">
        <v>508</v>
      </c>
      <c r="K19" s="29" t="s">
        <v>508</v>
      </c>
      <c r="M19" s="16">
        <v>1000</v>
      </c>
    </row>
    <row r="20" spans="1:13" x14ac:dyDescent="0.3">
      <c r="A20" s="29" t="s">
        <v>130</v>
      </c>
      <c r="B20" s="16">
        <v>1222</v>
      </c>
      <c r="C20" s="16">
        <v>45346</v>
      </c>
      <c r="D20" s="16">
        <v>0</v>
      </c>
      <c r="E20" s="16">
        <v>2019</v>
      </c>
      <c r="F20" s="32">
        <f t="shared" si="0"/>
        <v>1.222</v>
      </c>
      <c r="G20" s="32">
        <f t="shared" si="1"/>
        <v>1.222</v>
      </c>
      <c r="H20" s="29" t="s">
        <v>507</v>
      </c>
      <c r="I20" s="29" t="s">
        <v>508</v>
      </c>
      <c r="J20" s="29" t="s">
        <v>508</v>
      </c>
      <c r="K20" s="29" t="s">
        <v>508</v>
      </c>
      <c r="L20" s="16">
        <v>125000</v>
      </c>
    </row>
    <row r="21" spans="1:13" hidden="1" x14ac:dyDescent="0.3">
      <c r="A21" s="16" t="s">
        <v>130</v>
      </c>
      <c r="B21" s="16">
        <v>1114.345</v>
      </c>
      <c r="C21" s="16">
        <v>41345.599999999999</v>
      </c>
      <c r="D21" s="16">
        <v>0</v>
      </c>
      <c r="E21" s="16">
        <v>2018</v>
      </c>
      <c r="F21" s="32">
        <f t="shared" si="0"/>
        <v>1.1143449999999999</v>
      </c>
      <c r="G21" s="32">
        <f t="shared" si="1"/>
        <v>1.1143449999999999</v>
      </c>
      <c r="H21" s="29" t="s">
        <v>507</v>
      </c>
      <c r="I21" s="29" t="s">
        <v>508</v>
      </c>
      <c r="J21" s="29" t="s">
        <v>508</v>
      </c>
      <c r="K21" s="29" t="s">
        <v>508</v>
      </c>
      <c r="L21" s="16">
        <v>120000</v>
      </c>
    </row>
    <row r="22" spans="1:13" x14ac:dyDescent="0.3">
      <c r="A22" s="16" t="s">
        <v>149</v>
      </c>
      <c r="B22" s="16">
        <v>351781</v>
      </c>
      <c r="C22" s="16">
        <v>28986.754400000002</v>
      </c>
      <c r="E22" s="16">
        <v>2019</v>
      </c>
      <c r="F22" s="32">
        <f t="shared" si="0"/>
        <v>351.78100000000001</v>
      </c>
      <c r="G22" s="32">
        <f t="shared" si="1"/>
        <v>351.78100000000001</v>
      </c>
      <c r="H22" s="29" t="s">
        <v>507</v>
      </c>
      <c r="I22" s="29" t="s">
        <v>508</v>
      </c>
      <c r="J22" s="29" t="s">
        <v>508</v>
      </c>
      <c r="K22" s="29" t="s">
        <v>508</v>
      </c>
      <c r="L22" s="16">
        <v>1164765</v>
      </c>
    </row>
  </sheetData>
  <autoFilter ref="A1:O22">
    <filterColumn colId="4">
      <filters>
        <filter val="2 019"/>
      </filters>
    </filterColumn>
  </autoFilter>
  <pageMargins left="0.7" right="0.7" top="0.75" bottom="0.75" header="0.3" footer="0.3"/>
  <pageSetup paperSize="9" orientation="portrait" horizontalDpi="90" verticalDpi="9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7"/>
  <sheetViews>
    <sheetView workbookViewId="0">
      <selection activeCell="B17" sqref="B17"/>
    </sheetView>
  </sheetViews>
  <sheetFormatPr baseColWidth="10" defaultRowHeight="14.4" x14ac:dyDescent="0.3"/>
  <cols>
    <col min="1" max="4" width="58" customWidth="1"/>
    <col min="5" max="8" width="58" bestFit="1" customWidth="1"/>
    <col min="9" max="9" width="53" bestFit="1" customWidth="1"/>
    <col min="10" max="10" width="20.33203125" bestFit="1" customWidth="1"/>
    <col min="11" max="11" width="63" bestFit="1" customWidth="1"/>
    <col min="12" max="12" width="56.44140625" bestFit="1" customWidth="1"/>
  </cols>
  <sheetData>
    <row r="2" spans="1:12" x14ac:dyDescent="0.3">
      <c r="A2" s="40" t="s">
        <v>410</v>
      </c>
      <c r="B2" s="41">
        <v>2018</v>
      </c>
    </row>
    <row r="4" spans="1:12" x14ac:dyDescent="0.3">
      <c r="A4" s="40" t="s">
        <v>811</v>
      </c>
    </row>
    <row r="5" spans="1:12" x14ac:dyDescent="0.3">
      <c r="A5" t="s">
        <v>808</v>
      </c>
      <c r="C5" t="s">
        <v>804</v>
      </c>
      <c r="E5" t="s">
        <v>809</v>
      </c>
      <c r="G5" t="s">
        <v>810</v>
      </c>
      <c r="I5" t="s">
        <v>812</v>
      </c>
      <c r="J5" t="s">
        <v>813</v>
      </c>
      <c r="K5" t="s">
        <v>814</v>
      </c>
      <c r="L5" t="s">
        <v>815</v>
      </c>
    </row>
    <row r="6" spans="1:12" x14ac:dyDescent="0.3">
      <c r="A6" t="s">
        <v>519</v>
      </c>
      <c r="B6" t="s">
        <v>520</v>
      </c>
      <c r="C6" t="s">
        <v>519</v>
      </c>
      <c r="D6" t="s">
        <v>520</v>
      </c>
      <c r="E6" t="s">
        <v>519</v>
      </c>
      <c r="F6" t="s">
        <v>520</v>
      </c>
      <c r="G6" t="s">
        <v>519</v>
      </c>
      <c r="H6" t="s">
        <v>520</v>
      </c>
    </row>
    <row r="7" spans="1:12" x14ac:dyDescent="0.3">
      <c r="A7" s="42">
        <v>133</v>
      </c>
      <c r="B7" s="42">
        <v>703</v>
      </c>
      <c r="C7" s="42">
        <v>513</v>
      </c>
      <c r="D7" s="42">
        <v>5943</v>
      </c>
      <c r="E7" s="42">
        <v>164</v>
      </c>
      <c r="F7" s="42">
        <v>2216</v>
      </c>
      <c r="G7" s="42">
        <v>165</v>
      </c>
      <c r="H7" s="42">
        <v>2485</v>
      </c>
      <c r="I7" s="42">
        <v>836</v>
      </c>
      <c r="J7" s="42">
        <v>6456</v>
      </c>
      <c r="K7" s="42">
        <v>2380</v>
      </c>
      <c r="L7" s="42">
        <v>2650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M283"/>
  <sheetViews>
    <sheetView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84" sqref="D284"/>
    </sheetView>
  </sheetViews>
  <sheetFormatPr baseColWidth="10" defaultColWidth="8.88671875" defaultRowHeight="14.4" x14ac:dyDescent="0.3"/>
  <cols>
    <col min="1" max="1" width="30.6640625" style="16" customWidth="1"/>
    <col min="2" max="2" width="23.5546875" style="16" bestFit="1" customWidth="1"/>
    <col min="3" max="3" width="13.109375" style="16" customWidth="1"/>
    <col min="4" max="4" width="16" style="16" bestFit="1" customWidth="1"/>
    <col min="5" max="5" width="15.5546875" style="16" customWidth="1"/>
    <col min="6" max="6" width="17.44140625" style="16" bestFit="1" customWidth="1"/>
    <col min="7" max="7" width="16" style="16" bestFit="1" customWidth="1"/>
    <col min="8" max="8" width="17.44140625" style="16" bestFit="1" customWidth="1"/>
    <col min="9" max="10" width="16" style="16" bestFit="1" customWidth="1"/>
    <col min="11" max="11" width="10.44140625" style="16" bestFit="1" customWidth="1"/>
    <col min="12" max="12" width="26" style="16" customWidth="1"/>
    <col min="13" max="13" width="16.5546875" style="16" customWidth="1"/>
    <col min="14" max="16384" width="8.88671875" style="16"/>
  </cols>
  <sheetData>
    <row r="1" spans="1:13" x14ac:dyDescent="0.3">
      <c r="A1" s="1" t="s">
        <v>0</v>
      </c>
      <c r="B1" s="16" t="s">
        <v>509</v>
      </c>
      <c r="C1" s="16" t="s">
        <v>510</v>
      </c>
      <c r="D1" s="16" t="s">
        <v>511</v>
      </c>
      <c r="E1" s="16" t="s">
        <v>512</v>
      </c>
      <c r="F1" s="16" t="s">
        <v>513</v>
      </c>
      <c r="G1" s="16" t="s">
        <v>514</v>
      </c>
      <c r="H1" s="16" t="s">
        <v>515</v>
      </c>
      <c r="I1" s="16" t="s">
        <v>516</v>
      </c>
      <c r="J1" s="16" t="s">
        <v>517</v>
      </c>
      <c r="K1" s="16" t="s">
        <v>410</v>
      </c>
      <c r="L1" s="16" t="s">
        <v>790</v>
      </c>
      <c r="M1" s="16" t="s">
        <v>791</v>
      </c>
    </row>
    <row r="2" spans="1:13" hidden="1" x14ac:dyDescent="0.3">
      <c r="A2" s="17" t="s">
        <v>3</v>
      </c>
      <c r="B2" s="16" t="s">
        <v>522</v>
      </c>
      <c r="C2" s="16" t="s">
        <v>520</v>
      </c>
      <c r="D2" s="16">
        <v>3</v>
      </c>
      <c r="H2" s="16">
        <v>3</v>
      </c>
      <c r="I2" s="16">
        <v>3</v>
      </c>
      <c r="K2" s="16">
        <v>2018</v>
      </c>
      <c r="L2" s="16" t="s">
        <v>788</v>
      </c>
      <c r="M2" s="16" t="s">
        <v>223</v>
      </c>
    </row>
    <row r="3" spans="1:13" hidden="1" x14ac:dyDescent="0.3">
      <c r="A3" s="17" t="s">
        <v>3</v>
      </c>
      <c r="B3" s="16" t="s">
        <v>522</v>
      </c>
      <c r="C3" s="16" t="s">
        <v>520</v>
      </c>
      <c r="D3" s="16">
        <v>3</v>
      </c>
      <c r="H3" s="16">
        <v>3</v>
      </c>
      <c r="I3" s="16">
        <v>3</v>
      </c>
      <c r="K3" s="16">
        <v>2019</v>
      </c>
      <c r="L3" s="16" t="s">
        <v>788</v>
      </c>
      <c r="M3" s="16" t="s">
        <v>223</v>
      </c>
    </row>
    <row r="4" spans="1:13" hidden="1" x14ac:dyDescent="0.3">
      <c r="A4" s="17" t="s">
        <v>3</v>
      </c>
      <c r="B4" s="16" t="s">
        <v>522</v>
      </c>
      <c r="C4" s="16" t="s">
        <v>521</v>
      </c>
      <c r="D4" s="16">
        <v>173177</v>
      </c>
      <c r="H4" s="16">
        <v>173177</v>
      </c>
      <c r="K4" s="16">
        <v>2018</v>
      </c>
      <c r="L4" s="16" t="s">
        <v>788</v>
      </c>
      <c r="M4" s="16" t="s">
        <v>223</v>
      </c>
    </row>
    <row r="5" spans="1:13" hidden="1" x14ac:dyDescent="0.3">
      <c r="A5" s="17" t="s">
        <v>3</v>
      </c>
      <c r="B5" s="16" t="s">
        <v>522</v>
      </c>
      <c r="C5" s="16" t="s">
        <v>521</v>
      </c>
      <c r="D5" s="16">
        <v>173177</v>
      </c>
      <c r="H5" s="16">
        <v>173177</v>
      </c>
      <c r="K5" s="16">
        <v>2019</v>
      </c>
      <c r="L5" s="16" t="s">
        <v>788</v>
      </c>
      <c r="M5" s="16" t="s">
        <v>223</v>
      </c>
    </row>
    <row r="6" spans="1:13" hidden="1" x14ac:dyDescent="0.3">
      <c r="A6" s="17" t="s">
        <v>3</v>
      </c>
      <c r="B6" s="16" t="s">
        <v>518</v>
      </c>
      <c r="C6" s="16" t="s">
        <v>519</v>
      </c>
      <c r="D6" s="16">
        <v>2</v>
      </c>
      <c r="F6" s="16">
        <v>1</v>
      </c>
      <c r="H6" s="16">
        <v>3</v>
      </c>
      <c r="I6" s="16">
        <v>3</v>
      </c>
      <c r="K6" s="16">
        <v>2018</v>
      </c>
      <c r="L6" s="16" t="s">
        <v>788</v>
      </c>
      <c r="M6" s="16" t="s">
        <v>223</v>
      </c>
    </row>
    <row r="7" spans="1:13" hidden="1" x14ac:dyDescent="0.3">
      <c r="A7" s="17" t="s">
        <v>3</v>
      </c>
      <c r="B7" s="16" t="s">
        <v>518</v>
      </c>
      <c r="C7" s="16" t="s">
        <v>519</v>
      </c>
      <c r="D7" s="16">
        <v>2</v>
      </c>
      <c r="F7" s="16">
        <v>1</v>
      </c>
      <c r="H7" s="16">
        <v>3</v>
      </c>
      <c r="I7" s="16">
        <v>3</v>
      </c>
      <c r="K7" s="16">
        <v>2019</v>
      </c>
      <c r="L7" s="16" t="s">
        <v>788</v>
      </c>
      <c r="M7" s="16" t="s">
        <v>223</v>
      </c>
    </row>
    <row r="8" spans="1:13" hidden="1" x14ac:dyDescent="0.3">
      <c r="A8" s="17" t="s">
        <v>3</v>
      </c>
      <c r="B8" s="16" t="s">
        <v>518</v>
      </c>
      <c r="C8" s="16" t="s">
        <v>520</v>
      </c>
      <c r="D8" s="16">
        <v>7</v>
      </c>
      <c r="F8" s="16">
        <v>2</v>
      </c>
      <c r="G8" s="16">
        <v>5</v>
      </c>
      <c r="H8" s="16">
        <v>14</v>
      </c>
      <c r="I8" s="16">
        <v>14</v>
      </c>
      <c r="K8" s="16">
        <v>2018</v>
      </c>
      <c r="L8" s="16" t="s">
        <v>788</v>
      </c>
      <c r="M8" s="16" t="s">
        <v>223</v>
      </c>
    </row>
    <row r="9" spans="1:13" hidden="1" x14ac:dyDescent="0.3">
      <c r="A9" s="17" t="s">
        <v>3</v>
      </c>
      <c r="B9" s="16" t="s">
        <v>518</v>
      </c>
      <c r="C9" s="16" t="s">
        <v>520</v>
      </c>
      <c r="D9" s="16">
        <v>7</v>
      </c>
      <c r="F9" s="16">
        <v>2</v>
      </c>
      <c r="G9" s="16">
        <v>5</v>
      </c>
      <c r="H9" s="16">
        <v>14</v>
      </c>
      <c r="I9" s="16">
        <v>14</v>
      </c>
      <c r="K9" s="16">
        <v>2019</v>
      </c>
      <c r="L9" s="16" t="s">
        <v>788</v>
      </c>
      <c r="M9" s="16" t="s">
        <v>223</v>
      </c>
    </row>
    <row r="10" spans="1:13" hidden="1" x14ac:dyDescent="0.3">
      <c r="A10" s="17" t="s">
        <v>3</v>
      </c>
      <c r="B10" s="16" t="s">
        <v>518</v>
      </c>
      <c r="C10" s="16" t="s">
        <v>521</v>
      </c>
      <c r="D10" s="16">
        <v>141102</v>
      </c>
      <c r="F10" s="16">
        <v>13657</v>
      </c>
      <c r="G10" s="16">
        <v>16928</v>
      </c>
      <c r="H10" s="16">
        <v>171687</v>
      </c>
      <c r="K10" s="16">
        <v>2018</v>
      </c>
      <c r="L10" s="16" t="s">
        <v>788</v>
      </c>
      <c r="M10" s="16" t="s">
        <v>223</v>
      </c>
    </row>
    <row r="11" spans="1:13" hidden="1" x14ac:dyDescent="0.3">
      <c r="A11" s="17" t="s">
        <v>3</v>
      </c>
      <c r="B11" s="16" t="s">
        <v>518</v>
      </c>
      <c r="C11" s="16" t="s">
        <v>521</v>
      </c>
      <c r="D11" s="16">
        <v>141102</v>
      </c>
      <c r="F11" s="16">
        <v>13657</v>
      </c>
      <c r="G11" s="16">
        <v>16928</v>
      </c>
      <c r="H11" s="16">
        <v>171687</v>
      </c>
      <c r="I11" s="16">
        <v>171688</v>
      </c>
      <c r="K11" s="16">
        <v>2019</v>
      </c>
      <c r="L11" s="16" t="s">
        <v>788</v>
      </c>
      <c r="M11" s="16" t="s">
        <v>223</v>
      </c>
    </row>
    <row r="12" spans="1:13" hidden="1" x14ac:dyDescent="0.3">
      <c r="A12" s="17" t="s">
        <v>9</v>
      </c>
      <c r="B12" s="16" t="s">
        <v>518</v>
      </c>
      <c r="C12" s="16" t="s">
        <v>519</v>
      </c>
      <c r="G12" s="16">
        <v>8</v>
      </c>
      <c r="H12" s="16">
        <v>8</v>
      </c>
      <c r="K12" s="16">
        <v>2019</v>
      </c>
      <c r="L12" s="16" t="s">
        <v>789</v>
      </c>
      <c r="M12" s="16" t="s">
        <v>240</v>
      </c>
    </row>
    <row r="13" spans="1:13" hidden="1" x14ac:dyDescent="0.3">
      <c r="A13" s="17" t="s">
        <v>9</v>
      </c>
      <c r="B13" s="16" t="s">
        <v>518</v>
      </c>
      <c r="C13" s="16" t="s">
        <v>520</v>
      </c>
      <c r="D13" s="16">
        <v>1</v>
      </c>
      <c r="E13" s="16">
        <v>8</v>
      </c>
      <c r="F13" s="16">
        <v>14</v>
      </c>
      <c r="G13" s="16">
        <v>34</v>
      </c>
      <c r="H13" s="16">
        <v>57</v>
      </c>
      <c r="I13" s="16">
        <v>57</v>
      </c>
      <c r="K13" s="16">
        <v>2019</v>
      </c>
      <c r="L13" s="16" t="s">
        <v>789</v>
      </c>
      <c r="M13" s="16" t="s">
        <v>240</v>
      </c>
    </row>
    <row r="14" spans="1:13" hidden="1" x14ac:dyDescent="0.3">
      <c r="A14" s="17" t="s">
        <v>9</v>
      </c>
      <c r="B14" s="16" t="s">
        <v>518</v>
      </c>
      <c r="C14" s="16" t="s">
        <v>521</v>
      </c>
      <c r="D14" s="16">
        <v>12000</v>
      </c>
      <c r="E14" s="16">
        <v>14319</v>
      </c>
      <c r="F14" s="16">
        <v>13767</v>
      </c>
      <c r="G14" s="16">
        <v>8254</v>
      </c>
      <c r="H14" s="16">
        <v>48340</v>
      </c>
      <c r="I14" s="16">
        <v>48340</v>
      </c>
      <c r="K14" s="16">
        <v>2019</v>
      </c>
      <c r="L14" s="16" t="s">
        <v>789</v>
      </c>
      <c r="M14" s="16" t="s">
        <v>240</v>
      </c>
    </row>
    <row r="15" spans="1:13" hidden="1" x14ac:dyDescent="0.3">
      <c r="A15" s="17" t="s">
        <v>9</v>
      </c>
      <c r="B15" s="16" t="s">
        <v>518</v>
      </c>
      <c r="C15" s="16" t="s">
        <v>519</v>
      </c>
      <c r="H15" s="16">
        <v>0</v>
      </c>
      <c r="K15" s="16">
        <v>2018</v>
      </c>
      <c r="L15" s="16" t="s">
        <v>789</v>
      </c>
      <c r="M15" s="16" t="s">
        <v>240</v>
      </c>
    </row>
    <row r="16" spans="1:13" hidden="1" x14ac:dyDescent="0.3">
      <c r="A16" s="17" t="s">
        <v>9</v>
      </c>
      <c r="B16" s="16" t="s">
        <v>518</v>
      </c>
      <c r="C16" s="16" t="s">
        <v>520</v>
      </c>
      <c r="D16" s="16">
        <v>1</v>
      </c>
      <c r="E16" s="16">
        <v>8</v>
      </c>
      <c r="F16" s="16">
        <v>12</v>
      </c>
      <c r="G16" s="16">
        <v>51</v>
      </c>
      <c r="H16" s="16">
        <v>72</v>
      </c>
      <c r="I16" s="16">
        <v>72</v>
      </c>
      <c r="K16" s="16">
        <v>2018</v>
      </c>
      <c r="L16" s="16" t="s">
        <v>789</v>
      </c>
      <c r="M16" s="16" t="s">
        <v>240</v>
      </c>
    </row>
    <row r="17" spans="1:13" hidden="1" x14ac:dyDescent="0.3">
      <c r="A17" s="17" t="s">
        <v>9</v>
      </c>
      <c r="B17" s="16" t="s">
        <v>518</v>
      </c>
      <c r="C17" s="16" t="s">
        <v>521</v>
      </c>
      <c r="D17" s="16">
        <v>12000</v>
      </c>
      <c r="E17" s="16">
        <v>94000</v>
      </c>
      <c r="F17" s="16">
        <v>63767</v>
      </c>
      <c r="G17" s="16">
        <v>40000</v>
      </c>
      <c r="H17" s="16">
        <v>209767</v>
      </c>
      <c r="I17" s="16">
        <v>209767</v>
      </c>
      <c r="K17" s="16">
        <v>2018</v>
      </c>
      <c r="L17" s="16" t="s">
        <v>789</v>
      </c>
      <c r="M17" s="16" t="s">
        <v>240</v>
      </c>
    </row>
    <row r="18" spans="1:13" hidden="1" x14ac:dyDescent="0.3">
      <c r="A18" s="17" t="s">
        <v>11</v>
      </c>
      <c r="B18" s="16" t="s">
        <v>522</v>
      </c>
      <c r="C18" s="16" t="s">
        <v>520</v>
      </c>
      <c r="D18" s="16">
        <v>2</v>
      </c>
      <c r="E18" s="16">
        <v>2</v>
      </c>
      <c r="F18" s="16">
        <v>1</v>
      </c>
      <c r="G18" s="16">
        <v>5</v>
      </c>
      <c r="H18" s="16">
        <v>10</v>
      </c>
      <c r="K18" s="16">
        <v>2018</v>
      </c>
      <c r="L18" s="16" t="s">
        <v>788</v>
      </c>
      <c r="M18" s="16" t="s">
        <v>240</v>
      </c>
    </row>
    <row r="19" spans="1:13" hidden="1" x14ac:dyDescent="0.3">
      <c r="A19" s="17" t="s">
        <v>11</v>
      </c>
      <c r="B19" s="16" t="s">
        <v>522</v>
      </c>
      <c r="C19" s="16" t="s">
        <v>520</v>
      </c>
      <c r="D19" s="16">
        <v>2</v>
      </c>
      <c r="E19" s="16">
        <v>2</v>
      </c>
      <c r="F19" s="16">
        <v>1</v>
      </c>
      <c r="H19" s="16">
        <v>5</v>
      </c>
      <c r="K19" s="16">
        <v>2019</v>
      </c>
      <c r="L19" s="16" t="s">
        <v>788</v>
      </c>
      <c r="M19" s="16" t="s">
        <v>240</v>
      </c>
    </row>
    <row r="20" spans="1:13" hidden="1" x14ac:dyDescent="0.3">
      <c r="A20" s="17" t="s">
        <v>11</v>
      </c>
      <c r="B20" s="16" t="s">
        <v>522</v>
      </c>
      <c r="C20" s="16" t="s">
        <v>521</v>
      </c>
      <c r="D20" s="16">
        <v>315414</v>
      </c>
      <c r="E20" s="16">
        <v>101163</v>
      </c>
      <c r="F20" s="16">
        <v>5696</v>
      </c>
      <c r="G20" s="16">
        <v>422274</v>
      </c>
      <c r="H20" s="16">
        <v>844547</v>
      </c>
      <c r="K20" s="16">
        <v>2018</v>
      </c>
      <c r="L20" s="16" t="s">
        <v>788</v>
      </c>
      <c r="M20" s="16" t="s">
        <v>240</v>
      </c>
    </row>
    <row r="21" spans="1:13" hidden="1" x14ac:dyDescent="0.3">
      <c r="A21" s="17" t="s">
        <v>11</v>
      </c>
      <c r="B21" s="16" t="s">
        <v>522</v>
      </c>
      <c r="C21" s="16" t="s">
        <v>521</v>
      </c>
      <c r="D21" s="16">
        <v>326911</v>
      </c>
      <c r="E21" s="16">
        <v>140424</v>
      </c>
      <c r="F21" s="16">
        <v>6411</v>
      </c>
      <c r="H21" s="16">
        <v>473746</v>
      </c>
      <c r="K21" s="16">
        <v>2019</v>
      </c>
      <c r="L21" s="16" t="s">
        <v>788</v>
      </c>
      <c r="M21" s="16" t="s">
        <v>240</v>
      </c>
    </row>
    <row r="22" spans="1:13" hidden="1" x14ac:dyDescent="0.3">
      <c r="A22" s="17" t="s">
        <v>11</v>
      </c>
      <c r="B22" s="16" t="s">
        <v>518</v>
      </c>
      <c r="C22" s="16" t="s">
        <v>519</v>
      </c>
      <c r="E22" s="16">
        <v>4</v>
      </c>
      <c r="F22" s="16">
        <v>4</v>
      </c>
      <c r="G22" s="16">
        <v>8</v>
      </c>
      <c r="H22" s="16">
        <v>16</v>
      </c>
      <c r="I22" s="16">
        <v>3</v>
      </c>
      <c r="K22" s="16">
        <v>2018</v>
      </c>
      <c r="L22" s="16" t="s">
        <v>788</v>
      </c>
      <c r="M22" s="16" t="s">
        <v>240</v>
      </c>
    </row>
    <row r="23" spans="1:13" hidden="1" x14ac:dyDescent="0.3">
      <c r="A23" s="17" t="s">
        <v>11</v>
      </c>
      <c r="B23" s="16" t="s">
        <v>518</v>
      </c>
      <c r="C23" s="16" t="s">
        <v>519</v>
      </c>
      <c r="E23" s="16">
        <v>5</v>
      </c>
      <c r="F23" s="16">
        <v>1</v>
      </c>
      <c r="G23" s="16">
        <v>7</v>
      </c>
      <c r="H23" s="16">
        <v>13</v>
      </c>
      <c r="I23" s="16">
        <v>51</v>
      </c>
      <c r="J23" s="16">
        <v>76</v>
      </c>
      <c r="K23" s="16">
        <v>2019</v>
      </c>
      <c r="L23" s="16" t="s">
        <v>788</v>
      </c>
      <c r="M23" s="16" t="s">
        <v>240</v>
      </c>
    </row>
    <row r="24" spans="1:13" hidden="1" x14ac:dyDescent="0.3">
      <c r="A24" s="17" t="s">
        <v>11</v>
      </c>
      <c r="B24" s="16" t="s">
        <v>518</v>
      </c>
      <c r="C24" s="16" t="s">
        <v>520</v>
      </c>
      <c r="D24" s="16">
        <v>2</v>
      </c>
      <c r="E24" s="16">
        <v>8</v>
      </c>
      <c r="F24" s="16">
        <v>17</v>
      </c>
      <c r="G24" s="16">
        <v>68</v>
      </c>
      <c r="H24" s="16">
        <v>95</v>
      </c>
      <c r="I24" s="16">
        <v>46</v>
      </c>
      <c r="J24" s="16">
        <v>50</v>
      </c>
      <c r="K24" s="16">
        <v>2018</v>
      </c>
      <c r="L24" s="16" t="s">
        <v>788</v>
      </c>
      <c r="M24" s="16" t="s">
        <v>240</v>
      </c>
    </row>
    <row r="25" spans="1:13" hidden="1" x14ac:dyDescent="0.3">
      <c r="A25" s="17" t="s">
        <v>11</v>
      </c>
      <c r="B25" s="16" t="s">
        <v>518</v>
      </c>
      <c r="C25" s="16" t="s">
        <v>520</v>
      </c>
      <c r="D25" s="16">
        <v>2</v>
      </c>
      <c r="E25" s="16">
        <v>11</v>
      </c>
      <c r="F25" s="16">
        <v>18</v>
      </c>
      <c r="G25" s="16">
        <v>97</v>
      </c>
      <c r="H25" s="16">
        <v>128</v>
      </c>
      <c r="I25" s="16">
        <v>7</v>
      </c>
      <c r="J25" s="16">
        <v>2</v>
      </c>
      <c r="K25" s="16">
        <v>2019</v>
      </c>
      <c r="L25" s="16" t="s">
        <v>788</v>
      </c>
      <c r="M25" s="16" t="s">
        <v>240</v>
      </c>
    </row>
    <row r="26" spans="1:13" hidden="1" x14ac:dyDescent="0.3">
      <c r="A26" s="17" t="s">
        <v>11</v>
      </c>
      <c r="B26" s="16" t="s">
        <v>518</v>
      </c>
      <c r="C26" s="16" t="s">
        <v>521</v>
      </c>
      <c r="D26" s="16">
        <v>157456</v>
      </c>
      <c r="E26" s="16">
        <v>192404</v>
      </c>
      <c r="F26" s="16">
        <v>71317</v>
      </c>
      <c r="G26" s="16">
        <v>105400</v>
      </c>
      <c r="H26" s="16">
        <v>526577</v>
      </c>
      <c r="I26" s="16">
        <v>463846</v>
      </c>
      <c r="J26" s="16">
        <v>62732</v>
      </c>
      <c r="K26" s="16">
        <v>2018</v>
      </c>
      <c r="L26" s="16" t="s">
        <v>788</v>
      </c>
      <c r="M26" s="16" t="s">
        <v>240</v>
      </c>
    </row>
    <row r="27" spans="1:13" hidden="1" x14ac:dyDescent="0.3">
      <c r="A27" s="17" t="s">
        <v>11</v>
      </c>
      <c r="B27" s="16" t="s">
        <v>518</v>
      </c>
      <c r="C27" s="16" t="s">
        <v>521</v>
      </c>
      <c r="D27" s="16">
        <v>153154</v>
      </c>
      <c r="E27" s="16">
        <v>215557</v>
      </c>
      <c r="F27" s="16">
        <v>61351</v>
      </c>
      <c r="G27" s="16">
        <v>119221</v>
      </c>
      <c r="H27" s="16">
        <v>549283</v>
      </c>
      <c r="I27" s="16">
        <v>8678447</v>
      </c>
      <c r="J27" s="16">
        <v>71669</v>
      </c>
      <c r="K27" s="16">
        <v>2019</v>
      </c>
      <c r="L27" s="16" t="s">
        <v>788</v>
      </c>
      <c r="M27" s="16" t="s">
        <v>240</v>
      </c>
    </row>
    <row r="28" spans="1:13" hidden="1" x14ac:dyDescent="0.3">
      <c r="A28" s="17" t="s">
        <v>16</v>
      </c>
      <c r="B28" s="16" t="s">
        <v>522</v>
      </c>
      <c r="C28" s="16" t="s">
        <v>519</v>
      </c>
      <c r="D28" s="16">
        <v>1</v>
      </c>
      <c r="H28" s="16">
        <v>1</v>
      </c>
      <c r="K28" s="16">
        <v>2018</v>
      </c>
      <c r="L28" s="16" t="s">
        <v>788</v>
      </c>
      <c r="M28" s="16" t="s">
        <v>223</v>
      </c>
    </row>
    <row r="29" spans="1:13" hidden="1" x14ac:dyDescent="0.3">
      <c r="A29" s="17" t="s">
        <v>16</v>
      </c>
      <c r="B29" s="16" t="s">
        <v>522</v>
      </c>
      <c r="C29" s="16" t="s">
        <v>519</v>
      </c>
      <c r="D29" s="16">
        <v>0</v>
      </c>
      <c r="H29" s="16">
        <v>0</v>
      </c>
      <c r="K29" s="16">
        <v>2019</v>
      </c>
      <c r="L29" s="16" t="s">
        <v>788</v>
      </c>
      <c r="M29" s="16" t="s">
        <v>223</v>
      </c>
    </row>
    <row r="30" spans="1:13" hidden="1" x14ac:dyDescent="0.3">
      <c r="A30" s="17" t="s">
        <v>16</v>
      </c>
      <c r="B30" s="16" t="s">
        <v>522</v>
      </c>
      <c r="C30" s="16" t="s">
        <v>520</v>
      </c>
      <c r="D30" s="16">
        <v>1</v>
      </c>
      <c r="H30" s="16">
        <v>1</v>
      </c>
      <c r="K30" s="16">
        <v>2018</v>
      </c>
      <c r="L30" s="16" t="s">
        <v>788</v>
      </c>
      <c r="M30" s="16" t="s">
        <v>223</v>
      </c>
    </row>
    <row r="31" spans="1:13" hidden="1" x14ac:dyDescent="0.3">
      <c r="A31" s="17" t="s">
        <v>16</v>
      </c>
      <c r="B31" s="16" t="s">
        <v>522</v>
      </c>
      <c r="C31" s="16" t="s">
        <v>520</v>
      </c>
      <c r="D31" s="16">
        <v>0</v>
      </c>
      <c r="H31" s="16">
        <v>0</v>
      </c>
      <c r="K31" s="16">
        <v>2019</v>
      </c>
      <c r="L31" s="16" t="s">
        <v>788</v>
      </c>
      <c r="M31" s="16" t="s">
        <v>223</v>
      </c>
    </row>
    <row r="32" spans="1:13" hidden="1" x14ac:dyDescent="0.3">
      <c r="A32" s="17" t="s">
        <v>16</v>
      </c>
      <c r="B32" s="16" t="s">
        <v>522</v>
      </c>
      <c r="C32" s="16" t="s">
        <v>521</v>
      </c>
      <c r="D32" s="16">
        <v>3000</v>
      </c>
      <c r="H32" s="16">
        <v>3000</v>
      </c>
      <c r="K32" s="16">
        <v>2018</v>
      </c>
      <c r="L32" s="16" t="s">
        <v>788</v>
      </c>
      <c r="M32" s="16" t="s">
        <v>223</v>
      </c>
    </row>
    <row r="33" spans="1:13" hidden="1" x14ac:dyDescent="0.3">
      <c r="A33" s="17" t="s">
        <v>16</v>
      </c>
      <c r="B33" s="16" t="s">
        <v>518</v>
      </c>
      <c r="C33" s="16" t="s">
        <v>519</v>
      </c>
      <c r="D33" s="16">
        <v>2</v>
      </c>
      <c r="F33" s="16">
        <v>2</v>
      </c>
      <c r="H33" s="16">
        <v>4</v>
      </c>
      <c r="I33" s="16">
        <v>4</v>
      </c>
      <c r="K33" s="16">
        <v>2018</v>
      </c>
      <c r="L33" s="16" t="s">
        <v>788</v>
      </c>
      <c r="M33" s="16" t="s">
        <v>223</v>
      </c>
    </row>
    <row r="34" spans="1:13" hidden="1" x14ac:dyDescent="0.3">
      <c r="A34" s="17" t="s">
        <v>16</v>
      </c>
      <c r="B34" s="16" t="s">
        <v>518</v>
      </c>
      <c r="C34" s="16" t="s">
        <v>519</v>
      </c>
      <c r="D34" s="16">
        <v>1</v>
      </c>
      <c r="E34" s="16">
        <v>0</v>
      </c>
      <c r="F34" s="16">
        <v>0</v>
      </c>
      <c r="G34" s="16">
        <v>0</v>
      </c>
      <c r="H34" s="16">
        <v>1</v>
      </c>
      <c r="I34" s="16">
        <v>1</v>
      </c>
      <c r="K34" s="16">
        <v>2019</v>
      </c>
      <c r="L34" s="16" t="s">
        <v>788</v>
      </c>
      <c r="M34" s="16" t="s">
        <v>223</v>
      </c>
    </row>
    <row r="35" spans="1:13" hidden="1" x14ac:dyDescent="0.3">
      <c r="A35" s="17" t="s">
        <v>16</v>
      </c>
      <c r="B35" s="16" t="s">
        <v>518</v>
      </c>
      <c r="C35" s="16" t="s">
        <v>520</v>
      </c>
      <c r="D35" s="16">
        <v>6</v>
      </c>
      <c r="F35" s="16">
        <v>2</v>
      </c>
      <c r="G35" s="16">
        <v>8</v>
      </c>
      <c r="H35" s="16">
        <v>16</v>
      </c>
      <c r="I35" s="16">
        <v>8</v>
      </c>
      <c r="J35" s="16">
        <v>8</v>
      </c>
      <c r="K35" s="16">
        <v>2018</v>
      </c>
      <c r="L35" s="16" t="s">
        <v>788</v>
      </c>
      <c r="M35" s="16" t="s">
        <v>223</v>
      </c>
    </row>
    <row r="36" spans="1:13" hidden="1" x14ac:dyDescent="0.3">
      <c r="A36" s="17" t="s">
        <v>16</v>
      </c>
      <c r="B36" s="16" t="s">
        <v>518</v>
      </c>
      <c r="C36" s="16" t="s">
        <v>520</v>
      </c>
      <c r="D36" s="16">
        <v>2</v>
      </c>
      <c r="E36" s="16">
        <v>0</v>
      </c>
      <c r="F36" s="16">
        <v>0</v>
      </c>
      <c r="G36" s="16">
        <v>0</v>
      </c>
      <c r="H36" s="16">
        <v>2</v>
      </c>
      <c r="I36" s="16">
        <v>2</v>
      </c>
      <c r="K36" s="16">
        <v>2019</v>
      </c>
      <c r="L36" s="16" t="s">
        <v>788</v>
      </c>
      <c r="M36" s="16" t="s">
        <v>223</v>
      </c>
    </row>
    <row r="37" spans="1:13" hidden="1" x14ac:dyDescent="0.3">
      <c r="A37" s="17" t="s">
        <v>16</v>
      </c>
      <c r="B37" s="16" t="s">
        <v>518</v>
      </c>
      <c r="C37" s="16" t="s">
        <v>521</v>
      </c>
      <c r="D37" s="16">
        <v>41265</v>
      </c>
      <c r="H37" s="16">
        <v>41265</v>
      </c>
      <c r="K37" s="16">
        <v>2018</v>
      </c>
      <c r="L37" s="16" t="s">
        <v>788</v>
      </c>
      <c r="M37" s="16" t="s">
        <v>223</v>
      </c>
    </row>
    <row r="38" spans="1:13" hidden="1" x14ac:dyDescent="0.3">
      <c r="A38" s="17" t="s">
        <v>16</v>
      </c>
      <c r="B38" s="16" t="s">
        <v>518</v>
      </c>
      <c r="C38" s="16" t="s">
        <v>521</v>
      </c>
      <c r="D38" s="16">
        <v>17200</v>
      </c>
      <c r="H38" s="16">
        <v>17200</v>
      </c>
      <c r="K38" s="16">
        <v>2019</v>
      </c>
      <c r="L38" s="16" t="s">
        <v>788</v>
      </c>
      <c r="M38" s="16" t="s">
        <v>223</v>
      </c>
    </row>
    <row r="39" spans="1:13" hidden="1" x14ac:dyDescent="0.3">
      <c r="A39" s="17" t="s">
        <v>257</v>
      </c>
      <c r="B39" s="16" t="s">
        <v>522</v>
      </c>
      <c r="C39" s="16" t="s">
        <v>520</v>
      </c>
      <c r="D39" s="16">
        <v>1</v>
      </c>
      <c r="H39" s="16">
        <v>1</v>
      </c>
      <c r="K39" s="16">
        <v>2019</v>
      </c>
      <c r="L39" s="16" t="s">
        <v>788</v>
      </c>
      <c r="M39" s="16" t="s">
        <v>240</v>
      </c>
    </row>
    <row r="40" spans="1:13" hidden="1" x14ac:dyDescent="0.3">
      <c r="A40" s="17" t="s">
        <v>257</v>
      </c>
      <c r="B40" s="16" t="s">
        <v>518</v>
      </c>
      <c r="C40" s="16" t="s">
        <v>519</v>
      </c>
      <c r="D40" s="16">
        <v>1</v>
      </c>
      <c r="G40" s="16">
        <v>1</v>
      </c>
      <c r="H40" s="16">
        <v>2</v>
      </c>
      <c r="I40" s="16">
        <v>2</v>
      </c>
      <c r="K40" s="16">
        <v>2019</v>
      </c>
      <c r="L40" s="16" t="s">
        <v>788</v>
      </c>
      <c r="M40" s="16" t="s">
        <v>240</v>
      </c>
    </row>
    <row r="41" spans="1:13" hidden="1" x14ac:dyDescent="0.3">
      <c r="A41" s="17" t="s">
        <v>257</v>
      </c>
      <c r="B41" s="16" t="s">
        <v>518</v>
      </c>
      <c r="C41" s="16" t="s">
        <v>520</v>
      </c>
      <c r="D41" s="16">
        <v>5</v>
      </c>
      <c r="F41" s="16">
        <v>6</v>
      </c>
      <c r="G41" s="16">
        <v>23</v>
      </c>
      <c r="H41" s="16">
        <v>34</v>
      </c>
      <c r="I41" s="16">
        <v>25</v>
      </c>
      <c r="J41" s="16">
        <v>9</v>
      </c>
      <c r="K41" s="16">
        <v>2019</v>
      </c>
      <c r="L41" s="16" t="s">
        <v>788</v>
      </c>
      <c r="M41" s="16" t="s">
        <v>240</v>
      </c>
    </row>
    <row r="42" spans="1:13" hidden="1" x14ac:dyDescent="0.3">
      <c r="A42" s="17" t="s">
        <v>24</v>
      </c>
      <c r="B42" s="16" t="s">
        <v>522</v>
      </c>
      <c r="C42" s="16" t="s">
        <v>520</v>
      </c>
      <c r="D42" s="16">
        <v>2</v>
      </c>
      <c r="H42" s="16">
        <v>2</v>
      </c>
      <c r="I42" s="16">
        <v>2</v>
      </c>
      <c r="K42" s="16">
        <v>2019</v>
      </c>
      <c r="L42" s="16" t="s">
        <v>788</v>
      </c>
      <c r="M42" s="16" t="s">
        <v>240</v>
      </c>
    </row>
    <row r="43" spans="1:13" hidden="1" x14ac:dyDescent="0.3">
      <c r="A43" s="17" t="s">
        <v>24</v>
      </c>
      <c r="B43" s="16" t="s">
        <v>522</v>
      </c>
      <c r="C43" s="16" t="s">
        <v>521</v>
      </c>
      <c r="D43" s="16">
        <v>38400</v>
      </c>
      <c r="H43" s="16">
        <v>38400</v>
      </c>
      <c r="K43" s="16">
        <v>2019</v>
      </c>
      <c r="L43" s="16" t="s">
        <v>788</v>
      </c>
      <c r="M43" s="16" t="s">
        <v>240</v>
      </c>
    </row>
    <row r="44" spans="1:13" hidden="1" x14ac:dyDescent="0.3">
      <c r="A44" s="17" t="s">
        <v>24</v>
      </c>
      <c r="B44" s="16" t="s">
        <v>518</v>
      </c>
      <c r="C44" s="16" t="s">
        <v>519</v>
      </c>
      <c r="D44" s="16">
        <v>1</v>
      </c>
      <c r="G44" s="16">
        <v>1</v>
      </c>
      <c r="H44" s="16">
        <v>2</v>
      </c>
      <c r="I44" s="16">
        <v>2</v>
      </c>
      <c r="K44" s="16">
        <v>2019</v>
      </c>
      <c r="L44" s="16" t="s">
        <v>788</v>
      </c>
      <c r="M44" s="16" t="s">
        <v>240</v>
      </c>
    </row>
    <row r="45" spans="1:13" hidden="1" x14ac:dyDescent="0.3">
      <c r="A45" s="17" t="s">
        <v>24</v>
      </c>
      <c r="B45" s="16" t="s">
        <v>518</v>
      </c>
      <c r="C45" s="16" t="s">
        <v>520</v>
      </c>
      <c r="D45" s="16">
        <v>5</v>
      </c>
      <c r="F45" s="16">
        <v>6</v>
      </c>
      <c r="G45" s="16">
        <v>23</v>
      </c>
      <c r="H45" s="16">
        <v>34</v>
      </c>
      <c r="I45" s="16">
        <v>25</v>
      </c>
      <c r="J45" s="16">
        <v>9</v>
      </c>
      <c r="K45" s="16">
        <v>2019</v>
      </c>
      <c r="L45" s="16" t="s">
        <v>788</v>
      </c>
      <c r="M45" s="16" t="s">
        <v>240</v>
      </c>
    </row>
    <row r="46" spans="1:13" hidden="1" x14ac:dyDescent="0.3">
      <c r="A46" s="17" t="s">
        <v>24</v>
      </c>
      <c r="B46" s="16" t="s">
        <v>518</v>
      </c>
      <c r="C46" s="16" t="s">
        <v>521</v>
      </c>
      <c r="D46" s="16">
        <v>86400</v>
      </c>
      <c r="F46" s="16">
        <v>36000</v>
      </c>
      <c r="G46" s="16">
        <v>43344</v>
      </c>
      <c r="H46" s="16">
        <v>165744</v>
      </c>
      <c r="K46" s="16">
        <v>2019</v>
      </c>
      <c r="L46" s="16" t="s">
        <v>788</v>
      </c>
      <c r="M46" s="16" t="s">
        <v>240</v>
      </c>
    </row>
    <row r="47" spans="1:13" hidden="1" x14ac:dyDescent="0.3">
      <c r="A47" s="17" t="s">
        <v>30</v>
      </c>
      <c r="B47" s="16" t="s">
        <v>518</v>
      </c>
      <c r="C47" s="16" t="s">
        <v>519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2018</v>
      </c>
      <c r="L47" s="16" t="s">
        <v>788</v>
      </c>
      <c r="M47" s="16" t="s">
        <v>240</v>
      </c>
    </row>
    <row r="48" spans="1:13" hidden="1" x14ac:dyDescent="0.3">
      <c r="A48" s="17" t="s">
        <v>30</v>
      </c>
      <c r="B48" s="16" t="s">
        <v>518</v>
      </c>
      <c r="C48" s="16" t="s">
        <v>519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K48" s="16">
        <v>2019</v>
      </c>
      <c r="L48" s="16" t="s">
        <v>788</v>
      </c>
      <c r="M48" s="16" t="s">
        <v>240</v>
      </c>
    </row>
    <row r="49" spans="1:13" hidden="1" x14ac:dyDescent="0.3">
      <c r="A49" s="17" t="s">
        <v>30</v>
      </c>
      <c r="B49" s="16" t="s">
        <v>518</v>
      </c>
      <c r="C49" s="16" t="s">
        <v>520</v>
      </c>
      <c r="D49" s="16">
        <v>3</v>
      </c>
      <c r="E49" s="16">
        <v>1</v>
      </c>
      <c r="F49" s="16">
        <v>1</v>
      </c>
      <c r="G49" s="16">
        <v>28</v>
      </c>
      <c r="H49" s="16">
        <v>33</v>
      </c>
      <c r="I49" s="16">
        <v>7</v>
      </c>
      <c r="J49" s="16">
        <v>26</v>
      </c>
      <c r="K49" s="16">
        <v>2018</v>
      </c>
      <c r="L49" s="16" t="s">
        <v>788</v>
      </c>
      <c r="M49" s="16" t="s">
        <v>240</v>
      </c>
    </row>
    <row r="50" spans="1:13" hidden="1" x14ac:dyDescent="0.3">
      <c r="A50" s="17" t="s">
        <v>30</v>
      </c>
      <c r="B50" s="16" t="s">
        <v>518</v>
      </c>
      <c r="C50" s="16" t="s">
        <v>520</v>
      </c>
      <c r="D50" s="16">
        <v>5</v>
      </c>
      <c r="E50" s="16">
        <v>1</v>
      </c>
      <c r="F50" s="16">
        <v>2</v>
      </c>
      <c r="G50" s="16">
        <v>116</v>
      </c>
      <c r="H50" s="16">
        <v>124</v>
      </c>
      <c r="I50" s="16">
        <v>8</v>
      </c>
      <c r="J50" s="16">
        <v>116</v>
      </c>
      <c r="K50" s="16">
        <v>2019</v>
      </c>
      <c r="L50" s="16" t="s">
        <v>788</v>
      </c>
      <c r="M50" s="16" t="s">
        <v>240</v>
      </c>
    </row>
    <row r="51" spans="1:13" hidden="1" x14ac:dyDescent="0.3">
      <c r="A51" s="17" t="s">
        <v>30</v>
      </c>
      <c r="B51" s="16" t="s">
        <v>518</v>
      </c>
      <c r="C51" s="16" t="s">
        <v>521</v>
      </c>
      <c r="D51" s="16">
        <v>36999.519999999997</v>
      </c>
      <c r="E51" s="16">
        <v>4492.3360000000002</v>
      </c>
      <c r="F51" s="16">
        <v>3403.3119999999999</v>
      </c>
      <c r="G51" s="16">
        <v>25380.781999999999</v>
      </c>
      <c r="H51" s="16">
        <v>70275.95</v>
      </c>
      <c r="I51" s="16">
        <v>50745.167999999998</v>
      </c>
      <c r="J51" s="16">
        <v>19530.781999999999</v>
      </c>
      <c r="K51" s="16">
        <v>2018</v>
      </c>
      <c r="L51" s="16" t="s">
        <v>788</v>
      </c>
      <c r="M51" s="16" t="s">
        <v>240</v>
      </c>
    </row>
    <row r="52" spans="1:13" hidden="1" x14ac:dyDescent="0.3">
      <c r="A52" s="17" t="s">
        <v>30</v>
      </c>
      <c r="B52" s="16" t="s">
        <v>518</v>
      </c>
      <c r="C52" s="16" t="s">
        <v>521</v>
      </c>
      <c r="D52" s="16">
        <v>93047.403999999995</v>
      </c>
      <c r="E52" s="16">
        <v>4393.76</v>
      </c>
      <c r="F52" s="16">
        <v>9234.4760000000006</v>
      </c>
      <c r="G52" s="16">
        <v>131302.96</v>
      </c>
      <c r="H52" s="16">
        <v>237978.59999999998</v>
      </c>
      <c r="I52" s="16">
        <v>106675.64</v>
      </c>
      <c r="J52" s="16">
        <v>131302.96</v>
      </c>
      <c r="K52" s="16">
        <v>2019</v>
      </c>
      <c r="L52" s="16" t="s">
        <v>788</v>
      </c>
      <c r="M52" s="16" t="s">
        <v>240</v>
      </c>
    </row>
    <row r="53" spans="1:13" hidden="1" x14ac:dyDescent="0.3">
      <c r="A53" s="17" t="s">
        <v>30</v>
      </c>
      <c r="B53" s="16" t="s">
        <v>518</v>
      </c>
      <c r="C53" s="16" t="s">
        <v>519</v>
      </c>
      <c r="D53" s="16">
        <v>4</v>
      </c>
      <c r="E53" s="16">
        <v>3</v>
      </c>
      <c r="F53" s="16">
        <v>0</v>
      </c>
      <c r="G53" s="16">
        <v>10</v>
      </c>
      <c r="H53" s="16">
        <v>17</v>
      </c>
      <c r="I53" s="16">
        <v>7</v>
      </c>
      <c r="J53" s="16">
        <v>10</v>
      </c>
      <c r="K53" s="16">
        <v>2019</v>
      </c>
      <c r="L53" s="16" t="s">
        <v>788</v>
      </c>
      <c r="M53" s="16" t="s">
        <v>240</v>
      </c>
    </row>
    <row r="54" spans="1:13" hidden="1" x14ac:dyDescent="0.3">
      <c r="A54" s="17" t="s">
        <v>30</v>
      </c>
      <c r="B54" s="16" t="s">
        <v>518</v>
      </c>
      <c r="C54" s="16" t="s">
        <v>519</v>
      </c>
      <c r="D54" s="16">
        <v>4</v>
      </c>
      <c r="E54" s="16">
        <v>3</v>
      </c>
      <c r="F54" s="16">
        <v>0</v>
      </c>
      <c r="G54" s="16">
        <v>10</v>
      </c>
      <c r="H54" s="16">
        <v>17</v>
      </c>
      <c r="I54" s="16">
        <v>7</v>
      </c>
      <c r="J54" s="16">
        <v>10</v>
      </c>
      <c r="K54" s="16">
        <v>2018</v>
      </c>
      <c r="L54" s="16" t="s">
        <v>788</v>
      </c>
      <c r="M54" s="16" t="s">
        <v>240</v>
      </c>
    </row>
    <row r="55" spans="1:13" hidden="1" x14ac:dyDescent="0.3">
      <c r="A55" s="17" t="s">
        <v>30</v>
      </c>
      <c r="B55" s="16" t="s">
        <v>518</v>
      </c>
      <c r="C55" s="16" t="s">
        <v>520</v>
      </c>
      <c r="D55" s="16">
        <v>21</v>
      </c>
      <c r="E55" s="16">
        <v>19</v>
      </c>
      <c r="F55" s="16">
        <v>17</v>
      </c>
      <c r="G55" s="16">
        <v>103</v>
      </c>
      <c r="H55" s="16">
        <v>160</v>
      </c>
      <c r="I55" s="16">
        <v>87</v>
      </c>
      <c r="J55" s="16">
        <v>73</v>
      </c>
      <c r="K55" s="16">
        <v>2019</v>
      </c>
      <c r="L55" s="16" t="s">
        <v>788</v>
      </c>
      <c r="M55" s="16" t="s">
        <v>240</v>
      </c>
    </row>
    <row r="56" spans="1:13" hidden="1" x14ac:dyDescent="0.3">
      <c r="A56" s="17" t="s">
        <v>30</v>
      </c>
      <c r="B56" s="16" t="s">
        <v>518</v>
      </c>
      <c r="C56" s="16" t="s">
        <v>520</v>
      </c>
      <c r="D56" s="16">
        <v>25</v>
      </c>
      <c r="E56" s="16">
        <v>19</v>
      </c>
      <c r="F56" s="16">
        <v>18</v>
      </c>
      <c r="G56" s="16">
        <v>363</v>
      </c>
      <c r="H56" s="16">
        <v>425</v>
      </c>
      <c r="I56" s="16">
        <v>63</v>
      </c>
      <c r="J56" s="16">
        <v>362</v>
      </c>
      <c r="K56" s="16">
        <v>2018</v>
      </c>
      <c r="L56" s="16" t="s">
        <v>788</v>
      </c>
      <c r="M56" s="16" t="s">
        <v>240</v>
      </c>
    </row>
    <row r="57" spans="1:13" hidden="1" x14ac:dyDescent="0.3">
      <c r="A57" s="17" t="s">
        <v>30</v>
      </c>
      <c r="B57" s="16" t="s">
        <v>518</v>
      </c>
      <c r="C57" s="16" t="s">
        <v>521</v>
      </c>
      <c r="D57" s="16">
        <v>399328.68</v>
      </c>
      <c r="E57" s="16">
        <v>162956.46</v>
      </c>
      <c r="F57" s="16">
        <v>70944.517000000007</v>
      </c>
      <c r="G57" s="16">
        <v>301556.56</v>
      </c>
      <c r="H57" s="16">
        <v>934786.21699999995</v>
      </c>
      <c r="I57" s="16">
        <v>636064.91</v>
      </c>
      <c r="J57" s="16">
        <v>298721.3</v>
      </c>
      <c r="K57" s="16">
        <v>2019</v>
      </c>
      <c r="L57" s="16" t="s">
        <v>788</v>
      </c>
      <c r="M57" s="16" t="s">
        <v>240</v>
      </c>
    </row>
    <row r="58" spans="1:13" hidden="1" x14ac:dyDescent="0.3">
      <c r="A58" s="17" t="s">
        <v>30</v>
      </c>
      <c r="B58" s="16" t="s">
        <v>518</v>
      </c>
      <c r="C58" s="16" t="s">
        <v>521</v>
      </c>
      <c r="D58" s="16">
        <v>481180.45</v>
      </c>
      <c r="E58" s="16">
        <v>152462.03</v>
      </c>
      <c r="F58" s="16">
        <v>71280.951000000001</v>
      </c>
      <c r="G58" s="16">
        <v>712718.21</v>
      </c>
      <c r="H58" s="16">
        <v>1417641.6409999998</v>
      </c>
      <c r="I58" s="16">
        <v>708423.43</v>
      </c>
      <c r="J58" s="16">
        <v>709218.21</v>
      </c>
      <c r="K58" s="16">
        <v>2018</v>
      </c>
      <c r="L58" s="16" t="s">
        <v>788</v>
      </c>
      <c r="M58" s="16" t="s">
        <v>240</v>
      </c>
    </row>
    <row r="59" spans="1:13" hidden="1" x14ac:dyDescent="0.3">
      <c r="A59" s="18" t="s">
        <v>162</v>
      </c>
      <c r="B59" s="16" t="s">
        <v>518</v>
      </c>
      <c r="C59" s="16" t="s">
        <v>519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2019</v>
      </c>
      <c r="L59" s="16" t="s">
        <v>277</v>
      </c>
      <c r="M59" s="16" t="s">
        <v>223</v>
      </c>
    </row>
    <row r="60" spans="1:13" hidden="1" x14ac:dyDescent="0.3">
      <c r="A60" s="18" t="s">
        <v>162</v>
      </c>
      <c r="B60" s="16" t="s">
        <v>518</v>
      </c>
      <c r="C60" s="16" t="s">
        <v>520</v>
      </c>
      <c r="D60" s="16">
        <v>1</v>
      </c>
      <c r="E60" s="16">
        <v>1</v>
      </c>
      <c r="H60" s="16">
        <v>2</v>
      </c>
      <c r="K60" s="16">
        <v>2019</v>
      </c>
      <c r="L60" s="16" t="s">
        <v>277</v>
      </c>
      <c r="M60" s="16" t="s">
        <v>223</v>
      </c>
    </row>
    <row r="61" spans="1:13" hidden="1" x14ac:dyDescent="0.3">
      <c r="A61" s="18" t="s">
        <v>162</v>
      </c>
      <c r="B61" s="16" t="s">
        <v>518</v>
      </c>
      <c r="C61" s="16" t="s">
        <v>519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2018</v>
      </c>
      <c r="L61" s="16" t="s">
        <v>277</v>
      </c>
      <c r="M61" s="16" t="s">
        <v>223</v>
      </c>
    </row>
    <row r="62" spans="1:13" hidden="1" x14ac:dyDescent="0.3">
      <c r="A62" s="18" t="s">
        <v>162</v>
      </c>
      <c r="B62" s="16" t="s">
        <v>518</v>
      </c>
      <c r="C62" s="16" t="s">
        <v>520</v>
      </c>
      <c r="D62" s="16">
        <v>1</v>
      </c>
      <c r="E62" s="16">
        <v>2</v>
      </c>
      <c r="H62" s="16">
        <v>3</v>
      </c>
      <c r="K62" s="16">
        <v>2018</v>
      </c>
      <c r="L62" s="16" t="s">
        <v>277</v>
      </c>
      <c r="M62" s="16" t="s">
        <v>223</v>
      </c>
    </row>
    <row r="63" spans="1:13" hidden="1" x14ac:dyDescent="0.3">
      <c r="A63" s="18" t="s">
        <v>162</v>
      </c>
      <c r="B63" s="16" t="s">
        <v>518</v>
      </c>
      <c r="C63" s="16" t="s">
        <v>521</v>
      </c>
      <c r="D63" s="16">
        <v>20365.584999999999</v>
      </c>
      <c r="E63" s="16">
        <v>8034.2759999999998</v>
      </c>
      <c r="H63" s="16">
        <v>28399.860999999997</v>
      </c>
      <c r="K63" s="16">
        <v>2018</v>
      </c>
      <c r="L63" s="16" t="s">
        <v>277</v>
      </c>
      <c r="M63" s="16" t="s">
        <v>223</v>
      </c>
    </row>
    <row r="64" spans="1:13" hidden="1" x14ac:dyDescent="0.3">
      <c r="A64" s="18" t="s">
        <v>162</v>
      </c>
      <c r="B64" s="16" t="s">
        <v>518</v>
      </c>
      <c r="C64" s="16" t="s">
        <v>521</v>
      </c>
      <c r="D64" s="16">
        <v>20347</v>
      </c>
      <c r="E64" s="16">
        <v>24421</v>
      </c>
      <c r="H64" s="16">
        <v>44768</v>
      </c>
      <c r="K64" s="16">
        <v>2019</v>
      </c>
      <c r="L64" s="16" t="s">
        <v>277</v>
      </c>
      <c r="M64" s="16" t="s">
        <v>223</v>
      </c>
    </row>
    <row r="65" spans="1:13" hidden="1" x14ac:dyDescent="0.3">
      <c r="A65" s="17" t="s">
        <v>280</v>
      </c>
      <c r="B65" s="16" t="s">
        <v>522</v>
      </c>
      <c r="C65" s="16" t="s">
        <v>520</v>
      </c>
      <c r="D65" s="16">
        <v>2</v>
      </c>
      <c r="E65" s="16">
        <v>2</v>
      </c>
      <c r="F65" s="16">
        <v>6</v>
      </c>
      <c r="H65" s="16">
        <v>10</v>
      </c>
      <c r="K65" s="16">
        <v>2019</v>
      </c>
      <c r="L65" s="16" t="s">
        <v>283</v>
      </c>
      <c r="M65" s="16" t="s">
        <v>285</v>
      </c>
    </row>
    <row r="66" spans="1:13" hidden="1" x14ac:dyDescent="0.3">
      <c r="A66" s="17" t="s">
        <v>280</v>
      </c>
      <c r="B66" s="16" t="s">
        <v>522</v>
      </c>
      <c r="C66" s="16" t="s">
        <v>521</v>
      </c>
      <c r="D66" s="16">
        <v>18399</v>
      </c>
      <c r="E66" s="16">
        <v>14942</v>
      </c>
      <c r="F66" s="16">
        <v>35344</v>
      </c>
      <c r="H66" s="16">
        <v>68685</v>
      </c>
      <c r="K66" s="16">
        <v>2019</v>
      </c>
      <c r="L66" s="16" t="s">
        <v>283</v>
      </c>
      <c r="M66" s="16" t="s">
        <v>285</v>
      </c>
    </row>
    <row r="67" spans="1:13" hidden="1" x14ac:dyDescent="0.3">
      <c r="A67" s="17" t="s">
        <v>280</v>
      </c>
      <c r="B67" s="16" t="s">
        <v>518</v>
      </c>
      <c r="C67" s="16" t="s">
        <v>519</v>
      </c>
      <c r="G67" s="16">
        <v>3</v>
      </c>
      <c r="H67" s="16">
        <v>3</v>
      </c>
      <c r="K67" s="16">
        <v>2019</v>
      </c>
      <c r="L67" s="16" t="s">
        <v>283</v>
      </c>
      <c r="M67" s="16" t="s">
        <v>285</v>
      </c>
    </row>
    <row r="68" spans="1:13" hidden="1" x14ac:dyDescent="0.3">
      <c r="A68" s="17" t="s">
        <v>280</v>
      </c>
      <c r="B68" s="16" t="s">
        <v>518</v>
      </c>
      <c r="C68" s="16" t="s">
        <v>520</v>
      </c>
      <c r="E68" s="16">
        <v>1</v>
      </c>
      <c r="F68" s="16">
        <v>8</v>
      </c>
      <c r="G68" s="16">
        <v>28</v>
      </c>
      <c r="H68" s="16">
        <v>37</v>
      </c>
      <c r="K68" s="16">
        <v>2019</v>
      </c>
      <c r="L68" s="16" t="s">
        <v>283</v>
      </c>
      <c r="M68" s="16" t="s">
        <v>285</v>
      </c>
    </row>
    <row r="69" spans="1:13" hidden="1" x14ac:dyDescent="0.3">
      <c r="A69" s="17" t="s">
        <v>280</v>
      </c>
      <c r="B69" s="16" t="s">
        <v>518</v>
      </c>
      <c r="C69" s="16" t="s">
        <v>521</v>
      </c>
      <c r="E69" s="16">
        <v>1451</v>
      </c>
      <c r="F69" s="16">
        <v>17539</v>
      </c>
      <c r="G69" s="16">
        <v>46753</v>
      </c>
      <c r="H69" s="16">
        <v>65743</v>
      </c>
      <c r="K69" s="16">
        <v>2019</v>
      </c>
      <c r="L69" s="16" t="s">
        <v>283</v>
      </c>
      <c r="M69" s="16" t="s">
        <v>285</v>
      </c>
    </row>
    <row r="70" spans="1:13" hidden="1" x14ac:dyDescent="0.3">
      <c r="A70" s="17" t="s">
        <v>42</v>
      </c>
      <c r="B70" s="16" t="s">
        <v>522</v>
      </c>
      <c r="C70" s="16" t="s">
        <v>520</v>
      </c>
      <c r="D70" s="16">
        <v>1</v>
      </c>
      <c r="H70" s="16">
        <v>1</v>
      </c>
      <c r="K70" s="16">
        <v>2019</v>
      </c>
      <c r="L70" s="16" t="s">
        <v>788</v>
      </c>
      <c r="M70" s="16" t="s">
        <v>240</v>
      </c>
    </row>
    <row r="71" spans="1:13" hidden="1" x14ac:dyDescent="0.3">
      <c r="A71" s="17" t="s">
        <v>42</v>
      </c>
      <c r="B71" s="16" t="s">
        <v>522</v>
      </c>
      <c r="C71" s="16" t="s">
        <v>521</v>
      </c>
      <c r="D71" s="16">
        <v>36000</v>
      </c>
      <c r="H71" s="16">
        <v>36000</v>
      </c>
      <c r="K71" s="16">
        <v>2019</v>
      </c>
      <c r="L71" s="16" t="s">
        <v>788</v>
      </c>
      <c r="M71" s="16" t="s">
        <v>240</v>
      </c>
    </row>
    <row r="72" spans="1:13" hidden="1" x14ac:dyDescent="0.3">
      <c r="A72" s="17" t="s">
        <v>42</v>
      </c>
      <c r="B72" s="16" t="s">
        <v>518</v>
      </c>
      <c r="C72" s="16" t="s">
        <v>519</v>
      </c>
      <c r="D72" s="16">
        <v>1</v>
      </c>
      <c r="G72" s="16">
        <v>100</v>
      </c>
      <c r="H72" s="16">
        <v>101</v>
      </c>
      <c r="I72" s="16">
        <v>4</v>
      </c>
      <c r="J72" s="16">
        <v>106</v>
      </c>
      <c r="K72" s="16">
        <v>2019</v>
      </c>
      <c r="L72" s="16" t="s">
        <v>788</v>
      </c>
      <c r="M72" s="16" t="s">
        <v>240</v>
      </c>
    </row>
    <row r="73" spans="1:13" hidden="1" x14ac:dyDescent="0.3">
      <c r="A73" s="17" t="s">
        <v>42</v>
      </c>
      <c r="B73" s="16" t="s">
        <v>518</v>
      </c>
      <c r="C73" s="16" t="s">
        <v>520</v>
      </c>
      <c r="D73" s="16">
        <v>1</v>
      </c>
      <c r="E73" s="16">
        <v>2</v>
      </c>
      <c r="F73" s="16">
        <v>3</v>
      </c>
      <c r="H73" s="16">
        <v>6</v>
      </c>
      <c r="K73" s="16">
        <v>2019</v>
      </c>
      <c r="L73" s="16" t="s">
        <v>788</v>
      </c>
      <c r="M73" s="16" t="s">
        <v>240</v>
      </c>
    </row>
    <row r="74" spans="1:13" hidden="1" x14ac:dyDescent="0.3">
      <c r="A74" s="17" t="s">
        <v>42</v>
      </c>
      <c r="B74" s="16" t="s">
        <v>518</v>
      </c>
      <c r="C74" s="16" t="s">
        <v>521</v>
      </c>
      <c r="D74" s="16">
        <v>57600</v>
      </c>
      <c r="E74" s="16">
        <v>7200</v>
      </c>
      <c r="F74" s="16">
        <v>10800</v>
      </c>
      <c r="G74" s="16">
        <v>21602</v>
      </c>
      <c r="H74" s="16">
        <v>97202</v>
      </c>
      <c r="K74" s="16">
        <v>2019</v>
      </c>
      <c r="L74" s="16" t="s">
        <v>788</v>
      </c>
      <c r="M74" s="16" t="s">
        <v>240</v>
      </c>
    </row>
    <row r="75" spans="1:13" hidden="1" x14ac:dyDescent="0.3">
      <c r="A75" s="17" t="s">
        <v>46</v>
      </c>
      <c r="B75" s="16" t="s">
        <v>522</v>
      </c>
      <c r="C75" s="16" t="s">
        <v>519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2019</v>
      </c>
      <c r="L75" s="16" t="s">
        <v>283</v>
      </c>
      <c r="M75" s="16" t="s">
        <v>285</v>
      </c>
    </row>
    <row r="76" spans="1:13" hidden="1" x14ac:dyDescent="0.3">
      <c r="A76" s="17" t="s">
        <v>46</v>
      </c>
      <c r="B76" s="16" t="s">
        <v>522</v>
      </c>
      <c r="C76" s="16" t="s">
        <v>520</v>
      </c>
      <c r="D76" s="16">
        <v>3</v>
      </c>
      <c r="E76" s="16">
        <v>0</v>
      </c>
      <c r="F76" s="16">
        <v>5</v>
      </c>
      <c r="G76" s="16">
        <v>3</v>
      </c>
      <c r="H76" s="16">
        <v>11</v>
      </c>
      <c r="I76" s="16">
        <v>11</v>
      </c>
      <c r="J76" s="16">
        <v>11</v>
      </c>
      <c r="K76" s="16">
        <v>2019</v>
      </c>
      <c r="L76" s="16" t="s">
        <v>283</v>
      </c>
      <c r="M76" s="16" t="s">
        <v>285</v>
      </c>
    </row>
    <row r="77" spans="1:13" hidden="1" x14ac:dyDescent="0.3">
      <c r="A77" s="17" t="s">
        <v>46</v>
      </c>
      <c r="B77" s="16" t="s">
        <v>522</v>
      </c>
      <c r="C77" s="16" t="s">
        <v>521</v>
      </c>
      <c r="D77" s="16">
        <v>42078</v>
      </c>
      <c r="E77" s="16">
        <v>0</v>
      </c>
      <c r="F77" s="16">
        <v>21728</v>
      </c>
      <c r="G77" s="16">
        <v>6555</v>
      </c>
      <c r="H77" s="16">
        <v>70361</v>
      </c>
      <c r="K77" s="16">
        <v>2019</v>
      </c>
      <c r="L77" s="16" t="s">
        <v>283</v>
      </c>
      <c r="M77" s="16" t="s">
        <v>285</v>
      </c>
    </row>
    <row r="78" spans="1:13" hidden="1" x14ac:dyDescent="0.3">
      <c r="A78" s="17" t="s">
        <v>46</v>
      </c>
      <c r="B78" s="16" t="s">
        <v>522</v>
      </c>
      <c r="C78" s="16" t="s">
        <v>519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K78" s="16">
        <v>2018</v>
      </c>
      <c r="L78" s="16" t="s">
        <v>283</v>
      </c>
      <c r="M78" s="16" t="s">
        <v>285</v>
      </c>
    </row>
    <row r="79" spans="1:13" hidden="1" x14ac:dyDescent="0.3">
      <c r="A79" s="17" t="s">
        <v>46</v>
      </c>
      <c r="B79" s="16" t="s">
        <v>522</v>
      </c>
      <c r="C79" s="16" t="s">
        <v>520</v>
      </c>
      <c r="D79" s="16">
        <v>3</v>
      </c>
      <c r="E79" s="16">
        <v>0</v>
      </c>
      <c r="F79" s="16">
        <v>4</v>
      </c>
      <c r="G79" s="16">
        <v>3</v>
      </c>
      <c r="H79" s="16">
        <v>10</v>
      </c>
      <c r="K79" s="16">
        <v>2018</v>
      </c>
      <c r="L79" s="16" t="s">
        <v>283</v>
      </c>
      <c r="M79" s="16" t="s">
        <v>285</v>
      </c>
    </row>
    <row r="80" spans="1:13" hidden="1" x14ac:dyDescent="0.3">
      <c r="A80" s="17" t="s">
        <v>46</v>
      </c>
      <c r="B80" s="16" t="s">
        <v>522</v>
      </c>
      <c r="C80" s="16" t="s">
        <v>521</v>
      </c>
      <c r="D80" s="16">
        <v>21348</v>
      </c>
      <c r="E80" s="16">
        <v>0</v>
      </c>
      <c r="F80" s="16">
        <v>18476</v>
      </c>
      <c r="G80" s="16">
        <v>6852</v>
      </c>
      <c r="H80" s="16">
        <v>46676</v>
      </c>
      <c r="K80" s="16">
        <v>2018</v>
      </c>
      <c r="L80" s="16" t="s">
        <v>283</v>
      </c>
      <c r="M80" s="16" t="s">
        <v>285</v>
      </c>
    </row>
    <row r="81" spans="1:13" hidden="1" x14ac:dyDescent="0.3">
      <c r="A81" s="17" t="s">
        <v>46</v>
      </c>
      <c r="B81" s="16" t="s">
        <v>518</v>
      </c>
      <c r="C81" s="16" t="s">
        <v>519</v>
      </c>
      <c r="D81" s="16">
        <v>0</v>
      </c>
      <c r="E81" s="16">
        <v>0</v>
      </c>
      <c r="F81" s="16">
        <v>5</v>
      </c>
      <c r="G81" s="16">
        <v>5</v>
      </c>
      <c r="H81" s="16">
        <v>10</v>
      </c>
      <c r="I81" s="16">
        <v>8</v>
      </c>
      <c r="J81" s="16">
        <v>2</v>
      </c>
      <c r="K81" s="16">
        <v>2019</v>
      </c>
      <c r="L81" s="16" t="s">
        <v>283</v>
      </c>
      <c r="M81" s="16" t="s">
        <v>285</v>
      </c>
    </row>
    <row r="82" spans="1:13" hidden="1" x14ac:dyDescent="0.3">
      <c r="A82" s="17" t="s">
        <v>46</v>
      </c>
      <c r="B82" s="16" t="s">
        <v>518</v>
      </c>
      <c r="C82" s="16" t="s">
        <v>520</v>
      </c>
      <c r="D82" s="16">
        <v>2</v>
      </c>
      <c r="E82" s="16">
        <v>3</v>
      </c>
      <c r="F82" s="16">
        <v>132</v>
      </c>
      <c r="G82" s="16">
        <v>408</v>
      </c>
      <c r="H82" s="16">
        <v>545</v>
      </c>
      <c r="I82" s="16">
        <v>399</v>
      </c>
      <c r="J82" s="16">
        <v>146</v>
      </c>
      <c r="K82" s="16">
        <v>2019</v>
      </c>
      <c r="L82" s="16" t="s">
        <v>283</v>
      </c>
      <c r="M82" s="16" t="s">
        <v>285</v>
      </c>
    </row>
    <row r="83" spans="1:13" hidden="1" x14ac:dyDescent="0.3">
      <c r="A83" s="17" t="s">
        <v>46</v>
      </c>
      <c r="B83" s="16" t="s">
        <v>518</v>
      </c>
      <c r="C83" s="16" t="s">
        <v>521</v>
      </c>
      <c r="D83" s="16">
        <v>59112</v>
      </c>
      <c r="E83" s="16">
        <v>17508</v>
      </c>
      <c r="F83" s="16">
        <v>98501</v>
      </c>
      <c r="G83" s="16">
        <v>1073714</v>
      </c>
      <c r="H83" s="16">
        <v>1248835</v>
      </c>
      <c r="I83" s="16">
        <v>1098398</v>
      </c>
      <c r="J83" s="16">
        <v>220798</v>
      </c>
      <c r="K83" s="16">
        <v>2019</v>
      </c>
      <c r="L83" s="16" t="s">
        <v>283</v>
      </c>
      <c r="M83" s="16" t="s">
        <v>285</v>
      </c>
    </row>
    <row r="84" spans="1:13" hidden="1" x14ac:dyDescent="0.3">
      <c r="A84" s="17" t="s">
        <v>46</v>
      </c>
      <c r="B84" s="16" t="s">
        <v>518</v>
      </c>
      <c r="C84" s="16" t="s">
        <v>519</v>
      </c>
      <c r="D84" s="16">
        <v>0</v>
      </c>
      <c r="E84" s="16">
        <v>0</v>
      </c>
      <c r="F84" s="16">
        <v>5</v>
      </c>
      <c r="G84" s="16">
        <v>4</v>
      </c>
      <c r="H84" s="16">
        <v>9</v>
      </c>
      <c r="I84" s="16">
        <v>7</v>
      </c>
      <c r="J84" s="16">
        <v>2</v>
      </c>
      <c r="K84" s="16">
        <v>2018</v>
      </c>
      <c r="L84" s="16" t="s">
        <v>283</v>
      </c>
      <c r="M84" s="16" t="s">
        <v>285</v>
      </c>
    </row>
    <row r="85" spans="1:13" hidden="1" x14ac:dyDescent="0.3">
      <c r="A85" s="17" t="s">
        <v>46</v>
      </c>
      <c r="B85" s="16" t="s">
        <v>518</v>
      </c>
      <c r="C85" s="16" t="s">
        <v>520</v>
      </c>
      <c r="D85" s="16">
        <v>2</v>
      </c>
      <c r="E85" s="16">
        <v>3</v>
      </c>
      <c r="F85" s="16">
        <v>135</v>
      </c>
      <c r="G85" s="16">
        <v>413</v>
      </c>
      <c r="H85" s="16">
        <v>553</v>
      </c>
      <c r="I85" s="16">
        <v>413</v>
      </c>
      <c r="J85" s="16">
        <v>140</v>
      </c>
      <c r="K85" s="16">
        <v>2018</v>
      </c>
      <c r="L85" s="16" t="s">
        <v>283</v>
      </c>
      <c r="M85" s="16" t="s">
        <v>285</v>
      </c>
    </row>
    <row r="86" spans="1:13" hidden="1" x14ac:dyDescent="0.3">
      <c r="A86" s="17" t="s">
        <v>46</v>
      </c>
      <c r="B86" s="16" t="s">
        <v>518</v>
      </c>
      <c r="C86" s="16" t="s">
        <v>521</v>
      </c>
      <c r="D86" s="16">
        <v>84299</v>
      </c>
      <c r="E86" s="16">
        <v>46596</v>
      </c>
      <c r="F86" s="16">
        <v>148248</v>
      </c>
      <c r="G86" s="16">
        <v>1155885</v>
      </c>
      <c r="H86" s="16">
        <v>1435028</v>
      </c>
      <c r="K86" s="16">
        <v>2018</v>
      </c>
      <c r="L86" s="16" t="s">
        <v>283</v>
      </c>
      <c r="M86" s="16" t="s">
        <v>285</v>
      </c>
    </row>
    <row r="87" spans="1:13" hidden="1" x14ac:dyDescent="0.3">
      <c r="A87" s="17" t="s">
        <v>297</v>
      </c>
      <c r="B87" s="16" t="s">
        <v>522</v>
      </c>
      <c r="C87" s="16" t="s">
        <v>519</v>
      </c>
      <c r="D87" s="16">
        <v>2</v>
      </c>
      <c r="H87" s="16">
        <f>SUBTOTAL(9,D87:G87)</f>
        <v>0</v>
      </c>
      <c r="K87" s="16">
        <v>2019</v>
      </c>
      <c r="L87" s="16" t="s">
        <v>277</v>
      </c>
      <c r="M87" s="16" t="s">
        <v>792</v>
      </c>
    </row>
    <row r="88" spans="1:13" hidden="1" x14ac:dyDescent="0.3">
      <c r="A88" s="17" t="s">
        <v>297</v>
      </c>
      <c r="B88" s="16" t="s">
        <v>522</v>
      </c>
      <c r="C88" s="16" t="s">
        <v>520</v>
      </c>
      <c r="D88" s="16">
        <v>10</v>
      </c>
      <c r="E88" s="16">
        <v>0</v>
      </c>
      <c r="F88" s="16">
        <v>0</v>
      </c>
      <c r="G88" s="16">
        <v>0</v>
      </c>
      <c r="H88" s="16">
        <f>SUBTOTAL(9,D88:G88)</f>
        <v>0</v>
      </c>
      <c r="K88" s="16">
        <v>2019</v>
      </c>
      <c r="L88" s="16" t="s">
        <v>277</v>
      </c>
      <c r="M88" s="16" t="s">
        <v>792</v>
      </c>
    </row>
    <row r="89" spans="1:13" hidden="1" x14ac:dyDescent="0.3">
      <c r="A89" s="17" t="s">
        <v>297</v>
      </c>
      <c r="B89" s="16" t="s">
        <v>522</v>
      </c>
      <c r="C89" s="16" t="s">
        <v>520</v>
      </c>
      <c r="D89" s="16">
        <v>19</v>
      </c>
      <c r="E89" s="16">
        <v>0</v>
      </c>
      <c r="F89" s="16">
        <v>0</v>
      </c>
      <c r="G89" s="16">
        <v>0</v>
      </c>
      <c r="H89" s="16">
        <v>19</v>
      </c>
      <c r="K89" s="16">
        <v>2018</v>
      </c>
      <c r="L89" s="16" t="s">
        <v>277</v>
      </c>
      <c r="M89" s="16" t="s">
        <v>792</v>
      </c>
    </row>
    <row r="90" spans="1:13" hidden="1" x14ac:dyDescent="0.3">
      <c r="A90" s="17" t="s">
        <v>297</v>
      </c>
      <c r="B90" s="16" t="s">
        <v>522</v>
      </c>
      <c r="C90" s="16" t="s">
        <v>521</v>
      </c>
      <c r="D90" s="16">
        <v>1477982</v>
      </c>
      <c r="E90" s="16">
        <v>0</v>
      </c>
      <c r="F90" s="16">
        <v>0</v>
      </c>
      <c r="G90" s="16">
        <v>0</v>
      </c>
      <c r="H90" s="16">
        <v>1477982</v>
      </c>
      <c r="K90" s="16">
        <v>2018</v>
      </c>
      <c r="L90" s="16" t="s">
        <v>277</v>
      </c>
      <c r="M90" s="16" t="s">
        <v>792</v>
      </c>
    </row>
    <row r="91" spans="1:13" hidden="1" x14ac:dyDescent="0.3">
      <c r="A91" s="17" t="s">
        <v>297</v>
      </c>
      <c r="B91" s="16" t="s">
        <v>518</v>
      </c>
      <c r="C91" s="16" t="s">
        <v>519</v>
      </c>
      <c r="D91" s="16">
        <v>3</v>
      </c>
      <c r="E91" s="16">
        <v>10</v>
      </c>
      <c r="F91" s="16">
        <v>21</v>
      </c>
      <c r="G91" s="16">
        <v>1</v>
      </c>
      <c r="H91" s="16">
        <v>35</v>
      </c>
      <c r="I91" s="16">
        <v>35</v>
      </c>
      <c r="K91" s="16">
        <v>2018</v>
      </c>
      <c r="L91" s="16" t="s">
        <v>277</v>
      </c>
      <c r="M91" s="16" t="s">
        <v>792</v>
      </c>
    </row>
    <row r="92" spans="1:13" hidden="1" x14ac:dyDescent="0.3">
      <c r="A92" s="17" t="s">
        <v>297</v>
      </c>
      <c r="B92" s="16" t="s">
        <v>518</v>
      </c>
      <c r="C92" s="16" t="s">
        <v>520</v>
      </c>
      <c r="D92" s="16">
        <v>13</v>
      </c>
      <c r="E92" s="16">
        <v>63</v>
      </c>
      <c r="F92" s="16">
        <v>90</v>
      </c>
      <c r="G92" s="16">
        <v>52</v>
      </c>
      <c r="H92" s="16">
        <v>218</v>
      </c>
      <c r="I92" s="16">
        <v>218</v>
      </c>
      <c r="K92" s="16">
        <v>2018</v>
      </c>
      <c r="L92" s="16" t="s">
        <v>277</v>
      </c>
      <c r="M92" s="16" t="s">
        <v>792</v>
      </c>
    </row>
    <row r="93" spans="1:13" hidden="1" x14ac:dyDescent="0.3">
      <c r="A93" s="17" t="s">
        <v>297</v>
      </c>
      <c r="B93" s="16" t="s">
        <v>518</v>
      </c>
      <c r="C93" s="16" t="s">
        <v>520</v>
      </c>
      <c r="D93" s="16">
        <v>13</v>
      </c>
      <c r="E93" s="16">
        <v>63</v>
      </c>
      <c r="F93" s="16">
        <v>91</v>
      </c>
      <c r="G93" s="16">
        <v>48</v>
      </c>
      <c r="H93" s="16">
        <f>SUBTOTAL(9,D93:G93)</f>
        <v>0</v>
      </c>
      <c r="I93" s="16">
        <v>215</v>
      </c>
      <c r="K93" s="16">
        <v>2019</v>
      </c>
      <c r="L93" s="16" t="s">
        <v>277</v>
      </c>
      <c r="M93" s="16" t="s">
        <v>792</v>
      </c>
    </row>
    <row r="94" spans="1:13" hidden="1" x14ac:dyDescent="0.3">
      <c r="A94" s="17" t="s">
        <v>297</v>
      </c>
      <c r="B94" s="16" t="s">
        <v>518</v>
      </c>
      <c r="C94" s="16" t="s">
        <v>519</v>
      </c>
      <c r="D94" s="16">
        <v>1</v>
      </c>
      <c r="E94" s="16">
        <v>7</v>
      </c>
      <c r="F94" s="16">
        <v>19</v>
      </c>
      <c r="G94" s="16">
        <v>1</v>
      </c>
      <c r="H94" s="16">
        <f>SUBTOTAL(9,D94:G94)</f>
        <v>0</v>
      </c>
      <c r="I94" s="16">
        <v>28</v>
      </c>
      <c r="K94" s="16">
        <v>2019</v>
      </c>
      <c r="L94" s="16" t="s">
        <v>277</v>
      </c>
      <c r="M94" s="16" t="s">
        <v>792</v>
      </c>
    </row>
    <row r="95" spans="1:13" hidden="1" x14ac:dyDescent="0.3">
      <c r="A95" s="17" t="s">
        <v>297</v>
      </c>
      <c r="B95" s="16" t="s">
        <v>518</v>
      </c>
      <c r="C95" s="16" t="s">
        <v>521</v>
      </c>
      <c r="D95" s="16">
        <v>411671</v>
      </c>
      <c r="E95" s="16">
        <v>828223</v>
      </c>
      <c r="F95" s="16">
        <v>759862</v>
      </c>
      <c r="G95" s="16">
        <v>198458</v>
      </c>
      <c r="H95" s="16">
        <v>2198214</v>
      </c>
      <c r="I95" s="16">
        <v>2230113</v>
      </c>
      <c r="K95" s="16">
        <v>2018</v>
      </c>
      <c r="L95" s="16" t="s">
        <v>277</v>
      </c>
      <c r="M95" s="16" t="s">
        <v>792</v>
      </c>
    </row>
    <row r="96" spans="1:13" x14ac:dyDescent="0.3">
      <c r="A96" s="17" t="s">
        <v>63</v>
      </c>
      <c r="B96" s="16" t="s">
        <v>522</v>
      </c>
      <c r="C96" s="16" t="s">
        <v>519</v>
      </c>
      <c r="D96" s="16">
        <v>0</v>
      </c>
      <c r="H96" s="16">
        <v>0</v>
      </c>
      <c r="K96" s="16">
        <v>2019</v>
      </c>
      <c r="L96" s="16" t="s">
        <v>283</v>
      </c>
      <c r="M96" s="16" t="s">
        <v>293</v>
      </c>
    </row>
    <row r="97" spans="1:13" hidden="1" x14ac:dyDescent="0.3">
      <c r="A97" s="17" t="s">
        <v>63</v>
      </c>
      <c r="B97" s="16" t="s">
        <v>522</v>
      </c>
      <c r="C97" s="16" t="s">
        <v>519</v>
      </c>
      <c r="D97" s="16">
        <v>1</v>
      </c>
      <c r="E97" s="16">
        <v>0</v>
      </c>
      <c r="F97" s="16">
        <v>0</v>
      </c>
      <c r="G97" s="16">
        <v>0</v>
      </c>
      <c r="H97" s="16">
        <v>1</v>
      </c>
      <c r="I97" s="16">
        <v>0</v>
      </c>
      <c r="J97" s="16">
        <v>0</v>
      </c>
      <c r="K97" s="16">
        <v>2018</v>
      </c>
      <c r="L97" s="16" t="s">
        <v>283</v>
      </c>
      <c r="M97" s="16" t="s">
        <v>293</v>
      </c>
    </row>
    <row r="98" spans="1:13" x14ac:dyDescent="0.3">
      <c r="A98" s="17" t="s">
        <v>63</v>
      </c>
      <c r="B98" s="16" t="s">
        <v>522</v>
      </c>
      <c r="C98" s="16" t="s">
        <v>520</v>
      </c>
      <c r="D98" s="16">
        <v>8</v>
      </c>
      <c r="E98" s="16">
        <v>2</v>
      </c>
      <c r="H98" s="16">
        <v>10</v>
      </c>
      <c r="K98" s="16">
        <v>2019</v>
      </c>
      <c r="L98" s="16" t="s">
        <v>283</v>
      </c>
      <c r="M98" s="16" t="s">
        <v>293</v>
      </c>
    </row>
    <row r="99" spans="1:13" hidden="1" x14ac:dyDescent="0.3">
      <c r="A99" s="17" t="s">
        <v>63</v>
      </c>
      <c r="B99" s="16" t="s">
        <v>522</v>
      </c>
      <c r="C99" s="16" t="s">
        <v>520</v>
      </c>
      <c r="D99" s="16">
        <v>4</v>
      </c>
      <c r="E99" s="16">
        <v>0</v>
      </c>
      <c r="F99" s="16">
        <v>0</v>
      </c>
      <c r="G99" s="16">
        <v>0</v>
      </c>
      <c r="H99" s="16">
        <v>4</v>
      </c>
      <c r="I99" s="16">
        <v>0</v>
      </c>
      <c r="J99" s="16">
        <v>0</v>
      </c>
      <c r="K99" s="16">
        <v>2018</v>
      </c>
      <c r="L99" s="16" t="s">
        <v>283</v>
      </c>
      <c r="M99" s="16" t="s">
        <v>293</v>
      </c>
    </row>
    <row r="100" spans="1:13" x14ac:dyDescent="0.3">
      <c r="A100" s="17" t="s">
        <v>63</v>
      </c>
      <c r="B100" s="16" t="s">
        <v>522</v>
      </c>
      <c r="C100" s="16" t="s">
        <v>521</v>
      </c>
      <c r="D100" s="16">
        <v>55769.938999999998</v>
      </c>
      <c r="E100" s="16">
        <v>760.65499999999997</v>
      </c>
      <c r="H100" s="16">
        <v>56530.593999999997</v>
      </c>
      <c r="K100" s="16">
        <v>2019</v>
      </c>
      <c r="L100" s="16" t="s">
        <v>283</v>
      </c>
      <c r="M100" s="16" t="s">
        <v>293</v>
      </c>
    </row>
    <row r="101" spans="1:13" hidden="1" x14ac:dyDescent="0.3">
      <c r="A101" s="17" t="s">
        <v>63</v>
      </c>
      <c r="B101" s="16" t="s">
        <v>522</v>
      </c>
      <c r="C101" s="16" t="s">
        <v>521</v>
      </c>
      <c r="D101" s="16">
        <v>49509.536999999997</v>
      </c>
      <c r="E101" s="16">
        <v>0</v>
      </c>
      <c r="F101" s="16">
        <v>0</v>
      </c>
      <c r="G101" s="16">
        <v>0</v>
      </c>
      <c r="H101" s="16">
        <v>49509.536999999997</v>
      </c>
      <c r="K101" s="16">
        <v>2018</v>
      </c>
      <c r="L101" s="16" t="s">
        <v>283</v>
      </c>
      <c r="M101" s="16" t="s">
        <v>293</v>
      </c>
    </row>
    <row r="102" spans="1:13" x14ac:dyDescent="0.3">
      <c r="A102" s="17" t="s">
        <v>63</v>
      </c>
      <c r="B102" s="16" t="s">
        <v>518</v>
      </c>
      <c r="C102" s="16" t="s">
        <v>519</v>
      </c>
      <c r="D102" s="16">
        <v>0</v>
      </c>
      <c r="E102" s="16">
        <v>4</v>
      </c>
      <c r="F102" s="16">
        <v>8</v>
      </c>
      <c r="G102" s="16">
        <v>13</v>
      </c>
      <c r="H102" s="16">
        <v>25</v>
      </c>
      <c r="I102" s="16">
        <v>24</v>
      </c>
      <c r="J102" s="16">
        <v>2</v>
      </c>
      <c r="K102" s="16">
        <v>2019</v>
      </c>
      <c r="L102" s="16" t="s">
        <v>283</v>
      </c>
      <c r="M102" s="16" t="s">
        <v>293</v>
      </c>
    </row>
    <row r="103" spans="1:13" hidden="1" x14ac:dyDescent="0.3">
      <c r="A103" s="17" t="s">
        <v>63</v>
      </c>
      <c r="B103" s="16" t="s">
        <v>518</v>
      </c>
      <c r="C103" s="16" t="s">
        <v>519</v>
      </c>
      <c r="D103" s="16">
        <v>0</v>
      </c>
      <c r="E103" s="16">
        <v>0</v>
      </c>
      <c r="F103" s="16">
        <v>3</v>
      </c>
      <c r="G103" s="16">
        <v>4</v>
      </c>
      <c r="H103" s="16">
        <v>7</v>
      </c>
      <c r="I103" s="16">
        <v>6</v>
      </c>
      <c r="J103" s="16">
        <v>1</v>
      </c>
      <c r="K103" s="16">
        <v>2018</v>
      </c>
      <c r="L103" s="16" t="s">
        <v>283</v>
      </c>
      <c r="M103" s="16" t="s">
        <v>293</v>
      </c>
    </row>
    <row r="104" spans="1:13" x14ac:dyDescent="0.3">
      <c r="A104" s="17" t="s">
        <v>63</v>
      </c>
      <c r="B104" s="16" t="s">
        <v>518</v>
      </c>
      <c r="C104" s="16" t="s">
        <v>520</v>
      </c>
      <c r="D104" s="16">
        <v>1</v>
      </c>
      <c r="E104" s="16">
        <v>7</v>
      </c>
      <c r="F104" s="16">
        <v>24</v>
      </c>
      <c r="G104" s="16">
        <v>244</v>
      </c>
      <c r="H104" s="16">
        <v>276</v>
      </c>
      <c r="I104" s="16">
        <v>256</v>
      </c>
      <c r="J104" s="16">
        <v>20</v>
      </c>
      <c r="K104" s="16">
        <v>2019</v>
      </c>
      <c r="L104" s="16" t="s">
        <v>283</v>
      </c>
      <c r="M104" s="16" t="s">
        <v>293</v>
      </c>
    </row>
    <row r="105" spans="1:13" hidden="1" x14ac:dyDescent="0.3">
      <c r="A105" s="17" t="s">
        <v>63</v>
      </c>
      <c r="B105" s="16" t="s">
        <v>518</v>
      </c>
      <c r="C105" s="16" t="s">
        <v>520</v>
      </c>
      <c r="D105" s="16">
        <v>1</v>
      </c>
      <c r="E105" s="16">
        <v>2</v>
      </c>
      <c r="F105" s="16">
        <v>19</v>
      </c>
      <c r="G105" s="16">
        <v>150</v>
      </c>
      <c r="H105" s="16">
        <v>172</v>
      </c>
      <c r="I105" s="16">
        <v>171</v>
      </c>
      <c r="J105" s="16">
        <v>1</v>
      </c>
      <c r="K105" s="16">
        <v>2018</v>
      </c>
      <c r="L105" s="16" t="s">
        <v>283</v>
      </c>
      <c r="M105" s="16" t="s">
        <v>293</v>
      </c>
    </row>
    <row r="106" spans="1:13" x14ac:dyDescent="0.3">
      <c r="A106" s="17" t="s">
        <v>63</v>
      </c>
      <c r="B106" s="16" t="s">
        <v>518</v>
      </c>
      <c r="C106" s="16" t="s">
        <v>521</v>
      </c>
      <c r="D106" s="16">
        <v>20964.481</v>
      </c>
      <c r="E106" s="16">
        <v>97322.077999999994</v>
      </c>
      <c r="F106" s="16">
        <v>132751.10999999999</v>
      </c>
      <c r="G106" s="16">
        <v>429604.3</v>
      </c>
      <c r="H106" s="16">
        <v>680641.96900000004</v>
      </c>
      <c r="I106" s="16">
        <v>671755.31</v>
      </c>
      <c r="J106" s="16">
        <v>8886.66</v>
      </c>
      <c r="K106" s="16">
        <v>2019</v>
      </c>
      <c r="L106" s="16" t="s">
        <v>283</v>
      </c>
      <c r="M106" s="16" t="s">
        <v>293</v>
      </c>
    </row>
    <row r="107" spans="1:13" hidden="1" x14ac:dyDescent="0.3">
      <c r="A107" s="17" t="s">
        <v>63</v>
      </c>
      <c r="B107" s="16" t="s">
        <v>518</v>
      </c>
      <c r="C107" s="16" t="s">
        <v>521</v>
      </c>
      <c r="D107" s="16">
        <v>12836.962</v>
      </c>
      <c r="E107" s="16">
        <v>24663.923999999999</v>
      </c>
      <c r="F107" s="16">
        <v>93693.986000000004</v>
      </c>
      <c r="G107" s="16">
        <v>234818.16</v>
      </c>
      <c r="H107" s="16">
        <v>366013.03200000001</v>
      </c>
      <c r="I107" s="16">
        <v>362142.75</v>
      </c>
      <c r="J107" s="16">
        <v>3870.2809999999999</v>
      </c>
      <c r="K107" s="16">
        <v>2018</v>
      </c>
      <c r="L107" s="16" t="s">
        <v>283</v>
      </c>
      <c r="M107" s="16" t="s">
        <v>293</v>
      </c>
    </row>
    <row r="108" spans="1:13" hidden="1" x14ac:dyDescent="0.3">
      <c r="A108" s="18" t="s">
        <v>163</v>
      </c>
      <c r="B108" s="16" t="s">
        <v>522</v>
      </c>
      <c r="C108" s="16" t="s">
        <v>519</v>
      </c>
      <c r="D108" s="16">
        <v>0</v>
      </c>
      <c r="E108" s="16">
        <v>0</v>
      </c>
      <c r="G108" s="16">
        <v>0</v>
      </c>
      <c r="H108" s="16">
        <v>0</v>
      </c>
      <c r="K108" s="16">
        <v>2019</v>
      </c>
      <c r="L108" s="16" t="s">
        <v>302</v>
      </c>
      <c r="M108" s="16" t="s">
        <v>304</v>
      </c>
    </row>
    <row r="109" spans="1:13" hidden="1" x14ac:dyDescent="0.3">
      <c r="A109" s="18" t="s">
        <v>163</v>
      </c>
      <c r="B109" s="16" t="s">
        <v>522</v>
      </c>
      <c r="C109" s="16" t="s">
        <v>520</v>
      </c>
      <c r="G109" s="16">
        <v>0</v>
      </c>
      <c r="H109" s="16">
        <v>0</v>
      </c>
      <c r="K109" s="16">
        <v>2019</v>
      </c>
      <c r="L109" s="16" t="s">
        <v>302</v>
      </c>
      <c r="M109" s="16" t="s">
        <v>304</v>
      </c>
    </row>
    <row r="110" spans="1:13" hidden="1" x14ac:dyDescent="0.3">
      <c r="A110" s="18" t="s">
        <v>163</v>
      </c>
      <c r="B110" s="16" t="s">
        <v>522</v>
      </c>
      <c r="C110" s="16" t="s">
        <v>521</v>
      </c>
      <c r="D110" s="16">
        <v>0</v>
      </c>
      <c r="G110" s="16">
        <v>0</v>
      </c>
      <c r="H110" s="16">
        <v>0</v>
      </c>
      <c r="K110" s="16">
        <v>2019</v>
      </c>
      <c r="L110" s="16" t="s">
        <v>302</v>
      </c>
      <c r="M110" s="16" t="s">
        <v>304</v>
      </c>
    </row>
    <row r="111" spans="1:13" hidden="1" x14ac:dyDescent="0.3">
      <c r="A111" s="18" t="s">
        <v>163</v>
      </c>
      <c r="B111" s="16" t="s">
        <v>518</v>
      </c>
      <c r="C111" s="16" t="s">
        <v>519</v>
      </c>
      <c r="E111" s="16">
        <v>1</v>
      </c>
      <c r="F111" s="16">
        <v>2</v>
      </c>
      <c r="H111" s="16">
        <v>3</v>
      </c>
      <c r="K111" s="16">
        <v>2019</v>
      </c>
      <c r="L111" s="16" t="s">
        <v>302</v>
      </c>
      <c r="M111" s="16" t="s">
        <v>304</v>
      </c>
    </row>
    <row r="112" spans="1:13" hidden="1" x14ac:dyDescent="0.3">
      <c r="A112" s="18" t="s">
        <v>163</v>
      </c>
      <c r="B112" s="16" t="s">
        <v>518</v>
      </c>
      <c r="C112" s="16" t="s">
        <v>520</v>
      </c>
      <c r="D112" s="16">
        <v>2</v>
      </c>
      <c r="E112" s="16">
        <v>1</v>
      </c>
      <c r="G112" s="16">
        <v>220</v>
      </c>
      <c r="H112" s="16">
        <v>223</v>
      </c>
      <c r="K112" s="16">
        <v>2019</v>
      </c>
      <c r="L112" s="16" t="s">
        <v>302</v>
      </c>
      <c r="M112" s="16" t="s">
        <v>304</v>
      </c>
    </row>
    <row r="113" spans="1:13" hidden="1" x14ac:dyDescent="0.3">
      <c r="A113" s="18" t="s">
        <v>163</v>
      </c>
      <c r="B113" s="16" t="s">
        <v>518</v>
      </c>
      <c r="C113" s="16" t="s">
        <v>521</v>
      </c>
      <c r="D113" s="16">
        <v>17400</v>
      </c>
      <c r="E113" s="16">
        <v>7200</v>
      </c>
      <c r="F113" s="16">
        <v>3960</v>
      </c>
      <c r="G113" s="16">
        <v>28220</v>
      </c>
      <c r="H113" s="16">
        <v>56780</v>
      </c>
      <c r="K113" s="16">
        <v>2019</v>
      </c>
      <c r="L113" s="16" t="s">
        <v>302</v>
      </c>
      <c r="M113" s="16" t="s">
        <v>304</v>
      </c>
    </row>
    <row r="114" spans="1:13" hidden="1" x14ac:dyDescent="0.3">
      <c r="A114" s="18" t="s">
        <v>163</v>
      </c>
      <c r="B114" s="16" t="s">
        <v>518</v>
      </c>
      <c r="C114" s="16" t="s">
        <v>519</v>
      </c>
      <c r="E114" s="16">
        <v>2</v>
      </c>
      <c r="F114" s="16">
        <v>1</v>
      </c>
      <c r="H114" s="16">
        <v>3</v>
      </c>
      <c r="K114" s="16">
        <v>2018</v>
      </c>
      <c r="L114" s="16" t="s">
        <v>302</v>
      </c>
      <c r="M114" s="16" t="s">
        <v>304</v>
      </c>
    </row>
    <row r="115" spans="1:13" hidden="1" x14ac:dyDescent="0.3">
      <c r="A115" s="18" t="s">
        <v>163</v>
      </c>
      <c r="B115" s="16" t="s">
        <v>518</v>
      </c>
      <c r="C115" s="16" t="s">
        <v>520</v>
      </c>
      <c r="D115" s="16">
        <v>2</v>
      </c>
      <c r="E115" s="16">
        <v>2</v>
      </c>
      <c r="F115" s="16">
        <v>7</v>
      </c>
      <c r="G115" s="16">
        <v>240</v>
      </c>
      <c r="H115" s="16">
        <v>251</v>
      </c>
      <c r="K115" s="16">
        <v>2018</v>
      </c>
      <c r="L115" s="16" t="s">
        <v>302</v>
      </c>
      <c r="M115" s="16" t="s">
        <v>304</v>
      </c>
    </row>
    <row r="116" spans="1:13" hidden="1" x14ac:dyDescent="0.3">
      <c r="A116" s="18" t="s">
        <v>163</v>
      </c>
      <c r="B116" s="16" t="s">
        <v>518</v>
      </c>
      <c r="C116" s="16" t="s">
        <v>521</v>
      </c>
      <c r="D116" s="16">
        <v>18840</v>
      </c>
      <c r="E116" s="16">
        <v>60000</v>
      </c>
      <c r="F116" s="16">
        <v>412</v>
      </c>
      <c r="H116" s="16">
        <v>79252</v>
      </c>
      <c r="K116" s="16">
        <v>2018</v>
      </c>
      <c r="L116" s="16" t="s">
        <v>302</v>
      </c>
      <c r="M116" s="16" t="s">
        <v>304</v>
      </c>
    </row>
    <row r="117" spans="1:13" hidden="1" x14ac:dyDescent="0.3">
      <c r="A117" s="18" t="s">
        <v>312</v>
      </c>
      <c r="B117" s="16" t="s">
        <v>522</v>
      </c>
      <c r="C117" s="16" t="s">
        <v>519</v>
      </c>
      <c r="D117" s="16">
        <v>2</v>
      </c>
      <c r="E117" s="16">
        <v>1</v>
      </c>
      <c r="H117" s="16">
        <v>3</v>
      </c>
      <c r="I117" s="16">
        <v>3</v>
      </c>
      <c r="K117" s="16">
        <v>2018</v>
      </c>
      <c r="L117" s="16" t="s">
        <v>277</v>
      </c>
      <c r="M117" s="16" t="s">
        <v>793</v>
      </c>
    </row>
    <row r="118" spans="1:13" hidden="1" x14ac:dyDescent="0.3">
      <c r="A118" s="18" t="s">
        <v>312</v>
      </c>
      <c r="B118" s="16" t="s">
        <v>522</v>
      </c>
      <c r="C118" s="16" t="s">
        <v>520</v>
      </c>
      <c r="D118" s="16">
        <v>16</v>
      </c>
      <c r="E118" s="16">
        <v>43</v>
      </c>
      <c r="H118" s="16">
        <v>59</v>
      </c>
      <c r="I118" s="16">
        <v>59</v>
      </c>
      <c r="K118" s="16">
        <v>2018</v>
      </c>
      <c r="L118" s="16" t="s">
        <v>277</v>
      </c>
      <c r="M118" s="16" t="s">
        <v>793</v>
      </c>
    </row>
    <row r="119" spans="1:13" hidden="1" x14ac:dyDescent="0.3">
      <c r="A119" s="18" t="s">
        <v>312</v>
      </c>
      <c r="B119" s="16" t="s">
        <v>522</v>
      </c>
      <c r="C119" s="16" t="s">
        <v>521</v>
      </c>
      <c r="D119" s="16">
        <v>860032</v>
      </c>
      <c r="E119" s="16">
        <v>1185463</v>
      </c>
      <c r="H119" s="16">
        <v>2045495</v>
      </c>
      <c r="K119" s="16">
        <v>2018</v>
      </c>
      <c r="L119" s="16" t="s">
        <v>277</v>
      </c>
      <c r="M119" s="16" t="s">
        <v>793</v>
      </c>
    </row>
    <row r="120" spans="1:13" hidden="1" x14ac:dyDescent="0.3">
      <c r="A120" s="18" t="s">
        <v>312</v>
      </c>
      <c r="B120" s="16" t="s">
        <v>522</v>
      </c>
      <c r="C120" s="16" t="s">
        <v>519</v>
      </c>
      <c r="D120" s="16">
        <v>1</v>
      </c>
      <c r="H120" s="16">
        <v>1</v>
      </c>
      <c r="K120" s="16">
        <v>2019</v>
      </c>
      <c r="L120" s="16" t="s">
        <v>277</v>
      </c>
      <c r="M120" s="16" t="s">
        <v>793</v>
      </c>
    </row>
    <row r="121" spans="1:13" hidden="1" x14ac:dyDescent="0.3">
      <c r="A121" s="18" t="s">
        <v>312</v>
      </c>
      <c r="B121" s="16" t="s">
        <v>522</v>
      </c>
      <c r="C121" s="16" t="s">
        <v>520</v>
      </c>
      <c r="D121" s="16">
        <v>60</v>
      </c>
      <c r="H121" s="16">
        <v>60</v>
      </c>
      <c r="K121" s="16">
        <v>2019</v>
      </c>
      <c r="L121" s="16" t="s">
        <v>277</v>
      </c>
      <c r="M121" s="16" t="s">
        <v>793</v>
      </c>
    </row>
    <row r="122" spans="1:13" hidden="1" x14ac:dyDescent="0.3">
      <c r="A122" s="18" t="s">
        <v>312</v>
      </c>
      <c r="B122" s="16" t="s">
        <v>522</v>
      </c>
      <c r="C122" s="16" t="s">
        <v>521</v>
      </c>
      <c r="D122" s="16">
        <v>7834938</v>
      </c>
      <c r="H122" s="16">
        <v>7834938</v>
      </c>
      <c r="K122" s="16">
        <v>2019</v>
      </c>
      <c r="L122" s="16" t="s">
        <v>277</v>
      </c>
      <c r="M122" s="16" t="s">
        <v>793</v>
      </c>
    </row>
    <row r="123" spans="1:13" hidden="1" x14ac:dyDescent="0.3">
      <c r="A123" s="18" t="s">
        <v>312</v>
      </c>
      <c r="B123" s="16" t="s">
        <v>518</v>
      </c>
      <c r="C123" s="16" t="s">
        <v>519</v>
      </c>
      <c r="D123" s="16">
        <v>4</v>
      </c>
      <c r="E123" s="16">
        <v>16</v>
      </c>
      <c r="F123" s="16">
        <v>25</v>
      </c>
      <c r="G123" s="16">
        <v>42</v>
      </c>
      <c r="H123" s="16">
        <v>87</v>
      </c>
      <c r="I123" s="16">
        <v>68</v>
      </c>
      <c r="J123" s="16">
        <v>19</v>
      </c>
      <c r="K123" s="16">
        <v>2018</v>
      </c>
      <c r="L123" s="16" t="s">
        <v>277</v>
      </c>
      <c r="M123" s="16" t="s">
        <v>793</v>
      </c>
    </row>
    <row r="124" spans="1:13" hidden="1" x14ac:dyDescent="0.3">
      <c r="A124" s="18" t="s">
        <v>312</v>
      </c>
      <c r="B124" s="16" t="s">
        <v>518</v>
      </c>
      <c r="C124" s="16" t="s">
        <v>520</v>
      </c>
      <c r="D124" s="16">
        <v>18</v>
      </c>
      <c r="E124" s="16">
        <v>70</v>
      </c>
      <c r="F124" s="16">
        <v>242</v>
      </c>
      <c r="G124" s="16">
        <v>306</v>
      </c>
      <c r="H124" s="16">
        <v>636</v>
      </c>
      <c r="I124" s="16">
        <v>592</v>
      </c>
      <c r="J124" s="16">
        <v>44</v>
      </c>
      <c r="K124" s="16">
        <v>2018</v>
      </c>
      <c r="L124" s="16" t="s">
        <v>277</v>
      </c>
      <c r="M124" s="16" t="s">
        <v>793</v>
      </c>
    </row>
    <row r="125" spans="1:13" hidden="1" x14ac:dyDescent="0.3">
      <c r="A125" s="18" t="s">
        <v>312</v>
      </c>
      <c r="B125" s="16" t="s">
        <v>518</v>
      </c>
      <c r="C125" s="16" t="s">
        <v>521</v>
      </c>
      <c r="D125" s="16">
        <v>807139</v>
      </c>
      <c r="E125" s="16">
        <v>1442210</v>
      </c>
      <c r="F125" s="16">
        <v>2659581</v>
      </c>
      <c r="G125" s="16">
        <v>2272522</v>
      </c>
      <c r="H125" s="16">
        <v>7181452</v>
      </c>
      <c r="K125" s="16">
        <v>2018</v>
      </c>
      <c r="L125" s="16" t="s">
        <v>277</v>
      </c>
      <c r="M125" s="16" t="s">
        <v>793</v>
      </c>
    </row>
    <row r="126" spans="1:13" hidden="1" x14ac:dyDescent="0.3">
      <c r="A126" s="18" t="s">
        <v>312</v>
      </c>
      <c r="B126" s="16" t="s">
        <v>518</v>
      </c>
      <c r="C126" s="16" t="s">
        <v>519</v>
      </c>
      <c r="D126" s="16">
        <v>4</v>
      </c>
      <c r="E126" s="16">
        <v>19</v>
      </c>
      <c r="F126" s="16">
        <v>28</v>
      </c>
      <c r="G126" s="16">
        <v>40</v>
      </c>
      <c r="H126" s="16">
        <v>91</v>
      </c>
      <c r="K126" s="16">
        <v>2019</v>
      </c>
      <c r="L126" s="16" t="s">
        <v>277</v>
      </c>
      <c r="M126" s="16" t="s">
        <v>793</v>
      </c>
    </row>
    <row r="127" spans="1:13" hidden="1" x14ac:dyDescent="0.3">
      <c r="A127" s="18" t="s">
        <v>312</v>
      </c>
      <c r="B127" s="16" t="s">
        <v>518</v>
      </c>
      <c r="C127" s="16" t="s">
        <v>520</v>
      </c>
      <c r="D127" s="16">
        <v>20</v>
      </c>
      <c r="E127" s="16">
        <v>83</v>
      </c>
      <c r="F127" s="16">
        <v>240</v>
      </c>
      <c r="G127" s="16">
        <v>319</v>
      </c>
      <c r="H127" s="16">
        <v>662</v>
      </c>
      <c r="K127" s="16">
        <v>2019</v>
      </c>
      <c r="L127" s="16" t="s">
        <v>277</v>
      </c>
      <c r="M127" s="16" t="s">
        <v>793</v>
      </c>
    </row>
    <row r="128" spans="1:13" hidden="1" x14ac:dyDescent="0.3">
      <c r="A128" s="18" t="s">
        <v>312</v>
      </c>
      <c r="B128" s="16" t="s">
        <v>518</v>
      </c>
      <c r="C128" s="16" t="s">
        <v>521</v>
      </c>
      <c r="D128" s="16">
        <v>926486</v>
      </c>
      <c r="E128" s="16">
        <v>1994369</v>
      </c>
      <c r="F128" s="16">
        <v>3223376</v>
      </c>
      <c r="G128" s="16">
        <v>2793820</v>
      </c>
      <c r="H128" s="16">
        <v>8938051</v>
      </c>
      <c r="K128" s="16">
        <v>2019</v>
      </c>
      <c r="L128" s="16" t="s">
        <v>277</v>
      </c>
      <c r="M128" s="16" t="s">
        <v>793</v>
      </c>
    </row>
    <row r="129" spans="1:13" hidden="1" x14ac:dyDescent="0.3">
      <c r="A129" s="18" t="s">
        <v>81</v>
      </c>
      <c r="B129" s="16" t="s">
        <v>522</v>
      </c>
      <c r="C129" s="16" t="s">
        <v>519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K129" s="16">
        <v>2018</v>
      </c>
      <c r="L129" s="16" t="s">
        <v>277</v>
      </c>
      <c r="M129" s="16" t="s">
        <v>794</v>
      </c>
    </row>
    <row r="130" spans="1:13" hidden="1" x14ac:dyDescent="0.3">
      <c r="A130" s="18" t="s">
        <v>81</v>
      </c>
      <c r="B130" s="16" t="s">
        <v>522</v>
      </c>
      <c r="C130" s="16" t="s">
        <v>520</v>
      </c>
      <c r="D130" s="16">
        <v>3</v>
      </c>
      <c r="E130" s="16">
        <v>34</v>
      </c>
      <c r="F130" s="16">
        <v>0</v>
      </c>
      <c r="G130" s="16">
        <v>0</v>
      </c>
      <c r="H130" s="16">
        <v>37</v>
      </c>
      <c r="I130" s="16">
        <v>37</v>
      </c>
      <c r="K130" s="16">
        <v>2018</v>
      </c>
      <c r="L130" s="16" t="s">
        <v>277</v>
      </c>
      <c r="M130" s="16" t="s">
        <v>794</v>
      </c>
    </row>
    <row r="131" spans="1:13" hidden="1" x14ac:dyDescent="0.3">
      <c r="A131" s="18" t="s">
        <v>81</v>
      </c>
      <c r="B131" s="16" t="s">
        <v>522</v>
      </c>
      <c r="C131" s="16" t="s">
        <v>520</v>
      </c>
      <c r="D131" s="16">
        <v>65</v>
      </c>
      <c r="F131" s="16">
        <v>1</v>
      </c>
      <c r="H131" s="16">
        <v>66</v>
      </c>
      <c r="K131" s="16">
        <v>2019</v>
      </c>
      <c r="L131" s="16" t="s">
        <v>277</v>
      </c>
      <c r="M131" s="16" t="s">
        <v>794</v>
      </c>
    </row>
    <row r="132" spans="1:13" hidden="1" x14ac:dyDescent="0.3">
      <c r="A132" s="18" t="s">
        <v>81</v>
      </c>
      <c r="B132" s="16" t="s">
        <v>522</v>
      </c>
      <c r="C132" s="16" t="s">
        <v>521</v>
      </c>
      <c r="D132" s="16">
        <v>2609955</v>
      </c>
      <c r="F132" s="16">
        <v>9132</v>
      </c>
      <c r="H132" s="16">
        <v>2619087</v>
      </c>
      <c r="K132" s="16">
        <v>2019</v>
      </c>
      <c r="L132" s="16" t="s">
        <v>277</v>
      </c>
      <c r="M132" s="16" t="s">
        <v>794</v>
      </c>
    </row>
    <row r="133" spans="1:13" hidden="1" x14ac:dyDescent="0.3">
      <c r="A133" s="18" t="s">
        <v>81</v>
      </c>
      <c r="B133" s="16" t="s">
        <v>522</v>
      </c>
      <c r="C133" s="16" t="s">
        <v>521</v>
      </c>
      <c r="D133" s="16">
        <v>120459.46153846153</v>
      </c>
      <c r="E133" s="16">
        <v>0</v>
      </c>
      <c r="F133" s="16">
        <v>0</v>
      </c>
      <c r="G133" s="16">
        <v>0</v>
      </c>
      <c r="H133" s="16">
        <v>120459.46153846153</v>
      </c>
      <c r="I133" s="16">
        <v>0</v>
      </c>
      <c r="J133" s="16">
        <v>0</v>
      </c>
      <c r="K133" s="16">
        <v>2018</v>
      </c>
      <c r="L133" s="16" t="s">
        <v>277</v>
      </c>
      <c r="M133" s="16" t="s">
        <v>794</v>
      </c>
    </row>
    <row r="134" spans="1:13" hidden="1" x14ac:dyDescent="0.3">
      <c r="A134" s="18" t="s">
        <v>81</v>
      </c>
      <c r="B134" s="16" t="s">
        <v>518</v>
      </c>
      <c r="C134" s="16" t="s">
        <v>519</v>
      </c>
      <c r="D134" s="16">
        <v>0</v>
      </c>
      <c r="E134" s="16">
        <v>4</v>
      </c>
      <c r="F134" s="16">
        <v>8</v>
      </c>
      <c r="G134" s="16">
        <v>1</v>
      </c>
      <c r="H134" s="16">
        <v>13</v>
      </c>
      <c r="I134" s="16">
        <v>13</v>
      </c>
      <c r="J134" s="16">
        <v>64</v>
      </c>
      <c r="K134" s="16">
        <v>2018</v>
      </c>
      <c r="L134" s="16" t="s">
        <v>277</v>
      </c>
      <c r="M134" s="16" t="s">
        <v>794</v>
      </c>
    </row>
    <row r="135" spans="1:13" hidden="1" x14ac:dyDescent="0.3">
      <c r="A135" s="18" t="s">
        <v>81</v>
      </c>
      <c r="B135" s="16" t="s">
        <v>518</v>
      </c>
      <c r="C135" s="16" t="s">
        <v>520</v>
      </c>
      <c r="D135" s="16">
        <v>3</v>
      </c>
      <c r="E135" s="16">
        <v>104</v>
      </c>
      <c r="F135" s="16">
        <v>677</v>
      </c>
      <c r="G135" s="16">
        <v>30</v>
      </c>
      <c r="H135" s="16">
        <v>814</v>
      </c>
      <c r="I135" s="16">
        <v>814</v>
      </c>
      <c r="J135" s="16">
        <v>793</v>
      </c>
      <c r="K135" s="16">
        <v>2018</v>
      </c>
      <c r="L135" s="16" t="s">
        <v>277</v>
      </c>
      <c r="M135" s="16" t="s">
        <v>794</v>
      </c>
    </row>
    <row r="136" spans="1:13" hidden="1" x14ac:dyDescent="0.3">
      <c r="A136" s="18" t="s">
        <v>81</v>
      </c>
      <c r="B136" s="16" t="s">
        <v>518</v>
      </c>
      <c r="C136" s="16" t="s">
        <v>521</v>
      </c>
      <c r="D136" s="16">
        <v>53160</v>
      </c>
      <c r="E136" s="16">
        <v>1221351</v>
      </c>
      <c r="F136" s="16">
        <v>5189738</v>
      </c>
      <c r="G136" s="16">
        <v>188081</v>
      </c>
      <c r="H136" s="16">
        <v>6652330</v>
      </c>
      <c r="I136" s="16">
        <v>6652330</v>
      </c>
      <c r="J136" s="16">
        <v>529274</v>
      </c>
      <c r="K136" s="16">
        <v>2018</v>
      </c>
      <c r="L136" s="16" t="s">
        <v>277</v>
      </c>
      <c r="M136" s="16" t="s">
        <v>794</v>
      </c>
    </row>
    <row r="137" spans="1:13" hidden="1" x14ac:dyDescent="0.3">
      <c r="A137" s="18" t="s">
        <v>81</v>
      </c>
      <c r="B137" s="16" t="s">
        <v>518</v>
      </c>
      <c r="C137" s="16" t="s">
        <v>519</v>
      </c>
      <c r="E137" s="16">
        <v>29</v>
      </c>
      <c r="F137" s="16">
        <v>26</v>
      </c>
      <c r="G137" s="16">
        <v>1</v>
      </c>
      <c r="H137" s="16">
        <v>56</v>
      </c>
      <c r="I137" s="16">
        <v>51</v>
      </c>
      <c r="K137" s="16">
        <v>2019</v>
      </c>
      <c r="L137" s="16" t="s">
        <v>277</v>
      </c>
      <c r="M137" s="16" t="s">
        <v>794</v>
      </c>
    </row>
    <row r="138" spans="1:13" hidden="1" x14ac:dyDescent="0.3">
      <c r="A138" s="18" t="s">
        <v>81</v>
      </c>
      <c r="B138" s="16" t="s">
        <v>518</v>
      </c>
      <c r="C138" s="16" t="s">
        <v>520</v>
      </c>
      <c r="D138" s="16">
        <v>10</v>
      </c>
      <c r="E138" s="16">
        <v>217</v>
      </c>
      <c r="F138" s="16">
        <v>1203</v>
      </c>
      <c r="G138" s="16">
        <v>31</v>
      </c>
      <c r="H138" s="16">
        <v>1461</v>
      </c>
      <c r="I138" s="16">
        <v>1461</v>
      </c>
      <c r="K138" s="16">
        <v>2019</v>
      </c>
      <c r="L138" s="16" t="s">
        <v>277</v>
      </c>
      <c r="M138" s="16" t="s">
        <v>794</v>
      </c>
    </row>
    <row r="139" spans="1:13" hidden="1" x14ac:dyDescent="0.3">
      <c r="A139" s="18" t="s">
        <v>81</v>
      </c>
      <c r="B139" s="16" t="s">
        <v>518</v>
      </c>
      <c r="C139" s="16" t="s">
        <v>521</v>
      </c>
      <c r="D139" s="16">
        <v>560421</v>
      </c>
      <c r="E139" s="16">
        <v>3382554</v>
      </c>
      <c r="F139" s="16">
        <v>10160120</v>
      </c>
      <c r="G139" s="16">
        <v>239744</v>
      </c>
      <c r="H139" s="16">
        <v>14342839</v>
      </c>
      <c r="I139" s="16">
        <v>14342839</v>
      </c>
      <c r="K139" s="16">
        <v>2019</v>
      </c>
      <c r="L139" s="16" t="s">
        <v>277</v>
      </c>
      <c r="M139" s="16" t="s">
        <v>794</v>
      </c>
    </row>
    <row r="140" spans="1:13" hidden="1" x14ac:dyDescent="0.3">
      <c r="A140" s="17" t="s">
        <v>89</v>
      </c>
      <c r="B140" s="16" t="s">
        <v>522</v>
      </c>
      <c r="C140" s="16" t="s">
        <v>520</v>
      </c>
      <c r="D140" s="16">
        <v>9</v>
      </c>
      <c r="H140" s="16">
        <v>9</v>
      </c>
      <c r="I140" s="16">
        <v>9</v>
      </c>
      <c r="K140" s="16">
        <v>2019</v>
      </c>
      <c r="L140" s="16" t="s">
        <v>277</v>
      </c>
      <c r="M140" s="16" t="s">
        <v>795</v>
      </c>
    </row>
    <row r="141" spans="1:13" hidden="1" x14ac:dyDescent="0.3">
      <c r="A141" s="17" t="s">
        <v>89</v>
      </c>
      <c r="B141" s="16" t="s">
        <v>522</v>
      </c>
      <c r="C141" s="16" t="s">
        <v>520</v>
      </c>
      <c r="D141" s="16">
        <v>8</v>
      </c>
      <c r="H141" s="16">
        <v>8</v>
      </c>
      <c r="I141" s="16">
        <v>8</v>
      </c>
      <c r="K141" s="16">
        <v>2018</v>
      </c>
      <c r="L141" s="16" t="s">
        <v>277</v>
      </c>
      <c r="M141" s="16" t="s">
        <v>795</v>
      </c>
    </row>
    <row r="142" spans="1:13" hidden="1" x14ac:dyDescent="0.3">
      <c r="A142" s="17" t="s">
        <v>89</v>
      </c>
      <c r="B142" s="16" t="s">
        <v>522</v>
      </c>
      <c r="C142" s="16" t="s">
        <v>521</v>
      </c>
      <c r="D142" s="16">
        <v>244439</v>
      </c>
      <c r="H142" s="16">
        <v>244439</v>
      </c>
      <c r="K142" s="16">
        <v>2019</v>
      </c>
      <c r="L142" s="16" t="s">
        <v>277</v>
      </c>
      <c r="M142" s="16" t="s">
        <v>795</v>
      </c>
    </row>
    <row r="143" spans="1:13" hidden="1" x14ac:dyDescent="0.3">
      <c r="A143" s="17" t="s">
        <v>89</v>
      </c>
      <c r="B143" s="16" t="s">
        <v>522</v>
      </c>
      <c r="C143" s="16" t="s">
        <v>521</v>
      </c>
      <c r="D143" s="16">
        <v>253916</v>
      </c>
      <c r="H143" s="16">
        <v>253916</v>
      </c>
      <c r="K143" s="16">
        <v>2018</v>
      </c>
      <c r="L143" s="16" t="s">
        <v>277</v>
      </c>
      <c r="M143" s="16" t="s">
        <v>795</v>
      </c>
    </row>
    <row r="144" spans="1:13" hidden="1" x14ac:dyDescent="0.3">
      <c r="A144" s="17" t="s">
        <v>89</v>
      </c>
      <c r="B144" s="16" t="s">
        <v>518</v>
      </c>
      <c r="C144" s="16" t="s">
        <v>519</v>
      </c>
      <c r="D144" s="16">
        <v>10</v>
      </c>
      <c r="E144" s="16">
        <v>34</v>
      </c>
      <c r="F144" s="16">
        <v>23</v>
      </c>
      <c r="G144" s="16">
        <v>4</v>
      </c>
      <c r="H144" s="16">
        <v>71</v>
      </c>
      <c r="I144" s="16">
        <v>71</v>
      </c>
      <c r="K144" s="16">
        <v>2019</v>
      </c>
      <c r="L144" s="16" t="s">
        <v>277</v>
      </c>
      <c r="M144" s="16" t="s">
        <v>795</v>
      </c>
    </row>
    <row r="145" spans="1:13" hidden="1" x14ac:dyDescent="0.3">
      <c r="A145" s="17" t="s">
        <v>89</v>
      </c>
      <c r="B145" s="16" t="s">
        <v>518</v>
      </c>
      <c r="C145" s="16" t="s">
        <v>519</v>
      </c>
      <c r="D145" s="16">
        <v>10</v>
      </c>
      <c r="E145" s="16">
        <v>31</v>
      </c>
      <c r="F145" s="16">
        <v>24</v>
      </c>
      <c r="G145" s="16">
        <v>3</v>
      </c>
      <c r="H145" s="16">
        <v>68</v>
      </c>
      <c r="I145" s="16">
        <v>68</v>
      </c>
      <c r="K145" s="16">
        <v>2018</v>
      </c>
      <c r="L145" s="16" t="s">
        <v>277</v>
      </c>
      <c r="M145" s="16" t="s">
        <v>795</v>
      </c>
    </row>
    <row r="146" spans="1:13" hidden="1" x14ac:dyDescent="0.3">
      <c r="A146" s="17" t="s">
        <v>89</v>
      </c>
      <c r="B146" s="16" t="s">
        <v>518</v>
      </c>
      <c r="C146" s="16" t="s">
        <v>520</v>
      </c>
      <c r="D146" s="16">
        <v>98</v>
      </c>
      <c r="E146" s="16">
        <v>201</v>
      </c>
      <c r="F146" s="16">
        <v>429</v>
      </c>
      <c r="G146" s="16">
        <v>22</v>
      </c>
      <c r="H146" s="16">
        <v>750</v>
      </c>
      <c r="I146" s="16">
        <v>750</v>
      </c>
      <c r="K146" s="16">
        <v>2019</v>
      </c>
      <c r="L146" s="16" t="s">
        <v>277</v>
      </c>
      <c r="M146" s="16" t="s">
        <v>795</v>
      </c>
    </row>
    <row r="147" spans="1:13" hidden="1" x14ac:dyDescent="0.3">
      <c r="A147" s="17" t="s">
        <v>89</v>
      </c>
      <c r="B147" s="16" t="s">
        <v>518</v>
      </c>
      <c r="C147" s="16" t="s">
        <v>520</v>
      </c>
      <c r="D147" s="16">
        <v>101</v>
      </c>
      <c r="E147" s="16">
        <v>198</v>
      </c>
      <c r="F147" s="16">
        <v>361</v>
      </c>
      <c r="G147" s="16">
        <v>18</v>
      </c>
      <c r="H147" s="16">
        <v>678</v>
      </c>
      <c r="I147" s="16">
        <v>678</v>
      </c>
      <c r="K147" s="16">
        <v>2018</v>
      </c>
      <c r="L147" s="16" t="s">
        <v>277</v>
      </c>
      <c r="M147" s="16" t="s">
        <v>795</v>
      </c>
    </row>
    <row r="148" spans="1:13" hidden="1" x14ac:dyDescent="0.3">
      <c r="A148" s="17" t="s">
        <v>89</v>
      </c>
      <c r="B148" s="16" t="s">
        <v>518</v>
      </c>
      <c r="C148" s="16" t="s">
        <v>521</v>
      </c>
      <c r="D148" s="16">
        <v>3230769</v>
      </c>
      <c r="E148" s="16">
        <v>1059002</v>
      </c>
      <c r="F148" s="16">
        <v>848919</v>
      </c>
      <c r="G148" s="16">
        <v>34641</v>
      </c>
      <c r="H148" s="16">
        <v>5173331</v>
      </c>
      <c r="I148" s="16">
        <v>5173331</v>
      </c>
      <c r="K148" s="16">
        <v>2019</v>
      </c>
      <c r="L148" s="16" t="s">
        <v>277</v>
      </c>
      <c r="M148" s="16" t="s">
        <v>795</v>
      </c>
    </row>
    <row r="149" spans="1:13" hidden="1" x14ac:dyDescent="0.3">
      <c r="A149" s="17" t="s">
        <v>89</v>
      </c>
      <c r="B149" s="16" t="s">
        <v>518</v>
      </c>
      <c r="C149" s="16" t="s">
        <v>521</v>
      </c>
      <c r="D149" s="16">
        <v>2975532</v>
      </c>
      <c r="E149" s="16">
        <v>994623</v>
      </c>
      <c r="F149" s="16">
        <v>781902</v>
      </c>
      <c r="G149" s="16">
        <v>33863</v>
      </c>
      <c r="H149" s="16">
        <v>4785920</v>
      </c>
      <c r="I149" s="16">
        <v>4785920</v>
      </c>
      <c r="K149" s="16">
        <v>2018</v>
      </c>
      <c r="L149" s="16" t="s">
        <v>277</v>
      </c>
      <c r="M149" s="16" t="s">
        <v>795</v>
      </c>
    </row>
    <row r="150" spans="1:13" hidden="1" x14ac:dyDescent="0.3">
      <c r="A150" s="17" t="s">
        <v>94</v>
      </c>
      <c r="B150" s="16" t="s">
        <v>522</v>
      </c>
      <c r="C150" s="16" t="s">
        <v>519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2019</v>
      </c>
      <c r="L150" s="16" t="s">
        <v>789</v>
      </c>
      <c r="M150" s="16" t="s">
        <v>240</v>
      </c>
    </row>
    <row r="151" spans="1:13" hidden="1" x14ac:dyDescent="0.3">
      <c r="A151" s="17" t="s">
        <v>94</v>
      </c>
      <c r="B151" s="16" t="s">
        <v>522</v>
      </c>
      <c r="C151" s="16" t="s">
        <v>520</v>
      </c>
      <c r="D151" s="16">
        <v>3</v>
      </c>
      <c r="E151" s="16">
        <v>0</v>
      </c>
      <c r="F151" s="16">
        <v>0</v>
      </c>
      <c r="G151" s="16">
        <v>0</v>
      </c>
      <c r="H151" s="16">
        <v>3</v>
      </c>
      <c r="I151" s="16">
        <v>1</v>
      </c>
      <c r="J151" s="16">
        <v>2</v>
      </c>
      <c r="K151" s="16">
        <v>2019</v>
      </c>
      <c r="L151" s="16" t="s">
        <v>789</v>
      </c>
      <c r="M151" s="16" t="s">
        <v>240</v>
      </c>
    </row>
    <row r="152" spans="1:13" hidden="1" x14ac:dyDescent="0.3">
      <c r="A152" s="17" t="s">
        <v>94</v>
      </c>
      <c r="B152" s="16" t="s">
        <v>522</v>
      </c>
      <c r="C152" s="16" t="s">
        <v>521</v>
      </c>
      <c r="D152" s="16">
        <v>248835.46</v>
      </c>
      <c r="E152" s="16">
        <v>0</v>
      </c>
      <c r="F152" s="16">
        <v>0</v>
      </c>
      <c r="G152" s="16">
        <v>0</v>
      </c>
      <c r="H152" s="16">
        <v>248835.46</v>
      </c>
      <c r="K152" s="16">
        <v>2019</v>
      </c>
      <c r="L152" s="16" t="s">
        <v>789</v>
      </c>
      <c r="M152" s="16" t="s">
        <v>240</v>
      </c>
    </row>
    <row r="153" spans="1:13" hidden="1" x14ac:dyDescent="0.3">
      <c r="A153" s="17" t="s">
        <v>94</v>
      </c>
      <c r="B153" s="16" t="s">
        <v>518</v>
      </c>
      <c r="C153" s="16" t="s">
        <v>519</v>
      </c>
      <c r="D153" s="16">
        <v>0</v>
      </c>
      <c r="E153" s="16">
        <v>1</v>
      </c>
      <c r="F153" s="16">
        <v>1</v>
      </c>
      <c r="G153" s="16">
        <v>1</v>
      </c>
      <c r="H153" s="16">
        <v>3</v>
      </c>
      <c r="I153" s="16">
        <v>3</v>
      </c>
      <c r="J153" s="16">
        <v>0</v>
      </c>
      <c r="K153" s="16">
        <v>2019</v>
      </c>
      <c r="L153" s="16" t="s">
        <v>789</v>
      </c>
      <c r="M153" s="16" t="s">
        <v>240</v>
      </c>
    </row>
    <row r="154" spans="1:13" hidden="1" x14ac:dyDescent="0.3">
      <c r="A154" s="17" t="s">
        <v>94</v>
      </c>
      <c r="B154" s="16" t="s">
        <v>518</v>
      </c>
      <c r="C154" s="16" t="s">
        <v>520</v>
      </c>
      <c r="D154" s="16">
        <v>2</v>
      </c>
      <c r="E154" s="16">
        <v>15</v>
      </c>
      <c r="F154" s="16">
        <v>12</v>
      </c>
      <c r="G154" s="16">
        <v>50</v>
      </c>
      <c r="H154" s="16">
        <v>79</v>
      </c>
      <c r="I154" s="16">
        <v>79</v>
      </c>
      <c r="J154" s="16">
        <v>0</v>
      </c>
      <c r="K154" s="16">
        <v>2019</v>
      </c>
      <c r="L154" s="16" t="s">
        <v>789</v>
      </c>
      <c r="M154" s="16" t="s">
        <v>240</v>
      </c>
    </row>
    <row r="155" spans="1:13" hidden="1" x14ac:dyDescent="0.3">
      <c r="A155" s="17" t="s">
        <v>94</v>
      </c>
      <c r="B155" s="16" t="s">
        <v>518</v>
      </c>
      <c r="C155" s="16" t="s">
        <v>521</v>
      </c>
      <c r="D155" s="16">
        <v>61047.847000000002</v>
      </c>
      <c r="E155" s="16">
        <v>159356.84</v>
      </c>
      <c r="F155" s="16">
        <v>55307.665000000001</v>
      </c>
      <c r="G155" s="16">
        <v>143794.23000000001</v>
      </c>
      <c r="H155" s="16">
        <v>419506.58200000005</v>
      </c>
      <c r="I155" s="16">
        <v>364198.91</v>
      </c>
      <c r="J155" s="16">
        <v>0</v>
      </c>
      <c r="K155" s="16">
        <v>2019</v>
      </c>
      <c r="L155" s="16" t="s">
        <v>789</v>
      </c>
      <c r="M155" s="16" t="s">
        <v>240</v>
      </c>
    </row>
    <row r="156" spans="1:13" hidden="1" x14ac:dyDescent="0.3">
      <c r="A156" s="18" t="s">
        <v>98</v>
      </c>
      <c r="B156" s="16" t="s">
        <v>522</v>
      </c>
      <c r="C156" s="16" t="s">
        <v>519</v>
      </c>
      <c r="D156" s="16">
        <v>1</v>
      </c>
      <c r="E156" s="16">
        <v>0</v>
      </c>
      <c r="F156" s="16">
        <v>0</v>
      </c>
      <c r="G156" s="16">
        <v>0</v>
      </c>
      <c r="H156" s="16">
        <v>1</v>
      </c>
      <c r="I156" s="16">
        <v>1</v>
      </c>
      <c r="J156" s="16">
        <v>0</v>
      </c>
      <c r="K156" s="16">
        <v>2018</v>
      </c>
      <c r="L156" s="16" t="s">
        <v>277</v>
      </c>
      <c r="M156" s="16" t="s">
        <v>240</v>
      </c>
    </row>
    <row r="157" spans="1:13" hidden="1" x14ac:dyDescent="0.3">
      <c r="A157" s="18" t="s">
        <v>98</v>
      </c>
      <c r="B157" s="16" t="s">
        <v>522</v>
      </c>
      <c r="C157" s="16" t="s">
        <v>520</v>
      </c>
      <c r="D157" s="16">
        <v>52</v>
      </c>
      <c r="E157" s="16">
        <v>0</v>
      </c>
      <c r="F157" s="16">
        <v>0</v>
      </c>
      <c r="G157" s="16">
        <v>0</v>
      </c>
      <c r="H157" s="16">
        <v>52</v>
      </c>
      <c r="I157" s="16">
        <v>52</v>
      </c>
      <c r="J157" s="16">
        <v>0</v>
      </c>
      <c r="K157" s="16">
        <v>2018</v>
      </c>
      <c r="L157" s="16" t="s">
        <v>277</v>
      </c>
      <c r="M157" s="16" t="s">
        <v>240</v>
      </c>
    </row>
    <row r="158" spans="1:13" hidden="1" x14ac:dyDescent="0.3">
      <c r="A158" s="18" t="s">
        <v>98</v>
      </c>
      <c r="B158" s="16" t="s">
        <v>522</v>
      </c>
      <c r="C158" s="16" t="s">
        <v>521</v>
      </c>
      <c r="D158" s="16">
        <v>4382350</v>
      </c>
      <c r="E158" s="16">
        <v>0</v>
      </c>
      <c r="F158" s="16">
        <v>0</v>
      </c>
      <c r="G158" s="16">
        <v>0</v>
      </c>
      <c r="H158" s="16">
        <v>4382350</v>
      </c>
      <c r="K158" s="16">
        <v>2018</v>
      </c>
      <c r="L158" s="16" t="s">
        <v>277</v>
      </c>
      <c r="M158" s="16" t="s">
        <v>240</v>
      </c>
    </row>
    <row r="159" spans="1:13" hidden="1" x14ac:dyDescent="0.3">
      <c r="A159" s="18" t="s">
        <v>98</v>
      </c>
      <c r="B159" s="16" t="s">
        <v>522</v>
      </c>
      <c r="C159" s="16" t="s">
        <v>519</v>
      </c>
      <c r="D159" s="16">
        <v>4</v>
      </c>
      <c r="H159" s="16">
        <v>4</v>
      </c>
      <c r="I159" s="16">
        <v>4</v>
      </c>
      <c r="K159" s="16">
        <v>2019</v>
      </c>
      <c r="L159" s="16" t="s">
        <v>277</v>
      </c>
      <c r="M159" s="16" t="s">
        <v>240</v>
      </c>
    </row>
    <row r="160" spans="1:13" hidden="1" x14ac:dyDescent="0.3">
      <c r="A160" s="18" t="s">
        <v>98</v>
      </c>
      <c r="B160" s="16" t="s">
        <v>522</v>
      </c>
      <c r="C160" s="16" t="s">
        <v>520</v>
      </c>
      <c r="D160" s="16">
        <v>49</v>
      </c>
      <c r="H160" s="16">
        <v>49</v>
      </c>
      <c r="I160" s="16">
        <v>49</v>
      </c>
      <c r="K160" s="16">
        <v>2019</v>
      </c>
      <c r="L160" s="16" t="s">
        <v>277</v>
      </c>
      <c r="M160" s="16" t="s">
        <v>240</v>
      </c>
    </row>
    <row r="161" spans="1:13" hidden="1" x14ac:dyDescent="0.3">
      <c r="A161" s="18" t="s">
        <v>98</v>
      </c>
      <c r="B161" s="16" t="s">
        <v>522</v>
      </c>
      <c r="C161" s="16" t="s">
        <v>521</v>
      </c>
      <c r="D161" s="16">
        <v>5938000</v>
      </c>
      <c r="H161" s="16">
        <v>5938000</v>
      </c>
      <c r="K161" s="16">
        <v>2019</v>
      </c>
      <c r="L161" s="16" t="s">
        <v>277</v>
      </c>
      <c r="M161" s="16" t="s">
        <v>240</v>
      </c>
    </row>
    <row r="162" spans="1:13" hidden="1" x14ac:dyDescent="0.3">
      <c r="A162" s="18" t="s">
        <v>98</v>
      </c>
      <c r="B162" s="16" t="s">
        <v>518</v>
      </c>
      <c r="C162" s="16" t="s">
        <v>519</v>
      </c>
      <c r="D162" s="16">
        <v>1</v>
      </c>
      <c r="E162" s="16">
        <v>39</v>
      </c>
      <c r="F162" s="16">
        <v>5</v>
      </c>
      <c r="G162" s="16">
        <v>4</v>
      </c>
      <c r="H162" s="16">
        <v>49</v>
      </c>
      <c r="I162" s="16">
        <v>49</v>
      </c>
      <c r="J162" s="16">
        <v>0</v>
      </c>
      <c r="K162" s="16">
        <v>2018</v>
      </c>
      <c r="L162" s="16" t="s">
        <v>277</v>
      </c>
      <c r="M162" s="16" t="s">
        <v>240</v>
      </c>
    </row>
    <row r="163" spans="1:13" hidden="1" x14ac:dyDescent="0.3">
      <c r="A163" s="18" t="s">
        <v>98</v>
      </c>
      <c r="B163" s="16" t="s">
        <v>518</v>
      </c>
      <c r="C163" s="16" t="s">
        <v>520</v>
      </c>
      <c r="D163" s="16">
        <v>45</v>
      </c>
      <c r="E163" s="16">
        <v>30</v>
      </c>
      <c r="F163" s="16">
        <v>80</v>
      </c>
      <c r="G163" s="16">
        <v>40</v>
      </c>
      <c r="H163" s="16">
        <v>195</v>
      </c>
      <c r="I163" s="16">
        <v>195</v>
      </c>
      <c r="J163" s="16">
        <v>0</v>
      </c>
      <c r="K163" s="16">
        <v>2018</v>
      </c>
      <c r="L163" s="16" t="s">
        <v>277</v>
      </c>
      <c r="M163" s="16" t="s">
        <v>240</v>
      </c>
    </row>
    <row r="164" spans="1:13" hidden="1" x14ac:dyDescent="0.3">
      <c r="A164" s="18" t="s">
        <v>98</v>
      </c>
      <c r="B164" s="16" t="s">
        <v>518</v>
      </c>
      <c r="C164" s="16" t="s">
        <v>521</v>
      </c>
      <c r="D164" s="16">
        <v>407380</v>
      </c>
      <c r="E164" s="16">
        <v>611070</v>
      </c>
      <c r="F164" s="16">
        <v>752770</v>
      </c>
      <c r="G164" s="16">
        <v>389660</v>
      </c>
      <c r="H164" s="16">
        <v>2160880</v>
      </c>
      <c r="I164" s="16">
        <v>2160890</v>
      </c>
      <c r="J164" s="16">
        <v>0</v>
      </c>
      <c r="K164" s="16">
        <v>2018</v>
      </c>
      <c r="L164" s="16" t="s">
        <v>277</v>
      </c>
      <c r="M164" s="16" t="s">
        <v>240</v>
      </c>
    </row>
    <row r="165" spans="1:13" hidden="1" x14ac:dyDescent="0.3">
      <c r="A165" s="18" t="s">
        <v>98</v>
      </c>
      <c r="B165" s="16" t="s">
        <v>518</v>
      </c>
      <c r="C165" s="16" t="s">
        <v>519</v>
      </c>
      <c r="D165" s="16">
        <v>3</v>
      </c>
      <c r="F165" s="16">
        <v>8</v>
      </c>
      <c r="G165" s="16">
        <v>9</v>
      </c>
      <c r="H165" s="16">
        <v>20</v>
      </c>
      <c r="I165" s="16">
        <v>20</v>
      </c>
      <c r="K165" s="16">
        <v>2019</v>
      </c>
      <c r="L165" s="16" t="s">
        <v>277</v>
      </c>
      <c r="M165" s="16" t="s">
        <v>240</v>
      </c>
    </row>
    <row r="166" spans="1:13" hidden="1" x14ac:dyDescent="0.3">
      <c r="A166" s="18" t="s">
        <v>98</v>
      </c>
      <c r="B166" s="16" t="s">
        <v>518</v>
      </c>
      <c r="C166" s="16" t="s">
        <v>520</v>
      </c>
      <c r="D166" s="16">
        <v>38</v>
      </c>
      <c r="F166" s="16">
        <v>32</v>
      </c>
      <c r="G166" s="16">
        <v>55</v>
      </c>
      <c r="H166" s="16">
        <v>125</v>
      </c>
      <c r="I166" s="16">
        <v>225</v>
      </c>
      <c r="K166" s="16">
        <v>2019</v>
      </c>
      <c r="L166" s="16" t="s">
        <v>277</v>
      </c>
      <c r="M166" s="16" t="s">
        <v>240</v>
      </c>
    </row>
    <row r="167" spans="1:13" hidden="1" x14ac:dyDescent="0.3">
      <c r="A167" s="18" t="s">
        <v>98</v>
      </c>
      <c r="B167" s="16" t="s">
        <v>518</v>
      </c>
      <c r="C167" s="16" t="s">
        <v>521</v>
      </c>
      <c r="D167" s="16">
        <v>411000</v>
      </c>
      <c r="F167" s="16">
        <v>401000</v>
      </c>
      <c r="G167" s="16">
        <v>1645000</v>
      </c>
      <c r="H167" s="16">
        <v>2457000</v>
      </c>
      <c r="I167" s="16">
        <v>2457000</v>
      </c>
      <c r="K167" s="16">
        <v>2019</v>
      </c>
      <c r="L167" s="16" t="s">
        <v>277</v>
      </c>
      <c r="M167" s="16" t="s">
        <v>240</v>
      </c>
    </row>
    <row r="168" spans="1:13" hidden="1" x14ac:dyDescent="0.3">
      <c r="A168" s="17" t="s">
        <v>103</v>
      </c>
      <c r="B168" s="16" t="s">
        <v>522</v>
      </c>
      <c r="C168" s="16" t="s">
        <v>519</v>
      </c>
      <c r="D168" s="16">
        <v>3</v>
      </c>
      <c r="E168" s="16">
        <v>0</v>
      </c>
      <c r="F168" s="16">
        <v>0</v>
      </c>
      <c r="G168" s="16">
        <v>0</v>
      </c>
      <c r="H168" s="16">
        <v>3</v>
      </c>
      <c r="I168" s="16">
        <v>3</v>
      </c>
      <c r="K168" s="16">
        <v>2018</v>
      </c>
      <c r="L168" s="16" t="s">
        <v>277</v>
      </c>
      <c r="M168" s="16" t="s">
        <v>240</v>
      </c>
    </row>
    <row r="169" spans="1:13" hidden="1" x14ac:dyDescent="0.3">
      <c r="A169" s="17" t="s">
        <v>103</v>
      </c>
      <c r="B169" s="16" t="s">
        <v>522</v>
      </c>
      <c r="C169" s="16" t="s">
        <v>519</v>
      </c>
      <c r="D169" s="16">
        <v>3</v>
      </c>
      <c r="E169" s="16">
        <v>0</v>
      </c>
      <c r="F169" s="16">
        <v>0</v>
      </c>
      <c r="G169" s="16">
        <v>0</v>
      </c>
      <c r="H169" s="16">
        <v>3</v>
      </c>
      <c r="I169" s="16">
        <v>3</v>
      </c>
      <c r="K169" s="16">
        <v>2019</v>
      </c>
      <c r="L169" s="16" t="s">
        <v>277</v>
      </c>
      <c r="M169" s="16" t="s">
        <v>240</v>
      </c>
    </row>
    <row r="170" spans="1:13" hidden="1" x14ac:dyDescent="0.3">
      <c r="A170" s="17" t="s">
        <v>103</v>
      </c>
      <c r="B170" s="16" t="s">
        <v>522</v>
      </c>
      <c r="C170" s="16" t="s">
        <v>520</v>
      </c>
      <c r="D170" s="16">
        <v>80</v>
      </c>
      <c r="E170" s="16">
        <v>1</v>
      </c>
      <c r="F170" s="16">
        <v>0</v>
      </c>
      <c r="G170" s="16">
        <v>0</v>
      </c>
      <c r="H170" s="16">
        <v>81</v>
      </c>
      <c r="I170" s="16">
        <v>81</v>
      </c>
      <c r="K170" s="16">
        <v>2018</v>
      </c>
      <c r="L170" s="16" t="s">
        <v>277</v>
      </c>
      <c r="M170" s="16" t="s">
        <v>240</v>
      </c>
    </row>
    <row r="171" spans="1:13" hidden="1" x14ac:dyDescent="0.3">
      <c r="A171" s="17" t="s">
        <v>103</v>
      </c>
      <c r="B171" s="16" t="s">
        <v>522</v>
      </c>
      <c r="C171" s="16" t="s">
        <v>520</v>
      </c>
      <c r="D171" s="16">
        <v>102</v>
      </c>
      <c r="E171" s="16">
        <v>1</v>
      </c>
      <c r="F171" s="16">
        <v>1</v>
      </c>
      <c r="G171" s="16">
        <v>0</v>
      </c>
      <c r="H171" s="16">
        <v>104</v>
      </c>
      <c r="I171" s="16">
        <v>105</v>
      </c>
      <c r="K171" s="16">
        <v>2019</v>
      </c>
      <c r="L171" s="16" t="s">
        <v>277</v>
      </c>
      <c r="M171" s="16" t="s">
        <v>240</v>
      </c>
    </row>
    <row r="172" spans="1:13" hidden="1" x14ac:dyDescent="0.3">
      <c r="A172" s="17" t="s">
        <v>103</v>
      </c>
      <c r="B172" s="16" t="s">
        <v>522</v>
      </c>
      <c r="C172" s="16" t="s">
        <v>521</v>
      </c>
      <c r="D172" s="16">
        <v>1702729</v>
      </c>
      <c r="E172" s="16">
        <v>4859</v>
      </c>
      <c r="F172" s="16">
        <v>0</v>
      </c>
      <c r="G172" s="16">
        <v>0</v>
      </c>
      <c r="H172" s="16">
        <v>1707588</v>
      </c>
      <c r="K172" s="16">
        <v>2018</v>
      </c>
      <c r="L172" s="16" t="s">
        <v>277</v>
      </c>
      <c r="M172" s="16" t="s">
        <v>240</v>
      </c>
    </row>
    <row r="173" spans="1:13" hidden="1" x14ac:dyDescent="0.3">
      <c r="A173" s="17" t="s">
        <v>103</v>
      </c>
      <c r="B173" s="16" t="s">
        <v>522</v>
      </c>
      <c r="C173" s="16" t="s">
        <v>521</v>
      </c>
      <c r="D173" s="16">
        <v>1814878</v>
      </c>
      <c r="E173" s="16">
        <v>41837</v>
      </c>
      <c r="F173" s="16">
        <v>23879</v>
      </c>
      <c r="G173" s="16">
        <v>0</v>
      </c>
      <c r="H173" s="16">
        <v>1880594</v>
      </c>
      <c r="K173" s="16">
        <v>2019</v>
      </c>
      <c r="L173" s="16" t="s">
        <v>277</v>
      </c>
      <c r="M173" s="16" t="s">
        <v>240</v>
      </c>
    </row>
    <row r="174" spans="1:13" hidden="1" x14ac:dyDescent="0.3">
      <c r="A174" s="17" t="s">
        <v>103</v>
      </c>
      <c r="B174" s="16" t="s">
        <v>518</v>
      </c>
      <c r="C174" s="16" t="s">
        <v>519</v>
      </c>
      <c r="D174" s="16">
        <v>10</v>
      </c>
      <c r="E174" s="16">
        <v>3</v>
      </c>
      <c r="F174" s="16">
        <v>6</v>
      </c>
      <c r="G174" s="16">
        <v>0</v>
      </c>
      <c r="H174" s="16">
        <v>19</v>
      </c>
      <c r="I174" s="16">
        <v>19</v>
      </c>
      <c r="K174" s="16">
        <v>2018</v>
      </c>
      <c r="L174" s="16" t="s">
        <v>277</v>
      </c>
      <c r="M174" s="16" t="s">
        <v>240</v>
      </c>
    </row>
    <row r="175" spans="1:13" hidden="1" x14ac:dyDescent="0.3">
      <c r="A175" s="17" t="s">
        <v>103</v>
      </c>
      <c r="B175" s="16" t="s">
        <v>518</v>
      </c>
      <c r="C175" s="16" t="s">
        <v>519</v>
      </c>
      <c r="D175" s="16">
        <v>7</v>
      </c>
      <c r="E175" s="16">
        <v>9</v>
      </c>
      <c r="F175" s="16">
        <v>8</v>
      </c>
      <c r="G175" s="16">
        <v>3</v>
      </c>
      <c r="H175" s="16">
        <v>27</v>
      </c>
      <c r="I175" s="16">
        <v>27</v>
      </c>
      <c r="K175" s="16">
        <v>2019</v>
      </c>
      <c r="L175" s="16" t="s">
        <v>277</v>
      </c>
      <c r="M175" s="16" t="s">
        <v>240</v>
      </c>
    </row>
    <row r="176" spans="1:13" hidden="1" x14ac:dyDescent="0.3">
      <c r="A176" s="17" t="s">
        <v>103</v>
      </c>
      <c r="B176" s="16" t="s">
        <v>518</v>
      </c>
      <c r="C176" s="16" t="s">
        <v>520</v>
      </c>
      <c r="D176" s="16">
        <v>64</v>
      </c>
      <c r="E176" s="16">
        <v>33</v>
      </c>
      <c r="F176" s="16">
        <v>130</v>
      </c>
      <c r="G176" s="16">
        <v>63</v>
      </c>
      <c r="H176" s="16">
        <v>290</v>
      </c>
      <c r="I176" s="16">
        <v>290</v>
      </c>
      <c r="K176" s="16">
        <v>2018</v>
      </c>
      <c r="L176" s="16" t="s">
        <v>277</v>
      </c>
      <c r="M176" s="16" t="s">
        <v>240</v>
      </c>
    </row>
    <row r="177" spans="1:13" hidden="1" x14ac:dyDescent="0.3">
      <c r="A177" s="17" t="s">
        <v>103</v>
      </c>
      <c r="B177" s="16" t="s">
        <v>518</v>
      </c>
      <c r="C177" s="16" t="s">
        <v>520</v>
      </c>
      <c r="D177" s="16">
        <v>38</v>
      </c>
      <c r="E177" s="16">
        <v>70</v>
      </c>
      <c r="F177" s="16">
        <v>166</v>
      </c>
      <c r="G177" s="16">
        <v>52</v>
      </c>
      <c r="H177" s="16">
        <v>326</v>
      </c>
      <c r="I177" s="16">
        <v>326</v>
      </c>
      <c r="K177" s="16">
        <v>2019</v>
      </c>
      <c r="L177" s="16" t="s">
        <v>277</v>
      </c>
      <c r="M177" s="16" t="s">
        <v>240</v>
      </c>
    </row>
    <row r="178" spans="1:13" hidden="1" x14ac:dyDescent="0.3">
      <c r="A178" s="17" t="s">
        <v>103</v>
      </c>
      <c r="B178" s="16" t="s">
        <v>518</v>
      </c>
      <c r="C178" s="16" t="s">
        <v>521</v>
      </c>
      <c r="D178" s="16">
        <v>281439</v>
      </c>
      <c r="E178" s="16">
        <v>484810</v>
      </c>
      <c r="F178" s="16">
        <v>2127547</v>
      </c>
      <c r="G178" s="16">
        <v>701144</v>
      </c>
      <c r="H178" s="16">
        <v>3594940</v>
      </c>
      <c r="I178" s="16">
        <v>5694940</v>
      </c>
      <c r="K178" s="16">
        <v>2018</v>
      </c>
      <c r="L178" s="16" t="s">
        <v>277</v>
      </c>
      <c r="M178" s="16" t="s">
        <v>240</v>
      </c>
    </row>
    <row r="179" spans="1:13" hidden="1" x14ac:dyDescent="0.3">
      <c r="A179" s="17" t="s">
        <v>103</v>
      </c>
      <c r="B179" s="16" t="s">
        <v>518</v>
      </c>
      <c r="C179" s="16" t="s">
        <v>521</v>
      </c>
      <c r="D179" s="16">
        <v>1736645</v>
      </c>
      <c r="E179" s="16">
        <v>1852470</v>
      </c>
      <c r="F179" s="16">
        <v>2737320</v>
      </c>
      <c r="G179" s="16">
        <v>599206</v>
      </c>
      <c r="H179" s="16">
        <v>6925641</v>
      </c>
      <c r="K179" s="16">
        <v>2019</v>
      </c>
      <c r="L179" s="16" t="s">
        <v>277</v>
      </c>
      <c r="M179" s="16" t="s">
        <v>240</v>
      </c>
    </row>
    <row r="180" spans="1:13" hidden="1" x14ac:dyDescent="0.3">
      <c r="A180" s="17" t="s">
        <v>110</v>
      </c>
      <c r="B180" s="16" t="s">
        <v>522</v>
      </c>
      <c r="C180" s="16" t="s">
        <v>519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K180" s="16">
        <v>2019</v>
      </c>
      <c r="L180" s="16" t="s">
        <v>788</v>
      </c>
      <c r="M180" s="16" t="s">
        <v>240</v>
      </c>
    </row>
    <row r="181" spans="1:13" hidden="1" x14ac:dyDescent="0.3">
      <c r="A181" s="17" t="s">
        <v>110</v>
      </c>
      <c r="B181" s="16" t="s">
        <v>522</v>
      </c>
      <c r="C181" s="16" t="s">
        <v>520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K181" s="16">
        <v>2019</v>
      </c>
      <c r="L181" s="16" t="s">
        <v>788</v>
      </c>
      <c r="M181" s="16" t="s">
        <v>240</v>
      </c>
    </row>
    <row r="182" spans="1:13" hidden="1" x14ac:dyDescent="0.3">
      <c r="A182" s="17" t="s">
        <v>110</v>
      </c>
      <c r="B182" s="16" t="s">
        <v>522</v>
      </c>
      <c r="C182" s="16" t="s">
        <v>521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K182" s="16">
        <v>2019</v>
      </c>
      <c r="L182" s="16" t="s">
        <v>788</v>
      </c>
      <c r="M182" s="16" t="s">
        <v>240</v>
      </c>
    </row>
    <row r="183" spans="1:13" hidden="1" x14ac:dyDescent="0.3">
      <c r="A183" s="17" t="s">
        <v>110</v>
      </c>
      <c r="B183" s="16" t="s">
        <v>518</v>
      </c>
      <c r="C183" s="16" t="s">
        <v>519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K183" s="16">
        <v>2019</v>
      </c>
      <c r="L183" s="16" t="s">
        <v>788</v>
      </c>
      <c r="M183" s="16" t="s">
        <v>240</v>
      </c>
    </row>
    <row r="184" spans="1:13" hidden="1" x14ac:dyDescent="0.3">
      <c r="A184" s="17" t="s">
        <v>110</v>
      </c>
      <c r="B184" s="16" t="s">
        <v>518</v>
      </c>
      <c r="C184" s="16" t="s">
        <v>520</v>
      </c>
      <c r="D184" s="16">
        <v>6</v>
      </c>
      <c r="E184" s="16">
        <v>4</v>
      </c>
      <c r="F184" s="16">
        <v>3</v>
      </c>
      <c r="G184" s="16">
        <v>6</v>
      </c>
      <c r="H184" s="16">
        <v>19</v>
      </c>
      <c r="I184" s="16">
        <v>19</v>
      </c>
      <c r="K184" s="16">
        <v>2019</v>
      </c>
      <c r="L184" s="16" t="s">
        <v>788</v>
      </c>
      <c r="M184" s="16" t="s">
        <v>240</v>
      </c>
    </row>
    <row r="185" spans="1:13" hidden="1" x14ac:dyDescent="0.3">
      <c r="A185" s="17" t="s">
        <v>110</v>
      </c>
      <c r="B185" s="16" t="s">
        <v>518</v>
      </c>
      <c r="C185" s="16" t="s">
        <v>520</v>
      </c>
      <c r="D185" s="16">
        <v>7</v>
      </c>
      <c r="E185" s="16">
        <v>6</v>
      </c>
      <c r="F185" s="16">
        <v>9</v>
      </c>
      <c r="G185" s="16">
        <v>4</v>
      </c>
      <c r="H185" s="16">
        <v>26</v>
      </c>
      <c r="I185" s="16">
        <v>26</v>
      </c>
      <c r="K185" s="16">
        <v>2018</v>
      </c>
      <c r="L185" s="16" t="s">
        <v>788</v>
      </c>
      <c r="M185" s="16" t="s">
        <v>240</v>
      </c>
    </row>
    <row r="186" spans="1:13" hidden="1" x14ac:dyDescent="0.3">
      <c r="A186" s="17" t="s">
        <v>110</v>
      </c>
      <c r="B186" s="16" t="s">
        <v>518</v>
      </c>
      <c r="C186" s="16" t="s">
        <v>521</v>
      </c>
      <c r="D186" s="16">
        <v>127393</v>
      </c>
      <c r="E186" s="16">
        <v>78359</v>
      </c>
      <c r="F186" s="16">
        <v>27037</v>
      </c>
      <c r="G186" s="16">
        <v>23913</v>
      </c>
      <c r="H186" s="16">
        <v>256702</v>
      </c>
      <c r="K186" s="16">
        <v>2019</v>
      </c>
      <c r="L186" s="16" t="s">
        <v>788</v>
      </c>
      <c r="M186" s="16" t="s">
        <v>240</v>
      </c>
    </row>
    <row r="187" spans="1:13" hidden="1" x14ac:dyDescent="0.3">
      <c r="A187" s="17" t="s">
        <v>110</v>
      </c>
      <c r="B187" s="16" t="s">
        <v>518</v>
      </c>
      <c r="C187" s="16" t="s">
        <v>521</v>
      </c>
      <c r="D187" s="16">
        <v>193354</v>
      </c>
      <c r="E187" s="16">
        <v>176552</v>
      </c>
      <c r="F187" s="16">
        <v>93524</v>
      </c>
      <c r="G187" s="16">
        <v>36391</v>
      </c>
      <c r="H187" s="16">
        <v>499821</v>
      </c>
      <c r="I187" s="16">
        <v>499820</v>
      </c>
      <c r="K187" s="16">
        <v>2018</v>
      </c>
      <c r="L187" s="16" t="s">
        <v>788</v>
      </c>
      <c r="M187" s="16" t="s">
        <v>240</v>
      </c>
    </row>
    <row r="188" spans="1:13" hidden="1" x14ac:dyDescent="0.3">
      <c r="A188" s="17" t="s">
        <v>113</v>
      </c>
      <c r="B188" s="16" t="s">
        <v>522</v>
      </c>
      <c r="C188" s="16" t="s">
        <v>519</v>
      </c>
      <c r="D188" s="16">
        <v>0</v>
      </c>
      <c r="E188" s="16">
        <v>0</v>
      </c>
      <c r="F188" s="16">
        <v>0</v>
      </c>
      <c r="H188" s="16">
        <v>0</v>
      </c>
      <c r="K188" s="16">
        <v>2018</v>
      </c>
      <c r="L188" s="16" t="s">
        <v>277</v>
      </c>
      <c r="M188" s="16" t="s">
        <v>344</v>
      </c>
    </row>
    <row r="189" spans="1:13" hidden="1" x14ac:dyDescent="0.3">
      <c r="A189" s="17" t="s">
        <v>113</v>
      </c>
      <c r="B189" s="16" t="s">
        <v>522</v>
      </c>
      <c r="C189" s="16" t="s">
        <v>519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2019</v>
      </c>
      <c r="L189" s="16" t="s">
        <v>277</v>
      </c>
      <c r="M189" s="16" t="s">
        <v>344</v>
      </c>
    </row>
    <row r="190" spans="1:13" hidden="1" x14ac:dyDescent="0.3">
      <c r="A190" s="17" t="s">
        <v>113</v>
      </c>
      <c r="B190" s="16" t="s">
        <v>522</v>
      </c>
      <c r="C190" s="16" t="s">
        <v>520</v>
      </c>
      <c r="D190" s="16">
        <v>1</v>
      </c>
      <c r="E190" s="16">
        <v>0</v>
      </c>
      <c r="F190" s="16">
        <v>1</v>
      </c>
      <c r="G190" s="16">
        <v>0</v>
      </c>
      <c r="H190" s="16">
        <v>2</v>
      </c>
      <c r="K190" s="16">
        <v>2018</v>
      </c>
      <c r="L190" s="16" t="s">
        <v>277</v>
      </c>
      <c r="M190" s="16" t="s">
        <v>344</v>
      </c>
    </row>
    <row r="191" spans="1:13" hidden="1" x14ac:dyDescent="0.3">
      <c r="A191" s="17" t="s">
        <v>113</v>
      </c>
      <c r="B191" s="16" t="s">
        <v>522</v>
      </c>
      <c r="C191" s="16" t="s">
        <v>520</v>
      </c>
      <c r="D191" s="16">
        <v>1</v>
      </c>
      <c r="E191" s="16">
        <v>0</v>
      </c>
      <c r="F191" s="16">
        <v>1</v>
      </c>
      <c r="G191" s="16">
        <v>0</v>
      </c>
      <c r="H191" s="16">
        <v>2</v>
      </c>
      <c r="I191" s="16">
        <v>2</v>
      </c>
      <c r="K191" s="16">
        <v>2019</v>
      </c>
      <c r="L191" s="16" t="s">
        <v>277</v>
      </c>
      <c r="M191" s="16" t="s">
        <v>344</v>
      </c>
    </row>
    <row r="192" spans="1:13" hidden="1" x14ac:dyDescent="0.3">
      <c r="A192" s="17" t="s">
        <v>113</v>
      </c>
      <c r="B192" s="16" t="s">
        <v>522</v>
      </c>
      <c r="C192" s="16" t="s">
        <v>521</v>
      </c>
      <c r="D192" s="16">
        <v>22804.036</v>
      </c>
      <c r="E192" s="16">
        <v>0</v>
      </c>
      <c r="F192" s="16">
        <v>5398.1279999999997</v>
      </c>
      <c r="H192" s="16">
        <v>28202.164000000001</v>
      </c>
      <c r="K192" s="16">
        <v>2018</v>
      </c>
      <c r="L192" s="16" t="s">
        <v>277</v>
      </c>
      <c r="M192" s="16" t="s">
        <v>344</v>
      </c>
    </row>
    <row r="193" spans="1:13" hidden="1" x14ac:dyDescent="0.3">
      <c r="A193" s="17" t="s">
        <v>113</v>
      </c>
      <c r="B193" s="16" t="s">
        <v>522</v>
      </c>
      <c r="C193" s="16" t="s">
        <v>521</v>
      </c>
      <c r="D193" s="16">
        <v>22804.036</v>
      </c>
      <c r="E193" s="16">
        <v>0</v>
      </c>
      <c r="F193" s="16">
        <v>5398.1279999999997</v>
      </c>
      <c r="H193" s="16">
        <v>28202.164000000001</v>
      </c>
      <c r="K193" s="16">
        <v>2019</v>
      </c>
      <c r="L193" s="16" t="s">
        <v>277</v>
      </c>
      <c r="M193" s="16" t="s">
        <v>344</v>
      </c>
    </row>
    <row r="194" spans="1:13" hidden="1" x14ac:dyDescent="0.3">
      <c r="A194" s="17" t="s">
        <v>113</v>
      </c>
      <c r="B194" s="16" t="s">
        <v>518</v>
      </c>
      <c r="C194" s="16" t="s">
        <v>521</v>
      </c>
      <c r="D194" s="16">
        <v>34931.71</v>
      </c>
      <c r="E194" s="16">
        <v>46368</v>
      </c>
      <c r="F194" s="16">
        <v>76046.827000000005</v>
      </c>
      <c r="G194" s="16">
        <v>165100</v>
      </c>
      <c r="H194" s="16">
        <v>322446.53700000001</v>
      </c>
      <c r="K194" s="16">
        <v>2018</v>
      </c>
      <c r="L194" s="16" t="s">
        <v>277</v>
      </c>
      <c r="M194" s="16" t="s">
        <v>344</v>
      </c>
    </row>
    <row r="195" spans="1:13" hidden="1" x14ac:dyDescent="0.3">
      <c r="A195" s="17" t="s">
        <v>113</v>
      </c>
      <c r="B195" s="16" t="s">
        <v>518</v>
      </c>
      <c r="C195" s="16" t="s">
        <v>521</v>
      </c>
      <c r="D195" s="16">
        <v>34931.71</v>
      </c>
      <c r="E195" s="16">
        <v>46368</v>
      </c>
      <c r="F195" s="16">
        <v>76046.827000000005</v>
      </c>
      <c r="G195" s="16">
        <v>165100</v>
      </c>
      <c r="H195" s="16">
        <v>322446.53700000001</v>
      </c>
      <c r="K195" s="16">
        <v>2019</v>
      </c>
      <c r="L195" s="16" t="s">
        <v>277</v>
      </c>
      <c r="M195" s="16" t="s">
        <v>344</v>
      </c>
    </row>
    <row r="196" spans="1:13" hidden="1" x14ac:dyDescent="0.3">
      <c r="A196" s="17" t="s">
        <v>113</v>
      </c>
      <c r="B196" s="16" t="s">
        <v>518</v>
      </c>
      <c r="C196" s="16" t="s">
        <v>519</v>
      </c>
      <c r="D196" s="16">
        <v>0</v>
      </c>
      <c r="E196" s="16">
        <v>0</v>
      </c>
      <c r="F196" s="16">
        <v>1</v>
      </c>
      <c r="G196" s="16">
        <v>2</v>
      </c>
      <c r="H196" s="16">
        <v>3</v>
      </c>
      <c r="K196" s="16">
        <v>2018</v>
      </c>
      <c r="L196" s="16" t="s">
        <v>277</v>
      </c>
      <c r="M196" s="16" t="s">
        <v>344</v>
      </c>
    </row>
    <row r="197" spans="1:13" hidden="1" x14ac:dyDescent="0.3">
      <c r="A197" s="17" t="s">
        <v>113</v>
      </c>
      <c r="B197" s="16" t="s">
        <v>518</v>
      </c>
      <c r="C197" s="16" t="s">
        <v>519</v>
      </c>
      <c r="D197" s="16">
        <v>0</v>
      </c>
      <c r="E197" s="16">
        <v>0</v>
      </c>
      <c r="F197" s="16">
        <v>1</v>
      </c>
      <c r="G197" s="16">
        <v>2</v>
      </c>
      <c r="H197" s="16">
        <v>3</v>
      </c>
      <c r="I197" s="16">
        <v>5</v>
      </c>
      <c r="K197" s="16">
        <v>2019</v>
      </c>
      <c r="L197" s="16" t="s">
        <v>277</v>
      </c>
      <c r="M197" s="16" t="s">
        <v>344</v>
      </c>
    </row>
    <row r="198" spans="1:13" hidden="1" x14ac:dyDescent="0.3">
      <c r="A198" s="17" t="s">
        <v>113</v>
      </c>
      <c r="B198" s="16" t="s">
        <v>518</v>
      </c>
      <c r="C198" s="16" t="s">
        <v>520</v>
      </c>
      <c r="D198" s="16">
        <v>2</v>
      </c>
      <c r="E198" s="16">
        <v>5</v>
      </c>
      <c r="F198" s="16">
        <v>13</v>
      </c>
      <c r="G198" s="16">
        <v>59</v>
      </c>
      <c r="H198" s="16">
        <v>79</v>
      </c>
      <c r="K198" s="16">
        <v>2018</v>
      </c>
      <c r="L198" s="16" t="s">
        <v>277</v>
      </c>
      <c r="M198" s="16" t="s">
        <v>344</v>
      </c>
    </row>
    <row r="199" spans="1:13" hidden="1" x14ac:dyDescent="0.3">
      <c r="A199" s="17" t="s">
        <v>113</v>
      </c>
      <c r="B199" s="16" t="s">
        <v>518</v>
      </c>
      <c r="C199" s="16" t="s">
        <v>520</v>
      </c>
      <c r="D199" s="16">
        <v>2</v>
      </c>
      <c r="E199" s="16">
        <v>5</v>
      </c>
      <c r="F199" s="16">
        <v>13</v>
      </c>
      <c r="G199" s="16">
        <v>59</v>
      </c>
      <c r="H199" s="16">
        <v>79</v>
      </c>
      <c r="I199" s="16">
        <v>59</v>
      </c>
      <c r="J199" s="16">
        <v>20</v>
      </c>
      <c r="K199" s="16">
        <v>2019</v>
      </c>
      <c r="L199" s="16" t="s">
        <v>277</v>
      </c>
      <c r="M199" s="16" t="s">
        <v>344</v>
      </c>
    </row>
    <row r="200" spans="1:13" hidden="1" x14ac:dyDescent="0.3">
      <c r="A200" s="17" t="s">
        <v>119</v>
      </c>
      <c r="B200" s="16" t="s">
        <v>522</v>
      </c>
      <c r="C200" s="16" t="s">
        <v>520</v>
      </c>
      <c r="E200" s="16">
        <v>1</v>
      </c>
      <c r="H200" s="16">
        <v>1</v>
      </c>
      <c r="K200" s="16">
        <v>2018</v>
      </c>
      <c r="L200" s="16" t="s">
        <v>302</v>
      </c>
      <c r="M200" s="16" t="s">
        <v>223</v>
      </c>
    </row>
    <row r="201" spans="1:13" hidden="1" x14ac:dyDescent="0.3">
      <c r="A201" s="17" t="s">
        <v>119</v>
      </c>
      <c r="B201" s="16" t="s">
        <v>522</v>
      </c>
      <c r="C201" s="16" t="s">
        <v>521</v>
      </c>
      <c r="E201" s="16">
        <v>28073</v>
      </c>
      <c r="G201" s="16">
        <v>28073</v>
      </c>
      <c r="H201" s="16">
        <v>56146</v>
      </c>
      <c r="K201" s="16">
        <v>2018</v>
      </c>
      <c r="L201" s="16" t="s">
        <v>302</v>
      </c>
      <c r="M201" s="16" t="s">
        <v>223</v>
      </c>
    </row>
    <row r="202" spans="1:13" hidden="1" x14ac:dyDescent="0.3">
      <c r="A202" s="17" t="s">
        <v>119</v>
      </c>
      <c r="B202" s="16" t="s">
        <v>522</v>
      </c>
      <c r="C202" s="16" t="s">
        <v>519</v>
      </c>
      <c r="E202" s="16">
        <v>0</v>
      </c>
      <c r="H202" s="16">
        <v>0</v>
      </c>
      <c r="K202" s="16">
        <v>2019</v>
      </c>
      <c r="L202" s="16" t="s">
        <v>302</v>
      </c>
      <c r="M202" s="16" t="s">
        <v>223</v>
      </c>
    </row>
    <row r="203" spans="1:13" hidden="1" x14ac:dyDescent="0.3">
      <c r="A203" s="17" t="s">
        <v>119</v>
      </c>
      <c r="B203" s="16" t="s">
        <v>522</v>
      </c>
      <c r="C203" s="16" t="s">
        <v>520</v>
      </c>
      <c r="E203" s="16">
        <v>1</v>
      </c>
      <c r="H203" s="16">
        <v>1</v>
      </c>
      <c r="K203" s="16">
        <v>2019</v>
      </c>
      <c r="L203" s="16" t="s">
        <v>302</v>
      </c>
      <c r="M203" s="16" t="s">
        <v>223</v>
      </c>
    </row>
    <row r="204" spans="1:13" hidden="1" x14ac:dyDescent="0.3">
      <c r="A204" s="17" t="s">
        <v>119</v>
      </c>
      <c r="B204" s="16" t="s">
        <v>522</v>
      </c>
      <c r="C204" s="16" t="s">
        <v>521</v>
      </c>
      <c r="E204" s="16">
        <v>15305</v>
      </c>
      <c r="H204" s="16">
        <v>15305</v>
      </c>
      <c r="K204" s="16">
        <v>2019</v>
      </c>
      <c r="L204" s="16" t="s">
        <v>302</v>
      </c>
      <c r="M204" s="16" t="s">
        <v>223</v>
      </c>
    </row>
    <row r="205" spans="1:13" hidden="1" x14ac:dyDescent="0.3">
      <c r="A205" s="17" t="s">
        <v>119</v>
      </c>
      <c r="B205" s="16" t="s">
        <v>518</v>
      </c>
      <c r="C205" s="16" t="s">
        <v>519</v>
      </c>
      <c r="E205" s="16">
        <v>6</v>
      </c>
      <c r="F205" s="16">
        <v>3</v>
      </c>
      <c r="G205" s="16">
        <v>2</v>
      </c>
      <c r="H205" s="16">
        <v>11</v>
      </c>
      <c r="K205" s="16">
        <v>2018</v>
      </c>
      <c r="L205" s="16" t="s">
        <v>302</v>
      </c>
      <c r="M205" s="16" t="s">
        <v>223</v>
      </c>
    </row>
    <row r="206" spans="1:13" hidden="1" x14ac:dyDescent="0.3">
      <c r="A206" s="17" t="s">
        <v>119</v>
      </c>
      <c r="B206" s="16" t="s">
        <v>518</v>
      </c>
      <c r="C206" s="16" t="s">
        <v>520</v>
      </c>
      <c r="D206" s="16">
        <v>2</v>
      </c>
      <c r="E206" s="16">
        <v>33</v>
      </c>
      <c r="F206" s="16">
        <v>59</v>
      </c>
      <c r="G206" s="16">
        <v>60</v>
      </c>
      <c r="H206" s="16">
        <v>154</v>
      </c>
      <c r="K206" s="16">
        <v>2018</v>
      </c>
      <c r="L206" s="16" t="s">
        <v>302</v>
      </c>
      <c r="M206" s="16" t="s">
        <v>223</v>
      </c>
    </row>
    <row r="207" spans="1:13" hidden="1" x14ac:dyDescent="0.3">
      <c r="A207" s="17" t="s">
        <v>119</v>
      </c>
      <c r="B207" s="16" t="s">
        <v>518</v>
      </c>
      <c r="C207" s="16" t="s">
        <v>521</v>
      </c>
      <c r="D207" s="16">
        <v>39262</v>
      </c>
      <c r="E207" s="16">
        <v>232389</v>
      </c>
      <c r="F207" s="16">
        <v>255548</v>
      </c>
      <c r="G207" s="16">
        <v>206721</v>
      </c>
      <c r="H207" s="16">
        <v>733920</v>
      </c>
      <c r="K207" s="16">
        <v>2018</v>
      </c>
      <c r="L207" s="16" t="s">
        <v>302</v>
      </c>
      <c r="M207" s="16" t="s">
        <v>223</v>
      </c>
    </row>
    <row r="208" spans="1:13" hidden="1" x14ac:dyDescent="0.3">
      <c r="A208" s="17" t="s">
        <v>119</v>
      </c>
      <c r="B208" s="16" t="s">
        <v>518</v>
      </c>
      <c r="C208" s="16" t="s">
        <v>519</v>
      </c>
      <c r="D208" s="16">
        <v>0</v>
      </c>
      <c r="E208" s="16">
        <v>4</v>
      </c>
      <c r="F208" s="16">
        <v>3</v>
      </c>
      <c r="G208" s="16">
        <v>1</v>
      </c>
      <c r="H208" s="16">
        <v>8</v>
      </c>
      <c r="I208" s="16">
        <v>8</v>
      </c>
      <c r="K208" s="16">
        <v>2019</v>
      </c>
      <c r="L208" s="16" t="s">
        <v>302</v>
      </c>
      <c r="M208" s="16" t="s">
        <v>223</v>
      </c>
    </row>
    <row r="209" spans="1:13" hidden="1" x14ac:dyDescent="0.3">
      <c r="A209" s="17" t="s">
        <v>119</v>
      </c>
      <c r="B209" s="16" t="s">
        <v>518</v>
      </c>
      <c r="C209" s="16" t="s">
        <v>520</v>
      </c>
      <c r="D209" s="16">
        <v>2</v>
      </c>
      <c r="E209" s="16">
        <v>7</v>
      </c>
      <c r="F209" s="16">
        <v>26</v>
      </c>
      <c r="G209" s="16">
        <v>54</v>
      </c>
      <c r="H209" s="16">
        <v>89</v>
      </c>
      <c r="I209" s="16">
        <v>89</v>
      </c>
      <c r="K209" s="16">
        <v>2019</v>
      </c>
      <c r="L209" s="16" t="s">
        <v>302</v>
      </c>
      <c r="M209" s="16" t="s">
        <v>223</v>
      </c>
    </row>
    <row r="210" spans="1:13" hidden="1" x14ac:dyDescent="0.3">
      <c r="A210" s="17" t="s">
        <v>119</v>
      </c>
      <c r="B210" s="16" t="s">
        <v>518</v>
      </c>
      <c r="C210" s="16" t="s">
        <v>521</v>
      </c>
      <c r="D210" s="16">
        <v>32045</v>
      </c>
      <c r="E210" s="16">
        <v>88349</v>
      </c>
      <c r="F210" s="16">
        <v>148426</v>
      </c>
      <c r="G210" s="16">
        <v>212961</v>
      </c>
      <c r="H210" s="16">
        <v>481781</v>
      </c>
      <c r="I210" s="16">
        <v>481782</v>
      </c>
      <c r="K210" s="16">
        <v>2019</v>
      </c>
      <c r="L210" s="16" t="s">
        <v>302</v>
      </c>
      <c r="M210" s="16" t="s">
        <v>223</v>
      </c>
    </row>
    <row r="211" spans="1:13" hidden="1" x14ac:dyDescent="0.3">
      <c r="A211" s="18" t="s">
        <v>156</v>
      </c>
      <c r="B211" s="16" t="s">
        <v>522</v>
      </c>
      <c r="C211" s="16" t="s">
        <v>519</v>
      </c>
      <c r="D211" s="16">
        <v>0</v>
      </c>
      <c r="E211" s="16">
        <v>0</v>
      </c>
      <c r="F211" s="16">
        <v>1</v>
      </c>
      <c r="G211" s="16">
        <v>0</v>
      </c>
      <c r="H211" s="16">
        <v>1</v>
      </c>
      <c r="K211" s="16">
        <v>2019</v>
      </c>
      <c r="L211" s="16" t="s">
        <v>277</v>
      </c>
      <c r="M211" s="16" t="s">
        <v>344</v>
      </c>
    </row>
    <row r="212" spans="1:13" hidden="1" x14ac:dyDescent="0.3">
      <c r="A212" s="18" t="s">
        <v>156</v>
      </c>
      <c r="B212" s="16" t="s">
        <v>522</v>
      </c>
      <c r="C212" s="16" t="s">
        <v>519</v>
      </c>
      <c r="D212" s="16">
        <v>0</v>
      </c>
      <c r="E212" s="16">
        <v>0</v>
      </c>
      <c r="F212" s="16">
        <v>0</v>
      </c>
      <c r="G212" s="16">
        <v>0</v>
      </c>
      <c r="H212" s="16">
        <v>0</v>
      </c>
      <c r="K212" s="16">
        <v>2018</v>
      </c>
      <c r="L212" s="16" t="s">
        <v>277</v>
      </c>
      <c r="M212" s="16" t="s">
        <v>344</v>
      </c>
    </row>
    <row r="213" spans="1:13" hidden="1" x14ac:dyDescent="0.3">
      <c r="A213" s="18" t="s">
        <v>156</v>
      </c>
      <c r="B213" s="16" t="s">
        <v>522</v>
      </c>
      <c r="C213" s="16" t="s">
        <v>520</v>
      </c>
      <c r="D213" s="16">
        <v>4</v>
      </c>
      <c r="E213" s="16">
        <v>1</v>
      </c>
      <c r="F213" s="16">
        <v>0</v>
      </c>
      <c r="G213" s="16">
        <v>0</v>
      </c>
      <c r="H213" s="16">
        <v>5</v>
      </c>
      <c r="K213" s="16">
        <v>2019</v>
      </c>
      <c r="L213" s="16" t="s">
        <v>277</v>
      </c>
      <c r="M213" s="16" t="s">
        <v>344</v>
      </c>
    </row>
    <row r="214" spans="1:13" hidden="1" x14ac:dyDescent="0.3">
      <c r="A214" s="18" t="s">
        <v>156</v>
      </c>
      <c r="B214" s="16" t="s">
        <v>522</v>
      </c>
      <c r="C214" s="16" t="s">
        <v>520</v>
      </c>
      <c r="D214" s="16">
        <v>2</v>
      </c>
      <c r="E214" s="16">
        <v>0</v>
      </c>
      <c r="F214" s="16">
        <v>0</v>
      </c>
      <c r="G214" s="16">
        <v>0</v>
      </c>
      <c r="H214" s="16">
        <v>2</v>
      </c>
      <c r="K214" s="16">
        <v>2018</v>
      </c>
      <c r="L214" s="16" t="s">
        <v>277</v>
      </c>
      <c r="M214" s="16" t="s">
        <v>344</v>
      </c>
    </row>
    <row r="215" spans="1:13" hidden="1" x14ac:dyDescent="0.3">
      <c r="A215" s="18" t="s">
        <v>156</v>
      </c>
      <c r="B215" s="16" t="s">
        <v>522</v>
      </c>
      <c r="C215" s="16" t="s">
        <v>521</v>
      </c>
      <c r="D215" s="16">
        <v>85593</v>
      </c>
      <c r="E215" s="16">
        <v>17406</v>
      </c>
      <c r="F215" s="16">
        <v>9324</v>
      </c>
      <c r="G215" s="16">
        <v>0</v>
      </c>
      <c r="H215" s="16">
        <v>112323</v>
      </c>
      <c r="K215" s="16">
        <v>2019</v>
      </c>
      <c r="L215" s="16" t="s">
        <v>277</v>
      </c>
      <c r="M215" s="16" t="s">
        <v>344</v>
      </c>
    </row>
    <row r="216" spans="1:13" hidden="1" x14ac:dyDescent="0.3">
      <c r="A216" s="18" t="s">
        <v>156</v>
      </c>
      <c r="B216" s="16" t="s">
        <v>522</v>
      </c>
      <c r="C216" s="16" t="s">
        <v>521</v>
      </c>
      <c r="D216" s="16">
        <v>48541</v>
      </c>
      <c r="E216" s="16">
        <v>0</v>
      </c>
      <c r="F216" s="16">
        <v>0</v>
      </c>
      <c r="G216" s="16">
        <v>0</v>
      </c>
      <c r="H216" s="16">
        <v>48541</v>
      </c>
      <c r="K216" s="16">
        <v>2018</v>
      </c>
      <c r="L216" s="16" t="s">
        <v>277</v>
      </c>
      <c r="M216" s="16" t="s">
        <v>344</v>
      </c>
    </row>
    <row r="217" spans="1:13" hidden="1" x14ac:dyDescent="0.3">
      <c r="A217" s="18" t="s">
        <v>156</v>
      </c>
      <c r="B217" s="16" t="s">
        <v>518</v>
      </c>
      <c r="C217" s="16" t="s">
        <v>519</v>
      </c>
      <c r="D217" s="16">
        <v>1</v>
      </c>
      <c r="E217" s="16">
        <v>1</v>
      </c>
      <c r="F217" s="16">
        <v>2</v>
      </c>
      <c r="G217" s="16">
        <v>7</v>
      </c>
      <c r="H217" s="16">
        <v>11</v>
      </c>
      <c r="I217" s="16">
        <v>7</v>
      </c>
      <c r="J217" s="16">
        <v>4</v>
      </c>
      <c r="K217" s="16">
        <v>2019</v>
      </c>
      <c r="L217" s="16" t="s">
        <v>277</v>
      </c>
      <c r="M217" s="16" t="s">
        <v>344</v>
      </c>
    </row>
    <row r="218" spans="1:13" hidden="1" x14ac:dyDescent="0.3">
      <c r="A218" s="18" t="s">
        <v>156</v>
      </c>
      <c r="B218" s="16" t="s">
        <v>518</v>
      </c>
      <c r="C218" s="16" t="s">
        <v>519</v>
      </c>
      <c r="D218" s="16">
        <v>1</v>
      </c>
      <c r="E218" s="16">
        <v>0</v>
      </c>
      <c r="F218" s="16">
        <v>7</v>
      </c>
      <c r="G218" s="16">
        <v>2</v>
      </c>
      <c r="H218" s="16">
        <v>10</v>
      </c>
      <c r="I218" s="16">
        <v>8</v>
      </c>
      <c r="J218" s="16">
        <v>2</v>
      </c>
      <c r="K218" s="16">
        <v>2018</v>
      </c>
      <c r="L218" s="16" t="s">
        <v>277</v>
      </c>
      <c r="M218" s="16" t="s">
        <v>344</v>
      </c>
    </row>
    <row r="219" spans="1:13" hidden="1" x14ac:dyDescent="0.3">
      <c r="A219" s="18" t="s">
        <v>156</v>
      </c>
      <c r="B219" s="16" t="s">
        <v>518</v>
      </c>
      <c r="C219" s="16" t="s">
        <v>520</v>
      </c>
      <c r="D219" s="16">
        <v>1</v>
      </c>
      <c r="E219" s="16">
        <v>3</v>
      </c>
      <c r="F219" s="16">
        <v>26</v>
      </c>
      <c r="G219" s="16">
        <v>38</v>
      </c>
      <c r="H219" s="16">
        <v>68</v>
      </c>
      <c r="I219" s="16">
        <v>68</v>
      </c>
      <c r="J219" s="16">
        <v>0</v>
      </c>
      <c r="K219" s="16">
        <v>2019</v>
      </c>
      <c r="L219" s="16" t="s">
        <v>277</v>
      </c>
      <c r="M219" s="16" t="s">
        <v>344</v>
      </c>
    </row>
    <row r="220" spans="1:13" hidden="1" x14ac:dyDescent="0.3">
      <c r="A220" s="18" t="s">
        <v>156</v>
      </c>
      <c r="B220" s="16" t="s">
        <v>518</v>
      </c>
      <c r="C220" s="16" t="s">
        <v>520</v>
      </c>
      <c r="D220" s="16">
        <v>2</v>
      </c>
      <c r="E220" s="16">
        <v>0</v>
      </c>
      <c r="F220" s="16">
        <v>31</v>
      </c>
      <c r="G220" s="16">
        <v>41</v>
      </c>
      <c r="H220" s="16">
        <v>74</v>
      </c>
      <c r="I220" s="16">
        <v>70</v>
      </c>
      <c r="J220" s="16">
        <v>0</v>
      </c>
      <c r="K220" s="16">
        <v>2018</v>
      </c>
      <c r="L220" s="16" t="s">
        <v>277</v>
      </c>
      <c r="M220" s="16" t="s">
        <v>344</v>
      </c>
    </row>
    <row r="221" spans="1:13" hidden="1" x14ac:dyDescent="0.3">
      <c r="A221" s="18" t="s">
        <v>156</v>
      </c>
      <c r="B221" s="16" t="s">
        <v>518</v>
      </c>
      <c r="C221" s="16" t="s">
        <v>521</v>
      </c>
      <c r="D221" s="16">
        <v>37268</v>
      </c>
      <c r="E221" s="16">
        <v>58191</v>
      </c>
      <c r="F221" s="16">
        <v>192511</v>
      </c>
      <c r="G221" s="16">
        <v>152928</v>
      </c>
      <c r="H221" s="16">
        <v>440898</v>
      </c>
      <c r="I221" s="16">
        <v>438586</v>
      </c>
      <c r="J221" s="16">
        <v>2313</v>
      </c>
      <c r="K221" s="16">
        <v>2019</v>
      </c>
      <c r="L221" s="16" t="s">
        <v>277</v>
      </c>
      <c r="M221" s="16" t="s">
        <v>344</v>
      </c>
    </row>
    <row r="222" spans="1:13" hidden="1" x14ac:dyDescent="0.3">
      <c r="A222" s="18" t="s">
        <v>156</v>
      </c>
      <c r="B222" s="16" t="s">
        <v>518</v>
      </c>
      <c r="C222" s="16" t="s">
        <v>521</v>
      </c>
      <c r="D222" s="16">
        <v>36917</v>
      </c>
      <c r="E222" s="16">
        <v>0</v>
      </c>
      <c r="F222" s="16">
        <v>183224</v>
      </c>
      <c r="G222" s="16">
        <v>118065</v>
      </c>
      <c r="H222" s="16">
        <v>338206</v>
      </c>
      <c r="I222" s="16">
        <v>336172</v>
      </c>
      <c r="J222" s="16">
        <v>2034</v>
      </c>
      <c r="K222" s="16">
        <v>2018</v>
      </c>
      <c r="L222" s="16" t="s">
        <v>277</v>
      </c>
      <c r="M222" s="16" t="s">
        <v>344</v>
      </c>
    </row>
    <row r="223" spans="1:13" hidden="1" x14ac:dyDescent="0.3">
      <c r="A223" s="17" t="s">
        <v>126</v>
      </c>
      <c r="B223" s="16" t="s">
        <v>522</v>
      </c>
      <c r="C223" s="16" t="s">
        <v>520</v>
      </c>
      <c r="D223" s="16">
        <v>3</v>
      </c>
      <c r="H223" s="16">
        <v>3</v>
      </c>
      <c r="J223" s="16">
        <v>3</v>
      </c>
      <c r="K223" s="16">
        <v>2018</v>
      </c>
      <c r="L223" s="16" t="s">
        <v>283</v>
      </c>
      <c r="M223" s="16" t="s">
        <v>353</v>
      </c>
    </row>
    <row r="224" spans="1:13" hidden="1" x14ac:dyDescent="0.3">
      <c r="A224" s="17" t="s">
        <v>126</v>
      </c>
      <c r="B224" s="16" t="s">
        <v>522</v>
      </c>
      <c r="C224" s="16" t="s">
        <v>521</v>
      </c>
      <c r="D224" s="16">
        <v>9649</v>
      </c>
      <c r="H224" s="16">
        <v>9649</v>
      </c>
      <c r="K224" s="16">
        <v>2018</v>
      </c>
      <c r="L224" s="16" t="s">
        <v>283</v>
      </c>
      <c r="M224" s="16" t="s">
        <v>353</v>
      </c>
    </row>
    <row r="225" spans="1:13" hidden="1" x14ac:dyDescent="0.3">
      <c r="A225" s="17" t="s">
        <v>126</v>
      </c>
      <c r="B225" s="16" t="s">
        <v>522</v>
      </c>
      <c r="C225" s="16" t="s">
        <v>520</v>
      </c>
      <c r="D225" s="16">
        <v>4</v>
      </c>
      <c r="H225" s="16">
        <v>4</v>
      </c>
      <c r="K225" s="16">
        <v>2019</v>
      </c>
      <c r="L225" s="16" t="s">
        <v>283</v>
      </c>
      <c r="M225" s="16" t="s">
        <v>353</v>
      </c>
    </row>
    <row r="226" spans="1:13" hidden="1" x14ac:dyDescent="0.3">
      <c r="A226" s="17" t="s">
        <v>126</v>
      </c>
      <c r="B226" s="16" t="s">
        <v>522</v>
      </c>
      <c r="C226" s="16" t="s">
        <v>521</v>
      </c>
      <c r="D226" s="16">
        <v>29747</v>
      </c>
      <c r="H226" s="16">
        <v>29747</v>
      </c>
      <c r="K226" s="16">
        <v>2019</v>
      </c>
      <c r="L226" s="16" t="s">
        <v>283</v>
      </c>
      <c r="M226" s="16" t="s">
        <v>353</v>
      </c>
    </row>
    <row r="227" spans="1:13" hidden="1" x14ac:dyDescent="0.3">
      <c r="A227" s="17" t="s">
        <v>126</v>
      </c>
      <c r="B227" s="16" t="s">
        <v>518</v>
      </c>
      <c r="C227" s="16" t="s">
        <v>519</v>
      </c>
      <c r="D227" s="16">
        <v>0</v>
      </c>
      <c r="E227" s="16">
        <v>0</v>
      </c>
      <c r="F227" s="16">
        <v>2</v>
      </c>
      <c r="G227" s="16">
        <v>1</v>
      </c>
      <c r="H227" s="16">
        <v>3</v>
      </c>
      <c r="J227" s="16">
        <v>3</v>
      </c>
      <c r="K227" s="16">
        <v>2018</v>
      </c>
      <c r="L227" s="16" t="s">
        <v>283</v>
      </c>
      <c r="M227" s="16" t="s">
        <v>353</v>
      </c>
    </row>
    <row r="228" spans="1:13" hidden="1" x14ac:dyDescent="0.3">
      <c r="A228" s="17" t="s">
        <v>126</v>
      </c>
      <c r="B228" s="16" t="s">
        <v>518</v>
      </c>
      <c r="C228" s="16" t="s">
        <v>520</v>
      </c>
      <c r="D228" s="16">
        <v>0</v>
      </c>
      <c r="E228" s="16">
        <v>1</v>
      </c>
      <c r="F228" s="16">
        <v>9</v>
      </c>
      <c r="G228" s="16">
        <v>24</v>
      </c>
      <c r="H228" s="16">
        <v>34</v>
      </c>
      <c r="J228" s="16">
        <v>34</v>
      </c>
      <c r="K228" s="16">
        <v>2018</v>
      </c>
      <c r="L228" s="16" t="s">
        <v>283</v>
      </c>
      <c r="M228" s="16" t="s">
        <v>353</v>
      </c>
    </row>
    <row r="229" spans="1:13" hidden="1" x14ac:dyDescent="0.3">
      <c r="A229" s="17" t="s">
        <v>126</v>
      </c>
      <c r="B229" s="16" t="s">
        <v>518</v>
      </c>
      <c r="C229" s="16" t="s">
        <v>521</v>
      </c>
      <c r="D229" s="16">
        <v>0</v>
      </c>
      <c r="E229" s="16">
        <v>1597</v>
      </c>
      <c r="F229" s="16">
        <v>7384</v>
      </c>
      <c r="G229" s="16">
        <v>15466</v>
      </c>
      <c r="H229" s="16">
        <v>24447</v>
      </c>
      <c r="K229" s="16">
        <v>2018</v>
      </c>
      <c r="L229" s="16" t="s">
        <v>283</v>
      </c>
      <c r="M229" s="16" t="s">
        <v>353</v>
      </c>
    </row>
    <row r="230" spans="1:13" hidden="1" x14ac:dyDescent="0.3">
      <c r="A230" s="17" t="s">
        <v>126</v>
      </c>
      <c r="B230" s="16" t="s">
        <v>518</v>
      </c>
      <c r="C230" s="16" t="s">
        <v>519</v>
      </c>
      <c r="F230" s="16">
        <v>2</v>
      </c>
      <c r="G230" s="16">
        <v>3</v>
      </c>
      <c r="H230" s="16">
        <v>5</v>
      </c>
      <c r="K230" s="16">
        <v>2019</v>
      </c>
      <c r="L230" s="16" t="s">
        <v>283</v>
      </c>
      <c r="M230" s="16" t="s">
        <v>353</v>
      </c>
    </row>
    <row r="231" spans="1:13" hidden="1" x14ac:dyDescent="0.3">
      <c r="A231" s="17" t="s">
        <v>126</v>
      </c>
      <c r="B231" s="16" t="s">
        <v>518</v>
      </c>
      <c r="C231" s="16" t="s">
        <v>520</v>
      </c>
      <c r="E231" s="16">
        <v>8</v>
      </c>
      <c r="F231" s="16">
        <v>24</v>
      </c>
      <c r="G231" s="16">
        <v>16</v>
      </c>
      <c r="H231" s="16">
        <v>48</v>
      </c>
      <c r="K231" s="16">
        <v>2019</v>
      </c>
      <c r="L231" s="16" t="s">
        <v>283</v>
      </c>
      <c r="M231" s="16" t="s">
        <v>353</v>
      </c>
    </row>
    <row r="232" spans="1:13" hidden="1" x14ac:dyDescent="0.3">
      <c r="A232" s="17" t="s">
        <v>126</v>
      </c>
      <c r="B232" s="16" t="s">
        <v>518</v>
      </c>
      <c r="C232" s="16" t="s">
        <v>521</v>
      </c>
      <c r="E232" s="16">
        <v>31959</v>
      </c>
      <c r="F232" s="16">
        <v>56553</v>
      </c>
      <c r="G232" s="16">
        <v>10990</v>
      </c>
      <c r="H232" s="16">
        <v>99502</v>
      </c>
      <c r="K232" s="16">
        <v>2019</v>
      </c>
      <c r="L232" s="16" t="s">
        <v>283</v>
      </c>
      <c r="M232" s="16" t="s">
        <v>353</v>
      </c>
    </row>
    <row r="233" spans="1:13" hidden="1" x14ac:dyDescent="0.3">
      <c r="A233" s="17" t="s">
        <v>130</v>
      </c>
      <c r="B233" s="16" t="s">
        <v>522</v>
      </c>
      <c r="C233" s="16" t="s">
        <v>521</v>
      </c>
      <c r="D233" s="16">
        <v>47464</v>
      </c>
      <c r="F233" s="16">
        <v>0</v>
      </c>
      <c r="G233" s="16">
        <v>0</v>
      </c>
      <c r="H233" s="16">
        <v>47464</v>
      </c>
      <c r="K233" s="16">
        <v>2019</v>
      </c>
      <c r="L233" s="16" t="s">
        <v>283</v>
      </c>
      <c r="M233" s="16" t="s">
        <v>285</v>
      </c>
    </row>
    <row r="234" spans="1:13" hidden="1" x14ac:dyDescent="0.3">
      <c r="A234" s="17" t="s">
        <v>130</v>
      </c>
      <c r="B234" s="16" t="s">
        <v>522</v>
      </c>
      <c r="C234" s="16" t="s">
        <v>519</v>
      </c>
      <c r="D234" s="16">
        <v>1</v>
      </c>
      <c r="E234" s="16">
        <v>0</v>
      </c>
      <c r="F234" s="16">
        <v>0</v>
      </c>
      <c r="G234" s="16">
        <v>0</v>
      </c>
      <c r="H234" s="16">
        <v>1</v>
      </c>
      <c r="K234" s="16">
        <v>2019</v>
      </c>
      <c r="L234" s="16" t="s">
        <v>283</v>
      </c>
      <c r="M234" s="16" t="s">
        <v>285</v>
      </c>
    </row>
    <row r="235" spans="1:13" hidden="1" x14ac:dyDescent="0.3">
      <c r="A235" s="17" t="s">
        <v>130</v>
      </c>
      <c r="B235" s="16" t="s">
        <v>522</v>
      </c>
      <c r="C235" s="16" t="s">
        <v>519</v>
      </c>
      <c r="D235" s="16">
        <v>0</v>
      </c>
      <c r="H235" s="16">
        <v>0</v>
      </c>
      <c r="K235" s="16">
        <v>2018</v>
      </c>
      <c r="L235" s="16" t="s">
        <v>283</v>
      </c>
      <c r="M235" s="16" t="s">
        <v>285</v>
      </c>
    </row>
    <row r="236" spans="1:13" hidden="1" x14ac:dyDescent="0.3">
      <c r="A236" s="17" t="s">
        <v>130</v>
      </c>
      <c r="B236" s="16" t="s">
        <v>522</v>
      </c>
      <c r="C236" s="16" t="s">
        <v>520</v>
      </c>
      <c r="D236" s="16">
        <v>4</v>
      </c>
      <c r="E236" s="16">
        <v>0</v>
      </c>
      <c r="F236" s="16">
        <v>0</v>
      </c>
      <c r="G236" s="16">
        <v>0</v>
      </c>
      <c r="H236" s="16">
        <v>4</v>
      </c>
      <c r="K236" s="16">
        <v>2019</v>
      </c>
      <c r="L236" s="16" t="s">
        <v>283</v>
      </c>
      <c r="M236" s="16" t="s">
        <v>285</v>
      </c>
    </row>
    <row r="237" spans="1:13" hidden="1" x14ac:dyDescent="0.3">
      <c r="A237" s="17" t="s">
        <v>130</v>
      </c>
      <c r="B237" s="16" t="s">
        <v>522</v>
      </c>
      <c r="C237" s="16" t="s">
        <v>520</v>
      </c>
      <c r="D237" s="16">
        <v>5</v>
      </c>
      <c r="H237" s="16">
        <v>5</v>
      </c>
      <c r="K237" s="16">
        <v>2018</v>
      </c>
      <c r="L237" s="16" t="s">
        <v>283</v>
      </c>
      <c r="M237" s="16" t="s">
        <v>285</v>
      </c>
    </row>
    <row r="238" spans="1:13" hidden="1" x14ac:dyDescent="0.3">
      <c r="A238" s="17" t="s">
        <v>130</v>
      </c>
      <c r="B238" s="16" t="s">
        <v>522</v>
      </c>
      <c r="C238" s="16" t="s">
        <v>521</v>
      </c>
      <c r="D238" s="16">
        <v>29593.723999999998</v>
      </c>
      <c r="H238" s="16">
        <v>29593.723999999998</v>
      </c>
      <c r="K238" s="16">
        <v>2018</v>
      </c>
      <c r="L238" s="16" t="s">
        <v>283</v>
      </c>
      <c r="M238" s="16" t="s">
        <v>285</v>
      </c>
    </row>
    <row r="239" spans="1:13" hidden="1" x14ac:dyDescent="0.3">
      <c r="A239" s="17" t="s">
        <v>130</v>
      </c>
      <c r="B239" s="16" t="s">
        <v>518</v>
      </c>
      <c r="C239" s="16" t="s">
        <v>519</v>
      </c>
      <c r="D239" s="16">
        <v>0</v>
      </c>
      <c r="E239" s="16">
        <v>0</v>
      </c>
      <c r="F239" s="16">
        <v>3</v>
      </c>
      <c r="G239" s="16">
        <v>7</v>
      </c>
      <c r="H239" s="16">
        <v>10</v>
      </c>
      <c r="I239" s="16">
        <v>9</v>
      </c>
      <c r="J239" s="16">
        <v>1</v>
      </c>
      <c r="K239" s="16">
        <v>2019</v>
      </c>
      <c r="L239" s="16" t="s">
        <v>283</v>
      </c>
      <c r="M239" s="16" t="s">
        <v>285</v>
      </c>
    </row>
    <row r="240" spans="1:13" hidden="1" x14ac:dyDescent="0.3">
      <c r="A240" s="17" t="s">
        <v>130</v>
      </c>
      <c r="B240" s="16" t="s">
        <v>518</v>
      </c>
      <c r="C240" s="16" t="s">
        <v>519</v>
      </c>
      <c r="D240" s="16">
        <v>0</v>
      </c>
      <c r="E240" s="16">
        <v>4</v>
      </c>
      <c r="F240" s="16">
        <v>8</v>
      </c>
      <c r="G240" s="16">
        <v>7</v>
      </c>
      <c r="H240" s="16">
        <v>19</v>
      </c>
      <c r="I240" s="16">
        <v>19</v>
      </c>
      <c r="K240" s="16">
        <v>2018</v>
      </c>
      <c r="L240" s="16" t="s">
        <v>283</v>
      </c>
      <c r="M240" s="16" t="s">
        <v>285</v>
      </c>
    </row>
    <row r="241" spans="1:13" hidden="1" x14ac:dyDescent="0.3">
      <c r="A241" s="17" t="s">
        <v>130</v>
      </c>
      <c r="B241" s="16" t="s">
        <v>518</v>
      </c>
      <c r="C241" s="16" t="s">
        <v>520</v>
      </c>
      <c r="D241" s="16">
        <v>1</v>
      </c>
      <c r="E241" s="16">
        <v>1</v>
      </c>
      <c r="F241" s="16">
        <v>19</v>
      </c>
      <c r="G241" s="16">
        <v>137</v>
      </c>
      <c r="H241" s="16">
        <v>158</v>
      </c>
      <c r="I241" s="16">
        <v>158</v>
      </c>
      <c r="K241" s="16">
        <v>2019</v>
      </c>
      <c r="L241" s="16" t="s">
        <v>283</v>
      </c>
      <c r="M241" s="16" t="s">
        <v>285</v>
      </c>
    </row>
    <row r="242" spans="1:13" hidden="1" x14ac:dyDescent="0.3">
      <c r="A242" s="17" t="s">
        <v>130</v>
      </c>
      <c r="B242" s="16" t="s">
        <v>518</v>
      </c>
      <c r="C242" s="16" t="s">
        <v>520</v>
      </c>
      <c r="D242" s="16">
        <v>1</v>
      </c>
      <c r="E242" s="16">
        <v>6</v>
      </c>
      <c r="F242" s="16">
        <v>21</v>
      </c>
      <c r="G242" s="16">
        <v>178</v>
      </c>
      <c r="H242" s="16">
        <v>206</v>
      </c>
      <c r="I242" s="16">
        <v>206</v>
      </c>
      <c r="K242" s="16">
        <v>2018</v>
      </c>
      <c r="L242" s="16" t="s">
        <v>283</v>
      </c>
      <c r="M242" s="16" t="s">
        <v>285</v>
      </c>
    </row>
    <row r="243" spans="1:13" hidden="1" x14ac:dyDescent="0.3">
      <c r="A243" s="17" t="s">
        <v>130</v>
      </c>
      <c r="B243" s="16" t="s">
        <v>518</v>
      </c>
      <c r="C243" s="16" t="s">
        <v>521</v>
      </c>
      <c r="D243" s="16">
        <v>22442.424999999999</v>
      </c>
      <c r="E243" s="16">
        <v>13936.179</v>
      </c>
      <c r="F243" s="16">
        <v>95386.290999999997</v>
      </c>
      <c r="G243" s="16">
        <v>231900</v>
      </c>
      <c r="H243" s="16">
        <v>363664.89500000002</v>
      </c>
      <c r="I243" s="16">
        <v>363400</v>
      </c>
      <c r="J243" s="16">
        <v>293490</v>
      </c>
      <c r="K243" s="16">
        <v>2019</v>
      </c>
      <c r="L243" s="16" t="s">
        <v>283</v>
      </c>
      <c r="M243" s="16" t="s">
        <v>285</v>
      </c>
    </row>
    <row r="244" spans="1:13" hidden="1" x14ac:dyDescent="0.3">
      <c r="A244" s="17" t="s">
        <v>130</v>
      </c>
      <c r="B244" s="16" t="s">
        <v>518</v>
      </c>
      <c r="C244" s="16" t="s">
        <v>521</v>
      </c>
      <c r="D244" s="16">
        <v>21241.965</v>
      </c>
      <c r="E244" s="16">
        <v>103147.81</v>
      </c>
      <c r="F244" s="16">
        <v>109268.62</v>
      </c>
      <c r="G244" s="16">
        <v>353627.34</v>
      </c>
      <c r="H244" s="16">
        <v>587285.73499999999</v>
      </c>
      <c r="I244" s="16">
        <v>587285.73</v>
      </c>
      <c r="K244" s="16">
        <v>2018</v>
      </c>
      <c r="L244" s="16" t="s">
        <v>283</v>
      </c>
      <c r="M244" s="16" t="s">
        <v>285</v>
      </c>
    </row>
    <row r="245" spans="1:13" hidden="1" x14ac:dyDescent="0.3">
      <c r="A245" s="18" t="s">
        <v>134</v>
      </c>
      <c r="B245" s="16" t="s">
        <v>522</v>
      </c>
      <c r="C245" s="16" t="s">
        <v>520</v>
      </c>
      <c r="D245" s="16">
        <v>6</v>
      </c>
      <c r="E245" s="16">
        <v>0</v>
      </c>
      <c r="F245" s="16">
        <v>0</v>
      </c>
      <c r="G245" s="16">
        <v>0</v>
      </c>
      <c r="H245" s="16">
        <v>6</v>
      </c>
      <c r="K245" s="16">
        <v>2019</v>
      </c>
      <c r="L245" s="16" t="s">
        <v>277</v>
      </c>
      <c r="M245" s="16" t="s">
        <v>223</v>
      </c>
    </row>
    <row r="246" spans="1:13" hidden="1" x14ac:dyDescent="0.3">
      <c r="A246" s="18" t="s">
        <v>134</v>
      </c>
      <c r="B246" s="16" t="s">
        <v>522</v>
      </c>
      <c r="C246" s="16" t="s">
        <v>519</v>
      </c>
      <c r="D246" s="16">
        <v>1</v>
      </c>
      <c r="E246" s="16">
        <v>0</v>
      </c>
      <c r="F246" s="16">
        <v>0</v>
      </c>
      <c r="G246" s="16">
        <v>0</v>
      </c>
      <c r="H246" s="16">
        <v>1</v>
      </c>
      <c r="K246" s="16">
        <v>2019</v>
      </c>
      <c r="L246" s="16" t="s">
        <v>277</v>
      </c>
      <c r="M246" s="16" t="s">
        <v>223</v>
      </c>
    </row>
    <row r="247" spans="1:13" hidden="1" x14ac:dyDescent="0.3">
      <c r="A247" s="18" t="s">
        <v>134</v>
      </c>
      <c r="B247" s="16" t="s">
        <v>522</v>
      </c>
      <c r="C247" s="16" t="s">
        <v>519</v>
      </c>
      <c r="D247" s="16">
        <v>1</v>
      </c>
      <c r="E247" s="16">
        <v>0</v>
      </c>
      <c r="F247" s="16">
        <v>0</v>
      </c>
      <c r="G247" s="16">
        <v>0</v>
      </c>
      <c r="H247" s="16">
        <v>1</v>
      </c>
      <c r="K247" s="16">
        <v>2018</v>
      </c>
      <c r="L247" s="16" t="s">
        <v>277</v>
      </c>
      <c r="M247" s="16" t="s">
        <v>223</v>
      </c>
    </row>
    <row r="248" spans="1:13" hidden="1" x14ac:dyDescent="0.3">
      <c r="A248" s="18" t="s">
        <v>134</v>
      </c>
      <c r="B248" s="16" t="s">
        <v>522</v>
      </c>
      <c r="C248" s="16" t="s">
        <v>520</v>
      </c>
      <c r="D248" s="16">
        <v>3</v>
      </c>
      <c r="E248" s="16">
        <v>0</v>
      </c>
      <c r="F248" s="16">
        <v>0</v>
      </c>
      <c r="G248" s="16">
        <v>0</v>
      </c>
      <c r="H248" s="16">
        <v>3</v>
      </c>
      <c r="K248" s="16">
        <v>2018</v>
      </c>
      <c r="L248" s="16" t="s">
        <v>277</v>
      </c>
      <c r="M248" s="16" t="s">
        <v>223</v>
      </c>
    </row>
    <row r="249" spans="1:13" hidden="1" x14ac:dyDescent="0.3">
      <c r="A249" s="18" t="s">
        <v>134</v>
      </c>
      <c r="B249" s="16" t="s">
        <v>522</v>
      </c>
      <c r="C249" s="16" t="s">
        <v>521</v>
      </c>
      <c r="D249" s="16">
        <v>221900</v>
      </c>
      <c r="E249" s="16">
        <v>0</v>
      </c>
      <c r="F249" s="16">
        <v>0</v>
      </c>
      <c r="G249" s="16">
        <v>0</v>
      </c>
      <c r="H249" s="16">
        <v>221900</v>
      </c>
      <c r="K249" s="16">
        <v>2018</v>
      </c>
      <c r="L249" s="16" t="s">
        <v>277</v>
      </c>
      <c r="M249" s="16" t="s">
        <v>223</v>
      </c>
    </row>
    <row r="250" spans="1:13" hidden="1" x14ac:dyDescent="0.3">
      <c r="A250" s="18" t="s">
        <v>134</v>
      </c>
      <c r="B250" s="29" t="s">
        <v>522</v>
      </c>
      <c r="C250" s="16" t="s">
        <v>521</v>
      </c>
      <c r="D250" s="16">
        <v>257272</v>
      </c>
      <c r="H250" s="16">
        <v>257272</v>
      </c>
      <c r="K250" s="16">
        <v>2019</v>
      </c>
      <c r="L250" s="16" t="s">
        <v>277</v>
      </c>
      <c r="M250" s="16" t="s">
        <v>223</v>
      </c>
    </row>
    <row r="251" spans="1:13" hidden="1" x14ac:dyDescent="0.3">
      <c r="A251" s="18" t="s">
        <v>134</v>
      </c>
      <c r="B251" s="16" t="s">
        <v>518</v>
      </c>
      <c r="C251" s="16" t="s">
        <v>519</v>
      </c>
      <c r="D251" s="16">
        <v>5</v>
      </c>
      <c r="E251" s="16">
        <v>0</v>
      </c>
      <c r="F251" s="16">
        <v>30</v>
      </c>
      <c r="G251" s="16">
        <v>97</v>
      </c>
      <c r="H251" s="16">
        <v>132</v>
      </c>
      <c r="I251" s="16">
        <v>35</v>
      </c>
      <c r="J251" s="16">
        <v>97</v>
      </c>
      <c r="K251" s="16">
        <v>2019</v>
      </c>
      <c r="L251" s="16" t="s">
        <v>277</v>
      </c>
      <c r="M251" s="16" t="s">
        <v>223</v>
      </c>
    </row>
    <row r="252" spans="1:13" hidden="1" x14ac:dyDescent="0.3">
      <c r="A252" s="18" t="s">
        <v>134</v>
      </c>
      <c r="B252" s="16" t="s">
        <v>518</v>
      </c>
      <c r="C252" s="16" t="s">
        <v>519</v>
      </c>
      <c r="D252" s="16">
        <v>5</v>
      </c>
      <c r="E252" s="16">
        <v>0</v>
      </c>
      <c r="F252" s="16">
        <v>28</v>
      </c>
      <c r="G252" s="16">
        <v>67</v>
      </c>
      <c r="H252" s="16">
        <v>100</v>
      </c>
      <c r="K252" s="16">
        <v>2018</v>
      </c>
      <c r="L252" s="16" t="s">
        <v>277</v>
      </c>
      <c r="M252" s="16" t="s">
        <v>223</v>
      </c>
    </row>
    <row r="253" spans="1:13" hidden="1" x14ac:dyDescent="0.3">
      <c r="A253" s="18" t="s">
        <v>134</v>
      </c>
      <c r="B253" s="16" t="s">
        <v>518</v>
      </c>
      <c r="C253" s="16" t="s">
        <v>520</v>
      </c>
      <c r="D253" s="16">
        <v>8</v>
      </c>
      <c r="E253" s="16">
        <v>0</v>
      </c>
      <c r="F253" s="16">
        <v>113</v>
      </c>
      <c r="G253" s="16">
        <v>419</v>
      </c>
      <c r="H253" s="16">
        <v>540</v>
      </c>
      <c r="I253" s="16">
        <v>121</v>
      </c>
      <c r="J253" s="16">
        <v>419</v>
      </c>
      <c r="K253" s="16">
        <v>2019</v>
      </c>
      <c r="L253" s="16" t="s">
        <v>277</v>
      </c>
      <c r="M253" s="16" t="s">
        <v>223</v>
      </c>
    </row>
    <row r="254" spans="1:13" hidden="1" x14ac:dyDescent="0.3">
      <c r="A254" s="18" t="s">
        <v>134</v>
      </c>
      <c r="B254" s="16" t="s">
        <v>518</v>
      </c>
      <c r="C254" s="16" t="s">
        <v>520</v>
      </c>
      <c r="D254" s="16">
        <v>3</v>
      </c>
      <c r="E254" s="16">
        <v>0</v>
      </c>
      <c r="F254" s="16">
        <v>109</v>
      </c>
      <c r="G254" s="16">
        <v>160</v>
      </c>
      <c r="H254" s="16">
        <v>272</v>
      </c>
      <c r="K254" s="16">
        <v>2018</v>
      </c>
      <c r="L254" s="16" t="s">
        <v>277</v>
      </c>
      <c r="M254" s="16" t="s">
        <v>223</v>
      </c>
    </row>
    <row r="255" spans="1:13" hidden="1" x14ac:dyDescent="0.3">
      <c r="A255" s="18" t="s">
        <v>134</v>
      </c>
      <c r="B255" s="16" t="s">
        <v>518</v>
      </c>
      <c r="C255" s="16" t="s">
        <v>521</v>
      </c>
      <c r="D255" s="16">
        <v>133200</v>
      </c>
      <c r="E255" s="16">
        <v>0</v>
      </c>
      <c r="F255" s="16">
        <v>744700</v>
      </c>
      <c r="G255" s="16">
        <v>77045.713000000003</v>
      </c>
      <c r="H255" s="16">
        <v>954945.71299999999</v>
      </c>
      <c r="I255" s="16">
        <v>877900</v>
      </c>
      <c r="J255" s="16">
        <v>77045.713000000003</v>
      </c>
      <c r="K255" s="16">
        <v>2019</v>
      </c>
      <c r="L255" s="16" t="s">
        <v>277</v>
      </c>
      <c r="M255" s="16" t="s">
        <v>223</v>
      </c>
    </row>
    <row r="256" spans="1:13" hidden="1" x14ac:dyDescent="0.3">
      <c r="A256" s="18" t="s">
        <v>134</v>
      </c>
      <c r="B256" s="16" t="s">
        <v>518</v>
      </c>
      <c r="C256" s="16" t="s">
        <v>521</v>
      </c>
      <c r="D256" s="16">
        <v>99718</v>
      </c>
      <c r="E256" s="16">
        <v>0</v>
      </c>
      <c r="F256" s="16">
        <v>1248000</v>
      </c>
      <c r="G256" s="16">
        <v>48936.826999999997</v>
      </c>
      <c r="H256" s="16">
        <v>1396654.827</v>
      </c>
      <c r="K256" s="16">
        <v>2018</v>
      </c>
      <c r="L256" s="16" t="s">
        <v>277</v>
      </c>
      <c r="M256" s="16" t="s">
        <v>223</v>
      </c>
    </row>
    <row r="257" spans="1:13" hidden="1" x14ac:dyDescent="0.3">
      <c r="A257" s="17" t="s">
        <v>360</v>
      </c>
      <c r="B257" s="16" t="s">
        <v>522</v>
      </c>
      <c r="C257" s="16" t="s">
        <v>519</v>
      </c>
      <c r="D257" s="16">
        <v>0</v>
      </c>
      <c r="E257" s="16">
        <v>0</v>
      </c>
      <c r="F257" s="16">
        <v>0</v>
      </c>
      <c r="G257" s="16">
        <v>0</v>
      </c>
      <c r="H257" s="16">
        <v>0</v>
      </c>
      <c r="I257" s="16">
        <v>0</v>
      </c>
      <c r="J257" s="16">
        <v>0</v>
      </c>
      <c r="K257" s="16">
        <v>2018</v>
      </c>
      <c r="L257" s="16" t="s">
        <v>788</v>
      </c>
      <c r="M257" s="16" t="s">
        <v>240</v>
      </c>
    </row>
    <row r="258" spans="1:13" hidden="1" x14ac:dyDescent="0.3">
      <c r="A258" s="17" t="s">
        <v>360</v>
      </c>
      <c r="B258" s="16" t="s">
        <v>522</v>
      </c>
      <c r="C258" s="16" t="s">
        <v>520</v>
      </c>
      <c r="D258" s="16">
        <v>2</v>
      </c>
      <c r="H258" s="16">
        <v>2</v>
      </c>
      <c r="K258" s="16">
        <v>2019</v>
      </c>
      <c r="L258" s="16" t="s">
        <v>788</v>
      </c>
      <c r="M258" s="16" t="s">
        <v>240</v>
      </c>
    </row>
    <row r="259" spans="1:13" hidden="1" x14ac:dyDescent="0.3">
      <c r="A259" s="17" t="s">
        <v>360</v>
      </c>
      <c r="B259" s="16" t="s">
        <v>522</v>
      </c>
      <c r="C259" s="16" t="s">
        <v>520</v>
      </c>
      <c r="D259" s="16">
        <v>0</v>
      </c>
      <c r="E259" s="16">
        <v>0</v>
      </c>
      <c r="F259" s="16">
        <v>0</v>
      </c>
      <c r="G259" s="16">
        <v>0</v>
      </c>
      <c r="H259" s="16">
        <v>0</v>
      </c>
      <c r="I259" s="16">
        <v>0</v>
      </c>
      <c r="J259" s="16">
        <v>0</v>
      </c>
      <c r="K259" s="16">
        <v>2018</v>
      </c>
      <c r="L259" s="16" t="s">
        <v>788</v>
      </c>
      <c r="M259" s="16" t="s">
        <v>240</v>
      </c>
    </row>
    <row r="260" spans="1:13" hidden="1" x14ac:dyDescent="0.3">
      <c r="A260" s="17" t="s">
        <v>360</v>
      </c>
      <c r="B260" s="16" t="s">
        <v>522</v>
      </c>
      <c r="C260" s="16" t="s">
        <v>521</v>
      </c>
      <c r="D260" s="16">
        <v>0</v>
      </c>
      <c r="E260" s="16">
        <v>0</v>
      </c>
      <c r="F260" s="16">
        <v>0</v>
      </c>
      <c r="G260" s="16">
        <v>0</v>
      </c>
      <c r="H260" s="16">
        <v>0</v>
      </c>
      <c r="K260" s="16">
        <v>2018</v>
      </c>
      <c r="L260" s="16" t="s">
        <v>788</v>
      </c>
      <c r="M260" s="16" t="s">
        <v>240</v>
      </c>
    </row>
    <row r="261" spans="1:13" hidden="1" x14ac:dyDescent="0.3">
      <c r="A261" s="17" t="s">
        <v>360</v>
      </c>
      <c r="B261" s="16" t="s">
        <v>518</v>
      </c>
      <c r="C261" s="16" t="s">
        <v>519</v>
      </c>
      <c r="D261" s="16">
        <v>0</v>
      </c>
      <c r="E261" s="16">
        <v>0</v>
      </c>
      <c r="F261" s="16">
        <v>0</v>
      </c>
      <c r="G261" s="16">
        <v>0</v>
      </c>
      <c r="H261" s="16">
        <v>0</v>
      </c>
      <c r="I261" s="16">
        <v>0</v>
      </c>
      <c r="J261" s="16">
        <v>0</v>
      </c>
      <c r="K261" s="16">
        <v>2018</v>
      </c>
      <c r="L261" s="16" t="s">
        <v>788</v>
      </c>
      <c r="M261" s="16" t="s">
        <v>240</v>
      </c>
    </row>
    <row r="262" spans="1:13" hidden="1" x14ac:dyDescent="0.3">
      <c r="A262" s="17" t="s">
        <v>360</v>
      </c>
      <c r="B262" s="16" t="s">
        <v>518</v>
      </c>
      <c r="C262" s="16" t="s">
        <v>520</v>
      </c>
      <c r="D262" s="16">
        <v>5</v>
      </c>
      <c r="F262" s="16">
        <v>3</v>
      </c>
      <c r="G262" s="16">
        <v>26</v>
      </c>
      <c r="H262" s="16">
        <v>34</v>
      </c>
      <c r="I262" s="16">
        <v>23</v>
      </c>
      <c r="J262" s="16">
        <v>11</v>
      </c>
      <c r="K262" s="16">
        <v>2019</v>
      </c>
      <c r="L262" s="16" t="s">
        <v>788</v>
      </c>
      <c r="M262" s="16" t="s">
        <v>240</v>
      </c>
    </row>
    <row r="263" spans="1:13" hidden="1" x14ac:dyDescent="0.3">
      <c r="A263" s="17" t="s">
        <v>360</v>
      </c>
      <c r="B263" s="16" t="s">
        <v>518</v>
      </c>
      <c r="C263" s="16" t="s">
        <v>520</v>
      </c>
      <c r="D263" s="16">
        <v>3</v>
      </c>
      <c r="E263" s="16">
        <v>0</v>
      </c>
      <c r="F263" s="16">
        <v>5</v>
      </c>
      <c r="G263" s="16">
        <v>0</v>
      </c>
      <c r="H263" s="16">
        <v>8</v>
      </c>
      <c r="I263" s="16">
        <v>8</v>
      </c>
      <c r="J263" s="16">
        <v>9</v>
      </c>
      <c r="K263" s="16">
        <v>2018</v>
      </c>
      <c r="L263" s="16" t="s">
        <v>788</v>
      </c>
      <c r="M263" s="16" t="s">
        <v>240</v>
      </c>
    </row>
    <row r="264" spans="1:13" hidden="1" x14ac:dyDescent="0.3">
      <c r="A264" s="17" t="s">
        <v>360</v>
      </c>
      <c r="B264" s="16" t="s">
        <v>518</v>
      </c>
      <c r="C264" s="16" t="s">
        <v>521</v>
      </c>
      <c r="D264" s="16">
        <v>19800</v>
      </c>
      <c r="E264" s="16">
        <v>19800</v>
      </c>
      <c r="F264" s="16">
        <v>19800</v>
      </c>
      <c r="G264" s="16">
        <v>19800</v>
      </c>
      <c r="H264" s="16">
        <v>79200</v>
      </c>
      <c r="I264" s="16">
        <v>19800</v>
      </c>
      <c r="J264" s="16">
        <v>19800</v>
      </c>
      <c r="K264" s="16">
        <v>2018</v>
      </c>
      <c r="L264" s="16" t="s">
        <v>788</v>
      </c>
      <c r="M264" s="16" t="s">
        <v>240</v>
      </c>
    </row>
    <row r="265" spans="1:13" hidden="1" x14ac:dyDescent="0.3">
      <c r="A265" s="18" t="s">
        <v>149</v>
      </c>
      <c r="B265" s="16" t="s">
        <v>522</v>
      </c>
      <c r="C265" s="16" t="s">
        <v>520</v>
      </c>
      <c r="D265" s="16">
        <v>4</v>
      </c>
      <c r="F265" s="16">
        <v>1</v>
      </c>
      <c r="H265" s="16">
        <v>5</v>
      </c>
      <c r="K265" s="16">
        <v>2019</v>
      </c>
      <c r="L265" s="16" t="s">
        <v>277</v>
      </c>
      <c r="M265" s="16" t="s">
        <v>240</v>
      </c>
    </row>
    <row r="266" spans="1:13" hidden="1" x14ac:dyDescent="0.3">
      <c r="A266" s="18" t="s">
        <v>149</v>
      </c>
      <c r="B266" s="16" t="s">
        <v>522</v>
      </c>
      <c r="C266" s="16" t="s">
        <v>521</v>
      </c>
      <c r="D266" s="16">
        <v>118871</v>
      </c>
      <c r="F266" s="16">
        <v>10812</v>
      </c>
      <c r="H266" s="16">
        <v>129683</v>
      </c>
      <c r="K266" s="16">
        <v>2019</v>
      </c>
      <c r="L266" s="16" t="s">
        <v>277</v>
      </c>
      <c r="M266" s="16" t="s">
        <v>240</v>
      </c>
    </row>
    <row r="267" spans="1:13" hidden="1" x14ac:dyDescent="0.3">
      <c r="A267" s="18" t="s">
        <v>149</v>
      </c>
      <c r="B267" s="16" t="s">
        <v>518</v>
      </c>
      <c r="C267" s="16" t="s">
        <v>519</v>
      </c>
      <c r="D267" s="16">
        <v>1</v>
      </c>
      <c r="G267" s="16">
        <v>2</v>
      </c>
      <c r="H267" s="16">
        <v>3</v>
      </c>
      <c r="I267" s="16">
        <v>2</v>
      </c>
      <c r="J267" s="16">
        <v>1</v>
      </c>
      <c r="K267" s="16">
        <v>2019</v>
      </c>
      <c r="L267" s="16" t="s">
        <v>277</v>
      </c>
      <c r="M267" s="16" t="s">
        <v>240</v>
      </c>
    </row>
    <row r="268" spans="1:13" hidden="1" x14ac:dyDescent="0.3">
      <c r="A268" s="18" t="s">
        <v>149</v>
      </c>
      <c r="B268" s="16" t="s">
        <v>518</v>
      </c>
      <c r="C268" s="16" t="s">
        <v>520</v>
      </c>
      <c r="D268" s="16">
        <v>8</v>
      </c>
      <c r="F268" s="16">
        <v>124</v>
      </c>
      <c r="H268" s="16">
        <v>132</v>
      </c>
      <c r="K268" s="16">
        <v>2019</v>
      </c>
      <c r="L268" s="16" t="s">
        <v>277</v>
      </c>
      <c r="M268" s="16" t="s">
        <v>240</v>
      </c>
    </row>
    <row r="269" spans="1:13" hidden="1" x14ac:dyDescent="0.3">
      <c r="A269" s="18" t="s">
        <v>149</v>
      </c>
      <c r="B269" s="16" t="s">
        <v>518</v>
      </c>
      <c r="C269" s="16" t="s">
        <v>520</v>
      </c>
      <c r="F269" s="16">
        <v>13</v>
      </c>
      <c r="H269" s="16">
        <v>13</v>
      </c>
      <c r="J269" s="16">
        <v>13</v>
      </c>
      <c r="K269" s="16">
        <v>2018</v>
      </c>
      <c r="L269" s="16" t="s">
        <v>277</v>
      </c>
      <c r="M269" s="16" t="s">
        <v>240</v>
      </c>
    </row>
    <row r="270" spans="1:13" hidden="1" x14ac:dyDescent="0.3">
      <c r="A270" s="18" t="s">
        <v>149</v>
      </c>
      <c r="B270" s="16" t="s">
        <v>518</v>
      </c>
      <c r="C270" s="16" t="s">
        <v>521</v>
      </c>
      <c r="D270" s="16">
        <v>87346</v>
      </c>
      <c r="F270" s="16">
        <v>336140</v>
      </c>
      <c r="H270" s="16">
        <v>423486</v>
      </c>
      <c r="K270" s="16">
        <v>2019</v>
      </c>
      <c r="L270" s="16" t="s">
        <v>277</v>
      </c>
      <c r="M270" s="16" t="s">
        <v>240</v>
      </c>
    </row>
    <row r="271" spans="1:13" hidden="1" x14ac:dyDescent="0.3">
      <c r="A271" s="18" t="s">
        <v>149</v>
      </c>
      <c r="B271" s="16" t="s">
        <v>518</v>
      </c>
      <c r="C271" s="16" t="s">
        <v>521</v>
      </c>
      <c r="F271" s="16">
        <v>41046</v>
      </c>
      <c r="H271" s="16">
        <v>41046</v>
      </c>
      <c r="J271" s="16">
        <v>41046</v>
      </c>
      <c r="K271" s="16">
        <v>2018</v>
      </c>
      <c r="L271" s="16" t="s">
        <v>277</v>
      </c>
      <c r="M271" s="16" t="s">
        <v>240</v>
      </c>
    </row>
    <row r="272" spans="1:13" hidden="1" x14ac:dyDescent="0.3">
      <c r="A272" s="1" t="s">
        <v>175</v>
      </c>
      <c r="B272" s="16" t="s">
        <v>518</v>
      </c>
      <c r="C272" s="16" t="s">
        <v>521</v>
      </c>
      <c r="D272" s="16">
        <v>685918</v>
      </c>
      <c r="E272" s="16">
        <v>1163032</v>
      </c>
      <c r="F272" s="16">
        <v>2785917</v>
      </c>
      <c r="G272" s="16">
        <v>1480225</v>
      </c>
      <c r="H272" s="16">
        <f>SUM(D272:G272)</f>
        <v>6115092</v>
      </c>
      <c r="K272" s="16">
        <v>2018</v>
      </c>
      <c r="L272" s="16" t="s">
        <v>277</v>
      </c>
      <c r="M272" s="16" t="s">
        <v>792</v>
      </c>
    </row>
    <row r="273" spans="1:13" hidden="1" x14ac:dyDescent="0.3">
      <c r="A273" s="1" t="s">
        <v>175</v>
      </c>
      <c r="B273" s="16" t="s">
        <v>518</v>
      </c>
      <c r="C273" s="16" t="s">
        <v>519</v>
      </c>
      <c r="E273" s="16">
        <v>10</v>
      </c>
      <c r="F273" s="16">
        <v>10</v>
      </c>
      <c r="G273" s="16">
        <v>7</v>
      </c>
      <c r="H273" s="16">
        <v>27</v>
      </c>
      <c r="K273" s="16">
        <v>2018</v>
      </c>
      <c r="L273" s="16" t="s">
        <v>277</v>
      </c>
      <c r="M273" s="16" t="s">
        <v>792</v>
      </c>
    </row>
    <row r="274" spans="1:13" hidden="1" x14ac:dyDescent="0.3">
      <c r="A274" s="1" t="s">
        <v>175</v>
      </c>
      <c r="B274" s="16" t="s">
        <v>518</v>
      </c>
      <c r="C274" s="16" t="s">
        <v>520</v>
      </c>
      <c r="D274" s="16">
        <v>11</v>
      </c>
      <c r="E274" s="16">
        <v>28</v>
      </c>
      <c r="F274" s="16">
        <v>148</v>
      </c>
      <c r="G274" s="16">
        <v>116</v>
      </c>
      <c r="H274" s="16">
        <v>303</v>
      </c>
      <c r="K274" s="16">
        <v>2018</v>
      </c>
      <c r="L274" s="16" t="s">
        <v>277</v>
      </c>
      <c r="M274" s="16" t="s">
        <v>792</v>
      </c>
    </row>
    <row r="275" spans="1:13" hidden="1" x14ac:dyDescent="0.3">
      <c r="A275" s="1" t="s">
        <v>175</v>
      </c>
      <c r="B275" s="16" t="s">
        <v>522</v>
      </c>
      <c r="C275" s="16" t="s">
        <v>520</v>
      </c>
      <c r="D275" s="16">
        <v>9</v>
      </c>
      <c r="H275" s="16">
        <f t="shared" ref="H275:H276" si="0">SUM(D275:G275)</f>
        <v>9</v>
      </c>
      <c r="K275" s="16">
        <v>2018</v>
      </c>
      <c r="L275" s="16" t="s">
        <v>277</v>
      </c>
      <c r="M275" s="16" t="s">
        <v>792</v>
      </c>
    </row>
    <row r="276" spans="1:13" hidden="1" x14ac:dyDescent="0.3">
      <c r="A276" s="1" t="s">
        <v>175</v>
      </c>
      <c r="B276" s="16" t="s">
        <v>522</v>
      </c>
      <c r="C276" s="16" t="s">
        <v>521</v>
      </c>
      <c r="D276" s="16">
        <v>215180</v>
      </c>
      <c r="H276" s="16">
        <f t="shared" si="0"/>
        <v>215180</v>
      </c>
      <c r="K276" s="16">
        <v>2018</v>
      </c>
      <c r="L276" s="16" t="s">
        <v>277</v>
      </c>
      <c r="M276" s="16" t="s">
        <v>792</v>
      </c>
    </row>
    <row r="277" spans="1:13" hidden="1" x14ac:dyDescent="0.3">
      <c r="A277" s="1" t="s">
        <v>175</v>
      </c>
      <c r="B277" s="16" t="s">
        <v>518</v>
      </c>
      <c r="C277" s="16" t="s">
        <v>521</v>
      </c>
      <c r="D277" s="16">
        <v>685918</v>
      </c>
      <c r="E277" s="16">
        <v>1163032</v>
      </c>
      <c r="F277" s="16">
        <v>2785917</v>
      </c>
      <c r="G277" s="16">
        <v>1480225</v>
      </c>
      <c r="H277" s="16">
        <f>SUM(D277:G277)</f>
        <v>6115092</v>
      </c>
      <c r="K277" s="16">
        <v>2019</v>
      </c>
      <c r="L277" s="16" t="s">
        <v>277</v>
      </c>
      <c r="M277" s="16" t="s">
        <v>792</v>
      </c>
    </row>
    <row r="278" spans="1:13" hidden="1" x14ac:dyDescent="0.3">
      <c r="A278" s="1" t="s">
        <v>175</v>
      </c>
      <c r="B278" s="16" t="s">
        <v>518</v>
      </c>
      <c r="C278" s="16" t="s">
        <v>519</v>
      </c>
      <c r="E278" s="16">
        <v>10</v>
      </c>
      <c r="F278" s="16">
        <v>10</v>
      </c>
      <c r="G278" s="16">
        <v>7</v>
      </c>
      <c r="H278" s="16">
        <v>27</v>
      </c>
      <c r="K278" s="16">
        <v>2019</v>
      </c>
      <c r="L278" s="16" t="s">
        <v>277</v>
      </c>
      <c r="M278" s="16" t="s">
        <v>792</v>
      </c>
    </row>
    <row r="279" spans="1:13" hidden="1" x14ac:dyDescent="0.3">
      <c r="A279" s="1" t="s">
        <v>175</v>
      </c>
      <c r="B279" s="16" t="s">
        <v>518</v>
      </c>
      <c r="C279" s="16" t="s">
        <v>520</v>
      </c>
      <c r="D279" s="16">
        <v>11</v>
      </c>
      <c r="E279" s="16">
        <v>28</v>
      </c>
      <c r="F279" s="16">
        <v>148</v>
      </c>
      <c r="G279" s="16">
        <v>116</v>
      </c>
      <c r="H279" s="16">
        <v>303</v>
      </c>
      <c r="K279" s="16">
        <v>2019</v>
      </c>
      <c r="L279" s="16" t="s">
        <v>277</v>
      </c>
      <c r="M279" s="16" t="s">
        <v>792</v>
      </c>
    </row>
    <row r="280" spans="1:13" hidden="1" x14ac:dyDescent="0.3">
      <c r="A280" s="1" t="s">
        <v>175</v>
      </c>
      <c r="B280" s="16" t="s">
        <v>522</v>
      </c>
      <c r="C280" s="16" t="s">
        <v>520</v>
      </c>
      <c r="D280" s="16">
        <v>9</v>
      </c>
      <c r="H280" s="16">
        <f t="shared" ref="H280:H281" si="1">SUM(D280:G280)</f>
        <v>9</v>
      </c>
      <c r="K280" s="16">
        <v>2019</v>
      </c>
      <c r="L280" s="16" t="s">
        <v>277</v>
      </c>
      <c r="M280" s="16" t="s">
        <v>792</v>
      </c>
    </row>
    <row r="281" spans="1:13" hidden="1" x14ac:dyDescent="0.3">
      <c r="A281" s="1" t="s">
        <v>175</v>
      </c>
      <c r="B281" s="16" t="s">
        <v>522</v>
      </c>
      <c r="C281" s="16" t="s">
        <v>521</v>
      </c>
      <c r="D281" s="16">
        <v>215180</v>
      </c>
      <c r="H281" s="16">
        <f t="shared" si="1"/>
        <v>215180</v>
      </c>
      <c r="K281" s="16">
        <v>2019</v>
      </c>
      <c r="L281" s="16" t="s">
        <v>277</v>
      </c>
      <c r="M281" s="16" t="s">
        <v>792</v>
      </c>
    </row>
    <row r="282" spans="1:13" hidden="1" x14ac:dyDescent="0.3">
      <c r="A282" s="17" t="s">
        <v>297</v>
      </c>
      <c r="B282" s="16" t="s">
        <v>518</v>
      </c>
      <c r="C282" s="16" t="s">
        <v>521</v>
      </c>
      <c r="D282" s="16">
        <v>420429</v>
      </c>
      <c r="E282" s="16">
        <v>927375</v>
      </c>
      <c r="F282" s="16">
        <v>819789</v>
      </c>
      <c r="G282" s="16">
        <v>267253</v>
      </c>
      <c r="H282" s="16">
        <f>SUBTOTAL(9,D282:G282)</f>
        <v>0</v>
      </c>
      <c r="I282" s="16">
        <v>35</v>
      </c>
      <c r="K282" s="16">
        <v>2019</v>
      </c>
      <c r="L282" s="16" t="s">
        <v>277</v>
      </c>
      <c r="M282" s="16" t="s">
        <v>792</v>
      </c>
    </row>
    <row r="283" spans="1:13" x14ac:dyDescent="0.3">
      <c r="A283" s="17" t="s">
        <v>297</v>
      </c>
      <c r="B283" s="16" t="s">
        <v>522</v>
      </c>
      <c r="C283" s="16" t="s">
        <v>521</v>
      </c>
      <c r="D283" s="16">
        <v>1268086</v>
      </c>
      <c r="E283" s="16">
        <v>0</v>
      </c>
      <c r="F283" s="16">
        <v>0</v>
      </c>
      <c r="G283" s="16">
        <v>0</v>
      </c>
      <c r="H283" s="16">
        <f>SUBTOTAL(9,D283:G283)</f>
        <v>1268086</v>
      </c>
      <c r="I283" s="16">
        <v>218</v>
      </c>
      <c r="K283" s="16">
        <v>2019</v>
      </c>
      <c r="L283" s="16" t="s">
        <v>277</v>
      </c>
      <c r="M283" s="16" t="s">
        <v>792</v>
      </c>
    </row>
  </sheetData>
  <autoFilter ref="A1:M282">
    <filterColumn colId="0">
      <filters>
        <filter val="GECAMINES"/>
      </filters>
    </filterColumn>
    <filterColumn colId="10">
      <filters>
        <filter val="2 019"/>
      </filters>
    </filterColumn>
  </autoFilter>
  <sortState ref="A2:K271">
    <sortCondition ref="A1"/>
  </sortState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01"/>
  <sheetViews>
    <sheetView zoomScaleNormal="100" workbookViewId="0">
      <selection activeCell="F203" sqref="F203"/>
    </sheetView>
  </sheetViews>
  <sheetFormatPr baseColWidth="10" defaultColWidth="8.88671875" defaultRowHeight="14.4" x14ac:dyDescent="0.3"/>
  <cols>
    <col min="1" max="1" width="34.44140625" style="33" customWidth="1"/>
    <col min="2" max="2" width="26.109375" style="33" customWidth="1"/>
    <col min="3" max="3" width="49.44140625" style="37" customWidth="1"/>
    <col min="4" max="4" width="23" style="33" customWidth="1"/>
    <col min="5" max="5" width="14.88671875" style="33" bestFit="1" customWidth="1"/>
    <col min="6" max="6" width="19.44140625" style="33" customWidth="1"/>
    <col min="7" max="7" width="12.109375" style="33" customWidth="1"/>
    <col min="8" max="8" width="17.88671875" style="33" bestFit="1" customWidth="1"/>
    <col min="9" max="16384" width="8.88671875" style="33"/>
  </cols>
  <sheetData>
    <row r="1" spans="1:8" x14ac:dyDescent="0.3">
      <c r="A1" s="1" t="s">
        <v>0</v>
      </c>
      <c r="B1" s="33" t="s">
        <v>796</v>
      </c>
      <c r="C1" s="37" t="s">
        <v>797</v>
      </c>
      <c r="D1" s="33" t="s">
        <v>798</v>
      </c>
      <c r="E1" s="33" t="s">
        <v>799</v>
      </c>
      <c r="F1" s="33" t="s">
        <v>800</v>
      </c>
      <c r="G1" s="33" t="s">
        <v>801</v>
      </c>
      <c r="H1" s="33" t="s">
        <v>410</v>
      </c>
    </row>
    <row r="2" spans="1:8" x14ac:dyDescent="0.3">
      <c r="A2" s="17" t="s">
        <v>11</v>
      </c>
      <c r="B2" s="33" t="s">
        <v>523</v>
      </c>
      <c r="C2" s="37" t="s">
        <v>524</v>
      </c>
      <c r="D2" s="33" t="s">
        <v>525</v>
      </c>
      <c r="E2" s="33">
        <v>2670</v>
      </c>
      <c r="F2" s="33" t="s">
        <v>726</v>
      </c>
      <c r="G2" s="33" t="s">
        <v>241</v>
      </c>
      <c r="H2" s="33">
        <v>2018</v>
      </c>
    </row>
    <row r="3" spans="1:8" x14ac:dyDescent="0.3">
      <c r="A3" s="17" t="s">
        <v>11</v>
      </c>
      <c r="B3" s="33" t="s">
        <v>523</v>
      </c>
      <c r="C3" s="37" t="s">
        <v>526</v>
      </c>
      <c r="D3" s="33" t="s">
        <v>527</v>
      </c>
      <c r="E3" s="33">
        <v>4932</v>
      </c>
      <c r="F3" s="33" t="s">
        <v>726</v>
      </c>
      <c r="G3" s="33" t="s">
        <v>241</v>
      </c>
      <c r="H3" s="33">
        <v>2018</v>
      </c>
    </row>
    <row r="4" spans="1:8" x14ac:dyDescent="0.3">
      <c r="A4" s="17" t="s">
        <v>11</v>
      </c>
      <c r="B4" s="33" t="s">
        <v>523</v>
      </c>
      <c r="C4" s="37" t="s">
        <v>528</v>
      </c>
      <c r="D4" s="33" t="s">
        <v>527</v>
      </c>
      <c r="E4" s="33">
        <v>1800</v>
      </c>
      <c r="F4" s="33" t="s">
        <v>726</v>
      </c>
      <c r="G4" s="33" t="s">
        <v>241</v>
      </c>
      <c r="H4" s="33">
        <v>2018</v>
      </c>
    </row>
    <row r="5" spans="1:8" ht="28.8" x14ac:dyDescent="0.3">
      <c r="A5" s="17" t="s">
        <v>11</v>
      </c>
      <c r="B5" s="33" t="s">
        <v>529</v>
      </c>
      <c r="C5" s="37" t="s">
        <v>530</v>
      </c>
      <c r="D5" s="33" t="s">
        <v>531</v>
      </c>
      <c r="E5" s="33">
        <v>415</v>
      </c>
      <c r="F5" s="33" t="s">
        <v>241</v>
      </c>
      <c r="G5" s="33" t="s">
        <v>241</v>
      </c>
      <c r="H5" s="33">
        <v>2018</v>
      </c>
    </row>
    <row r="6" spans="1:8" ht="28.8" x14ac:dyDescent="0.3">
      <c r="A6" s="17" t="s">
        <v>11</v>
      </c>
      <c r="B6" s="33" t="s">
        <v>529</v>
      </c>
      <c r="C6" s="37" t="s">
        <v>532</v>
      </c>
      <c r="D6" s="33" t="s">
        <v>533</v>
      </c>
      <c r="E6" s="33">
        <v>600</v>
      </c>
      <c r="F6" s="33" t="s">
        <v>241</v>
      </c>
      <c r="G6" s="33" t="s">
        <v>241</v>
      </c>
      <c r="H6" s="33">
        <v>2018</v>
      </c>
    </row>
    <row r="7" spans="1:8" ht="43.2" x14ac:dyDescent="0.3">
      <c r="A7" s="17" t="s">
        <v>11</v>
      </c>
      <c r="B7" s="33" t="s">
        <v>529</v>
      </c>
      <c r="C7" s="37" t="s">
        <v>534</v>
      </c>
      <c r="D7" s="33" t="s">
        <v>531</v>
      </c>
      <c r="E7" s="33">
        <v>4000</v>
      </c>
      <c r="F7" s="33" t="s">
        <v>727</v>
      </c>
      <c r="G7" s="33" t="s">
        <v>241</v>
      </c>
      <c r="H7" s="33">
        <v>2018</v>
      </c>
    </row>
    <row r="8" spans="1:8" ht="28.8" x14ac:dyDescent="0.3">
      <c r="A8" s="17" t="s">
        <v>11</v>
      </c>
      <c r="B8" s="33" t="s">
        <v>535</v>
      </c>
      <c r="C8" s="37" t="s">
        <v>536</v>
      </c>
      <c r="D8" s="33" t="s">
        <v>527</v>
      </c>
      <c r="E8" s="33">
        <v>23500</v>
      </c>
      <c r="F8" s="33" t="s">
        <v>728</v>
      </c>
      <c r="G8" s="33" t="s">
        <v>241</v>
      </c>
      <c r="H8" s="33">
        <v>2018</v>
      </c>
    </row>
    <row r="9" spans="1:8" ht="28.8" x14ac:dyDescent="0.3">
      <c r="A9" s="17" t="s">
        <v>11</v>
      </c>
      <c r="B9" s="33" t="s">
        <v>537</v>
      </c>
      <c r="C9" s="37" t="s">
        <v>538</v>
      </c>
      <c r="D9" s="33" t="s">
        <v>527</v>
      </c>
      <c r="E9" s="33">
        <v>807</v>
      </c>
      <c r="F9" s="33" t="s">
        <v>729</v>
      </c>
      <c r="G9" s="33" t="s">
        <v>241</v>
      </c>
      <c r="H9" s="33">
        <v>2018</v>
      </c>
    </row>
    <row r="10" spans="1:8" x14ac:dyDescent="0.3">
      <c r="A10" s="17" t="s">
        <v>11</v>
      </c>
      <c r="B10" s="33" t="s">
        <v>529</v>
      </c>
      <c r="C10" s="37" t="s">
        <v>539</v>
      </c>
      <c r="D10" s="33" t="s">
        <v>531</v>
      </c>
      <c r="E10" s="33">
        <v>3293</v>
      </c>
      <c r="F10" s="33" t="s">
        <v>239</v>
      </c>
      <c r="G10" s="33" t="s">
        <v>241</v>
      </c>
      <c r="H10" s="33">
        <v>2019</v>
      </c>
    </row>
    <row r="11" spans="1:8" x14ac:dyDescent="0.3">
      <c r="A11" s="17" t="s">
        <v>11</v>
      </c>
      <c r="B11" s="33" t="s">
        <v>540</v>
      </c>
      <c r="C11" s="37" t="s">
        <v>541</v>
      </c>
      <c r="D11" s="33" t="s">
        <v>533</v>
      </c>
      <c r="E11" s="33">
        <v>200</v>
      </c>
      <c r="F11" s="33" t="s">
        <v>239</v>
      </c>
      <c r="G11" s="33" t="s">
        <v>241</v>
      </c>
      <c r="H11" s="33">
        <v>2019</v>
      </c>
    </row>
    <row r="12" spans="1:8" x14ac:dyDescent="0.3">
      <c r="A12" s="17" t="s">
        <v>11</v>
      </c>
      <c r="B12" s="33" t="s">
        <v>537</v>
      </c>
      <c r="C12" s="37" t="s">
        <v>542</v>
      </c>
      <c r="D12" s="33" t="s">
        <v>527</v>
      </c>
      <c r="E12" s="33">
        <v>700</v>
      </c>
      <c r="F12" s="33" t="s">
        <v>239</v>
      </c>
      <c r="G12" s="33" t="s">
        <v>241</v>
      </c>
      <c r="H12" s="33">
        <v>2019</v>
      </c>
    </row>
    <row r="13" spans="1:8" ht="28.8" x14ac:dyDescent="0.3">
      <c r="A13" s="17" t="s">
        <v>11</v>
      </c>
      <c r="B13" s="33" t="s">
        <v>523</v>
      </c>
      <c r="C13" s="37" t="s">
        <v>543</v>
      </c>
      <c r="D13" s="33" t="s">
        <v>544</v>
      </c>
      <c r="E13" s="33">
        <v>21611</v>
      </c>
      <c r="F13" s="33" t="s">
        <v>239</v>
      </c>
      <c r="G13" s="33" t="s">
        <v>241</v>
      </c>
      <c r="H13" s="33">
        <v>2019</v>
      </c>
    </row>
    <row r="14" spans="1:8" x14ac:dyDescent="0.3">
      <c r="A14" s="17" t="s">
        <v>11</v>
      </c>
      <c r="B14" s="33" t="s">
        <v>523</v>
      </c>
      <c r="C14" s="37" t="s">
        <v>545</v>
      </c>
      <c r="D14" s="33" t="s">
        <v>533</v>
      </c>
      <c r="E14" s="33">
        <v>1013</v>
      </c>
      <c r="F14" s="33" t="s">
        <v>239</v>
      </c>
      <c r="G14" s="33" t="s">
        <v>241</v>
      </c>
      <c r="H14" s="33">
        <v>2019</v>
      </c>
    </row>
    <row r="15" spans="1:8" x14ac:dyDescent="0.3">
      <c r="A15" s="17" t="s">
        <v>11</v>
      </c>
      <c r="B15" s="33" t="s">
        <v>540</v>
      </c>
      <c r="C15" s="37" t="s">
        <v>546</v>
      </c>
      <c r="D15" s="33" t="s">
        <v>547</v>
      </c>
      <c r="E15" s="33">
        <v>8105</v>
      </c>
      <c r="F15" s="33" t="s">
        <v>239</v>
      </c>
      <c r="G15" s="33" t="s">
        <v>241</v>
      </c>
      <c r="H15" s="33">
        <v>2019</v>
      </c>
    </row>
    <row r="16" spans="1:8" x14ac:dyDescent="0.3">
      <c r="A16" s="17" t="s">
        <v>11</v>
      </c>
      <c r="B16" s="33" t="s">
        <v>537</v>
      </c>
      <c r="C16" s="37" t="s">
        <v>548</v>
      </c>
      <c r="D16" s="33" t="s">
        <v>527</v>
      </c>
      <c r="E16" s="33">
        <v>2906</v>
      </c>
      <c r="F16" s="33" t="s">
        <v>239</v>
      </c>
      <c r="G16" s="33" t="s">
        <v>241</v>
      </c>
      <c r="H16" s="33">
        <v>2019</v>
      </c>
    </row>
    <row r="17" spans="1:8" ht="43.2" x14ac:dyDescent="0.3">
      <c r="A17" s="17" t="s">
        <v>30</v>
      </c>
      <c r="B17" s="33" t="s">
        <v>529</v>
      </c>
      <c r="C17" s="37" t="s">
        <v>549</v>
      </c>
      <c r="D17" s="33" t="s">
        <v>527</v>
      </c>
      <c r="E17" s="33">
        <v>33193.5</v>
      </c>
      <c r="F17" s="33" t="s">
        <v>730</v>
      </c>
      <c r="G17" s="33" t="s">
        <v>550</v>
      </c>
      <c r="H17" s="33">
        <v>2019</v>
      </c>
    </row>
    <row r="18" spans="1:8" ht="28.8" x14ac:dyDescent="0.3">
      <c r="A18" s="17" t="s">
        <v>30</v>
      </c>
      <c r="B18" s="33" t="s">
        <v>529</v>
      </c>
      <c r="C18" s="37" t="s">
        <v>551</v>
      </c>
      <c r="D18" s="33" t="s">
        <v>531</v>
      </c>
      <c r="E18" s="33">
        <v>2116.75</v>
      </c>
      <c r="F18" s="33" t="s">
        <v>239</v>
      </c>
      <c r="G18" s="33" t="s">
        <v>242</v>
      </c>
      <c r="H18" s="33">
        <v>2019</v>
      </c>
    </row>
    <row r="19" spans="1:8" ht="28.8" x14ac:dyDescent="0.3">
      <c r="A19" s="17" t="s">
        <v>30</v>
      </c>
      <c r="B19" s="33" t="s">
        <v>529</v>
      </c>
      <c r="C19" s="37" t="s">
        <v>552</v>
      </c>
      <c r="D19" s="33" t="s">
        <v>527</v>
      </c>
      <c r="E19" s="33">
        <v>10825.97</v>
      </c>
      <c r="F19" s="33" t="s">
        <v>369</v>
      </c>
      <c r="G19" s="33" t="s">
        <v>369</v>
      </c>
      <c r="H19" s="33">
        <v>2019</v>
      </c>
    </row>
    <row r="20" spans="1:8" ht="28.8" x14ac:dyDescent="0.3">
      <c r="A20" s="17" t="s">
        <v>30</v>
      </c>
      <c r="B20" s="33" t="s">
        <v>540</v>
      </c>
      <c r="C20" s="37" t="s">
        <v>553</v>
      </c>
      <c r="D20" s="33" t="s">
        <v>547</v>
      </c>
      <c r="E20" s="33">
        <v>3500</v>
      </c>
      <c r="F20" s="33" t="s">
        <v>369</v>
      </c>
      <c r="G20" s="33" t="s">
        <v>369</v>
      </c>
      <c r="H20" s="33">
        <v>2019</v>
      </c>
    </row>
    <row r="21" spans="1:8" x14ac:dyDescent="0.3">
      <c r="A21" s="17" t="s">
        <v>30</v>
      </c>
      <c r="B21" s="33" t="s">
        <v>554</v>
      </c>
      <c r="C21" s="37" t="s">
        <v>555</v>
      </c>
      <c r="D21" s="33" t="s">
        <v>544</v>
      </c>
      <c r="E21" s="33">
        <v>9200</v>
      </c>
      <c r="F21" s="33" t="s">
        <v>731</v>
      </c>
      <c r="G21" s="33" t="s">
        <v>241</v>
      </c>
      <c r="H21" s="33">
        <v>2019</v>
      </c>
    </row>
    <row r="22" spans="1:8" x14ac:dyDescent="0.3">
      <c r="A22" s="17" t="s">
        <v>30</v>
      </c>
      <c r="B22" s="33" t="s">
        <v>529</v>
      </c>
      <c r="C22" s="37" t="s">
        <v>556</v>
      </c>
      <c r="D22" s="33" t="s">
        <v>525</v>
      </c>
      <c r="E22" s="33">
        <v>3443.1</v>
      </c>
      <c r="F22" s="33" t="s">
        <v>732</v>
      </c>
      <c r="G22" s="33" t="s">
        <v>241</v>
      </c>
      <c r="H22" s="33">
        <v>2019</v>
      </c>
    </row>
    <row r="23" spans="1:8" x14ac:dyDescent="0.3">
      <c r="A23" s="17" t="s">
        <v>30</v>
      </c>
      <c r="B23" s="33" t="s">
        <v>557</v>
      </c>
      <c r="C23" s="37" t="s">
        <v>558</v>
      </c>
      <c r="D23" s="33" t="s">
        <v>527</v>
      </c>
      <c r="E23" s="33">
        <v>200</v>
      </c>
      <c r="F23" s="33" t="s">
        <v>241</v>
      </c>
      <c r="G23" s="33" t="s">
        <v>241</v>
      </c>
      <c r="H23" s="33">
        <v>2019</v>
      </c>
    </row>
    <row r="24" spans="1:8" x14ac:dyDescent="0.3">
      <c r="A24" s="17" t="s">
        <v>30</v>
      </c>
      <c r="B24" s="33" t="s">
        <v>557</v>
      </c>
      <c r="C24" s="37" t="s">
        <v>558</v>
      </c>
      <c r="D24" s="33" t="s">
        <v>527</v>
      </c>
      <c r="E24" s="33">
        <v>200</v>
      </c>
      <c r="F24" s="33" t="s">
        <v>239</v>
      </c>
      <c r="G24" s="33" t="s">
        <v>242</v>
      </c>
      <c r="H24" s="33">
        <v>2019</v>
      </c>
    </row>
    <row r="25" spans="1:8" x14ac:dyDescent="0.3">
      <c r="A25" s="17" t="s">
        <v>30</v>
      </c>
      <c r="B25" s="33" t="s">
        <v>557</v>
      </c>
      <c r="C25" s="37" t="s">
        <v>559</v>
      </c>
      <c r="D25" s="33" t="s">
        <v>527</v>
      </c>
      <c r="E25" s="33">
        <v>2080</v>
      </c>
      <c r="F25" s="33" t="s">
        <v>241</v>
      </c>
      <c r="G25" s="33" t="s">
        <v>241</v>
      </c>
      <c r="H25" s="33">
        <v>2019</v>
      </c>
    </row>
    <row r="26" spans="1:8" x14ac:dyDescent="0.3">
      <c r="A26" s="17" t="s">
        <v>30</v>
      </c>
      <c r="B26" s="33" t="s">
        <v>537</v>
      </c>
      <c r="C26" s="37" t="s">
        <v>560</v>
      </c>
      <c r="D26" s="33" t="s">
        <v>527</v>
      </c>
      <c r="E26" s="33">
        <v>7500</v>
      </c>
      <c r="F26" s="33" t="s">
        <v>733</v>
      </c>
      <c r="G26" s="33" t="s">
        <v>242</v>
      </c>
      <c r="H26" s="33">
        <v>2019</v>
      </c>
    </row>
    <row r="27" spans="1:8" x14ac:dyDescent="0.3">
      <c r="A27" s="17" t="s">
        <v>30</v>
      </c>
      <c r="B27" s="33" t="s">
        <v>561</v>
      </c>
      <c r="C27" s="37" t="s">
        <v>562</v>
      </c>
      <c r="D27" s="33" t="s">
        <v>527</v>
      </c>
      <c r="E27" s="33">
        <v>1600</v>
      </c>
      <c r="F27" s="33" t="s">
        <v>734</v>
      </c>
      <c r="G27" s="33" t="s">
        <v>241</v>
      </c>
      <c r="H27" s="33">
        <v>2019</v>
      </c>
    </row>
    <row r="28" spans="1:8" ht="28.8" x14ac:dyDescent="0.3">
      <c r="A28" s="17" t="s">
        <v>30</v>
      </c>
      <c r="B28" s="33" t="s">
        <v>557</v>
      </c>
      <c r="C28" s="37" t="s">
        <v>563</v>
      </c>
      <c r="D28" s="33" t="s">
        <v>527</v>
      </c>
      <c r="E28" s="33">
        <v>350</v>
      </c>
      <c r="F28" s="33" t="s">
        <v>239</v>
      </c>
      <c r="G28" s="33" t="s">
        <v>242</v>
      </c>
      <c r="H28" s="33">
        <v>2019</v>
      </c>
    </row>
    <row r="29" spans="1:8" ht="28.8" x14ac:dyDescent="0.3">
      <c r="A29" s="17" t="s">
        <v>30</v>
      </c>
      <c r="B29" s="33" t="s">
        <v>557</v>
      </c>
      <c r="C29" s="37" t="s">
        <v>564</v>
      </c>
      <c r="D29" s="33" t="s">
        <v>527</v>
      </c>
      <c r="E29" s="33">
        <v>837.5</v>
      </c>
      <c r="F29" s="33" t="s">
        <v>241</v>
      </c>
      <c r="G29" s="33" t="s">
        <v>241</v>
      </c>
      <c r="H29" s="33">
        <v>2019</v>
      </c>
    </row>
    <row r="30" spans="1:8" x14ac:dyDescent="0.3">
      <c r="A30" s="17" t="s">
        <v>30</v>
      </c>
      <c r="B30" s="33" t="s">
        <v>557</v>
      </c>
      <c r="C30" s="37" t="s">
        <v>565</v>
      </c>
      <c r="D30" s="33" t="s">
        <v>527</v>
      </c>
      <c r="E30" s="33">
        <v>937.5</v>
      </c>
      <c r="F30" s="33" t="s">
        <v>336</v>
      </c>
      <c r="G30" s="33" t="s">
        <v>241</v>
      </c>
      <c r="H30" s="33">
        <v>2019</v>
      </c>
    </row>
    <row r="31" spans="1:8" x14ac:dyDescent="0.3">
      <c r="A31" s="17" t="s">
        <v>30</v>
      </c>
      <c r="B31" s="33" t="s">
        <v>557</v>
      </c>
      <c r="C31" s="37" t="s">
        <v>558</v>
      </c>
      <c r="D31" s="33" t="s">
        <v>527</v>
      </c>
      <c r="E31" s="33">
        <v>200</v>
      </c>
      <c r="F31" s="33" t="s">
        <v>239</v>
      </c>
      <c r="G31" s="33" t="s">
        <v>242</v>
      </c>
      <c r="H31" s="33">
        <v>2019</v>
      </c>
    </row>
    <row r="32" spans="1:8" x14ac:dyDescent="0.3">
      <c r="A32" s="17" t="s">
        <v>30</v>
      </c>
      <c r="B32" s="33" t="s">
        <v>557</v>
      </c>
      <c r="C32" s="37" t="s">
        <v>558</v>
      </c>
      <c r="D32" s="33" t="s">
        <v>527</v>
      </c>
      <c r="E32" s="33">
        <v>200</v>
      </c>
      <c r="F32" s="33" t="s">
        <v>336</v>
      </c>
      <c r="G32" s="33" t="s">
        <v>241</v>
      </c>
      <c r="H32" s="33">
        <v>2019</v>
      </c>
    </row>
    <row r="33" spans="1:8" ht="43.2" x14ac:dyDescent="0.3">
      <c r="A33" s="17" t="s">
        <v>30</v>
      </c>
      <c r="B33" s="33" t="s">
        <v>529</v>
      </c>
      <c r="C33" s="37" t="s">
        <v>566</v>
      </c>
      <c r="D33" s="33" t="s">
        <v>525</v>
      </c>
      <c r="E33" s="33">
        <v>12500</v>
      </c>
      <c r="F33" s="33" t="s">
        <v>735</v>
      </c>
      <c r="G33" s="33" t="s">
        <v>369</v>
      </c>
      <c r="H33" s="33">
        <v>2018</v>
      </c>
    </row>
    <row r="34" spans="1:8" ht="28.8" x14ac:dyDescent="0.3">
      <c r="A34" s="17" t="s">
        <v>30</v>
      </c>
      <c r="B34" s="33" t="s">
        <v>554</v>
      </c>
      <c r="C34" s="37" t="s">
        <v>567</v>
      </c>
      <c r="D34" s="33" t="s">
        <v>544</v>
      </c>
      <c r="E34" s="33">
        <v>300</v>
      </c>
      <c r="F34" s="33" t="s">
        <v>736</v>
      </c>
      <c r="G34" s="33" t="s">
        <v>241</v>
      </c>
      <c r="H34" s="33">
        <v>2018</v>
      </c>
    </row>
    <row r="35" spans="1:8" ht="72" x14ac:dyDescent="0.3">
      <c r="A35" s="17" t="s">
        <v>30</v>
      </c>
      <c r="B35" s="33" t="s">
        <v>529</v>
      </c>
      <c r="C35" s="37" t="s">
        <v>568</v>
      </c>
      <c r="D35" s="33" t="s">
        <v>533</v>
      </c>
      <c r="E35" s="33">
        <v>10562.986999999999</v>
      </c>
      <c r="F35" s="33" t="s">
        <v>737</v>
      </c>
      <c r="G35" s="33" t="s">
        <v>369</v>
      </c>
      <c r="H35" s="33">
        <v>2018</v>
      </c>
    </row>
    <row r="36" spans="1:8" x14ac:dyDescent="0.3">
      <c r="A36" s="17" t="s">
        <v>30</v>
      </c>
      <c r="B36" s="33" t="s">
        <v>529</v>
      </c>
      <c r="C36" s="37" t="s">
        <v>569</v>
      </c>
      <c r="D36" s="33" t="s">
        <v>531</v>
      </c>
      <c r="E36" s="33">
        <v>24302.799999999999</v>
      </c>
      <c r="F36" s="33" t="s">
        <v>738</v>
      </c>
      <c r="G36" s="33" t="s">
        <v>550</v>
      </c>
      <c r="H36" s="33">
        <v>2018</v>
      </c>
    </row>
    <row r="37" spans="1:8" ht="28.8" x14ac:dyDescent="0.3">
      <c r="A37" s="17" t="s">
        <v>30</v>
      </c>
      <c r="B37" s="33" t="s">
        <v>537</v>
      </c>
      <c r="C37" s="37" t="s">
        <v>570</v>
      </c>
      <c r="D37" s="33" t="s">
        <v>527</v>
      </c>
      <c r="E37" s="33">
        <v>2837.5</v>
      </c>
      <c r="F37" s="33" t="s">
        <v>241</v>
      </c>
      <c r="G37" s="33" t="s">
        <v>241</v>
      </c>
      <c r="H37" s="33">
        <v>2018</v>
      </c>
    </row>
    <row r="38" spans="1:8" ht="28.8" x14ac:dyDescent="0.3">
      <c r="A38" s="17" t="s">
        <v>30</v>
      </c>
      <c r="B38" s="33" t="s">
        <v>540</v>
      </c>
      <c r="C38" s="37" t="s">
        <v>571</v>
      </c>
      <c r="D38" s="33" t="s">
        <v>547</v>
      </c>
      <c r="E38" s="33">
        <v>1404</v>
      </c>
      <c r="F38" s="33" t="s">
        <v>736</v>
      </c>
      <c r="G38" s="33" t="s">
        <v>241</v>
      </c>
      <c r="H38" s="33">
        <v>2018</v>
      </c>
    </row>
    <row r="39" spans="1:8" ht="28.8" x14ac:dyDescent="0.3">
      <c r="A39" s="17" t="s">
        <v>30</v>
      </c>
      <c r="B39" s="33" t="s">
        <v>561</v>
      </c>
      <c r="C39" s="37" t="s">
        <v>572</v>
      </c>
      <c r="D39" s="33" t="s">
        <v>527</v>
      </c>
      <c r="E39" s="33">
        <v>864</v>
      </c>
      <c r="F39" s="33" t="s">
        <v>736</v>
      </c>
      <c r="G39" s="33" t="s">
        <v>241</v>
      </c>
      <c r="H39" s="33">
        <v>2018</v>
      </c>
    </row>
    <row r="40" spans="1:8" ht="28.8" x14ac:dyDescent="0.3">
      <c r="A40" s="17" t="s">
        <v>30</v>
      </c>
      <c r="B40" s="33" t="s">
        <v>557</v>
      </c>
      <c r="C40" s="37" t="s">
        <v>573</v>
      </c>
      <c r="D40" s="33" t="s">
        <v>527</v>
      </c>
      <c r="E40" s="33">
        <v>1763</v>
      </c>
      <c r="F40" s="33" t="s">
        <v>736</v>
      </c>
      <c r="G40" s="33" t="s">
        <v>241</v>
      </c>
      <c r="H40" s="33">
        <v>2018</v>
      </c>
    </row>
    <row r="41" spans="1:8" x14ac:dyDescent="0.3">
      <c r="A41" s="17" t="s">
        <v>46</v>
      </c>
      <c r="B41" s="33" t="s">
        <v>529</v>
      </c>
      <c r="C41" s="37" t="s">
        <v>574</v>
      </c>
      <c r="D41" s="33" t="s">
        <v>527</v>
      </c>
      <c r="E41" s="33">
        <v>100</v>
      </c>
      <c r="F41" s="33" t="s">
        <v>291</v>
      </c>
      <c r="G41" s="33" t="s">
        <v>310</v>
      </c>
      <c r="H41" s="33">
        <v>2019</v>
      </c>
    </row>
    <row r="42" spans="1:8" x14ac:dyDescent="0.3">
      <c r="A42" s="17" t="s">
        <v>297</v>
      </c>
      <c r="B42" s="33" t="s">
        <v>529</v>
      </c>
      <c r="C42" s="37" t="s">
        <v>575</v>
      </c>
      <c r="D42" s="33" t="s">
        <v>544</v>
      </c>
      <c r="E42" s="33">
        <v>17600</v>
      </c>
      <c r="F42" s="33" t="s">
        <v>298</v>
      </c>
      <c r="G42" s="33" t="s">
        <v>310</v>
      </c>
      <c r="H42" s="33">
        <v>2018</v>
      </c>
    </row>
    <row r="43" spans="1:8" x14ac:dyDescent="0.3">
      <c r="A43" s="17" t="s">
        <v>297</v>
      </c>
      <c r="B43" s="33" t="s">
        <v>529</v>
      </c>
      <c r="C43" s="37" t="s">
        <v>576</v>
      </c>
      <c r="D43" s="33" t="s">
        <v>531</v>
      </c>
      <c r="E43" s="33">
        <v>17000</v>
      </c>
      <c r="F43" s="33" t="s">
        <v>739</v>
      </c>
      <c r="G43" s="33" t="s">
        <v>310</v>
      </c>
      <c r="H43" s="33">
        <v>2018</v>
      </c>
    </row>
    <row r="44" spans="1:8" x14ac:dyDescent="0.3">
      <c r="A44" s="17" t="s">
        <v>297</v>
      </c>
      <c r="B44" s="33" t="s">
        <v>540</v>
      </c>
      <c r="C44" s="37" t="s">
        <v>577</v>
      </c>
      <c r="D44" s="33" t="s">
        <v>547</v>
      </c>
      <c r="E44" s="33">
        <v>16500</v>
      </c>
      <c r="F44" s="33" t="s">
        <v>740</v>
      </c>
      <c r="G44" s="33" t="s">
        <v>287</v>
      </c>
      <c r="H44" s="33">
        <v>2018</v>
      </c>
    </row>
    <row r="45" spans="1:8" x14ac:dyDescent="0.3">
      <c r="A45" s="17" t="s">
        <v>297</v>
      </c>
      <c r="B45" s="33" t="s">
        <v>540</v>
      </c>
      <c r="C45" s="37" t="s">
        <v>578</v>
      </c>
      <c r="D45" s="33" t="s">
        <v>547</v>
      </c>
      <c r="E45" s="33">
        <v>25000</v>
      </c>
      <c r="F45" s="33" t="s">
        <v>741</v>
      </c>
      <c r="G45" s="33" t="s">
        <v>310</v>
      </c>
      <c r="H45" s="33">
        <v>2018</v>
      </c>
    </row>
    <row r="46" spans="1:8" x14ac:dyDescent="0.3">
      <c r="A46" s="17" t="s">
        <v>297</v>
      </c>
      <c r="B46" s="33" t="s">
        <v>561</v>
      </c>
      <c r="C46" s="37" t="s">
        <v>579</v>
      </c>
      <c r="D46" s="33" t="s">
        <v>533</v>
      </c>
      <c r="E46" s="33">
        <v>1030</v>
      </c>
      <c r="F46" s="33" t="s">
        <v>742</v>
      </c>
      <c r="G46" s="33" t="s">
        <v>310</v>
      </c>
      <c r="H46" s="33">
        <v>2018</v>
      </c>
    </row>
    <row r="47" spans="1:8" x14ac:dyDescent="0.3">
      <c r="A47" s="17" t="s">
        <v>297</v>
      </c>
      <c r="B47" s="33" t="s">
        <v>561</v>
      </c>
      <c r="C47" s="37" t="s">
        <v>580</v>
      </c>
      <c r="D47" s="33" t="s">
        <v>527</v>
      </c>
      <c r="E47" s="33">
        <v>14447</v>
      </c>
      <c r="F47" s="33" t="s">
        <v>298</v>
      </c>
      <c r="G47" s="33" t="s">
        <v>310</v>
      </c>
      <c r="H47" s="33">
        <v>2018</v>
      </c>
    </row>
    <row r="48" spans="1:8" x14ac:dyDescent="0.3">
      <c r="A48" s="17" t="s">
        <v>297</v>
      </c>
      <c r="B48" s="33" t="s">
        <v>561</v>
      </c>
      <c r="C48" s="37" t="s">
        <v>581</v>
      </c>
      <c r="D48" s="33" t="s">
        <v>527</v>
      </c>
      <c r="E48" s="33">
        <v>72200</v>
      </c>
      <c r="F48" s="33" t="s">
        <v>743</v>
      </c>
      <c r="G48" s="33" t="s">
        <v>582</v>
      </c>
      <c r="H48" s="33">
        <v>2018</v>
      </c>
    </row>
    <row r="49" spans="1:8" x14ac:dyDescent="0.3">
      <c r="A49" s="17" t="s">
        <v>297</v>
      </c>
      <c r="B49" s="33" t="s">
        <v>529</v>
      </c>
      <c r="C49" s="37" t="s">
        <v>583</v>
      </c>
      <c r="D49" s="33" t="s">
        <v>527</v>
      </c>
      <c r="E49" s="33">
        <v>32850</v>
      </c>
      <c r="F49" s="33" t="s">
        <v>298</v>
      </c>
      <c r="G49" s="33" t="s">
        <v>310</v>
      </c>
      <c r="H49" s="33">
        <v>2018</v>
      </c>
    </row>
    <row r="50" spans="1:8" x14ac:dyDescent="0.3">
      <c r="A50" s="17" t="s">
        <v>297</v>
      </c>
      <c r="B50" s="33" t="s">
        <v>529</v>
      </c>
      <c r="C50" s="37" t="s">
        <v>584</v>
      </c>
      <c r="D50" s="33" t="s">
        <v>544</v>
      </c>
      <c r="E50" s="33">
        <v>17600</v>
      </c>
      <c r="F50" s="33" t="s">
        <v>742</v>
      </c>
      <c r="G50" s="33" t="s">
        <v>310</v>
      </c>
      <c r="H50" s="33">
        <v>2018</v>
      </c>
    </row>
    <row r="51" spans="1:8" x14ac:dyDescent="0.3">
      <c r="A51" s="17" t="s">
        <v>297</v>
      </c>
      <c r="B51" s="33" t="s">
        <v>529</v>
      </c>
      <c r="C51" s="37" t="s">
        <v>585</v>
      </c>
      <c r="D51" s="33" t="s">
        <v>531</v>
      </c>
      <c r="E51" s="33">
        <v>17000</v>
      </c>
      <c r="F51" s="33" t="s">
        <v>744</v>
      </c>
      <c r="G51" s="33" t="s">
        <v>310</v>
      </c>
      <c r="H51" s="33">
        <v>2018</v>
      </c>
    </row>
    <row r="52" spans="1:8" x14ac:dyDescent="0.3">
      <c r="A52" s="17" t="s">
        <v>297</v>
      </c>
      <c r="B52" s="33" t="s">
        <v>540</v>
      </c>
      <c r="C52" s="37" t="s">
        <v>586</v>
      </c>
      <c r="D52" s="33" t="s">
        <v>547</v>
      </c>
      <c r="E52" s="33">
        <v>16500</v>
      </c>
      <c r="F52" s="33" t="s">
        <v>745</v>
      </c>
      <c r="G52" s="33" t="s">
        <v>287</v>
      </c>
      <c r="H52" s="33">
        <v>2018</v>
      </c>
    </row>
    <row r="53" spans="1:8" x14ac:dyDescent="0.3">
      <c r="A53" s="17" t="s">
        <v>297</v>
      </c>
      <c r="B53" s="33" t="s">
        <v>540</v>
      </c>
      <c r="C53" s="37" t="s">
        <v>587</v>
      </c>
      <c r="D53" s="33" t="s">
        <v>547</v>
      </c>
      <c r="E53" s="33">
        <v>25000</v>
      </c>
      <c r="F53" s="33" t="s">
        <v>746</v>
      </c>
      <c r="G53" s="33" t="s">
        <v>310</v>
      </c>
      <c r="H53" s="33">
        <v>2018</v>
      </c>
    </row>
    <row r="54" spans="1:8" x14ac:dyDescent="0.3">
      <c r="A54" s="17" t="s">
        <v>297</v>
      </c>
      <c r="B54" s="33" t="s">
        <v>561</v>
      </c>
      <c r="C54" s="37" t="s">
        <v>588</v>
      </c>
      <c r="D54" s="33" t="s">
        <v>533</v>
      </c>
      <c r="E54" s="33">
        <v>1030</v>
      </c>
      <c r="F54" s="33" t="s">
        <v>298</v>
      </c>
      <c r="G54" s="33" t="s">
        <v>310</v>
      </c>
      <c r="H54" s="33">
        <v>2018</v>
      </c>
    </row>
    <row r="55" spans="1:8" x14ac:dyDescent="0.3">
      <c r="A55" s="17" t="s">
        <v>297</v>
      </c>
      <c r="B55" s="33" t="s">
        <v>561</v>
      </c>
      <c r="C55" s="37" t="s">
        <v>589</v>
      </c>
      <c r="D55" s="33" t="s">
        <v>527</v>
      </c>
      <c r="E55" s="33">
        <v>14447</v>
      </c>
      <c r="F55" s="33" t="s">
        <v>298</v>
      </c>
      <c r="G55" s="33" t="s">
        <v>310</v>
      </c>
      <c r="H55" s="33">
        <v>2018</v>
      </c>
    </row>
    <row r="56" spans="1:8" x14ac:dyDescent="0.3">
      <c r="A56" s="17" t="s">
        <v>297</v>
      </c>
      <c r="B56" s="33" t="s">
        <v>561</v>
      </c>
      <c r="C56" s="37" t="s">
        <v>590</v>
      </c>
      <c r="D56" s="33" t="s">
        <v>527</v>
      </c>
      <c r="E56" s="33">
        <v>72200</v>
      </c>
      <c r="F56" s="33" t="s">
        <v>298</v>
      </c>
      <c r="G56" s="33" t="s">
        <v>310</v>
      </c>
      <c r="H56" s="33">
        <v>2018</v>
      </c>
    </row>
    <row r="57" spans="1:8" x14ac:dyDescent="0.3">
      <c r="A57" s="17" t="s">
        <v>297</v>
      </c>
      <c r="B57" s="33" t="s">
        <v>529</v>
      </c>
      <c r="C57" s="37" t="s">
        <v>591</v>
      </c>
      <c r="D57" s="33" t="s">
        <v>527</v>
      </c>
      <c r="E57" s="33">
        <v>32850</v>
      </c>
      <c r="F57" s="33" t="s">
        <v>298</v>
      </c>
      <c r="G57" s="33" t="s">
        <v>310</v>
      </c>
      <c r="H57" s="33">
        <v>2018</v>
      </c>
    </row>
    <row r="58" spans="1:8" x14ac:dyDescent="0.3">
      <c r="A58" s="18" t="s">
        <v>163</v>
      </c>
      <c r="B58" s="33" t="s">
        <v>529</v>
      </c>
      <c r="C58" s="37" t="s">
        <v>592</v>
      </c>
      <c r="D58" s="33" t="s">
        <v>527</v>
      </c>
      <c r="E58" s="33">
        <v>400</v>
      </c>
      <c r="F58" s="33" t="s">
        <v>747</v>
      </c>
      <c r="G58" s="33" t="s">
        <v>306</v>
      </c>
      <c r="H58" s="33">
        <v>2019</v>
      </c>
    </row>
    <row r="59" spans="1:8" x14ac:dyDescent="0.3">
      <c r="A59" s="18" t="s">
        <v>163</v>
      </c>
      <c r="B59" s="33" t="s">
        <v>529</v>
      </c>
      <c r="C59" s="37" t="s">
        <v>593</v>
      </c>
      <c r="D59" s="33" t="s">
        <v>527</v>
      </c>
      <c r="E59" s="33">
        <v>595</v>
      </c>
      <c r="F59" s="33" t="s">
        <v>747</v>
      </c>
      <c r="G59" s="33" t="s">
        <v>306</v>
      </c>
      <c r="H59" s="33">
        <v>2019</v>
      </c>
    </row>
    <row r="60" spans="1:8" x14ac:dyDescent="0.3">
      <c r="A60" s="18" t="s">
        <v>163</v>
      </c>
      <c r="B60" s="33" t="s">
        <v>540</v>
      </c>
      <c r="C60" s="37" t="s">
        <v>594</v>
      </c>
      <c r="D60" s="33" t="s">
        <v>547</v>
      </c>
      <c r="E60" s="33">
        <v>1500</v>
      </c>
      <c r="F60" s="33" t="s">
        <v>747</v>
      </c>
      <c r="G60" s="33" t="s">
        <v>306</v>
      </c>
      <c r="H60" s="33">
        <v>2019</v>
      </c>
    </row>
    <row r="61" spans="1:8" x14ac:dyDescent="0.3">
      <c r="A61" s="18" t="s">
        <v>163</v>
      </c>
      <c r="B61" s="33" t="s">
        <v>561</v>
      </c>
      <c r="C61" s="37" t="s">
        <v>595</v>
      </c>
      <c r="D61" s="33" t="s">
        <v>533</v>
      </c>
      <c r="E61" s="33">
        <v>500</v>
      </c>
      <c r="F61" s="33" t="s">
        <v>747</v>
      </c>
      <c r="G61" s="33" t="s">
        <v>306</v>
      </c>
      <c r="H61" s="33">
        <v>2019</v>
      </c>
    </row>
    <row r="62" spans="1:8" x14ac:dyDescent="0.3">
      <c r="A62" s="18" t="s">
        <v>163</v>
      </c>
      <c r="B62" s="33" t="s">
        <v>554</v>
      </c>
      <c r="C62" s="37" t="s">
        <v>596</v>
      </c>
      <c r="D62" s="33" t="s">
        <v>544</v>
      </c>
      <c r="E62" s="33">
        <v>400</v>
      </c>
      <c r="F62" s="33" t="s">
        <v>747</v>
      </c>
      <c r="G62" s="33" t="s">
        <v>306</v>
      </c>
      <c r="H62" s="33">
        <v>2019</v>
      </c>
    </row>
    <row r="63" spans="1:8" x14ac:dyDescent="0.3">
      <c r="A63" s="18" t="s">
        <v>163</v>
      </c>
      <c r="B63" s="33" t="s">
        <v>537</v>
      </c>
      <c r="C63" s="37" t="s">
        <v>597</v>
      </c>
      <c r="D63" s="33" t="s">
        <v>527</v>
      </c>
      <c r="E63" s="33">
        <v>250</v>
      </c>
      <c r="F63" s="33" t="s">
        <v>747</v>
      </c>
      <c r="G63" s="33" t="s">
        <v>306</v>
      </c>
      <c r="H63" s="33">
        <v>2019</v>
      </c>
    </row>
    <row r="64" spans="1:8" ht="43.2" x14ac:dyDescent="0.3">
      <c r="A64" s="18" t="s">
        <v>162</v>
      </c>
      <c r="B64" s="33" t="s">
        <v>540</v>
      </c>
      <c r="C64" s="37" t="s">
        <v>598</v>
      </c>
      <c r="D64" s="33" t="s">
        <v>547</v>
      </c>
      <c r="E64" s="33">
        <v>25000</v>
      </c>
      <c r="F64" s="33" t="s">
        <v>748</v>
      </c>
      <c r="G64" s="33" t="s">
        <v>599</v>
      </c>
      <c r="H64" s="33">
        <v>2018</v>
      </c>
    </row>
    <row r="65" spans="1:8" x14ac:dyDescent="0.3">
      <c r="A65" s="18" t="s">
        <v>162</v>
      </c>
      <c r="B65" s="33" t="s">
        <v>561</v>
      </c>
      <c r="C65" s="37" t="s">
        <v>600</v>
      </c>
      <c r="D65" s="33" t="s">
        <v>533</v>
      </c>
      <c r="E65" s="33">
        <v>200</v>
      </c>
      <c r="F65" s="33" t="s">
        <v>749</v>
      </c>
      <c r="G65" s="33" t="s">
        <v>599</v>
      </c>
      <c r="H65" s="33">
        <v>2018</v>
      </c>
    </row>
    <row r="66" spans="1:8" ht="28.8" x14ac:dyDescent="0.3">
      <c r="A66" s="18" t="s">
        <v>162</v>
      </c>
      <c r="B66" s="33" t="s">
        <v>540</v>
      </c>
      <c r="C66" s="37" t="s">
        <v>601</v>
      </c>
      <c r="D66" s="33" t="s">
        <v>533</v>
      </c>
      <c r="E66" s="33">
        <v>1600</v>
      </c>
      <c r="F66" s="33" t="s">
        <v>750</v>
      </c>
      <c r="G66" s="33" t="s">
        <v>599</v>
      </c>
      <c r="H66" s="33">
        <v>2018</v>
      </c>
    </row>
    <row r="67" spans="1:8" ht="28.8" x14ac:dyDescent="0.3">
      <c r="A67" s="18" t="s">
        <v>162</v>
      </c>
      <c r="B67" s="33" t="s">
        <v>557</v>
      </c>
      <c r="C67" s="37" t="s">
        <v>602</v>
      </c>
      <c r="D67" s="33" t="s">
        <v>527</v>
      </c>
      <c r="E67" s="33">
        <v>1600</v>
      </c>
      <c r="F67" s="33" t="s">
        <v>603</v>
      </c>
      <c r="G67" s="33" t="s">
        <v>278</v>
      </c>
      <c r="H67" s="33">
        <v>2018</v>
      </c>
    </row>
    <row r="68" spans="1:8" x14ac:dyDescent="0.3">
      <c r="A68" s="18" t="s">
        <v>162</v>
      </c>
      <c r="B68" s="33" t="s">
        <v>557</v>
      </c>
      <c r="C68" s="37" t="s">
        <v>604</v>
      </c>
      <c r="D68" s="33" t="s">
        <v>527</v>
      </c>
      <c r="E68" s="33">
        <v>35000</v>
      </c>
      <c r="F68" s="33" t="s">
        <v>748</v>
      </c>
      <c r="G68" s="33" t="s">
        <v>599</v>
      </c>
      <c r="H68" s="33">
        <v>2018</v>
      </c>
    </row>
    <row r="69" spans="1:8" x14ac:dyDescent="0.3">
      <c r="A69" s="18" t="s">
        <v>162</v>
      </c>
      <c r="B69" s="33" t="s">
        <v>557</v>
      </c>
      <c r="C69" s="37" t="s">
        <v>604</v>
      </c>
      <c r="D69" s="33" t="s">
        <v>527</v>
      </c>
      <c r="E69" s="33">
        <v>25000</v>
      </c>
      <c r="F69" s="33" t="s">
        <v>751</v>
      </c>
      <c r="G69" s="33" t="s">
        <v>599</v>
      </c>
      <c r="H69" s="33">
        <v>2018</v>
      </c>
    </row>
    <row r="70" spans="1:8" x14ac:dyDescent="0.3">
      <c r="A70" s="18" t="s">
        <v>162</v>
      </c>
      <c r="B70" s="33" t="s">
        <v>554</v>
      </c>
      <c r="C70" s="37" t="s">
        <v>605</v>
      </c>
      <c r="D70" s="33" t="s">
        <v>544</v>
      </c>
      <c r="E70" s="33">
        <v>7300</v>
      </c>
      <c r="F70" s="33" t="s">
        <v>752</v>
      </c>
      <c r="G70" s="33" t="s">
        <v>599</v>
      </c>
      <c r="H70" s="33">
        <v>2018</v>
      </c>
    </row>
    <row r="71" spans="1:8" x14ac:dyDescent="0.3">
      <c r="A71" s="18" t="s">
        <v>162</v>
      </c>
      <c r="B71" s="33" t="s">
        <v>540</v>
      </c>
      <c r="C71" s="37" t="s">
        <v>606</v>
      </c>
      <c r="D71" s="33" t="s">
        <v>547</v>
      </c>
      <c r="E71" s="33">
        <v>1700</v>
      </c>
      <c r="F71" s="33" t="s">
        <v>752</v>
      </c>
      <c r="G71" s="33" t="s">
        <v>599</v>
      </c>
      <c r="H71" s="33">
        <v>2018</v>
      </c>
    </row>
    <row r="72" spans="1:8" x14ac:dyDescent="0.3">
      <c r="A72" s="18" t="s">
        <v>162</v>
      </c>
      <c r="B72" s="33" t="s">
        <v>529</v>
      </c>
      <c r="C72" s="37" t="s">
        <v>607</v>
      </c>
      <c r="D72" s="33" t="s">
        <v>531</v>
      </c>
      <c r="E72" s="33">
        <v>6000</v>
      </c>
      <c r="F72" s="33" t="s">
        <v>752</v>
      </c>
      <c r="G72" s="33" t="s">
        <v>599</v>
      </c>
      <c r="H72" s="33">
        <v>2018</v>
      </c>
    </row>
    <row r="73" spans="1:8" x14ac:dyDescent="0.3">
      <c r="A73" s="18" t="s">
        <v>162</v>
      </c>
      <c r="B73" s="33" t="s">
        <v>557</v>
      </c>
      <c r="C73" s="37" t="s">
        <v>604</v>
      </c>
      <c r="D73" s="33" t="s">
        <v>527</v>
      </c>
      <c r="E73" s="33">
        <v>15000</v>
      </c>
      <c r="F73" s="33" t="s">
        <v>753</v>
      </c>
      <c r="G73" s="33" t="s">
        <v>599</v>
      </c>
      <c r="H73" s="33">
        <v>2018</v>
      </c>
    </row>
    <row r="74" spans="1:8" x14ac:dyDescent="0.3">
      <c r="A74" s="18" t="s">
        <v>162</v>
      </c>
      <c r="B74" s="33" t="s">
        <v>554</v>
      </c>
      <c r="C74" s="37" t="s">
        <v>608</v>
      </c>
      <c r="D74" s="33" t="s">
        <v>544</v>
      </c>
      <c r="E74" s="33">
        <v>7000</v>
      </c>
      <c r="F74" s="33" t="s">
        <v>753</v>
      </c>
      <c r="G74" s="33" t="s">
        <v>599</v>
      </c>
      <c r="H74" s="33">
        <v>2018</v>
      </c>
    </row>
    <row r="75" spans="1:8" ht="28.8" x14ac:dyDescent="0.3">
      <c r="A75" s="18" t="s">
        <v>162</v>
      </c>
      <c r="B75" s="33" t="s">
        <v>561</v>
      </c>
      <c r="C75" s="37" t="s">
        <v>609</v>
      </c>
      <c r="D75" s="33" t="s">
        <v>527</v>
      </c>
      <c r="E75" s="33">
        <v>1100</v>
      </c>
      <c r="F75" s="33" t="s">
        <v>754</v>
      </c>
      <c r="G75" s="33" t="s">
        <v>599</v>
      </c>
      <c r="H75" s="33">
        <v>2018</v>
      </c>
    </row>
    <row r="76" spans="1:8" x14ac:dyDescent="0.3">
      <c r="A76" s="18" t="s">
        <v>162</v>
      </c>
      <c r="B76" s="33" t="s">
        <v>557</v>
      </c>
      <c r="C76" s="37" t="s">
        <v>610</v>
      </c>
      <c r="D76" s="33" t="s">
        <v>527</v>
      </c>
      <c r="E76" s="33">
        <v>20000</v>
      </c>
      <c r="F76" s="33" t="s">
        <v>748</v>
      </c>
      <c r="G76" s="33" t="s">
        <v>599</v>
      </c>
      <c r="H76" s="33">
        <v>2018</v>
      </c>
    </row>
    <row r="77" spans="1:8" x14ac:dyDescent="0.3">
      <c r="A77" s="18" t="s">
        <v>162</v>
      </c>
      <c r="B77" s="33" t="s">
        <v>557</v>
      </c>
      <c r="C77" s="37" t="s">
        <v>610</v>
      </c>
      <c r="D77" s="33" t="s">
        <v>527</v>
      </c>
      <c r="E77" s="33">
        <v>15500</v>
      </c>
      <c r="F77" s="33" t="s">
        <v>755</v>
      </c>
      <c r="G77" s="33" t="s">
        <v>599</v>
      </c>
      <c r="H77" s="33">
        <v>2018</v>
      </c>
    </row>
    <row r="78" spans="1:8" x14ac:dyDescent="0.3">
      <c r="A78" s="18" t="s">
        <v>162</v>
      </c>
      <c r="B78" s="33" t="s">
        <v>557</v>
      </c>
      <c r="C78" s="37" t="s">
        <v>610</v>
      </c>
      <c r="D78" s="33" t="s">
        <v>527</v>
      </c>
      <c r="E78" s="33">
        <v>13500</v>
      </c>
      <c r="F78" s="33" t="s">
        <v>756</v>
      </c>
      <c r="G78" s="33" t="s">
        <v>599</v>
      </c>
      <c r="H78" s="33">
        <v>2018</v>
      </c>
    </row>
    <row r="79" spans="1:8" x14ac:dyDescent="0.3">
      <c r="A79" s="17" t="s">
        <v>63</v>
      </c>
      <c r="B79" s="33" t="s">
        <v>529</v>
      </c>
      <c r="C79" s="37" t="s">
        <v>611</v>
      </c>
      <c r="D79" s="33" t="s">
        <v>527</v>
      </c>
      <c r="E79" s="33">
        <v>115000</v>
      </c>
      <c r="F79" s="33" t="s">
        <v>291</v>
      </c>
      <c r="G79" s="33" t="s">
        <v>310</v>
      </c>
      <c r="H79" s="33">
        <v>2019</v>
      </c>
    </row>
    <row r="80" spans="1:8" ht="43.2" x14ac:dyDescent="0.3">
      <c r="A80" s="17" t="s">
        <v>63</v>
      </c>
      <c r="B80" s="33" t="s">
        <v>535</v>
      </c>
      <c r="C80" s="37" t="s">
        <v>612</v>
      </c>
      <c r="D80" s="33" t="s">
        <v>527</v>
      </c>
      <c r="E80" s="33">
        <v>15000</v>
      </c>
      <c r="F80" s="33" t="s">
        <v>291</v>
      </c>
      <c r="G80" s="33" t="s">
        <v>310</v>
      </c>
      <c r="H80" s="33">
        <v>2019</v>
      </c>
    </row>
    <row r="81" spans="1:8" ht="28.8" x14ac:dyDescent="0.3">
      <c r="A81" s="17" t="s">
        <v>63</v>
      </c>
      <c r="B81" s="33" t="s">
        <v>561</v>
      </c>
      <c r="C81" s="37" t="s">
        <v>613</v>
      </c>
      <c r="D81" s="33" t="s">
        <v>527</v>
      </c>
      <c r="E81" s="33">
        <v>81122</v>
      </c>
      <c r="F81" s="33" t="s">
        <v>311</v>
      </c>
      <c r="G81" s="33" t="s">
        <v>310</v>
      </c>
      <c r="H81" s="33">
        <v>2018</v>
      </c>
    </row>
    <row r="82" spans="1:8" ht="43.2" x14ac:dyDescent="0.3">
      <c r="A82" s="17" t="s">
        <v>63</v>
      </c>
      <c r="B82" s="33" t="s">
        <v>535</v>
      </c>
      <c r="C82" s="37" t="s">
        <v>614</v>
      </c>
      <c r="D82" s="33" t="s">
        <v>527</v>
      </c>
      <c r="E82" s="33">
        <v>15000</v>
      </c>
      <c r="F82" s="33" t="s">
        <v>311</v>
      </c>
      <c r="G82" s="33" t="s">
        <v>310</v>
      </c>
      <c r="H82" s="33">
        <v>2018</v>
      </c>
    </row>
    <row r="83" spans="1:8" x14ac:dyDescent="0.3">
      <c r="A83" s="18" t="s">
        <v>163</v>
      </c>
      <c r="B83" s="33" t="s">
        <v>529</v>
      </c>
      <c r="C83" s="37" t="s">
        <v>615</v>
      </c>
      <c r="D83" s="33" t="s">
        <v>527</v>
      </c>
      <c r="E83" s="33">
        <v>10500</v>
      </c>
      <c r="F83" s="33" t="s">
        <v>757</v>
      </c>
      <c r="G83" s="33" t="s">
        <v>306</v>
      </c>
      <c r="H83" s="33">
        <v>2018</v>
      </c>
    </row>
    <row r="84" spans="1:8" x14ac:dyDescent="0.3">
      <c r="A84" s="18" t="s">
        <v>312</v>
      </c>
      <c r="B84" s="33" t="s">
        <v>540</v>
      </c>
      <c r="C84" s="37" t="s">
        <v>616</v>
      </c>
      <c r="D84" s="33" t="s">
        <v>547</v>
      </c>
      <c r="E84" s="33">
        <v>13783.118</v>
      </c>
      <c r="F84" s="33" t="s">
        <v>758</v>
      </c>
      <c r="G84" s="33" t="s">
        <v>227</v>
      </c>
      <c r="H84" s="33">
        <v>2018</v>
      </c>
    </row>
    <row r="85" spans="1:8" x14ac:dyDescent="0.3">
      <c r="A85" s="18" t="s">
        <v>312</v>
      </c>
      <c r="B85" s="33" t="s">
        <v>540</v>
      </c>
      <c r="C85" s="37" t="s">
        <v>617</v>
      </c>
      <c r="D85" s="33" t="s">
        <v>547</v>
      </c>
      <c r="E85" s="33">
        <v>4770.5</v>
      </c>
      <c r="F85" s="33" t="s">
        <v>759</v>
      </c>
      <c r="G85" s="33" t="s">
        <v>227</v>
      </c>
      <c r="H85" s="33">
        <v>2018</v>
      </c>
    </row>
    <row r="86" spans="1:8" ht="28.8" x14ac:dyDescent="0.3">
      <c r="A86" s="18" t="s">
        <v>312</v>
      </c>
      <c r="B86" s="33" t="s">
        <v>540</v>
      </c>
      <c r="C86" s="37" t="s">
        <v>618</v>
      </c>
      <c r="D86" s="33" t="s">
        <v>547</v>
      </c>
      <c r="E86" s="33">
        <v>3002.4</v>
      </c>
      <c r="F86" s="33" t="s">
        <v>760</v>
      </c>
      <c r="G86" s="33" t="s">
        <v>227</v>
      </c>
      <c r="H86" s="33">
        <v>2018</v>
      </c>
    </row>
    <row r="87" spans="1:8" ht="28.8" x14ac:dyDescent="0.3">
      <c r="A87" s="18" t="s">
        <v>312</v>
      </c>
      <c r="B87" s="33" t="s">
        <v>540</v>
      </c>
      <c r="C87" s="37" t="s">
        <v>619</v>
      </c>
      <c r="D87" s="33" t="s">
        <v>547</v>
      </c>
      <c r="E87" s="33">
        <v>14789.628000000001</v>
      </c>
      <c r="F87" s="33" t="s">
        <v>761</v>
      </c>
      <c r="G87" s="33" t="s">
        <v>227</v>
      </c>
      <c r="H87" s="33">
        <v>2018</v>
      </c>
    </row>
    <row r="88" spans="1:8" ht="28.8" x14ac:dyDescent="0.3">
      <c r="A88" s="18" t="s">
        <v>312</v>
      </c>
      <c r="B88" s="33" t="s">
        <v>540</v>
      </c>
      <c r="C88" s="37" t="s">
        <v>620</v>
      </c>
      <c r="D88" s="33" t="s">
        <v>547</v>
      </c>
      <c r="E88" s="33">
        <v>21701.491999999998</v>
      </c>
      <c r="F88" s="33" t="s">
        <v>758</v>
      </c>
      <c r="G88" s="33" t="s">
        <v>227</v>
      </c>
      <c r="H88" s="33">
        <v>2018</v>
      </c>
    </row>
    <row r="89" spans="1:8" x14ac:dyDescent="0.3">
      <c r="A89" s="18" t="s">
        <v>312</v>
      </c>
      <c r="B89" s="33" t="s">
        <v>540</v>
      </c>
      <c r="C89" s="37" t="s">
        <v>621</v>
      </c>
      <c r="D89" s="33" t="s">
        <v>547</v>
      </c>
      <c r="E89" s="33">
        <v>9955.2999999999993</v>
      </c>
      <c r="F89" s="33" t="s">
        <v>758</v>
      </c>
      <c r="G89" s="33" t="s">
        <v>227</v>
      </c>
      <c r="H89" s="33">
        <v>2018</v>
      </c>
    </row>
    <row r="90" spans="1:8" ht="28.8" x14ac:dyDescent="0.3">
      <c r="A90" s="18" t="s">
        <v>312</v>
      </c>
      <c r="B90" s="33" t="s">
        <v>540</v>
      </c>
      <c r="C90" s="37" t="s">
        <v>622</v>
      </c>
      <c r="D90" s="33" t="s">
        <v>547</v>
      </c>
      <c r="E90" s="33">
        <v>12078.9</v>
      </c>
      <c r="F90" s="33" t="s">
        <v>758</v>
      </c>
      <c r="G90" s="33" t="s">
        <v>227</v>
      </c>
      <c r="H90" s="33">
        <v>2018</v>
      </c>
    </row>
    <row r="91" spans="1:8" ht="28.8" x14ac:dyDescent="0.3">
      <c r="A91" s="18" t="s">
        <v>312</v>
      </c>
      <c r="B91" s="33" t="s">
        <v>540</v>
      </c>
      <c r="C91" s="37" t="s">
        <v>623</v>
      </c>
      <c r="D91" s="33" t="s">
        <v>547</v>
      </c>
      <c r="E91" s="33">
        <v>16004.213</v>
      </c>
      <c r="F91" s="33" t="s">
        <v>762</v>
      </c>
      <c r="G91" s="33" t="s">
        <v>219</v>
      </c>
      <c r="H91" s="33">
        <v>2018</v>
      </c>
    </row>
    <row r="92" spans="1:8" x14ac:dyDescent="0.3">
      <c r="A92" s="18" t="s">
        <v>312</v>
      </c>
      <c r="B92" s="33" t="s">
        <v>540</v>
      </c>
      <c r="C92" s="37" t="s">
        <v>624</v>
      </c>
      <c r="D92" s="33" t="s">
        <v>547</v>
      </c>
      <c r="E92" s="33">
        <v>1500</v>
      </c>
      <c r="F92" s="33" t="s">
        <v>758</v>
      </c>
      <c r="G92" s="33" t="s">
        <v>227</v>
      </c>
      <c r="H92" s="33">
        <v>2018</v>
      </c>
    </row>
    <row r="93" spans="1:8" ht="28.8" x14ac:dyDescent="0.3">
      <c r="A93" s="18" t="s">
        <v>312</v>
      </c>
      <c r="B93" s="33" t="s">
        <v>537</v>
      </c>
      <c r="C93" s="37" t="s">
        <v>625</v>
      </c>
      <c r="D93" s="33" t="s">
        <v>527</v>
      </c>
      <c r="E93" s="33">
        <v>8150</v>
      </c>
      <c r="F93" s="33" t="s">
        <v>758</v>
      </c>
      <c r="G93" s="33" t="s">
        <v>227</v>
      </c>
      <c r="H93" s="33">
        <v>2018</v>
      </c>
    </row>
    <row r="94" spans="1:8" x14ac:dyDescent="0.3">
      <c r="A94" s="18" t="s">
        <v>312</v>
      </c>
      <c r="B94" s="33" t="s">
        <v>523</v>
      </c>
      <c r="C94" s="37" t="s">
        <v>626</v>
      </c>
      <c r="D94" s="33" t="s">
        <v>527</v>
      </c>
      <c r="E94" s="33">
        <v>25000</v>
      </c>
      <c r="F94" s="33" t="s">
        <v>763</v>
      </c>
      <c r="G94" s="33" t="s">
        <v>227</v>
      </c>
      <c r="H94" s="33">
        <v>2018</v>
      </c>
    </row>
    <row r="95" spans="1:8" x14ac:dyDescent="0.3">
      <c r="A95" s="18" t="s">
        <v>312</v>
      </c>
      <c r="B95" s="33" t="s">
        <v>561</v>
      </c>
      <c r="C95" s="37" t="s">
        <v>627</v>
      </c>
      <c r="D95" s="33" t="s">
        <v>533</v>
      </c>
      <c r="E95" s="33">
        <v>7000</v>
      </c>
      <c r="F95" s="33" t="s">
        <v>764</v>
      </c>
      <c r="G95" s="33" t="s">
        <v>227</v>
      </c>
      <c r="H95" s="33">
        <v>2018</v>
      </c>
    </row>
    <row r="96" spans="1:8" x14ac:dyDescent="0.3">
      <c r="A96" s="18" t="s">
        <v>81</v>
      </c>
      <c r="B96" s="33" t="s">
        <v>529</v>
      </c>
      <c r="C96" s="37" t="s">
        <v>628</v>
      </c>
      <c r="D96" s="33" t="s">
        <v>544</v>
      </c>
      <c r="E96" s="33">
        <v>4862</v>
      </c>
      <c r="F96" s="33" t="s">
        <v>354</v>
      </c>
      <c r="G96" s="33" t="s">
        <v>227</v>
      </c>
      <c r="H96" s="33">
        <v>2018</v>
      </c>
    </row>
    <row r="97" spans="1:8" x14ac:dyDescent="0.3">
      <c r="A97" s="18" t="s">
        <v>81</v>
      </c>
      <c r="B97" s="33" t="s">
        <v>529</v>
      </c>
      <c r="C97" s="37" t="s">
        <v>629</v>
      </c>
      <c r="D97" s="33" t="s">
        <v>531</v>
      </c>
      <c r="E97" s="33">
        <v>695</v>
      </c>
      <c r="F97" s="33" t="s">
        <v>765</v>
      </c>
      <c r="G97" s="33" t="s">
        <v>227</v>
      </c>
      <c r="H97" s="33">
        <v>2018</v>
      </c>
    </row>
    <row r="98" spans="1:8" x14ac:dyDescent="0.3">
      <c r="A98" s="18" t="s">
        <v>81</v>
      </c>
      <c r="B98" s="33" t="s">
        <v>630</v>
      </c>
      <c r="C98" s="37" t="s">
        <v>631</v>
      </c>
      <c r="D98" s="33" t="s">
        <v>527</v>
      </c>
      <c r="E98" s="33">
        <v>47700</v>
      </c>
      <c r="F98" s="33" t="s">
        <v>354</v>
      </c>
      <c r="G98" s="33" t="s">
        <v>227</v>
      </c>
      <c r="H98" s="33">
        <v>2019</v>
      </c>
    </row>
    <row r="99" spans="1:8" x14ac:dyDescent="0.3">
      <c r="A99" s="17" t="s">
        <v>89</v>
      </c>
      <c r="B99" s="33" t="s">
        <v>529</v>
      </c>
      <c r="C99" s="37" t="s">
        <v>632</v>
      </c>
      <c r="D99" s="33" t="s">
        <v>531</v>
      </c>
      <c r="E99" s="33">
        <v>16957</v>
      </c>
      <c r="F99" s="33" t="s">
        <v>766</v>
      </c>
      <c r="G99" s="33" t="s">
        <v>287</v>
      </c>
      <c r="H99" s="33">
        <v>2019</v>
      </c>
    </row>
    <row r="100" spans="1:8" x14ac:dyDescent="0.3">
      <c r="A100" s="17" t="s">
        <v>89</v>
      </c>
      <c r="B100" s="33" t="s">
        <v>529</v>
      </c>
      <c r="C100" s="37" t="s">
        <v>633</v>
      </c>
      <c r="D100" s="33" t="s">
        <v>527</v>
      </c>
      <c r="E100" s="33">
        <v>1000</v>
      </c>
      <c r="F100" s="33" t="s">
        <v>263</v>
      </c>
      <c r="G100" s="33" t="s">
        <v>287</v>
      </c>
      <c r="H100" s="33">
        <v>2019</v>
      </c>
    </row>
    <row r="101" spans="1:8" x14ac:dyDescent="0.3">
      <c r="A101" s="17" t="s">
        <v>89</v>
      </c>
      <c r="B101" s="33" t="s">
        <v>561</v>
      </c>
      <c r="C101" s="37" t="s">
        <v>634</v>
      </c>
      <c r="D101" s="33" t="s">
        <v>527</v>
      </c>
      <c r="E101" s="33">
        <v>59407</v>
      </c>
      <c r="F101" s="33" t="s">
        <v>767</v>
      </c>
      <c r="G101" s="33" t="s">
        <v>287</v>
      </c>
      <c r="H101" s="33">
        <v>2019</v>
      </c>
    </row>
    <row r="102" spans="1:8" x14ac:dyDescent="0.3">
      <c r="A102" s="17" t="s">
        <v>89</v>
      </c>
      <c r="B102" s="33" t="s">
        <v>529</v>
      </c>
      <c r="C102" s="37" t="s">
        <v>635</v>
      </c>
      <c r="D102" s="33" t="s">
        <v>527</v>
      </c>
      <c r="E102" s="33">
        <v>6233</v>
      </c>
      <c r="F102" s="33" t="s">
        <v>768</v>
      </c>
      <c r="G102" s="33" t="s">
        <v>636</v>
      </c>
      <c r="H102" s="33">
        <v>2019</v>
      </c>
    </row>
    <row r="103" spans="1:8" x14ac:dyDescent="0.3">
      <c r="A103" s="17" t="s">
        <v>89</v>
      </c>
      <c r="B103" s="33" t="s">
        <v>529</v>
      </c>
      <c r="C103" s="37" t="s">
        <v>632</v>
      </c>
      <c r="D103" s="33" t="s">
        <v>527</v>
      </c>
      <c r="E103" s="33">
        <v>208</v>
      </c>
      <c r="F103" s="33" t="s">
        <v>767</v>
      </c>
      <c r="G103" s="33" t="s">
        <v>287</v>
      </c>
      <c r="H103" s="33">
        <v>2019</v>
      </c>
    </row>
    <row r="104" spans="1:8" x14ac:dyDescent="0.3">
      <c r="A104" s="17" t="s">
        <v>89</v>
      </c>
      <c r="B104" s="33" t="s">
        <v>529</v>
      </c>
      <c r="C104" s="37" t="s">
        <v>633</v>
      </c>
      <c r="D104" s="33" t="s">
        <v>527</v>
      </c>
      <c r="E104" s="33">
        <v>500</v>
      </c>
      <c r="F104" s="33" t="s">
        <v>767</v>
      </c>
      <c r="G104" s="33" t="s">
        <v>287</v>
      </c>
      <c r="H104" s="33">
        <v>2019</v>
      </c>
    </row>
    <row r="105" spans="1:8" x14ac:dyDescent="0.3">
      <c r="A105" s="17" t="s">
        <v>89</v>
      </c>
      <c r="B105" s="33" t="s">
        <v>529</v>
      </c>
      <c r="C105" s="37" t="s">
        <v>637</v>
      </c>
      <c r="D105" s="33" t="s">
        <v>527</v>
      </c>
      <c r="E105" s="33">
        <v>3518</v>
      </c>
      <c r="F105" s="33" t="s">
        <v>638</v>
      </c>
      <c r="G105" s="33" t="s">
        <v>287</v>
      </c>
      <c r="H105" s="33">
        <v>2019</v>
      </c>
    </row>
    <row r="106" spans="1:8" x14ac:dyDescent="0.3">
      <c r="A106" s="17" t="s">
        <v>89</v>
      </c>
      <c r="B106" s="33" t="s">
        <v>529</v>
      </c>
      <c r="C106" s="37" t="s">
        <v>639</v>
      </c>
      <c r="D106" s="33" t="s">
        <v>531</v>
      </c>
      <c r="E106" s="33">
        <v>531</v>
      </c>
      <c r="F106" s="33" t="s">
        <v>640</v>
      </c>
      <c r="G106" s="33" t="s">
        <v>287</v>
      </c>
      <c r="H106" s="33">
        <v>2019</v>
      </c>
    </row>
    <row r="107" spans="1:8" x14ac:dyDescent="0.3">
      <c r="A107" s="17" t="s">
        <v>89</v>
      </c>
      <c r="B107" s="33" t="s">
        <v>540</v>
      </c>
      <c r="C107" s="37" t="s">
        <v>641</v>
      </c>
      <c r="D107" s="33" t="s">
        <v>547</v>
      </c>
      <c r="E107" s="33">
        <v>44756</v>
      </c>
      <c r="F107" s="33" t="s">
        <v>767</v>
      </c>
      <c r="G107" s="33" t="s">
        <v>287</v>
      </c>
      <c r="H107" s="33">
        <v>2019</v>
      </c>
    </row>
    <row r="108" spans="1:8" x14ac:dyDescent="0.3">
      <c r="A108" s="17" t="s">
        <v>89</v>
      </c>
      <c r="B108" s="33" t="s">
        <v>540</v>
      </c>
      <c r="C108" s="37" t="s">
        <v>642</v>
      </c>
      <c r="D108" s="33" t="s">
        <v>547</v>
      </c>
      <c r="E108" s="33">
        <v>63078</v>
      </c>
      <c r="F108" s="33" t="s">
        <v>767</v>
      </c>
      <c r="G108" s="33" t="s">
        <v>287</v>
      </c>
      <c r="H108" s="33">
        <v>2019</v>
      </c>
    </row>
    <row r="109" spans="1:8" x14ac:dyDescent="0.3">
      <c r="A109" s="17" t="s">
        <v>89</v>
      </c>
      <c r="B109" s="33" t="s">
        <v>540</v>
      </c>
      <c r="C109" s="37" t="s">
        <v>643</v>
      </c>
      <c r="D109" s="33" t="s">
        <v>547</v>
      </c>
      <c r="E109" s="33">
        <v>3182</v>
      </c>
      <c r="F109" s="33" t="s">
        <v>767</v>
      </c>
      <c r="G109" s="33" t="s">
        <v>287</v>
      </c>
      <c r="H109" s="33">
        <v>2019</v>
      </c>
    </row>
    <row r="110" spans="1:8" x14ac:dyDescent="0.3">
      <c r="A110" s="17" t="s">
        <v>89</v>
      </c>
      <c r="B110" s="33" t="s">
        <v>540</v>
      </c>
      <c r="C110" s="37" t="s">
        <v>644</v>
      </c>
      <c r="D110" s="33" t="s">
        <v>547</v>
      </c>
      <c r="E110" s="33">
        <v>188</v>
      </c>
      <c r="F110" s="33" t="s">
        <v>767</v>
      </c>
      <c r="G110" s="33" t="s">
        <v>287</v>
      </c>
      <c r="H110" s="33">
        <v>2019</v>
      </c>
    </row>
    <row r="111" spans="1:8" x14ac:dyDescent="0.3">
      <c r="A111" s="17" t="s">
        <v>89</v>
      </c>
      <c r="B111" s="33" t="s">
        <v>529</v>
      </c>
      <c r="C111" s="37" t="s">
        <v>645</v>
      </c>
      <c r="D111" s="33" t="s">
        <v>531</v>
      </c>
      <c r="E111" s="33">
        <v>4650</v>
      </c>
      <c r="F111" s="33" t="s">
        <v>766</v>
      </c>
      <c r="G111" s="33" t="s">
        <v>287</v>
      </c>
      <c r="H111" s="33">
        <v>2018</v>
      </c>
    </row>
    <row r="112" spans="1:8" x14ac:dyDescent="0.3">
      <c r="A112" s="17" t="s">
        <v>89</v>
      </c>
      <c r="B112" s="33" t="s">
        <v>540</v>
      </c>
      <c r="C112" s="37" t="s">
        <v>641</v>
      </c>
      <c r="D112" s="33" t="s">
        <v>547</v>
      </c>
      <c r="E112" s="33">
        <v>5580</v>
      </c>
      <c r="F112" s="33" t="s">
        <v>769</v>
      </c>
      <c r="G112" s="33" t="s">
        <v>287</v>
      </c>
      <c r="H112" s="33">
        <v>2018</v>
      </c>
    </row>
    <row r="113" spans="1:8" x14ac:dyDescent="0.3">
      <c r="A113" s="17" t="s">
        <v>89</v>
      </c>
      <c r="B113" s="33" t="s">
        <v>540</v>
      </c>
      <c r="C113" s="37" t="s">
        <v>646</v>
      </c>
      <c r="D113" s="33" t="s">
        <v>547</v>
      </c>
      <c r="E113" s="33">
        <v>24703</v>
      </c>
      <c r="F113" s="33" t="s">
        <v>769</v>
      </c>
      <c r="G113" s="33" t="s">
        <v>287</v>
      </c>
      <c r="H113" s="33">
        <v>2018</v>
      </c>
    </row>
    <row r="114" spans="1:8" x14ac:dyDescent="0.3">
      <c r="A114" s="17" t="s">
        <v>89</v>
      </c>
      <c r="B114" s="33" t="s">
        <v>540</v>
      </c>
      <c r="C114" s="37" t="s">
        <v>643</v>
      </c>
      <c r="D114" s="33" t="s">
        <v>547</v>
      </c>
      <c r="E114" s="33">
        <v>9189</v>
      </c>
      <c r="F114" s="33" t="s">
        <v>769</v>
      </c>
      <c r="G114" s="33" t="s">
        <v>287</v>
      </c>
      <c r="H114" s="33">
        <v>2018</v>
      </c>
    </row>
    <row r="115" spans="1:8" x14ac:dyDescent="0.3">
      <c r="A115" s="17" t="s">
        <v>89</v>
      </c>
      <c r="B115" s="33" t="s">
        <v>540</v>
      </c>
      <c r="C115" s="37" t="s">
        <v>647</v>
      </c>
      <c r="D115" s="33" t="s">
        <v>547</v>
      </c>
      <c r="E115" s="33">
        <v>22169</v>
      </c>
      <c r="F115" s="33" t="s">
        <v>769</v>
      </c>
      <c r="G115" s="33" t="s">
        <v>287</v>
      </c>
      <c r="H115" s="33">
        <v>2018</v>
      </c>
    </row>
    <row r="116" spans="1:8" x14ac:dyDescent="0.3">
      <c r="A116" s="17" t="s">
        <v>89</v>
      </c>
      <c r="B116" s="33" t="s">
        <v>540</v>
      </c>
      <c r="C116" s="37" t="s">
        <v>648</v>
      </c>
      <c r="D116" s="33" t="s">
        <v>547</v>
      </c>
      <c r="E116" s="33">
        <v>186</v>
      </c>
      <c r="F116" s="33" t="s">
        <v>769</v>
      </c>
      <c r="G116" s="33" t="s">
        <v>287</v>
      </c>
      <c r="H116" s="33">
        <v>2018</v>
      </c>
    </row>
    <row r="117" spans="1:8" x14ac:dyDescent="0.3">
      <c r="A117" s="17" t="s">
        <v>89</v>
      </c>
      <c r="B117" s="33" t="s">
        <v>529</v>
      </c>
      <c r="C117" s="37" t="s">
        <v>633</v>
      </c>
      <c r="D117" s="33" t="s">
        <v>527</v>
      </c>
      <c r="E117" s="33">
        <v>10875</v>
      </c>
      <c r="F117" s="33" t="s">
        <v>263</v>
      </c>
      <c r="G117" s="33" t="s">
        <v>287</v>
      </c>
      <c r="H117" s="33">
        <v>2018</v>
      </c>
    </row>
    <row r="118" spans="1:8" x14ac:dyDescent="0.3">
      <c r="A118" s="17" t="s">
        <v>89</v>
      </c>
      <c r="B118" s="33" t="s">
        <v>561</v>
      </c>
      <c r="C118" s="37" t="s">
        <v>649</v>
      </c>
      <c r="D118" s="33" t="s">
        <v>527</v>
      </c>
      <c r="E118" s="33">
        <v>52154</v>
      </c>
      <c r="F118" s="33" t="s">
        <v>769</v>
      </c>
      <c r="G118" s="33" t="s">
        <v>287</v>
      </c>
      <c r="H118" s="33">
        <v>2018</v>
      </c>
    </row>
    <row r="119" spans="1:8" x14ac:dyDescent="0.3">
      <c r="A119" s="17" t="s">
        <v>89</v>
      </c>
      <c r="B119" s="33" t="s">
        <v>529</v>
      </c>
      <c r="C119" s="37" t="s">
        <v>650</v>
      </c>
      <c r="D119" s="33" t="s">
        <v>527</v>
      </c>
      <c r="E119" s="33">
        <v>6116</v>
      </c>
      <c r="F119" s="33" t="s">
        <v>770</v>
      </c>
      <c r="G119" s="33" t="s">
        <v>287</v>
      </c>
      <c r="H119" s="33">
        <v>2018</v>
      </c>
    </row>
    <row r="120" spans="1:8" ht="57.6" x14ac:dyDescent="0.3">
      <c r="A120" s="17" t="s">
        <v>94</v>
      </c>
      <c r="B120" s="33" t="s">
        <v>529</v>
      </c>
      <c r="C120" s="37" t="s">
        <v>651</v>
      </c>
      <c r="D120" s="33" t="s">
        <v>527</v>
      </c>
      <c r="E120" s="33">
        <v>6124.6</v>
      </c>
      <c r="F120" s="33" t="s">
        <v>771</v>
      </c>
      <c r="G120" s="33" t="s">
        <v>241</v>
      </c>
      <c r="H120" s="33">
        <v>2019</v>
      </c>
    </row>
    <row r="121" spans="1:8" ht="28.8" x14ac:dyDescent="0.3">
      <c r="A121" s="17" t="s">
        <v>94</v>
      </c>
      <c r="B121" s="33" t="s">
        <v>540</v>
      </c>
      <c r="C121" s="37" t="s">
        <v>652</v>
      </c>
      <c r="D121" s="33" t="s">
        <v>547</v>
      </c>
      <c r="E121" s="33">
        <v>300</v>
      </c>
      <c r="F121" s="33" t="s">
        <v>771</v>
      </c>
      <c r="G121" s="33" t="s">
        <v>241</v>
      </c>
      <c r="H121" s="33">
        <v>2019</v>
      </c>
    </row>
    <row r="122" spans="1:8" x14ac:dyDescent="0.3">
      <c r="A122" s="17" t="s">
        <v>94</v>
      </c>
      <c r="B122" s="33" t="s">
        <v>537</v>
      </c>
      <c r="C122" s="37" t="s">
        <v>653</v>
      </c>
      <c r="D122" s="33" t="s">
        <v>527</v>
      </c>
      <c r="E122" s="33">
        <v>2700</v>
      </c>
      <c r="F122" s="33" t="s">
        <v>772</v>
      </c>
      <c r="G122" s="33" t="s">
        <v>241</v>
      </c>
      <c r="H122" s="33">
        <v>2019</v>
      </c>
    </row>
    <row r="123" spans="1:8" ht="43.2" x14ac:dyDescent="0.3">
      <c r="A123" s="17" t="s">
        <v>94</v>
      </c>
      <c r="B123" s="33" t="s">
        <v>535</v>
      </c>
      <c r="C123" s="37" t="s">
        <v>654</v>
      </c>
      <c r="D123" s="33" t="s">
        <v>527</v>
      </c>
      <c r="E123" s="33">
        <v>3379.0419999999999</v>
      </c>
      <c r="F123" s="33" t="s">
        <v>771</v>
      </c>
      <c r="G123" s="33" t="s">
        <v>241</v>
      </c>
      <c r="H123" s="33">
        <v>2019</v>
      </c>
    </row>
    <row r="124" spans="1:8" ht="28.8" x14ac:dyDescent="0.3">
      <c r="A124" s="17" t="s">
        <v>94</v>
      </c>
      <c r="B124" s="33" t="s">
        <v>630</v>
      </c>
      <c r="C124" s="37" t="s">
        <v>655</v>
      </c>
      <c r="D124" s="33" t="s">
        <v>533</v>
      </c>
      <c r="E124" s="33">
        <v>854.61</v>
      </c>
      <c r="F124" s="33" t="s">
        <v>771</v>
      </c>
      <c r="G124" s="33" t="s">
        <v>241</v>
      </c>
      <c r="H124" s="33">
        <v>2019</v>
      </c>
    </row>
    <row r="125" spans="1:8" ht="41.25" customHeight="1" x14ac:dyDescent="0.3">
      <c r="A125" s="17" t="s">
        <v>94</v>
      </c>
      <c r="B125" s="33" t="s">
        <v>557</v>
      </c>
      <c r="C125" s="38" t="s">
        <v>656</v>
      </c>
      <c r="D125" s="33" t="s">
        <v>527</v>
      </c>
      <c r="E125" s="33">
        <v>114529.16</v>
      </c>
      <c r="F125" s="33" t="s">
        <v>773</v>
      </c>
      <c r="G125" s="33" t="s">
        <v>802</v>
      </c>
      <c r="H125" s="33">
        <v>2019</v>
      </c>
    </row>
    <row r="126" spans="1:8" x14ac:dyDescent="0.3">
      <c r="A126" s="18" t="s">
        <v>98</v>
      </c>
      <c r="B126" s="33" t="s">
        <v>529</v>
      </c>
      <c r="C126" s="37" t="s">
        <v>657</v>
      </c>
      <c r="D126" s="33" t="s">
        <v>531</v>
      </c>
      <c r="E126" s="33">
        <v>3000</v>
      </c>
      <c r="F126" s="33" t="s">
        <v>259</v>
      </c>
      <c r="G126" s="33" t="s">
        <v>242</v>
      </c>
      <c r="H126" s="33">
        <v>2018</v>
      </c>
    </row>
    <row r="127" spans="1:8" ht="57.6" x14ac:dyDescent="0.3">
      <c r="A127" s="18" t="s">
        <v>98</v>
      </c>
      <c r="B127" s="33" t="s">
        <v>540</v>
      </c>
      <c r="C127" s="37" t="s">
        <v>658</v>
      </c>
      <c r="D127" s="33" t="s">
        <v>547</v>
      </c>
      <c r="E127" s="33">
        <v>164217</v>
      </c>
      <c r="F127" s="33" t="s">
        <v>239</v>
      </c>
      <c r="G127" s="33" t="s">
        <v>242</v>
      </c>
      <c r="H127" s="33">
        <v>2018</v>
      </c>
    </row>
    <row r="128" spans="1:8" ht="28.8" x14ac:dyDescent="0.3">
      <c r="A128" s="18" t="s">
        <v>98</v>
      </c>
      <c r="B128" s="33" t="s">
        <v>523</v>
      </c>
      <c r="C128" s="37" t="s">
        <v>659</v>
      </c>
      <c r="D128" s="33" t="s">
        <v>527</v>
      </c>
      <c r="E128" s="33">
        <v>400952</v>
      </c>
      <c r="F128" s="33" t="s">
        <v>259</v>
      </c>
      <c r="G128" s="33" t="s">
        <v>242</v>
      </c>
      <c r="H128" s="33">
        <v>2018</v>
      </c>
    </row>
    <row r="129" spans="1:8" ht="28.8" x14ac:dyDescent="0.3">
      <c r="A129" s="18" t="s">
        <v>98</v>
      </c>
      <c r="B129" s="33" t="s">
        <v>537</v>
      </c>
      <c r="C129" s="37" t="s">
        <v>660</v>
      </c>
      <c r="D129" s="33" t="s">
        <v>527</v>
      </c>
      <c r="E129" s="33">
        <v>32753</v>
      </c>
      <c r="F129" s="33" t="s">
        <v>259</v>
      </c>
      <c r="G129" s="33" t="s">
        <v>242</v>
      </c>
      <c r="H129" s="33">
        <v>2018</v>
      </c>
    </row>
    <row r="130" spans="1:8" ht="28.8" x14ac:dyDescent="0.3">
      <c r="A130" s="18" t="s">
        <v>98</v>
      </c>
      <c r="B130" s="33" t="s">
        <v>561</v>
      </c>
      <c r="C130" s="37" t="s">
        <v>661</v>
      </c>
      <c r="D130" s="33" t="s">
        <v>533</v>
      </c>
      <c r="E130" s="33">
        <v>46141</v>
      </c>
      <c r="F130" s="33" t="s">
        <v>259</v>
      </c>
      <c r="G130" s="33" t="s">
        <v>242</v>
      </c>
      <c r="H130" s="33">
        <v>2018</v>
      </c>
    </row>
    <row r="131" spans="1:8" ht="72" x14ac:dyDescent="0.3">
      <c r="A131" s="18" t="s">
        <v>98</v>
      </c>
      <c r="B131" s="33" t="s">
        <v>529</v>
      </c>
      <c r="C131" s="37" t="s">
        <v>662</v>
      </c>
      <c r="D131" s="33" t="s">
        <v>527</v>
      </c>
      <c r="E131" s="33">
        <v>78343</v>
      </c>
      <c r="F131" s="33" t="s">
        <v>259</v>
      </c>
      <c r="G131" s="33" t="s">
        <v>242</v>
      </c>
      <c r="H131" s="33">
        <v>2018</v>
      </c>
    </row>
    <row r="132" spans="1:8" x14ac:dyDescent="0.3">
      <c r="A132" s="18" t="s">
        <v>98</v>
      </c>
      <c r="B132" s="33" t="s">
        <v>529</v>
      </c>
      <c r="C132" s="37" t="s">
        <v>663</v>
      </c>
      <c r="D132" s="33" t="s">
        <v>527</v>
      </c>
      <c r="E132" s="33">
        <v>389235</v>
      </c>
      <c r="F132" s="33" t="s">
        <v>242</v>
      </c>
      <c r="G132" s="33" t="s">
        <v>242</v>
      </c>
      <c r="H132" s="33">
        <v>2019</v>
      </c>
    </row>
    <row r="133" spans="1:8" x14ac:dyDescent="0.3">
      <c r="A133" s="18" t="s">
        <v>98</v>
      </c>
      <c r="B133" s="33" t="s">
        <v>664</v>
      </c>
      <c r="C133" s="37" t="s">
        <v>665</v>
      </c>
      <c r="D133" s="33" t="s">
        <v>527</v>
      </c>
      <c r="E133" s="33">
        <v>321259</v>
      </c>
      <c r="F133" s="33" t="s">
        <v>242</v>
      </c>
      <c r="G133" s="33" t="s">
        <v>242</v>
      </c>
      <c r="H133" s="33">
        <v>2019</v>
      </c>
    </row>
    <row r="134" spans="1:8" x14ac:dyDescent="0.3">
      <c r="A134" s="17" t="s">
        <v>103</v>
      </c>
      <c r="B134" s="33" t="s">
        <v>540</v>
      </c>
      <c r="C134" s="37" t="s">
        <v>666</v>
      </c>
      <c r="D134" s="33" t="s">
        <v>527</v>
      </c>
      <c r="E134" s="33">
        <v>175275</v>
      </c>
      <c r="F134" s="33" t="s">
        <v>336</v>
      </c>
      <c r="G134" s="33" t="s">
        <v>241</v>
      </c>
      <c r="H134" s="33">
        <v>2019</v>
      </c>
    </row>
    <row r="135" spans="1:8" x14ac:dyDescent="0.3">
      <c r="A135" s="17" t="s">
        <v>103</v>
      </c>
      <c r="B135" s="33" t="s">
        <v>557</v>
      </c>
      <c r="C135" s="37" t="s">
        <v>666</v>
      </c>
      <c r="D135" s="33" t="s">
        <v>527</v>
      </c>
      <c r="E135" s="33">
        <v>20523</v>
      </c>
      <c r="F135" s="33" t="s">
        <v>336</v>
      </c>
      <c r="G135" s="33" t="s">
        <v>241</v>
      </c>
      <c r="H135" s="33">
        <v>2019</v>
      </c>
    </row>
    <row r="136" spans="1:8" x14ac:dyDescent="0.3">
      <c r="A136" s="17" t="s">
        <v>103</v>
      </c>
      <c r="B136" s="33" t="s">
        <v>529</v>
      </c>
      <c r="C136" s="37" t="s">
        <v>666</v>
      </c>
      <c r="D136" s="33" t="s">
        <v>527</v>
      </c>
      <c r="E136" s="33">
        <v>25946</v>
      </c>
      <c r="F136" s="33" t="s">
        <v>336</v>
      </c>
      <c r="G136" s="33" t="s">
        <v>241</v>
      </c>
      <c r="H136" s="33">
        <v>2019</v>
      </c>
    </row>
    <row r="137" spans="1:8" x14ac:dyDescent="0.3">
      <c r="A137" s="17" t="s">
        <v>103</v>
      </c>
      <c r="B137" s="33" t="s">
        <v>561</v>
      </c>
      <c r="C137" s="37" t="s">
        <v>666</v>
      </c>
      <c r="D137" s="33" t="s">
        <v>527</v>
      </c>
      <c r="E137" s="33">
        <v>131020</v>
      </c>
      <c r="F137" s="33" t="s">
        <v>336</v>
      </c>
      <c r="G137" s="33" t="s">
        <v>241</v>
      </c>
      <c r="H137" s="33">
        <v>2019</v>
      </c>
    </row>
    <row r="138" spans="1:8" x14ac:dyDescent="0.3">
      <c r="A138" s="17" t="s">
        <v>103</v>
      </c>
      <c r="B138" s="33" t="s">
        <v>537</v>
      </c>
      <c r="C138" s="37" t="s">
        <v>666</v>
      </c>
      <c r="D138" s="33" t="s">
        <v>527</v>
      </c>
      <c r="E138" s="33">
        <v>33800</v>
      </c>
      <c r="F138" s="33" t="s">
        <v>336</v>
      </c>
      <c r="G138" s="33" t="s">
        <v>241</v>
      </c>
      <c r="H138" s="33">
        <v>2019</v>
      </c>
    </row>
    <row r="139" spans="1:8" x14ac:dyDescent="0.3">
      <c r="A139" s="17" t="s">
        <v>103</v>
      </c>
      <c r="B139" s="33" t="s">
        <v>529</v>
      </c>
      <c r="C139" s="37" t="s">
        <v>666</v>
      </c>
      <c r="D139" s="33" t="s">
        <v>527</v>
      </c>
      <c r="E139" s="33">
        <v>113832</v>
      </c>
      <c r="F139" s="33" t="s">
        <v>336</v>
      </c>
      <c r="G139" s="33" t="s">
        <v>241</v>
      </c>
      <c r="H139" s="33">
        <v>2019</v>
      </c>
    </row>
    <row r="140" spans="1:8" x14ac:dyDescent="0.3">
      <c r="A140" s="17" t="s">
        <v>103</v>
      </c>
      <c r="B140" s="33" t="s">
        <v>529</v>
      </c>
      <c r="C140" s="37" t="s">
        <v>666</v>
      </c>
      <c r="D140" s="33" t="s">
        <v>527</v>
      </c>
      <c r="E140" s="33">
        <v>67966</v>
      </c>
      <c r="F140" s="33" t="s">
        <v>336</v>
      </c>
      <c r="G140" s="33" t="s">
        <v>241</v>
      </c>
      <c r="H140" s="33">
        <v>2019</v>
      </c>
    </row>
    <row r="141" spans="1:8" x14ac:dyDescent="0.3">
      <c r="A141" s="17" t="s">
        <v>103</v>
      </c>
      <c r="B141" s="33" t="s">
        <v>540</v>
      </c>
      <c r="C141" s="37" t="s">
        <v>667</v>
      </c>
      <c r="D141" s="33" t="s">
        <v>527</v>
      </c>
      <c r="E141" s="33">
        <v>175275</v>
      </c>
      <c r="F141" s="33" t="s">
        <v>336</v>
      </c>
      <c r="G141" s="33" t="s">
        <v>241</v>
      </c>
      <c r="H141" s="33">
        <v>2019</v>
      </c>
    </row>
    <row r="142" spans="1:8" x14ac:dyDescent="0.3">
      <c r="A142" s="17" t="s">
        <v>103</v>
      </c>
      <c r="B142" s="33" t="s">
        <v>557</v>
      </c>
      <c r="C142" s="37" t="s">
        <v>667</v>
      </c>
      <c r="D142" s="33" t="s">
        <v>527</v>
      </c>
      <c r="E142" s="33">
        <v>20523</v>
      </c>
      <c r="F142" s="33" t="s">
        <v>336</v>
      </c>
      <c r="G142" s="33" t="s">
        <v>241</v>
      </c>
      <c r="H142" s="33">
        <v>2019</v>
      </c>
    </row>
    <row r="143" spans="1:8" x14ac:dyDescent="0.3">
      <c r="A143" s="17" t="s">
        <v>103</v>
      </c>
      <c r="B143" s="33" t="s">
        <v>664</v>
      </c>
      <c r="C143" s="37" t="s">
        <v>668</v>
      </c>
      <c r="D143" s="33" t="s">
        <v>527</v>
      </c>
      <c r="E143" s="33">
        <v>25946</v>
      </c>
      <c r="F143" s="33" t="s">
        <v>336</v>
      </c>
      <c r="G143" s="33" t="s">
        <v>241</v>
      </c>
      <c r="H143" s="33">
        <v>2019</v>
      </c>
    </row>
    <row r="144" spans="1:8" x14ac:dyDescent="0.3">
      <c r="A144" s="17" t="s">
        <v>103</v>
      </c>
      <c r="B144" s="33" t="s">
        <v>561</v>
      </c>
      <c r="C144" s="37" t="s">
        <v>667</v>
      </c>
      <c r="D144" s="33" t="s">
        <v>527</v>
      </c>
      <c r="E144" s="33">
        <v>131020</v>
      </c>
      <c r="F144" s="33" t="s">
        <v>336</v>
      </c>
      <c r="G144" s="33" t="s">
        <v>241</v>
      </c>
      <c r="H144" s="33">
        <v>2019</v>
      </c>
    </row>
    <row r="145" spans="1:8" x14ac:dyDescent="0.3">
      <c r="A145" s="17" t="s">
        <v>103</v>
      </c>
      <c r="B145" s="33" t="s">
        <v>537</v>
      </c>
      <c r="C145" s="37" t="s">
        <v>667</v>
      </c>
      <c r="D145" s="33" t="s">
        <v>527</v>
      </c>
      <c r="E145" s="33">
        <v>33800</v>
      </c>
      <c r="F145" s="33" t="s">
        <v>336</v>
      </c>
      <c r="G145" s="33" t="s">
        <v>241</v>
      </c>
      <c r="H145" s="33">
        <v>2019</v>
      </c>
    </row>
    <row r="146" spans="1:8" x14ac:dyDescent="0.3">
      <c r="A146" s="17" t="s">
        <v>103</v>
      </c>
      <c r="B146" s="33" t="s">
        <v>529</v>
      </c>
      <c r="C146" s="37" t="s">
        <v>667</v>
      </c>
      <c r="D146" s="33" t="s">
        <v>527</v>
      </c>
      <c r="E146" s="33">
        <v>113832</v>
      </c>
      <c r="F146" s="33" t="s">
        <v>336</v>
      </c>
      <c r="G146" s="33" t="s">
        <v>241</v>
      </c>
      <c r="H146" s="33">
        <v>2019</v>
      </c>
    </row>
    <row r="147" spans="1:8" x14ac:dyDescent="0.3">
      <c r="A147" s="17" t="s">
        <v>103</v>
      </c>
      <c r="B147" s="33" t="s">
        <v>529</v>
      </c>
      <c r="C147" s="37" t="s">
        <v>667</v>
      </c>
      <c r="D147" s="33" t="s">
        <v>527</v>
      </c>
      <c r="E147" s="33">
        <v>67966</v>
      </c>
      <c r="F147" s="33" t="s">
        <v>336</v>
      </c>
      <c r="G147" s="33" t="s">
        <v>241</v>
      </c>
      <c r="H147" s="33">
        <v>2019</v>
      </c>
    </row>
    <row r="148" spans="1:8" x14ac:dyDescent="0.3">
      <c r="A148" s="17" t="s">
        <v>103</v>
      </c>
      <c r="B148" s="33" t="s">
        <v>540</v>
      </c>
      <c r="C148" s="37" t="s">
        <v>669</v>
      </c>
      <c r="D148" s="33" t="s">
        <v>527</v>
      </c>
      <c r="E148" s="33">
        <v>135185</v>
      </c>
      <c r="F148" s="33" t="s">
        <v>670</v>
      </c>
      <c r="G148" s="33" t="s">
        <v>241</v>
      </c>
      <c r="H148" s="33">
        <v>2018</v>
      </c>
    </row>
    <row r="149" spans="1:8" x14ac:dyDescent="0.3">
      <c r="A149" s="17" t="s">
        <v>103</v>
      </c>
      <c r="B149" s="33" t="s">
        <v>557</v>
      </c>
      <c r="C149" s="37" t="s">
        <v>669</v>
      </c>
      <c r="D149" s="33" t="s">
        <v>527</v>
      </c>
      <c r="E149" s="33">
        <v>14792</v>
      </c>
      <c r="F149" s="33" t="s">
        <v>670</v>
      </c>
      <c r="G149" s="33" t="s">
        <v>241</v>
      </c>
      <c r="H149" s="33">
        <v>2018</v>
      </c>
    </row>
    <row r="150" spans="1:8" x14ac:dyDescent="0.3">
      <c r="A150" s="17" t="s">
        <v>103</v>
      </c>
      <c r="B150" s="33" t="s">
        <v>529</v>
      </c>
      <c r="C150" s="37" t="s">
        <v>669</v>
      </c>
      <c r="D150" s="33" t="s">
        <v>527</v>
      </c>
      <c r="E150" s="33">
        <v>114665</v>
      </c>
      <c r="F150" s="33" t="s">
        <v>670</v>
      </c>
      <c r="G150" s="33" t="s">
        <v>241</v>
      </c>
      <c r="H150" s="33">
        <v>2018</v>
      </c>
    </row>
    <row r="151" spans="1:8" x14ac:dyDescent="0.3">
      <c r="A151" s="17" t="s">
        <v>103</v>
      </c>
      <c r="B151" s="33" t="s">
        <v>561</v>
      </c>
      <c r="C151" s="37" t="s">
        <v>669</v>
      </c>
      <c r="D151" s="33" t="s">
        <v>527</v>
      </c>
      <c r="E151" s="33">
        <v>143546</v>
      </c>
      <c r="F151" s="33" t="s">
        <v>670</v>
      </c>
      <c r="G151" s="33" t="s">
        <v>241</v>
      </c>
      <c r="H151" s="33">
        <v>2018</v>
      </c>
    </row>
    <row r="152" spans="1:8" x14ac:dyDescent="0.3">
      <c r="A152" s="17" t="s">
        <v>103</v>
      </c>
      <c r="B152" s="33" t="s">
        <v>537</v>
      </c>
      <c r="C152" s="37" t="s">
        <v>669</v>
      </c>
      <c r="D152" s="33" t="s">
        <v>527</v>
      </c>
      <c r="E152" s="33">
        <v>58560</v>
      </c>
      <c r="F152" s="33" t="s">
        <v>670</v>
      </c>
      <c r="G152" s="33" t="s">
        <v>241</v>
      </c>
      <c r="H152" s="33">
        <v>2018</v>
      </c>
    </row>
    <row r="153" spans="1:8" x14ac:dyDescent="0.3">
      <c r="A153" s="17" t="s">
        <v>103</v>
      </c>
      <c r="B153" s="33" t="s">
        <v>529</v>
      </c>
      <c r="C153" s="37" t="s">
        <v>669</v>
      </c>
      <c r="D153" s="33" t="s">
        <v>527</v>
      </c>
      <c r="E153" s="33">
        <v>124676</v>
      </c>
      <c r="F153" s="33" t="s">
        <v>670</v>
      </c>
      <c r="G153" s="33" t="s">
        <v>241</v>
      </c>
      <c r="H153" s="33">
        <v>2018</v>
      </c>
    </row>
    <row r="154" spans="1:8" x14ac:dyDescent="0.3">
      <c r="A154" s="17" t="s">
        <v>103</v>
      </c>
      <c r="B154" s="33" t="s">
        <v>529</v>
      </c>
      <c r="C154" s="37" t="s">
        <v>669</v>
      </c>
      <c r="D154" s="33" t="s">
        <v>527</v>
      </c>
      <c r="E154" s="33">
        <v>47562</v>
      </c>
      <c r="F154" s="33" t="s">
        <v>670</v>
      </c>
      <c r="G154" s="33" t="s">
        <v>241</v>
      </c>
      <c r="H154" s="33">
        <v>2018</v>
      </c>
    </row>
    <row r="155" spans="1:8" x14ac:dyDescent="0.3">
      <c r="A155" s="17" t="s">
        <v>110</v>
      </c>
      <c r="B155" s="33" t="s">
        <v>529</v>
      </c>
      <c r="C155" s="37" t="s">
        <v>667</v>
      </c>
      <c r="D155" s="33" t="s">
        <v>527</v>
      </c>
      <c r="E155" s="33">
        <v>26066</v>
      </c>
      <c r="F155" s="33" t="s">
        <v>369</v>
      </c>
      <c r="G155" s="33" t="s">
        <v>369</v>
      </c>
      <c r="H155" s="33">
        <v>2019</v>
      </c>
    </row>
    <row r="156" spans="1:8" x14ac:dyDescent="0.3">
      <c r="A156" s="17" t="s">
        <v>110</v>
      </c>
      <c r="B156" s="33" t="s">
        <v>529</v>
      </c>
      <c r="C156" s="37" t="s">
        <v>671</v>
      </c>
      <c r="D156" s="33" t="s">
        <v>527</v>
      </c>
      <c r="E156" s="33">
        <v>51187</v>
      </c>
      <c r="F156" s="33" t="s">
        <v>239</v>
      </c>
      <c r="G156" s="33" t="s">
        <v>242</v>
      </c>
      <c r="H156" s="33">
        <v>2018</v>
      </c>
    </row>
    <row r="157" spans="1:8" x14ac:dyDescent="0.3">
      <c r="A157" s="17" t="s">
        <v>110</v>
      </c>
      <c r="B157" s="33" t="s">
        <v>529</v>
      </c>
      <c r="C157" s="37" t="s">
        <v>671</v>
      </c>
      <c r="D157" s="33" t="s">
        <v>527</v>
      </c>
      <c r="E157" s="33">
        <v>17062</v>
      </c>
      <c r="F157" s="33" t="s">
        <v>239</v>
      </c>
      <c r="G157" s="33" t="s">
        <v>242</v>
      </c>
      <c r="H157" s="33">
        <v>2018</v>
      </c>
    </row>
    <row r="158" spans="1:8" x14ac:dyDescent="0.3">
      <c r="A158" s="17" t="s">
        <v>113</v>
      </c>
      <c r="B158" s="33" t="s">
        <v>529</v>
      </c>
      <c r="C158" s="37" t="s">
        <v>672</v>
      </c>
      <c r="D158" s="33" t="s">
        <v>531</v>
      </c>
      <c r="E158" s="33">
        <v>200000</v>
      </c>
      <c r="F158" s="33" t="s">
        <v>774</v>
      </c>
      <c r="G158" s="33" t="s">
        <v>287</v>
      </c>
      <c r="H158" s="33">
        <v>2018</v>
      </c>
    </row>
    <row r="159" spans="1:8" x14ac:dyDescent="0.3">
      <c r="A159" s="17" t="s">
        <v>113</v>
      </c>
      <c r="B159" s="33" t="s">
        <v>540</v>
      </c>
      <c r="C159" s="37" t="s">
        <v>673</v>
      </c>
      <c r="D159" s="33" t="s">
        <v>547</v>
      </c>
      <c r="E159" s="33">
        <v>254980</v>
      </c>
      <c r="F159" s="33" t="s">
        <v>775</v>
      </c>
      <c r="G159" s="33" t="s">
        <v>287</v>
      </c>
      <c r="H159" s="33">
        <v>2018</v>
      </c>
    </row>
    <row r="160" spans="1:8" x14ac:dyDescent="0.3">
      <c r="A160" s="17" t="s">
        <v>113</v>
      </c>
      <c r="B160" s="33" t="s">
        <v>523</v>
      </c>
      <c r="C160" s="37" t="s">
        <v>674</v>
      </c>
      <c r="D160" s="33" t="s">
        <v>544</v>
      </c>
      <c r="E160" s="33">
        <v>358200</v>
      </c>
      <c r="F160" s="33" t="s">
        <v>774</v>
      </c>
      <c r="G160" s="33" t="s">
        <v>287</v>
      </c>
      <c r="H160" s="33">
        <v>2018</v>
      </c>
    </row>
    <row r="161" spans="1:8" x14ac:dyDescent="0.3">
      <c r="A161" s="17" t="s">
        <v>113</v>
      </c>
      <c r="B161" s="33" t="s">
        <v>529</v>
      </c>
      <c r="C161" s="37" t="s">
        <v>672</v>
      </c>
      <c r="D161" s="33" t="s">
        <v>527</v>
      </c>
      <c r="E161" s="33">
        <v>300000</v>
      </c>
      <c r="F161" s="33" t="s">
        <v>287</v>
      </c>
      <c r="G161" s="33" t="s">
        <v>287</v>
      </c>
      <c r="H161" s="33">
        <v>2018</v>
      </c>
    </row>
    <row r="162" spans="1:8" x14ac:dyDescent="0.3">
      <c r="A162" s="17" t="s">
        <v>113</v>
      </c>
      <c r="B162" s="33" t="s">
        <v>529</v>
      </c>
      <c r="C162" s="37" t="s">
        <v>675</v>
      </c>
      <c r="D162" s="33" t="s">
        <v>544</v>
      </c>
      <c r="E162" s="33">
        <v>1370</v>
      </c>
      <c r="F162" s="33" t="s">
        <v>774</v>
      </c>
      <c r="G162" s="33" t="s">
        <v>287</v>
      </c>
      <c r="H162" s="33">
        <v>2018</v>
      </c>
    </row>
    <row r="163" spans="1:8" x14ac:dyDescent="0.3">
      <c r="A163" s="17" t="s">
        <v>113</v>
      </c>
      <c r="B163" s="33" t="s">
        <v>561</v>
      </c>
      <c r="C163" s="37" t="s">
        <v>676</v>
      </c>
      <c r="D163" s="33" t="s">
        <v>527</v>
      </c>
      <c r="E163" s="33">
        <v>5893.1</v>
      </c>
      <c r="F163" s="33" t="s">
        <v>287</v>
      </c>
      <c r="G163" s="33" t="s">
        <v>287</v>
      </c>
      <c r="H163" s="33">
        <v>2018</v>
      </c>
    </row>
    <row r="164" spans="1:8" x14ac:dyDescent="0.3">
      <c r="A164" s="17" t="s">
        <v>113</v>
      </c>
      <c r="B164" s="33" t="s">
        <v>561</v>
      </c>
      <c r="C164" s="37" t="s">
        <v>677</v>
      </c>
      <c r="D164" s="33" t="s">
        <v>527</v>
      </c>
      <c r="E164" s="33">
        <v>2600</v>
      </c>
      <c r="F164" s="33" t="s">
        <v>678</v>
      </c>
      <c r="G164" s="33" t="s">
        <v>678</v>
      </c>
      <c r="H164" s="33">
        <v>2018</v>
      </c>
    </row>
    <row r="165" spans="1:8" x14ac:dyDescent="0.3">
      <c r="A165" s="17" t="s">
        <v>113</v>
      </c>
      <c r="B165" s="33" t="s">
        <v>529</v>
      </c>
      <c r="C165" s="37" t="s">
        <v>679</v>
      </c>
      <c r="D165" s="33" t="s">
        <v>531</v>
      </c>
      <c r="E165" s="33">
        <v>200000</v>
      </c>
      <c r="F165" s="33" t="s">
        <v>342</v>
      </c>
      <c r="G165" s="33" t="s">
        <v>287</v>
      </c>
      <c r="H165" s="33">
        <v>2019</v>
      </c>
    </row>
    <row r="166" spans="1:8" x14ac:dyDescent="0.3">
      <c r="A166" s="17" t="s">
        <v>113</v>
      </c>
      <c r="B166" s="33" t="s">
        <v>540</v>
      </c>
      <c r="C166" s="37" t="s">
        <v>680</v>
      </c>
      <c r="D166" s="33" t="s">
        <v>547</v>
      </c>
      <c r="E166" s="33">
        <v>254980</v>
      </c>
      <c r="F166" s="33" t="s">
        <v>681</v>
      </c>
      <c r="G166" s="33" t="s">
        <v>287</v>
      </c>
      <c r="H166" s="33">
        <v>2019</v>
      </c>
    </row>
    <row r="167" spans="1:8" x14ac:dyDescent="0.3">
      <c r="A167" s="17" t="s">
        <v>113</v>
      </c>
      <c r="B167" s="33" t="s">
        <v>523</v>
      </c>
      <c r="C167" s="37" t="s">
        <v>682</v>
      </c>
      <c r="D167" s="33" t="s">
        <v>544</v>
      </c>
      <c r="E167" s="33">
        <v>358200</v>
      </c>
      <c r="F167" s="33" t="s">
        <v>342</v>
      </c>
      <c r="G167" s="33" t="s">
        <v>287</v>
      </c>
      <c r="H167" s="33">
        <v>2019</v>
      </c>
    </row>
    <row r="168" spans="1:8" x14ac:dyDescent="0.3">
      <c r="A168" s="17" t="s">
        <v>113</v>
      </c>
      <c r="B168" s="33" t="s">
        <v>537</v>
      </c>
      <c r="C168" s="37" t="s">
        <v>679</v>
      </c>
      <c r="D168" s="33" t="s">
        <v>533</v>
      </c>
      <c r="E168" s="33">
        <v>300000</v>
      </c>
      <c r="F168" s="33" t="s">
        <v>287</v>
      </c>
      <c r="G168" s="33" t="s">
        <v>287</v>
      </c>
      <c r="H168" s="33">
        <v>2019</v>
      </c>
    </row>
    <row r="169" spans="1:8" x14ac:dyDescent="0.3">
      <c r="A169" s="17" t="s">
        <v>113</v>
      </c>
      <c r="B169" s="33" t="s">
        <v>529</v>
      </c>
      <c r="C169" s="37" t="s">
        <v>683</v>
      </c>
      <c r="D169" s="33" t="s">
        <v>527</v>
      </c>
      <c r="E169" s="33">
        <v>1370</v>
      </c>
      <c r="F169" s="33" t="s">
        <v>342</v>
      </c>
      <c r="G169" s="33" t="s">
        <v>287</v>
      </c>
      <c r="H169" s="33">
        <v>2019</v>
      </c>
    </row>
    <row r="170" spans="1:8" x14ac:dyDescent="0.3">
      <c r="A170" s="17" t="s">
        <v>113</v>
      </c>
      <c r="B170" s="33" t="s">
        <v>561</v>
      </c>
      <c r="C170" s="37" t="s">
        <v>684</v>
      </c>
      <c r="D170" s="33" t="s">
        <v>527</v>
      </c>
      <c r="E170" s="33">
        <v>5893.1</v>
      </c>
      <c r="F170" s="33" t="s">
        <v>287</v>
      </c>
      <c r="G170" s="33" t="s">
        <v>287</v>
      </c>
      <c r="H170" s="33">
        <v>2019</v>
      </c>
    </row>
    <row r="171" spans="1:8" x14ac:dyDescent="0.3">
      <c r="A171" s="17" t="s">
        <v>113</v>
      </c>
      <c r="B171" s="33" t="s">
        <v>561</v>
      </c>
      <c r="C171" s="37" t="s">
        <v>685</v>
      </c>
      <c r="D171" s="33" t="s">
        <v>533</v>
      </c>
      <c r="E171" s="33">
        <v>2600</v>
      </c>
      <c r="F171" s="33" t="s">
        <v>678</v>
      </c>
      <c r="G171" s="33" t="s">
        <v>678</v>
      </c>
      <c r="H171" s="33">
        <v>2019</v>
      </c>
    </row>
    <row r="172" spans="1:8" x14ac:dyDescent="0.3">
      <c r="A172" s="17" t="s">
        <v>119</v>
      </c>
      <c r="B172" s="33" t="s">
        <v>664</v>
      </c>
      <c r="C172" s="37" t="s">
        <v>686</v>
      </c>
      <c r="D172" s="33" t="s">
        <v>527</v>
      </c>
      <c r="E172" s="33">
        <v>200</v>
      </c>
      <c r="F172" s="33" t="s">
        <v>284</v>
      </c>
      <c r="G172" s="33" t="s">
        <v>310</v>
      </c>
      <c r="H172" s="33">
        <v>2019</v>
      </c>
    </row>
    <row r="173" spans="1:8" x14ac:dyDescent="0.3">
      <c r="A173" s="17" t="s">
        <v>119</v>
      </c>
      <c r="B173" s="33" t="s">
        <v>561</v>
      </c>
      <c r="C173" s="37" t="s">
        <v>687</v>
      </c>
      <c r="D173" s="33" t="s">
        <v>547</v>
      </c>
      <c r="E173" s="33">
        <v>75</v>
      </c>
      <c r="F173" s="33" t="s">
        <v>776</v>
      </c>
      <c r="G173" s="33" t="s">
        <v>227</v>
      </c>
      <c r="H173" s="33">
        <v>2019</v>
      </c>
    </row>
    <row r="174" spans="1:8" x14ac:dyDescent="0.3">
      <c r="A174" s="17" t="s">
        <v>119</v>
      </c>
      <c r="B174" s="33" t="s">
        <v>561</v>
      </c>
      <c r="C174" s="37" t="s">
        <v>688</v>
      </c>
      <c r="D174" s="33" t="s">
        <v>527</v>
      </c>
      <c r="E174" s="33">
        <v>250</v>
      </c>
      <c r="F174" s="33" t="s">
        <v>776</v>
      </c>
      <c r="G174" s="33" t="s">
        <v>227</v>
      </c>
      <c r="H174" s="33">
        <v>2019</v>
      </c>
    </row>
    <row r="175" spans="1:8" x14ac:dyDescent="0.3">
      <c r="A175" s="17" t="s">
        <v>119</v>
      </c>
      <c r="B175" s="33" t="s">
        <v>529</v>
      </c>
      <c r="C175" s="37" t="s">
        <v>689</v>
      </c>
      <c r="D175" s="33" t="s">
        <v>527</v>
      </c>
      <c r="E175" s="33">
        <v>50</v>
      </c>
      <c r="F175" s="33" t="s">
        <v>777</v>
      </c>
      <c r="G175" s="33" t="s">
        <v>227</v>
      </c>
      <c r="H175" s="33">
        <v>2019</v>
      </c>
    </row>
    <row r="176" spans="1:8" x14ac:dyDescent="0.3">
      <c r="A176" s="17" t="s">
        <v>119</v>
      </c>
      <c r="B176" s="33" t="s">
        <v>561</v>
      </c>
      <c r="C176" s="37" t="s">
        <v>690</v>
      </c>
      <c r="D176" s="33" t="s">
        <v>544</v>
      </c>
      <c r="E176" s="33">
        <v>50</v>
      </c>
      <c r="F176" s="33" t="s">
        <v>777</v>
      </c>
      <c r="G176" s="33" t="s">
        <v>227</v>
      </c>
      <c r="H176" s="33">
        <v>2019</v>
      </c>
    </row>
    <row r="177" spans="1:8" x14ac:dyDescent="0.3">
      <c r="A177" s="17" t="s">
        <v>119</v>
      </c>
      <c r="B177" s="33" t="s">
        <v>557</v>
      </c>
      <c r="C177" s="37" t="s">
        <v>691</v>
      </c>
      <c r="D177" s="33" t="s">
        <v>527</v>
      </c>
      <c r="E177" s="33">
        <v>100</v>
      </c>
      <c r="F177" s="33" t="s">
        <v>349</v>
      </c>
      <c r="G177" s="33" t="s">
        <v>227</v>
      </c>
      <c r="H177" s="33">
        <v>2019</v>
      </c>
    </row>
    <row r="178" spans="1:8" x14ac:dyDescent="0.3">
      <c r="A178" s="17" t="s">
        <v>119</v>
      </c>
      <c r="B178" s="33" t="s">
        <v>529</v>
      </c>
      <c r="C178" s="37" t="s">
        <v>692</v>
      </c>
      <c r="D178" s="33" t="s">
        <v>527</v>
      </c>
      <c r="E178" s="33">
        <v>100</v>
      </c>
      <c r="F178" s="33" t="s">
        <v>349</v>
      </c>
      <c r="G178" s="33" t="s">
        <v>227</v>
      </c>
      <c r="H178" s="33">
        <v>2019</v>
      </c>
    </row>
    <row r="179" spans="1:8" x14ac:dyDescent="0.3">
      <c r="A179" s="17" t="s">
        <v>119</v>
      </c>
      <c r="B179" s="33" t="s">
        <v>557</v>
      </c>
      <c r="C179" s="37" t="s">
        <v>693</v>
      </c>
      <c r="D179" s="33" t="s">
        <v>527</v>
      </c>
      <c r="E179" s="33">
        <v>300</v>
      </c>
      <c r="F179" s="33" t="s">
        <v>284</v>
      </c>
      <c r="G179" s="33" t="s">
        <v>310</v>
      </c>
      <c r="H179" s="33">
        <v>2019</v>
      </c>
    </row>
    <row r="180" spans="1:8" x14ac:dyDescent="0.3">
      <c r="A180" s="17" t="s">
        <v>119</v>
      </c>
      <c r="B180" s="33" t="s">
        <v>557</v>
      </c>
      <c r="C180" s="37" t="s">
        <v>694</v>
      </c>
      <c r="D180" s="33" t="s">
        <v>527</v>
      </c>
      <c r="E180" s="33">
        <v>3000</v>
      </c>
      <c r="F180" s="33" t="s">
        <v>778</v>
      </c>
      <c r="G180" s="33" t="s">
        <v>310</v>
      </c>
      <c r="H180" s="33">
        <v>2019</v>
      </c>
    </row>
    <row r="181" spans="1:8" x14ac:dyDescent="0.3">
      <c r="A181" s="17" t="s">
        <v>119</v>
      </c>
      <c r="B181" s="33" t="s">
        <v>664</v>
      </c>
      <c r="C181" s="37" t="s">
        <v>695</v>
      </c>
      <c r="D181" s="33" t="s">
        <v>527</v>
      </c>
      <c r="E181" s="33">
        <v>50</v>
      </c>
      <c r="F181" s="33" t="s">
        <v>284</v>
      </c>
      <c r="G181" s="33" t="s">
        <v>310</v>
      </c>
      <c r="H181" s="33">
        <v>2019</v>
      </c>
    </row>
    <row r="182" spans="1:8" x14ac:dyDescent="0.3">
      <c r="A182" s="17" t="s">
        <v>119</v>
      </c>
      <c r="B182" s="33" t="s">
        <v>529</v>
      </c>
      <c r="C182" s="37" t="s">
        <v>696</v>
      </c>
      <c r="D182" s="33" t="s">
        <v>527</v>
      </c>
      <c r="E182" s="33">
        <v>300</v>
      </c>
      <c r="F182" s="33" t="s">
        <v>777</v>
      </c>
      <c r="G182" s="33" t="s">
        <v>227</v>
      </c>
      <c r="H182" s="33">
        <v>2019</v>
      </c>
    </row>
    <row r="183" spans="1:8" x14ac:dyDescent="0.3">
      <c r="A183" s="17" t="s">
        <v>119</v>
      </c>
      <c r="B183" s="33" t="s">
        <v>557</v>
      </c>
      <c r="C183" s="37" t="s">
        <v>694</v>
      </c>
      <c r="D183" s="33" t="s">
        <v>527</v>
      </c>
      <c r="E183" s="33">
        <v>1100</v>
      </c>
      <c r="F183" s="33" t="s">
        <v>779</v>
      </c>
      <c r="G183" s="33" t="s">
        <v>369</v>
      </c>
      <c r="H183" s="33">
        <v>2019</v>
      </c>
    </row>
    <row r="184" spans="1:8" x14ac:dyDescent="0.3">
      <c r="A184" s="17" t="s">
        <v>119</v>
      </c>
      <c r="B184" s="33" t="s">
        <v>540</v>
      </c>
      <c r="C184" s="37" t="s">
        <v>697</v>
      </c>
      <c r="D184" s="33" t="s">
        <v>547</v>
      </c>
      <c r="E184" s="33">
        <v>100</v>
      </c>
      <c r="F184" s="33" t="s">
        <v>780</v>
      </c>
      <c r="G184" s="33" t="s">
        <v>227</v>
      </c>
      <c r="H184" s="33">
        <v>2018</v>
      </c>
    </row>
    <row r="185" spans="1:8" x14ac:dyDescent="0.3">
      <c r="A185" s="17" t="s">
        <v>119</v>
      </c>
      <c r="B185" s="33" t="s">
        <v>529</v>
      </c>
      <c r="C185" s="37" t="s">
        <v>698</v>
      </c>
      <c r="D185" s="33" t="s">
        <v>527</v>
      </c>
      <c r="E185" s="33">
        <v>100</v>
      </c>
      <c r="F185" s="33" t="s">
        <v>780</v>
      </c>
      <c r="G185" s="33" t="s">
        <v>227</v>
      </c>
      <c r="H185" s="33">
        <v>2018</v>
      </c>
    </row>
    <row r="186" spans="1:8" x14ac:dyDescent="0.3">
      <c r="A186" s="17" t="s">
        <v>119</v>
      </c>
      <c r="B186" s="33" t="s">
        <v>561</v>
      </c>
      <c r="C186" s="37" t="s">
        <v>699</v>
      </c>
      <c r="D186" s="33" t="s">
        <v>544</v>
      </c>
      <c r="E186" s="33">
        <v>150</v>
      </c>
      <c r="F186" s="33" t="s">
        <v>780</v>
      </c>
      <c r="G186" s="33" t="s">
        <v>227</v>
      </c>
      <c r="H186" s="33">
        <v>2018</v>
      </c>
    </row>
    <row r="187" spans="1:8" x14ac:dyDescent="0.3">
      <c r="A187" s="17" t="s">
        <v>119</v>
      </c>
      <c r="B187" s="33" t="s">
        <v>557</v>
      </c>
      <c r="C187" s="37" t="s">
        <v>700</v>
      </c>
      <c r="D187" s="33" t="s">
        <v>527</v>
      </c>
      <c r="E187" s="33">
        <v>100</v>
      </c>
      <c r="F187" s="33" t="s">
        <v>349</v>
      </c>
      <c r="G187" s="33" t="s">
        <v>227</v>
      </c>
      <c r="H187" s="33">
        <v>2018</v>
      </c>
    </row>
    <row r="188" spans="1:8" x14ac:dyDescent="0.3">
      <c r="A188" s="17" t="s">
        <v>119</v>
      </c>
      <c r="B188" s="33" t="s">
        <v>664</v>
      </c>
      <c r="C188" s="37" t="s">
        <v>701</v>
      </c>
      <c r="D188" s="33" t="s">
        <v>527</v>
      </c>
      <c r="E188" s="33">
        <v>200</v>
      </c>
      <c r="F188" s="33" t="s">
        <v>284</v>
      </c>
      <c r="G188" s="33" t="s">
        <v>227</v>
      </c>
      <c r="H188" s="33">
        <v>2018</v>
      </c>
    </row>
    <row r="189" spans="1:8" x14ac:dyDescent="0.3">
      <c r="A189" s="17" t="s">
        <v>119</v>
      </c>
      <c r="B189" s="33" t="s">
        <v>557</v>
      </c>
      <c r="C189" s="37" t="s">
        <v>702</v>
      </c>
      <c r="D189" s="33" t="s">
        <v>527</v>
      </c>
      <c r="E189" s="33">
        <v>1000</v>
      </c>
      <c r="F189" s="33" t="s">
        <v>781</v>
      </c>
      <c r="G189" s="33" t="s">
        <v>227</v>
      </c>
      <c r="H189" s="33">
        <v>2018</v>
      </c>
    </row>
    <row r="190" spans="1:8" ht="28.8" x14ac:dyDescent="0.3">
      <c r="A190" s="17" t="s">
        <v>130</v>
      </c>
      <c r="B190" s="33" t="s">
        <v>540</v>
      </c>
      <c r="C190" s="37" t="s">
        <v>703</v>
      </c>
      <c r="D190" s="33" t="s">
        <v>527</v>
      </c>
      <c r="E190" s="33">
        <v>15000</v>
      </c>
      <c r="F190" s="33" t="s">
        <v>286</v>
      </c>
      <c r="G190" s="33" t="s">
        <v>310</v>
      </c>
      <c r="H190" s="33">
        <v>2019</v>
      </c>
    </row>
    <row r="191" spans="1:8" x14ac:dyDescent="0.3">
      <c r="A191" s="17" t="s">
        <v>130</v>
      </c>
      <c r="B191" s="33" t="s">
        <v>529</v>
      </c>
      <c r="C191" s="37" t="s">
        <v>704</v>
      </c>
      <c r="D191" s="33" t="s">
        <v>527</v>
      </c>
      <c r="E191" s="33">
        <v>14000</v>
      </c>
      <c r="F191" s="33" t="s">
        <v>286</v>
      </c>
      <c r="G191" s="33" t="s">
        <v>310</v>
      </c>
      <c r="H191" s="33">
        <v>2018</v>
      </c>
    </row>
    <row r="192" spans="1:8" x14ac:dyDescent="0.3">
      <c r="A192" s="17" t="s">
        <v>134</v>
      </c>
      <c r="B192" s="33" t="s">
        <v>540</v>
      </c>
      <c r="C192" s="37" t="s">
        <v>705</v>
      </c>
      <c r="D192" s="33" t="s">
        <v>527</v>
      </c>
      <c r="E192" s="33">
        <v>64617.898999999998</v>
      </c>
      <c r="F192" s="33" t="s">
        <v>782</v>
      </c>
      <c r="G192" s="33" t="s">
        <v>359</v>
      </c>
      <c r="H192" s="33">
        <v>2019</v>
      </c>
    </row>
    <row r="193" spans="1:8" x14ac:dyDescent="0.3">
      <c r="A193" s="17" t="s">
        <v>134</v>
      </c>
      <c r="B193" s="33" t="s">
        <v>529</v>
      </c>
      <c r="C193" s="37" t="s">
        <v>706</v>
      </c>
      <c r="D193" s="33" t="s">
        <v>533</v>
      </c>
      <c r="E193" s="33">
        <v>55930.6</v>
      </c>
      <c r="F193" s="33" t="s">
        <v>256</v>
      </c>
      <c r="G193" s="33" t="s">
        <v>359</v>
      </c>
      <c r="H193" s="33">
        <v>2019</v>
      </c>
    </row>
    <row r="194" spans="1:8" x14ac:dyDescent="0.3">
      <c r="A194" s="17" t="s">
        <v>134</v>
      </c>
      <c r="B194" s="33" t="s">
        <v>540</v>
      </c>
      <c r="C194" s="37" t="s">
        <v>707</v>
      </c>
      <c r="D194" s="33" t="s">
        <v>527</v>
      </c>
      <c r="E194" s="33">
        <v>18000</v>
      </c>
      <c r="F194" s="33" t="s">
        <v>783</v>
      </c>
      <c r="G194" s="33" t="s">
        <v>359</v>
      </c>
      <c r="H194" s="33">
        <v>2018</v>
      </c>
    </row>
    <row r="195" spans="1:8" x14ac:dyDescent="0.3">
      <c r="A195" s="17" t="s">
        <v>134</v>
      </c>
      <c r="B195" s="33" t="s">
        <v>557</v>
      </c>
      <c r="C195" s="37" t="s">
        <v>708</v>
      </c>
      <c r="D195" s="33" t="s">
        <v>527</v>
      </c>
      <c r="E195" s="33">
        <v>45000</v>
      </c>
      <c r="F195" s="33" t="s">
        <v>263</v>
      </c>
      <c r="G195" s="33" t="s">
        <v>359</v>
      </c>
      <c r="H195" s="33">
        <v>2018</v>
      </c>
    </row>
    <row r="196" spans="1:8" x14ac:dyDescent="0.3">
      <c r="A196" s="18" t="s">
        <v>149</v>
      </c>
      <c r="B196" s="33" t="s">
        <v>529</v>
      </c>
      <c r="C196" s="37" t="s">
        <v>709</v>
      </c>
      <c r="D196" s="33" t="s">
        <v>531</v>
      </c>
      <c r="E196" s="33">
        <v>200</v>
      </c>
      <c r="F196" s="33" t="s">
        <v>365</v>
      </c>
      <c r="G196" s="33" t="s">
        <v>241</v>
      </c>
      <c r="H196" s="33">
        <v>2019</v>
      </c>
    </row>
    <row r="197" spans="1:8" x14ac:dyDescent="0.3">
      <c r="A197" s="18" t="s">
        <v>149</v>
      </c>
      <c r="B197" s="33" t="s">
        <v>529</v>
      </c>
      <c r="C197" s="37" t="s">
        <v>710</v>
      </c>
      <c r="D197" s="33" t="s">
        <v>527</v>
      </c>
      <c r="E197" s="33">
        <v>300</v>
      </c>
      <c r="F197" s="33" t="s">
        <v>365</v>
      </c>
      <c r="G197" s="33" t="s">
        <v>241</v>
      </c>
      <c r="H197" s="33">
        <v>2019</v>
      </c>
    </row>
    <row r="198" spans="1:8" x14ac:dyDescent="0.3">
      <c r="A198" s="18" t="s">
        <v>149</v>
      </c>
      <c r="B198" s="33" t="s">
        <v>540</v>
      </c>
      <c r="C198" s="37" t="s">
        <v>711</v>
      </c>
      <c r="D198" s="33" t="s">
        <v>547</v>
      </c>
      <c r="E198" s="33">
        <v>200</v>
      </c>
      <c r="F198" s="33" t="s">
        <v>365</v>
      </c>
      <c r="G198" s="33" t="s">
        <v>241</v>
      </c>
      <c r="H198" s="33">
        <v>2019</v>
      </c>
    </row>
    <row r="199" spans="1:8" x14ac:dyDescent="0.3">
      <c r="A199" s="18" t="s">
        <v>149</v>
      </c>
      <c r="B199" s="33" t="s">
        <v>529</v>
      </c>
      <c r="C199" s="37" t="s">
        <v>712</v>
      </c>
      <c r="D199" s="33" t="s">
        <v>527</v>
      </c>
      <c r="E199" s="33">
        <v>1</v>
      </c>
      <c r="F199" s="33" t="s">
        <v>365</v>
      </c>
      <c r="G199" s="33" t="s">
        <v>241</v>
      </c>
      <c r="H199" s="33">
        <v>2019</v>
      </c>
    </row>
    <row r="200" spans="1:8" x14ac:dyDescent="0.3">
      <c r="A200" s="18" t="s">
        <v>149</v>
      </c>
      <c r="B200" s="33" t="s">
        <v>557</v>
      </c>
      <c r="C200" s="37" t="s">
        <v>713</v>
      </c>
      <c r="D200" s="33" t="s">
        <v>527</v>
      </c>
      <c r="E200" s="33">
        <v>3725</v>
      </c>
      <c r="F200" s="33" t="s">
        <v>365</v>
      </c>
      <c r="G200" s="33" t="s">
        <v>241</v>
      </c>
      <c r="H200" s="33">
        <v>2019</v>
      </c>
    </row>
    <row r="201" spans="1:8" x14ac:dyDescent="0.3">
      <c r="A201" s="18" t="s">
        <v>149</v>
      </c>
      <c r="B201" s="33" t="s">
        <v>557</v>
      </c>
      <c r="C201" s="37" t="s">
        <v>714</v>
      </c>
      <c r="D201" s="33" t="s">
        <v>525</v>
      </c>
      <c r="E201" s="33">
        <v>910</v>
      </c>
      <c r="F201" s="33" t="s">
        <v>365</v>
      </c>
      <c r="G201" s="33" t="s">
        <v>241</v>
      </c>
      <c r="H201" s="33">
        <v>2019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IDENTIFICATION</vt:lpstr>
      <vt:lpstr>INFO_TITRE_MINIER</vt:lpstr>
      <vt:lpstr>SONDAGE</vt:lpstr>
      <vt:lpstr>PRODUCTION</vt:lpstr>
      <vt:lpstr>PRODUCTION TRANF (VENDUE)</vt:lpstr>
      <vt:lpstr>PRODUCTION QTE VAL</vt:lpstr>
      <vt:lpstr>EXPORTATION</vt:lpstr>
      <vt:lpstr>CHARGES</vt:lpstr>
      <vt:lpstr>PRODUCTION ELECTRICITE</vt:lpstr>
      <vt:lpstr>Feuil1</vt:lpstr>
      <vt:lpstr>EMPLOI ET SALAIRE</vt:lpstr>
      <vt:lpstr>REALISATION SOCIALE</vt:lpstr>
      <vt:lpstr>Feuil5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Fallou DIONE</cp:lastModifiedBy>
  <dcterms:created xsi:type="dcterms:W3CDTF">2021-02-17T19:08:42Z</dcterms:created>
  <dcterms:modified xsi:type="dcterms:W3CDTF">2023-12-19T16:35:27Z</dcterms:modified>
</cp:coreProperties>
</file>