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STATMINES\2023-2024\"/>
    </mc:Choice>
  </mc:AlternateContent>
  <bookViews>
    <workbookView xWindow="-120" yWindow="-120" windowWidth="29040" windowHeight="15840" tabRatio="865" activeTab="4"/>
  </bookViews>
  <sheets>
    <sheet name="Requete_INFOTITREMINIER" sheetId="1" r:id="rId1"/>
    <sheet name="SONDAGE Exploratio" sheetId="2" state="hidden" r:id="rId2"/>
    <sheet name="SONDAGE EXPLORATION" sheetId="3" state="hidden" r:id="rId3"/>
    <sheet name="Requete_EXPLOITATION" sheetId="4" state="hidden" r:id="rId4"/>
    <sheet name="Requete_PRODUCTION TRANSFORME" sheetId="5" r:id="rId5"/>
    <sheet name="Requete_PRODUCTION CIMICS" sheetId="14" r:id="rId6"/>
    <sheet name="Requete_PRODUCTIONELECTRICI" sheetId="7" r:id="rId7"/>
    <sheet name="Requete_EXPORTATION" sheetId="8" r:id="rId8"/>
    <sheet name="Requete_CHARGES" sheetId="9" r:id="rId9"/>
    <sheet name="Requete_Depenses" sheetId="10" state="hidden" r:id="rId10"/>
    <sheet name="Requete_MAINSDOEUVRE OK" sheetId="15" r:id="rId11"/>
    <sheet name="Requete_RSE" sheetId="12" r:id="rId12"/>
    <sheet name="Requete_maindoeuvre" sheetId="11" state="hidden" r:id="rId13"/>
  </sheets>
  <definedNames>
    <definedName name="_xlnm._FilterDatabase" localSheetId="8" hidden="1">Requete_CHARGES!$A$1:$BQ$61</definedName>
    <definedName name="_xlnm._FilterDatabase" localSheetId="9" hidden="1">Requete_Depenses!$A$1:$AB$37</definedName>
    <definedName name="_xlnm._FilterDatabase" localSheetId="3" hidden="1">Requete_EXPLOITATION!$A$1:$AA$22</definedName>
    <definedName name="_xlnm._FilterDatabase" localSheetId="7" hidden="1">Requete_EXPORTATION!$A$1:$I$52</definedName>
    <definedName name="_xlnm._FilterDatabase" localSheetId="0" hidden="1">Requete_INFOTITREMINIER!$A$1:$P$111</definedName>
    <definedName name="_xlnm._FilterDatabase" localSheetId="12" hidden="1">Requete_maindoeuvre!$A$1:$BE$62</definedName>
    <definedName name="_xlnm._FilterDatabase" localSheetId="10" hidden="1">'Requete_MAINSDOEUVRE OK'!$A$1:$AE$60</definedName>
    <definedName name="_xlnm._FilterDatabase" localSheetId="5" hidden="1">'Requete_PRODUCTION CIMICS'!$A$1:$E$12</definedName>
    <definedName name="_xlnm._FilterDatabase" localSheetId="4" hidden="1">'Requete_PRODUCTION TRANSFORME'!$A$1:$O$45</definedName>
    <definedName name="_xlnm._FilterDatabase" localSheetId="6" hidden="1">Requete_PRODUCTIONELECTRICI!$A$1:$X$34</definedName>
    <definedName name="_xlnm._FilterDatabase" localSheetId="11" hidden="1">Requete_RSE!$A$1:$I$258</definedName>
    <definedName name="_xlnm._FilterDatabase" localSheetId="1" hidden="1">'SONDAGE Exploratio'!$A$1:$H$37</definedName>
    <definedName name="_xlnm._FilterDatabase" localSheetId="2" hidden="1">'SONDAGE EXPLORATION'!$A$1:$V$15</definedName>
  </definedNames>
  <calcPr calcId="162913"/>
  <pivotCaches>
    <pivotCache cacheId="26" r:id="rId1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8" i="5" l="1"/>
  <c r="J46" i="5"/>
  <c r="I46" i="5"/>
  <c r="F53" i="8" l="1"/>
  <c r="E53" i="8"/>
  <c r="I34" i="8" l="1"/>
  <c r="B61" i="15" l="1"/>
  <c r="C61" i="15"/>
  <c r="D61" i="15"/>
  <c r="E61" i="15"/>
  <c r="F61" i="15"/>
  <c r="G61" i="15"/>
  <c r="H61" i="15"/>
  <c r="I61" i="15"/>
  <c r="J61" i="15"/>
  <c r="K61" i="15"/>
  <c r="L61" i="15"/>
  <c r="M61" i="15"/>
  <c r="N61" i="15"/>
  <c r="O61" i="15"/>
  <c r="P61" i="15"/>
  <c r="Q61" i="15"/>
  <c r="R61" i="15"/>
  <c r="S61" i="15"/>
  <c r="T61" i="15"/>
  <c r="U61" i="15"/>
  <c r="V61" i="15"/>
  <c r="W61" i="15"/>
  <c r="X61" i="15"/>
  <c r="Y61" i="15"/>
  <c r="Z61" i="15"/>
  <c r="AA61" i="15"/>
  <c r="AB61" i="15"/>
  <c r="AC61" i="15"/>
  <c r="AD61" i="15"/>
  <c r="AE61" i="15"/>
  <c r="G258" i="12" l="1"/>
  <c r="O5" i="5" l="1"/>
  <c r="F12" i="14"/>
  <c r="O13" i="5" l="1"/>
  <c r="F37" i="8"/>
  <c r="F52" i="8" s="1"/>
  <c r="I24" i="8"/>
  <c r="I25" i="8"/>
  <c r="I26" i="8"/>
  <c r="I12" i="8"/>
  <c r="I13" i="8"/>
  <c r="I14" i="8"/>
  <c r="I15" i="8"/>
  <c r="I16" i="8"/>
  <c r="I47" i="8" l="1"/>
  <c r="AO2" i="11"/>
  <c r="F3" i="14" l="1"/>
  <c r="F4" i="14"/>
  <c r="F5" i="14"/>
  <c r="F6" i="14"/>
  <c r="F7" i="14"/>
  <c r="F8" i="14"/>
  <c r="F9" i="14"/>
  <c r="F10" i="14"/>
  <c r="F11" i="14"/>
  <c r="F2" i="14"/>
  <c r="O3" i="5" l="1"/>
  <c r="O6" i="5"/>
  <c r="O4" i="5"/>
  <c r="O7" i="5"/>
  <c r="O8" i="5"/>
  <c r="O9" i="5"/>
  <c r="O10" i="5"/>
  <c r="O11" i="5"/>
  <c r="O12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N2" i="5"/>
  <c r="O2" i="5"/>
  <c r="N6" i="5"/>
  <c r="N4" i="5"/>
  <c r="N5" i="5"/>
  <c r="N3" i="5"/>
  <c r="N7" i="5"/>
  <c r="N8" i="5"/>
  <c r="N9" i="5"/>
  <c r="N10" i="5"/>
  <c r="N11" i="5"/>
  <c r="N12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 l="1"/>
  <c r="O46" i="5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J62" i="11"/>
  <c r="AK62" i="11"/>
  <c r="AL62" i="11"/>
  <c r="AM62" i="11"/>
  <c r="AN62" i="11"/>
  <c r="AR62" i="11"/>
  <c r="AS62" i="11"/>
  <c r="AT62" i="11"/>
  <c r="AU62" i="11"/>
  <c r="AV62" i="11"/>
  <c r="AW62" i="11"/>
  <c r="AX62" i="11"/>
  <c r="AY62" i="11"/>
  <c r="AZ62" i="11"/>
  <c r="BA62" i="11"/>
  <c r="BB62" i="11"/>
  <c r="BC62" i="11"/>
  <c r="BD62" i="11"/>
  <c r="BE62" i="11"/>
  <c r="D62" i="11"/>
  <c r="E62" i="11"/>
  <c r="B62" i="11"/>
  <c r="C62" i="11"/>
</calcChain>
</file>

<file path=xl/comments1.xml><?xml version="1.0" encoding="utf-8"?>
<comments xmlns="http://schemas.openxmlformats.org/spreadsheetml/2006/main">
  <authors>
    <author>Fallou DIONE</author>
  </authors>
  <commentList>
    <comment ref="A15" authorId="0" shapeId="0">
      <text>
        <r>
          <rPr>
            <b/>
            <sz val="9"/>
            <color indexed="81"/>
            <rFont val="Tahoma"/>
            <family val="2"/>
          </rPr>
          <t>Fallou DIONE:</t>
        </r>
        <r>
          <rPr>
            <sz val="9"/>
            <color indexed="81"/>
            <rFont val="Tahoma"/>
            <family val="2"/>
          </rPr>
          <t xml:space="preserve">
IAMGOLD BOTO</t>
        </r>
      </text>
    </comment>
  </commentList>
</comments>
</file>

<file path=xl/comments2.xml><?xml version="1.0" encoding="utf-8"?>
<comments xmlns="http://schemas.openxmlformats.org/spreadsheetml/2006/main">
  <authors>
    <author>Fallou DIONE</author>
  </authors>
  <commentList>
    <comment ref="I5" authorId="0" shapeId="0">
      <text>
        <r>
          <rPr>
            <b/>
            <sz val="9"/>
            <color indexed="81"/>
            <rFont val="Tahoma"/>
            <family val="2"/>
          </rPr>
          <t>Fallou DIONE:</t>
        </r>
        <r>
          <rPr>
            <sz val="9"/>
            <color indexed="81"/>
            <rFont val="Tahoma"/>
            <family val="2"/>
          </rPr>
          <t xml:space="preserve">
234023300</t>
        </r>
      </text>
    </comment>
  </commentList>
</comments>
</file>

<file path=xl/sharedStrings.xml><?xml version="1.0" encoding="utf-8"?>
<sst xmlns="http://schemas.openxmlformats.org/spreadsheetml/2006/main" count="5008" uniqueCount="1083">
  <si>
    <t>entreprise_id</t>
  </si>
  <si>
    <t>trimestre_id</t>
  </si>
  <si>
    <t>annee_reference</t>
  </si>
  <si>
    <t>num_titre_minier</t>
  </si>
  <si>
    <t>nom_perimetre</t>
  </si>
  <si>
    <t>nm_nature</t>
  </si>
  <si>
    <t>nm_region</t>
  </si>
  <si>
    <t>substance_desc</t>
  </si>
  <si>
    <t>nm_commune</t>
  </si>
  <si>
    <t>nm_departement</t>
  </si>
  <si>
    <t>date_signature</t>
  </si>
  <si>
    <t>date_octroi</t>
  </si>
  <si>
    <t>superficie_octroye</t>
  </si>
  <si>
    <t>superficie_exploite</t>
  </si>
  <si>
    <t>superficie_rendue</t>
  </si>
  <si>
    <t>superficie_rehabilite</t>
  </si>
  <si>
    <t>date_fin</t>
  </si>
  <si>
    <t>SALIOU TRADING</t>
  </si>
  <si>
    <t>Annuel</t>
  </si>
  <si>
    <t>12345</t>
  </si>
  <si>
    <t>Permis de recherche</t>
  </si>
  <si>
    <t>RUFISQUE</t>
  </si>
  <si>
    <t>BAOBAB MINING AND CHEMICALS CORP (BMCC) SA</t>
  </si>
  <si>
    <t>Cherif Lo NGAKHAM</t>
  </si>
  <si>
    <t>Permis d’exploitation</t>
  </si>
  <si>
    <t>DIOURBEL</t>
  </si>
  <si>
    <t>Substances connexes</t>
  </si>
  <si>
    <t xml:space="preserve"> GAWANE</t>
  </si>
  <si>
    <t>BAMBEY</t>
  </si>
  <si>
    <t>Phosphate de chaux</t>
  </si>
  <si>
    <t xml:space="preserve"> LAMBAYE</t>
  </si>
  <si>
    <t xml:space="preserve"> BABA GARAGE</t>
  </si>
  <si>
    <t>SOCABEG MINING</t>
  </si>
  <si>
    <t>PETOWAL MINING COMPANY (PMC) SA</t>
  </si>
  <si>
    <t>2016-995</t>
  </si>
  <si>
    <t>MAKO</t>
  </si>
  <si>
    <t>Concession minière</t>
  </si>
  <si>
    <t>KEDOUGOU</t>
  </si>
  <si>
    <t>Or</t>
  </si>
  <si>
    <t xml:space="preserve"> TOMBORONKOTO</t>
  </si>
  <si>
    <t>ARDIMINES SARL</t>
  </si>
  <si>
    <t>002734</t>
  </si>
  <si>
    <t>SOCIETE SENEGALAISE DE NEGOCE INTERNATIONALE (SNEPAC) SARL</t>
  </si>
  <si>
    <t>15099MIM/DMG</t>
  </si>
  <si>
    <t>BANTACCO</t>
  </si>
  <si>
    <t>2016995</t>
  </si>
  <si>
    <t>BHAIRAVA AGRICOLE SARL</t>
  </si>
  <si>
    <t>010566</t>
  </si>
  <si>
    <t>KAOUROU</t>
  </si>
  <si>
    <t>TOMBO</t>
  </si>
  <si>
    <t>PROSPECTIUNI</t>
  </si>
  <si>
    <t>0015766</t>
  </si>
  <si>
    <t>OUEST LAMINIA</t>
  </si>
  <si>
    <t>MASSAWA JERSEY LIMITED</t>
  </si>
  <si>
    <t>KANOUMBA</t>
  </si>
  <si>
    <t xml:space="preserve"> KHOSSANTO</t>
  </si>
  <si>
    <t>SARAYA</t>
  </si>
  <si>
    <t>AGEM SENEGAL EXPLORATION SUARL</t>
  </si>
  <si>
    <t>13984/MIM/DMG</t>
  </si>
  <si>
    <t xml:space="preserve"> MEDINA BAFFE</t>
  </si>
  <si>
    <t>SABODALA GOLD OPERATIONS</t>
  </si>
  <si>
    <t>2015-1136</t>
  </si>
  <si>
    <t>SABODALA</t>
  </si>
  <si>
    <t xml:space="preserve"> SABODALA</t>
  </si>
  <si>
    <t xml:space="preserve"> BEMBOU</t>
  </si>
  <si>
    <t>SERIGNE SALIOU MBACKE SUARL</t>
  </si>
  <si>
    <t>Petite mine</t>
  </si>
  <si>
    <t xml:space="preserve"> SARAYA</t>
  </si>
  <si>
    <t>BOYA SA</t>
  </si>
  <si>
    <t>011843</t>
  </si>
  <si>
    <t>DIAMBA SUD</t>
  </si>
  <si>
    <t>SAMAGOLD SARL</t>
  </si>
  <si>
    <t>011839</t>
  </si>
  <si>
    <t>SOUROUKOTO</t>
  </si>
  <si>
    <t xml:space="preserve"> MISSIRAH SIRIMANA</t>
  </si>
  <si>
    <t>MANDINGA RESOURCES</t>
  </si>
  <si>
    <t>2208</t>
  </si>
  <si>
    <t>Uranium</t>
  </si>
  <si>
    <t>DAMASH MINERALS LTD</t>
  </si>
  <si>
    <t>19005/MIM/DMG</t>
  </si>
  <si>
    <t>Permis de Kolda</t>
  </si>
  <si>
    <t>KOLDA</t>
  </si>
  <si>
    <t xml:space="preserve"> MEDINA  EL HADJI</t>
  </si>
  <si>
    <t>SEN-HMC SUARL</t>
  </si>
  <si>
    <t>LOUGA</t>
  </si>
  <si>
    <t>Minéraux Lourds</t>
  </si>
  <si>
    <t>001092</t>
  </si>
  <si>
    <t>SAINT-LOUIS</t>
  </si>
  <si>
    <t xml:space="preserve"> N’DIEBENE GANDIOLE</t>
  </si>
  <si>
    <t>NDIEBENE GANDIOLE ( SAINT LOUIS)</t>
  </si>
  <si>
    <t>G.H MINING SARL</t>
  </si>
  <si>
    <t>006243/MMG/DMG</t>
  </si>
  <si>
    <t>TAMBACOUNDA</t>
  </si>
  <si>
    <t>011842/MIM/DMG</t>
  </si>
  <si>
    <t>Autres</t>
  </si>
  <si>
    <t>CSE GRANULATS</t>
  </si>
  <si>
    <t>SENEGAL MINES</t>
  </si>
  <si>
    <t>15M</t>
  </si>
  <si>
    <t>THIES</t>
  </si>
  <si>
    <t>Attapulgite</t>
  </si>
  <si>
    <t xml:space="preserve"> N’GUENIENE</t>
  </si>
  <si>
    <t>M’BOUR</t>
  </si>
  <si>
    <t xml:space="preserve"> MALICOUNDA</t>
  </si>
  <si>
    <t>Calcaire</t>
  </si>
  <si>
    <t>SENEGAL MINES S.A</t>
  </si>
  <si>
    <t>Prochimat SA</t>
  </si>
  <si>
    <t>96536</t>
  </si>
  <si>
    <t>MBODIENE</t>
  </si>
  <si>
    <t xml:space="preserve"> POUT</t>
  </si>
  <si>
    <t>9828</t>
  </si>
  <si>
    <t>CIMENTS DU SAHEL</t>
  </si>
  <si>
    <t xml:space="preserve"> N’GOUNDIANE</t>
  </si>
  <si>
    <t>SOCIETE SENEGALAISE DES PHOSPHATES DE THIES (SSPT)</t>
  </si>
  <si>
    <t xml:space="preserve"> KEUR MOUSSA</t>
  </si>
  <si>
    <t>SEPHOS SENEGAL SA</t>
  </si>
  <si>
    <t>10357/MMI/PME/DMG</t>
  </si>
  <si>
    <t>TIVAOUANE</t>
  </si>
  <si>
    <t>INDUSTRIES CHIMIQUES DU SENEGAL</t>
  </si>
  <si>
    <t>TOBENE NORD</t>
  </si>
  <si>
    <t xml:space="preserve"> DAROU KHOUDOSS</t>
  </si>
  <si>
    <t>Ilménite</t>
  </si>
  <si>
    <t>Leucoxène</t>
  </si>
  <si>
    <t>ATIC SARL</t>
  </si>
  <si>
    <t>Silex</t>
  </si>
  <si>
    <t xml:space="preserve"> M’BORO</t>
  </si>
  <si>
    <t>10357MMITPME/DMG</t>
  </si>
  <si>
    <t>PETITE MINE DE LAMLAM</t>
  </si>
  <si>
    <t>Grande Côte Opérations S.A</t>
  </si>
  <si>
    <t>2007-1326</t>
  </si>
  <si>
    <t>GRANDE COTE</t>
  </si>
  <si>
    <t>991020</t>
  </si>
  <si>
    <t>typ_sondage_id</t>
  </si>
  <si>
    <t>typ_sondage_autre</t>
  </si>
  <si>
    <t>grille_maille_desc</t>
  </si>
  <si>
    <t>metrage</t>
  </si>
  <si>
    <t>intervalle</t>
  </si>
  <si>
    <t>intersection</t>
  </si>
  <si>
    <t>teneur</t>
  </si>
  <si>
    <t/>
  </si>
  <si>
    <t>0</t>
  </si>
  <si>
    <t>3</t>
  </si>
  <si>
    <t>1</t>
  </si>
  <si>
    <t>2</t>
  </si>
  <si>
    <t>50x50</t>
  </si>
  <si>
    <t>50X50</t>
  </si>
  <si>
    <t>5-4</t>
  </si>
  <si>
    <t>20&lt;20</t>
  </si>
  <si>
    <t>1-2</t>
  </si>
  <si>
    <t>400*50</t>
  </si>
  <si>
    <t>25*25</t>
  </si>
  <si>
    <t>irrégulière</t>
  </si>
  <si>
    <t>14-18</t>
  </si>
  <si>
    <t>4-6</t>
  </si>
  <si>
    <t>40-56</t>
  </si>
  <si>
    <t>123-124</t>
  </si>
  <si>
    <t>300</t>
  </si>
  <si>
    <t>200m*100m</t>
  </si>
  <si>
    <t>6</t>
  </si>
  <si>
    <t>13</t>
  </si>
  <si>
    <t>Pas de maille particuliére</t>
  </si>
  <si>
    <t>pas de maille particuliére</t>
  </si>
  <si>
    <t>35</t>
  </si>
  <si>
    <t>200m*160m et 100m*80m</t>
  </si>
  <si>
    <t>200m*50</t>
  </si>
  <si>
    <t>neant</t>
  </si>
  <si>
    <t>4,63</t>
  </si>
  <si>
    <t>800*150</t>
  </si>
  <si>
    <t>Percutants</t>
  </si>
  <si>
    <t>100</t>
  </si>
  <si>
    <t>30</t>
  </si>
  <si>
    <t>formulaire.entreprise_id</t>
  </si>
  <si>
    <t>nature_tminier_desc</t>
  </si>
  <si>
    <t>depense_prevue</t>
  </si>
  <si>
    <t>nbr_tranchee</t>
  </si>
  <si>
    <t>nbr_prosp_avance</t>
  </si>
  <si>
    <t>nbr_prosp_prelmnr</t>
  </si>
  <si>
    <t>sondage_desc</t>
  </si>
  <si>
    <t>cd_typ_sondage.actif</t>
  </si>
  <si>
    <t>unite_mesr_id</t>
  </si>
  <si>
    <t>unite_mesr_desc</t>
  </si>
  <si>
    <t>cd_unite_mesr_minrlstn.actif</t>
  </si>
  <si>
    <t>Tarrière</t>
  </si>
  <si>
    <t>O</t>
  </si>
  <si>
    <t>gramme/tonne</t>
  </si>
  <si>
    <t>INTERNATIONAL MINING COMPANY (IMC)</t>
  </si>
  <si>
    <t>020031/MIM/DMG</t>
  </si>
  <si>
    <t>DOUTA</t>
  </si>
  <si>
    <t>DALEMA</t>
  </si>
  <si>
    <t>BARRICK GOLD SENEGAL</t>
  </si>
  <si>
    <t>023585/MMG/DMG</t>
  </si>
  <si>
    <t>BAMBADJI SUD</t>
  </si>
  <si>
    <t>BAMBADJI SA</t>
  </si>
  <si>
    <t>012407/MMG/DMG</t>
  </si>
  <si>
    <t>BAMBADJI</t>
  </si>
  <si>
    <t>BOTO SA- MANAGEM GROUP</t>
  </si>
  <si>
    <t>RC</t>
  </si>
  <si>
    <t>2020-981</t>
  </si>
  <si>
    <t>Boto</t>
  </si>
  <si>
    <t>NOUMOUFOUKHA</t>
  </si>
  <si>
    <t>HOLDING ATLANTQUE MINING PETROLUM-SA</t>
  </si>
  <si>
    <t>BB FIRST COMMODITY HOLDING LIMITED</t>
  </si>
  <si>
    <t>G-PHOS S.A</t>
  </si>
  <si>
    <t>12950</t>
  </si>
  <si>
    <t>RAB</t>
  </si>
  <si>
    <t>Carotté</t>
  </si>
  <si>
    <t>MATAM</t>
  </si>
  <si>
    <t>CIMENTS DE L'AFRIQUE SENEGAL SA</t>
  </si>
  <si>
    <t>NIAKHENE</t>
  </si>
  <si>
    <t>POUT</t>
  </si>
  <si>
    <t>Aircore</t>
  </si>
  <si>
    <t>Autres (précisez)</t>
  </si>
  <si>
    <t>AMAFRIQUE SENEGAL</t>
  </si>
  <si>
    <t>CHESSER</t>
  </si>
  <si>
    <t>004123</t>
  </si>
  <si>
    <t>BONDALA</t>
  </si>
  <si>
    <t>Intersection</t>
  </si>
  <si>
    <t>0-0</t>
  </si>
  <si>
    <t>Makabingui Gold Operations S.A</t>
  </si>
  <si>
    <t>SOCIETE DE CONCASSAGE ET DU BETON</t>
  </si>
  <si>
    <t>11m</t>
  </si>
  <si>
    <t>STRATEX-EMC SA</t>
  </si>
  <si>
    <t>00008153</t>
  </si>
  <si>
    <t>SENALA</t>
  </si>
  <si>
    <t>400*40</t>
  </si>
  <si>
    <t>1583</t>
  </si>
  <si>
    <t>1748</t>
  </si>
  <si>
    <t>Géochimie et échantillonnage roche</t>
  </si>
  <si>
    <t>60m*60m</t>
  </si>
  <si>
    <t>Puit par pelle mécanique</t>
  </si>
  <si>
    <t>Forage</t>
  </si>
  <si>
    <t>100m*40 et 50m*20m</t>
  </si>
  <si>
    <t>geophysique</t>
  </si>
  <si>
    <t>CONCESSION D'ATTAPULGUTE DE ALLOU KAGNE…</t>
  </si>
  <si>
    <t>Sondage destructif avec rotary à boue + sondage carotté</t>
  </si>
  <si>
    <t>produit_desc</t>
  </si>
  <si>
    <t>qte_prd_vendu_pays</t>
  </si>
  <si>
    <t>qte_prd_vendu_etrger</t>
  </si>
  <si>
    <t>qte_prd_immobilise</t>
  </si>
  <si>
    <t>qte_stock_ouverture</t>
  </si>
  <si>
    <t>qte_prd_stock_cloture</t>
  </si>
  <si>
    <t>val_prd_vendu_pays</t>
  </si>
  <si>
    <t>val_prd_vendu_etrger</t>
  </si>
  <si>
    <t>val_prd_immobilise</t>
  </si>
  <si>
    <t>val_prd_stock_ouverture</t>
  </si>
  <si>
    <t>val_prd_stock_cloture</t>
  </si>
  <si>
    <t>AFRIGOLD S.A</t>
  </si>
  <si>
    <t>Argent</t>
  </si>
  <si>
    <t>Manganèse</t>
  </si>
  <si>
    <t>Phosphates</t>
  </si>
  <si>
    <t>SOCIETE MINIERE DE LA VALLEE DU FLEUVE SENEGAL –SOMIVA</t>
  </si>
  <si>
    <t>Phosphates de chaux</t>
  </si>
  <si>
    <t>Zircon - premium</t>
  </si>
  <si>
    <t>COMPAGNIE GENERALE D'EXPLOITATION DE CARRIERES</t>
  </si>
  <si>
    <t>BOSFOR SARL</t>
  </si>
  <si>
    <t>VAPROM AFRICA SA</t>
  </si>
  <si>
    <t>ROYAL SENEGAL MINES ET EQUIPEMENTS</t>
  </si>
  <si>
    <t>GECAMINES S.A</t>
  </si>
  <si>
    <t>COGECA</t>
  </si>
  <si>
    <t>Basalte - Concassé</t>
  </si>
  <si>
    <t>KUTLU GABANE HOLDING S.A</t>
  </si>
  <si>
    <t>TALIX MINES</t>
  </si>
  <si>
    <t>Basalte - Moellon (grosse pierre)</t>
  </si>
  <si>
    <t>ENTREPRISE OUSMANE SOW</t>
  </si>
  <si>
    <t>GLOBAL IMMO SENEGAL SARL</t>
  </si>
  <si>
    <t>TANOR SAS</t>
  </si>
  <si>
    <t>SWAMI MINES SA</t>
  </si>
  <si>
    <t xml:space="preserve">Rutile </t>
  </si>
  <si>
    <t>Acide phosphorique</t>
  </si>
  <si>
    <t>Ciment</t>
  </si>
  <si>
    <t>DANGOTE CEMENT SENEGAL</t>
  </si>
  <si>
    <t>SOCIETE DE COMMERCIALISATION DU CIMENT</t>
  </si>
  <si>
    <t>Engrais</t>
  </si>
  <si>
    <t>SABODALA MINING COMPANY SARL</t>
  </si>
  <si>
    <t>code_produit</t>
  </si>
  <si>
    <t>OR</t>
  </si>
  <si>
    <t>ARGT</t>
  </si>
  <si>
    <t>MGNS</t>
  </si>
  <si>
    <t>PHSP</t>
  </si>
  <si>
    <t>PHSC</t>
  </si>
  <si>
    <t>ATTP</t>
  </si>
  <si>
    <t>ZRCP</t>
  </si>
  <si>
    <t>ILMN</t>
  </si>
  <si>
    <t>LCXN</t>
  </si>
  <si>
    <t>BSTC</t>
  </si>
  <si>
    <t>RTLE</t>
  </si>
  <si>
    <t>CIMT</t>
  </si>
  <si>
    <t>electrc_propr_consommtn</t>
  </si>
  <si>
    <t>qte_electrc_autoconsom</t>
  </si>
  <si>
    <t>estimatn_autoconsommtn</t>
  </si>
  <si>
    <t>vendu_electrc_ind</t>
  </si>
  <si>
    <t>qte_electrc_vendu</t>
  </si>
  <si>
    <t>solaire_ind</t>
  </si>
  <si>
    <t>fuel_ind</t>
  </si>
  <si>
    <t>fuel_qte</t>
  </si>
  <si>
    <t>fuel_unite_mesr</t>
  </si>
  <si>
    <t>diesel_ind</t>
  </si>
  <si>
    <t>diesel_qte</t>
  </si>
  <si>
    <t>diesel_unite_mesr</t>
  </si>
  <si>
    <t>charbon_ind</t>
  </si>
  <si>
    <t>charbon_qte</t>
  </si>
  <si>
    <t>charbon_unite_mesr</t>
  </si>
  <si>
    <t>gaz_nat_ind</t>
  </si>
  <si>
    <t>gaz_nat_qte</t>
  </si>
  <si>
    <t>gaz_nat_unite_mesr</t>
  </si>
  <si>
    <t>autre_source</t>
  </si>
  <si>
    <t>autre_ind</t>
  </si>
  <si>
    <t>autre_qte</t>
  </si>
  <si>
    <t>autre_unite_mesr</t>
  </si>
  <si>
    <t>autre_unite_mesr_desc</t>
  </si>
  <si>
    <t>AFRIGEM SA</t>
  </si>
  <si>
    <t>GOLD MINING CORPORATION (GMC)</t>
  </si>
  <si>
    <t>pays_id</t>
  </si>
  <si>
    <t>qte_vendu_pays</t>
  </si>
  <si>
    <t>val_produit</t>
  </si>
  <si>
    <t>charge_id</t>
  </si>
  <si>
    <t>nbr_fourn_loc</t>
  </si>
  <si>
    <t>ttl_paye_fourn_loc</t>
  </si>
  <si>
    <t>pct_paye_fourn_loc</t>
  </si>
  <si>
    <t>nbr_fourn_etrg</t>
  </si>
  <si>
    <t>ttl_pay_fourn_etrg</t>
  </si>
  <si>
    <t>pct_pay_fourn_etrg</t>
  </si>
  <si>
    <t>achat</t>
  </si>
  <si>
    <t>matier_consmbl</t>
  </si>
  <si>
    <t>matier_combustbl</t>
  </si>
  <si>
    <t>gaz_industriel</t>
  </si>
  <si>
    <t>gaz_naturel</t>
  </si>
  <si>
    <t>essence</t>
  </si>
  <si>
    <t>gas_oil</t>
  </si>
  <si>
    <t>fuel_oil</t>
  </si>
  <si>
    <t>huile_lubrif</t>
  </si>
  <si>
    <t>charbon</t>
  </si>
  <si>
    <t>autre_combustbl</t>
  </si>
  <si>
    <t>autre_combustbl_desc</t>
  </si>
  <si>
    <t>fourn_bureau_infmtq</t>
  </si>
  <si>
    <t>eau</t>
  </si>
  <si>
    <t>electricite</t>
  </si>
  <si>
    <t>autre_energ</t>
  </si>
  <si>
    <t>fourn_bureau_nonstockbl</t>
  </si>
  <si>
    <t>achat_materl_outilg</t>
  </si>
  <si>
    <t>achat_etud_servc</t>
  </si>
  <si>
    <t>achat_materl_equip</t>
  </si>
  <si>
    <t>autre_achat</t>
  </si>
  <si>
    <t>transprt_bien_persnl</t>
  </si>
  <si>
    <t>transprt_marchnds</t>
  </si>
  <si>
    <t>servc_exterieur</t>
  </si>
  <si>
    <t>soustraitc_generl</t>
  </si>
  <si>
    <t>loctn_charg_lctv</t>
  </si>
  <si>
    <t>redvanc_creditbail</t>
  </si>
  <si>
    <t>entretn_repar_maint</t>
  </si>
  <si>
    <t>prime_assur</t>
  </si>
  <si>
    <t>etud_rech_doc</t>
  </si>
  <si>
    <t>pub_publictn</t>
  </si>
  <si>
    <t>frais_telecom</t>
  </si>
  <si>
    <t>frais_bancaire</t>
  </si>
  <si>
    <t>autre_service</t>
  </si>
  <si>
    <t>remuneratn_conseil</t>
  </si>
  <si>
    <t>frais_formtn_persnl</t>
  </si>
  <si>
    <t>redvanc_brevt_licn</t>
  </si>
  <si>
    <t>remuneratn_pers_ext</t>
  </si>
  <si>
    <t>autre_charg_ext</t>
  </si>
  <si>
    <t>impot_tax_versmt</t>
  </si>
  <si>
    <t>impot_tax_entreprs</t>
  </si>
  <si>
    <t>impot_tax_indirect</t>
  </si>
  <si>
    <t>droit_entre</t>
  </si>
  <si>
    <t>tax_superficiaire</t>
  </si>
  <si>
    <t>redvanc_miniere</t>
  </si>
  <si>
    <t>droit_enregistrmt</t>
  </si>
  <si>
    <t>penalit_amend_fiscl</t>
  </si>
  <si>
    <t>autre_droit_imp</t>
  </si>
  <si>
    <t>autre_droit_imp_desc</t>
  </si>
  <si>
    <t>charge_personnel</t>
  </si>
  <si>
    <t>salair_direct_nat</t>
  </si>
  <si>
    <t>salair_direct_nonnat</t>
  </si>
  <si>
    <t>Indemnt_forfait_pers</t>
  </si>
  <si>
    <t>avantage_nature</t>
  </si>
  <si>
    <t>charg_social</t>
  </si>
  <si>
    <t>autre_charg_social</t>
  </si>
  <si>
    <t>frais_financier</t>
  </si>
  <si>
    <t>autre_charge</t>
  </si>
  <si>
    <t>impot_resultat</t>
  </si>
  <si>
    <t>ttl_generl_charg</t>
  </si>
  <si>
    <t>à préciser</t>
  </si>
  <si>
    <t>SODEMINES</t>
  </si>
  <si>
    <t>CILAGE MINE SA</t>
  </si>
  <si>
    <t>HARANGA RESSOURCES SENEGAL</t>
  </si>
  <si>
    <t>depense_trv_minier_id</t>
  </si>
  <si>
    <t>cartographie</t>
  </si>
  <si>
    <t>geochimie</t>
  </si>
  <si>
    <t>sondage</t>
  </si>
  <si>
    <t>tranchee</t>
  </si>
  <si>
    <t>echantillonnage</t>
  </si>
  <si>
    <t>analyse_echantillon</t>
  </si>
  <si>
    <t>substance_dangers</t>
  </si>
  <si>
    <t>metallurgie</t>
  </si>
  <si>
    <t>explosif</t>
  </si>
  <si>
    <t>cyanure</t>
  </si>
  <si>
    <t>substance_autre</t>
  </si>
  <si>
    <t>consultation</t>
  </si>
  <si>
    <t>logement</t>
  </si>
  <si>
    <t>restauration</t>
  </si>
  <si>
    <t>construction_usine</t>
  </si>
  <si>
    <t>securite_employe</t>
  </si>
  <si>
    <t>securite_site</t>
  </si>
  <si>
    <t>evaluatn_environmt</t>
  </si>
  <si>
    <t>gestion_dechet_minier</t>
  </si>
  <si>
    <t>rehabilittn_environmt</t>
  </si>
  <si>
    <t>deloc_pop_recasemt</t>
  </si>
  <si>
    <t>deloc_pop_indemnisatn</t>
  </si>
  <si>
    <t>autre_depense</t>
  </si>
  <si>
    <t>cadr_fem_sen</t>
  </si>
  <si>
    <t>cadr_hom_sen</t>
  </si>
  <si>
    <t>cadr_fem_exp</t>
  </si>
  <si>
    <t>cadr_hom_exp</t>
  </si>
  <si>
    <t>cadr_sal_exp</t>
  </si>
  <si>
    <t>cadr_jr_oeuvr</t>
  </si>
  <si>
    <t>tsup_fem_sen</t>
  </si>
  <si>
    <t>tsup_hom_sen</t>
  </si>
  <si>
    <t>tsup_sal_sen</t>
  </si>
  <si>
    <t>tsup_fem_exp</t>
  </si>
  <si>
    <t>tsup_hom_exp</t>
  </si>
  <si>
    <t>tsup_sal_exp</t>
  </si>
  <si>
    <t>tsup_jr_oeuvr</t>
  </si>
  <si>
    <t>tqual_fem_sen</t>
  </si>
  <si>
    <t>tqual_hom_sen</t>
  </si>
  <si>
    <t>tqual_sal_sen</t>
  </si>
  <si>
    <t>tqual_fem_exp</t>
  </si>
  <si>
    <t>tqual_hom_exp</t>
  </si>
  <si>
    <t>tqual_sal_exp</t>
  </si>
  <si>
    <t>tqual_jr_oeuvr</t>
  </si>
  <si>
    <t>appr_fem_sen</t>
  </si>
  <si>
    <t>appr_hom_sen</t>
  </si>
  <si>
    <t>appr_sal_sen</t>
  </si>
  <si>
    <t>appr_fem_exp</t>
  </si>
  <si>
    <t>appr_hom_exp</t>
  </si>
  <si>
    <t>appr_sal_exp</t>
  </si>
  <si>
    <t>appr_jr_oeuvr</t>
  </si>
  <si>
    <t>totl_fem_sen</t>
  </si>
  <si>
    <t>totl_hom_sen</t>
  </si>
  <si>
    <t>totl_sal_sen</t>
  </si>
  <si>
    <t>totl_fem_exp</t>
  </si>
  <si>
    <t>totl_hom_exp</t>
  </si>
  <si>
    <t>totl_sal_exp</t>
  </si>
  <si>
    <t>totl_jr_oeuvr</t>
  </si>
  <si>
    <t>empprm_fem_sen</t>
  </si>
  <si>
    <t>empprm_hom_sen</t>
  </si>
  <si>
    <t>empprm_sal_sen</t>
  </si>
  <si>
    <t>empprm_fem_exp</t>
  </si>
  <si>
    <t>empprm_hom_exp</t>
  </si>
  <si>
    <t>empprm_jr_oeuvr</t>
  </si>
  <si>
    <t>emptmp_fem_sen</t>
  </si>
  <si>
    <t>emptmp_hom_sen</t>
  </si>
  <si>
    <t>emptmp_sal_sen</t>
  </si>
  <si>
    <t>emptmp_fem_exp</t>
  </si>
  <si>
    <t>emptmp_hom_exp</t>
  </si>
  <si>
    <t>emptmp_jr_oeuvr</t>
  </si>
  <si>
    <t>effctf_pers_ext</t>
  </si>
  <si>
    <t>montnt_pers_ext</t>
  </si>
  <si>
    <t>cotisatn_social</t>
  </si>
  <si>
    <t>accdt_trv_raprt</t>
  </si>
  <si>
    <t>accdt_trv_incpct</t>
  </si>
  <si>
    <t>accdt_trv_mort</t>
  </si>
  <si>
    <t>jr_trv_perdu</t>
  </si>
  <si>
    <t>realistn_soc_typ_desc</t>
  </si>
  <si>
    <t>realistn_autre_desc</t>
  </si>
  <si>
    <t>realistn_desc</t>
  </si>
  <si>
    <t>benefic_typ_desc</t>
  </si>
  <si>
    <t>benefic_autre_desc</t>
  </si>
  <si>
    <t>montant_realisatn</t>
  </si>
  <si>
    <t>Infrastructure routière</t>
  </si>
  <si>
    <t>jardin de gare de Mekhe, Aménagement de la gare routiere de Diogo et Marché</t>
  </si>
  <si>
    <t>Population générale</t>
  </si>
  <si>
    <t xml:space="preserve"> TIVAOUANE</t>
  </si>
  <si>
    <t>elargissement piste sur 3.370 km axe Kolya-RN7</t>
  </si>
  <si>
    <t>PISTE</t>
  </si>
  <si>
    <t>Réhabilitation de la route de Bembou</t>
  </si>
  <si>
    <t>Construction d'un ouvrage de franchissement (DALOT)</t>
  </si>
  <si>
    <t>Construction d'un abris pour les accompagnants de malade à  l'hopital réginoal de Kédougou</t>
  </si>
  <si>
    <t>Dons</t>
  </si>
  <si>
    <t xml:space="preserve"> DIASS</t>
  </si>
  <si>
    <t>Eaux et assainissement des eaux</t>
  </si>
  <si>
    <t>EAUX ET ASSAINISSEMENT DES EAUX</t>
  </si>
  <si>
    <t>construction forage</t>
  </si>
  <si>
    <t xml:space="preserve"> MONT- ROLLAND</t>
  </si>
  <si>
    <t>VIVRE</t>
  </si>
  <si>
    <t>Adduction d'eau</t>
  </si>
  <si>
    <t>Eaux</t>
  </si>
  <si>
    <t>FORAGE</t>
  </si>
  <si>
    <t>Réalisation d’un réseau d’adduction d’eau potable</t>
  </si>
  <si>
    <t xml:space="preserve"> CONSTRUCTION FORAGE SOLAIRE, RADIER SUBMERSIBLE</t>
  </si>
  <si>
    <t>Construction d'un forage avec équipements solaire pour l'abreuvement de bétail dans un village reverain (Thiambokh peulh)</t>
  </si>
  <si>
    <t>Fonçage d'un forage avec pompe solaire à fongolimbie dans le village de Nianguimoli</t>
  </si>
  <si>
    <t xml:space="preserve"> FONGOLEMBI</t>
  </si>
  <si>
    <t>DONS</t>
  </si>
  <si>
    <t>Montant forfaitaire remis aux collectivités locales</t>
  </si>
  <si>
    <t>Appui vivrier</t>
  </si>
  <si>
    <t>Matériels roulants</t>
  </si>
  <si>
    <t>Denrées</t>
  </si>
  <si>
    <t>Appui financier</t>
  </si>
  <si>
    <t>Electrification</t>
  </si>
  <si>
    <t>appui financier</t>
  </si>
  <si>
    <t>Santé</t>
  </si>
  <si>
    <t>Appui dans le cadre de la prévention contre le 
chikungunya</t>
  </si>
  <si>
    <t>SANTE</t>
  </si>
  <si>
    <t>case de santé</t>
  </si>
  <si>
    <t>Frais médicaux des habitants du village</t>
  </si>
  <si>
    <t>DISPENSAIRE</t>
  </si>
  <si>
    <t>PRODUITS PHARMACITIQUE</t>
  </si>
  <si>
    <t>Mise à disposition de deux (02) ambulance pour Poste 
de Santé de Khossanto et Diakhaling</t>
  </si>
  <si>
    <t>Éducation</t>
  </si>
  <si>
    <t>Appui pour la formation et la prise en charge des frais 
de mission de 10 relais pour la campagne de 
chimiothérapie</t>
  </si>
  <si>
    <t>Appuit en Carburant poste de santé de Diogo et de Fass Boye. Paiement personnel de santé pour la case de Foth et de poste de santé de Diogo sur mer.</t>
  </si>
  <si>
    <t>Appui à l'initiative Mousso contre le Palu et le 
chikungunya</t>
  </si>
  <si>
    <t>Exécution de la campagne d'aspersion intra_x0002_domiciliaire pour la lutte contre le paludisme</t>
  </si>
  <si>
    <t>equipement case de sante de mandakholi</t>
  </si>
  <si>
    <t>Construction maternité</t>
  </si>
  <si>
    <t>SENSIBILISATION PALUDISME</t>
  </si>
  <si>
    <t>Poste de santé</t>
  </si>
  <si>
    <t>Fonds d'appui fonctionnement de l'ambulance</t>
  </si>
  <si>
    <t>Fonds complémentaire pour la réalisation de la 1ére phase de l'aire de stationnement entre Mako-Niéméniké</t>
  </si>
  <si>
    <t>Prise en charge médicale</t>
  </si>
  <si>
    <t>Réparation forage village Bagnon</t>
  </si>
  <si>
    <t>Mise à disposition d’un (01) corbillard pour la 
Commune de Saraya</t>
  </si>
  <si>
    <t xml:space="preserve"> POPOGUINE</t>
  </si>
  <si>
    <t>Réhabilitation de santé de Thiéppe</t>
  </si>
  <si>
    <t>Poste de Kab Gaye</t>
  </si>
  <si>
    <t xml:space="preserve"> KAB GAYE</t>
  </si>
  <si>
    <t>Appui en médicaments et carburant poste de santé de mbodiene</t>
  </si>
  <si>
    <t>THIES NORD</t>
  </si>
  <si>
    <t>Agriculture</t>
  </si>
  <si>
    <t>PROJET AGRICULTURE FAMILIALE</t>
  </si>
  <si>
    <t>Fourniture</t>
  </si>
  <si>
    <t>Dons de fournitures scolaires pour les établissements scolaires de la commune.</t>
  </si>
  <si>
    <t>Fourniture de tables banc</t>
  </si>
  <si>
    <t>Semences</t>
  </si>
  <si>
    <t>ppui mutuelle des agriculteurs</t>
  </si>
  <si>
    <t>Acquisition de 2 moissonneuses batteuses</t>
  </si>
  <si>
    <t>Achat Moulin+Broyeur patte d'arrachide</t>
  </si>
  <si>
    <t>Impenses</t>
  </si>
  <si>
    <t>Activités socio-culturelles</t>
  </si>
  <si>
    <t>Sport</t>
  </si>
  <si>
    <t>Environnement</t>
  </si>
  <si>
    <t xml:space="preserve"> KHOMBOLE</t>
  </si>
  <si>
    <t>Fonds d'appui aux demandes sociales</t>
  </si>
  <si>
    <t>Vie locale</t>
  </si>
  <si>
    <t>Nettoyage des cimetières du village</t>
  </si>
  <si>
    <t>Contribution animation CCD</t>
  </si>
  <si>
    <t>8 Mars/ Final foot/ télés relieux</t>
  </si>
  <si>
    <t>Communication et suivi des projets</t>
  </si>
  <si>
    <t>Fonds de communication et de suivi des projets du FISE</t>
  </si>
  <si>
    <t>Appui fêtes réligieuses</t>
  </si>
  <si>
    <t>Prise en charge de l'attaché territorial</t>
  </si>
  <si>
    <t>Electrification solaire</t>
  </si>
  <si>
    <t>Formation HSSE mécanique</t>
  </si>
  <si>
    <t>Perimetre maraicher, case de sante, laterite, salle d'hospitalisation, finition de 2 salles de classe, adduction d'eau</t>
  </si>
  <si>
    <t>dons</t>
  </si>
  <si>
    <t>Construction Mairie</t>
  </si>
  <si>
    <t>infrastructure</t>
  </si>
  <si>
    <t>ELECTRICITE</t>
  </si>
  <si>
    <t>GESTION DES DECHETS</t>
  </si>
  <si>
    <t>Construction de deux (02) déchèteries</t>
  </si>
  <si>
    <t>ENVIRONNEMENT</t>
  </si>
  <si>
    <t>Equipement</t>
  </si>
  <si>
    <t>Achat de générateur et d'une pompe pour forage, moulin a patte d'arachide</t>
  </si>
  <si>
    <t>Financement contrepartie projet UNFPA</t>
  </si>
  <si>
    <t>mise à disposition de minerai pour accompagnement du projet CIEEMA environ 120 kg d'or à recuperer</t>
  </si>
  <si>
    <t>mise à disposition de minerai estimé à 120 kg</t>
  </si>
  <si>
    <t>ENERGIE</t>
  </si>
  <si>
    <t>PANNEAUX SOLAIRES</t>
  </si>
  <si>
    <t>ACHATS DES PLANTES</t>
  </si>
  <si>
    <t>Dotation en kits solaires de toutes concessions du village de Bagué</t>
  </si>
  <si>
    <t>Mosquée</t>
  </si>
  <si>
    <t>Travaux de finition</t>
  </si>
  <si>
    <t>dont</t>
  </si>
  <si>
    <t>Fonds d'appui social</t>
  </si>
  <si>
    <t>LAMP SOLAIRE</t>
  </si>
  <si>
    <t>Habitat</t>
  </si>
  <si>
    <t>aides à la construction</t>
  </si>
  <si>
    <t>APPUI AUX MENANGES</t>
  </si>
  <si>
    <t>Appui institutionnel</t>
  </si>
  <si>
    <t>Montant forfaitaire remis aux collevtivités locales</t>
  </si>
  <si>
    <t>LAMPE SOLAIRE</t>
  </si>
  <si>
    <t>Appui institutionel</t>
  </si>
  <si>
    <t>Sucre ramadan et moutons tabaski</t>
  </si>
  <si>
    <t>Equipements</t>
  </si>
  <si>
    <t>achat de générateur et d'une pompe pour le forage géré par notables du village</t>
  </si>
  <si>
    <t>gravier</t>
  </si>
  <si>
    <t>Religieux</t>
  </si>
  <si>
    <t>Construction de tente à Walo Keur Massamba Niang</t>
  </si>
  <si>
    <t>Construction de tente à Diakhal</t>
  </si>
  <si>
    <t>PANIER RAMADAN, 8 MARS, CONSTRUCTION POSTE DE POLICE, …</t>
  </si>
  <si>
    <t>Hygiène et Sécurité</t>
  </si>
  <si>
    <t>ACTIVITES SOCIO-CULTURELLES</t>
  </si>
  <si>
    <t>DON NOURRITURE</t>
  </si>
  <si>
    <t>Associations</t>
  </si>
  <si>
    <t>finalisation de l'unité de production de savon de tambanoumouya</t>
  </si>
  <si>
    <t>Frais de mutation de la parcelle a acheter pour les élèves et étudiants de kédougou à Dakar</t>
  </si>
  <si>
    <t>Appui aux activités culturelles sportives et loisirs</t>
  </si>
  <si>
    <t>Subventions et aides</t>
  </si>
  <si>
    <t>Matériels sportifs</t>
  </si>
  <si>
    <t>Jeunesse</t>
  </si>
  <si>
    <t>SPORT</t>
  </si>
  <si>
    <t>Construction d’un parcours sportif pour les jeunes de 
Kedougou</t>
  </si>
  <si>
    <t>Soutien financier</t>
  </si>
  <si>
    <t>Association des jeunes ressortissantes</t>
  </si>
  <si>
    <t>FOYER JEUNES</t>
  </si>
  <si>
    <t>FOYER JEUNE</t>
  </si>
  <si>
    <t>Equipement foyer des jeunes</t>
  </si>
  <si>
    <t>EDUCATION</t>
  </si>
  <si>
    <t>sport</t>
  </si>
  <si>
    <t>participation tournoi sportifs</t>
  </si>
  <si>
    <t>Appui Inspection Jeunesse</t>
  </si>
  <si>
    <t>Réparation des camps du terrain de fooball du village</t>
  </si>
  <si>
    <t>Pomotion des activités de jeunesse, sports et culture</t>
  </si>
  <si>
    <t>Formation des jeunes en maçonnerie (24) et chaudronnerie (20) effectuées par l'ONFP</t>
  </si>
  <si>
    <t>education</t>
  </si>
  <si>
    <t>Location d'un immeuble pour les élèves et étudiants ressortissans de kédougou à Dakar et frais de gestion</t>
  </si>
  <si>
    <t>bourse scolaire</t>
  </si>
  <si>
    <t>Salle de classe</t>
  </si>
  <si>
    <t>formation des jeunes</t>
  </si>
  <si>
    <t>Parrainage de l'organisation d'un tournoi de football par les jeunes de Manakholing</t>
  </si>
  <si>
    <t>Subvention aux zones</t>
  </si>
  <si>
    <t>Construction d'un foyer des jeunes à DINDEFELO</t>
  </si>
  <si>
    <t>Subvention Organisatiion Departementale pour la 
Coordination des Activites de Vacances</t>
  </si>
  <si>
    <t>Participation Star Vacances Biopare</t>
  </si>
  <si>
    <t>Education</t>
  </si>
  <si>
    <t>Aide financière</t>
  </si>
  <si>
    <t>Femmes</t>
  </si>
  <si>
    <t>Aménagement perimetre maraicher</t>
  </si>
  <si>
    <t>Dotation de 4 combinés (moulin à mil)</t>
  </si>
  <si>
    <t>Femme</t>
  </si>
  <si>
    <t>Acquisition de 4 moulins à Mil</t>
  </si>
  <si>
    <t>Don/GIE AND DEFAR NGOR</t>
  </si>
  <si>
    <t>MISE EN OEUVRE PROJET TOLOU KEUR</t>
  </si>
  <si>
    <t>Aménagement d'un périmètre maraîcher pour le développement d'activités génératrices de revenus et de la sécurité alimentaire</t>
  </si>
  <si>
    <t>appui aux agriculteurs du village de Gamba-Gamba à traver des labours de champs</t>
  </si>
  <si>
    <t>activite generatrice de revenu</t>
  </si>
  <si>
    <t>Acquisition de 4 moulins.</t>
  </si>
  <si>
    <t>SENSIBILISATION CANCER</t>
  </si>
  <si>
    <t>MOULIN ET DECORTIQUEUSE</t>
  </si>
  <si>
    <t>Moulin à patte d'arachide</t>
  </si>
  <si>
    <t>FOYER DES FEMMES</t>
  </si>
  <si>
    <t>GROUPEMENT DES FEMMES</t>
  </si>
  <si>
    <t>FINANCEMENTS</t>
  </si>
  <si>
    <t>Association des femmes de M'bodiéne</t>
  </si>
  <si>
    <t>Moulin</t>
  </si>
  <si>
    <t>Appui 08/03</t>
  </si>
  <si>
    <t>District sanitaire</t>
  </si>
  <si>
    <t>DON MEDICAMENT ET EQUIPEMENT</t>
  </si>
  <si>
    <t>Ambulance</t>
  </si>
  <si>
    <t>Dotation de médicament aux 3 poste de santé</t>
  </si>
  <si>
    <t>Materiel medical</t>
  </si>
  <si>
    <t>médicaments</t>
  </si>
  <si>
    <t>Fourniture scolaire</t>
  </si>
  <si>
    <t>École</t>
  </si>
  <si>
    <t>Uniforme scolaire</t>
  </si>
  <si>
    <t>Appui gouvernement scolaire</t>
  </si>
  <si>
    <t>APPUI LYCEE KHOMBOLE</t>
  </si>
  <si>
    <t>SOUTIEN ECOLE PRIVES SAHAD GOUNDIANE</t>
  </si>
  <si>
    <t>FRAIS LOCATION SALLE POUR FESTIVAL DU RIRE DIACK</t>
  </si>
  <si>
    <t>DON LYCEE NGOUDIANE JOURNEE D'EXCELLENCE</t>
  </si>
  <si>
    <t>Remise de prix aux meilleurs éléves</t>
  </si>
  <si>
    <t>réfection des toilettes</t>
  </si>
  <si>
    <t>Equipement du nouveau collège de Kédougou commune</t>
  </si>
  <si>
    <t>Subvention</t>
  </si>
  <si>
    <t>DONS/ FOURNITURES SCOLAIRES AUX ECOLES</t>
  </si>
  <si>
    <t>APPUI LYCEE NGOUNDIANE BAC-BFEM 2023</t>
  </si>
  <si>
    <t>FOURNITURES SCOLAIRE</t>
  </si>
  <si>
    <t>Dotation de bourses scolaires pour les meilleurs élèves 
de l’arrondissement de Sabodala</t>
  </si>
  <si>
    <t>Réhabilitation des latrines, confection table</t>
  </si>
  <si>
    <t>Photocopieuses</t>
  </si>
  <si>
    <t>Construction et équipement de deux salles de classe labo au lycée commune 1 de Kédougou</t>
  </si>
  <si>
    <t>Construction de deux (02) salles informatiques à 
l’école de Faloumbou et Sabodala</t>
  </si>
  <si>
    <t>Dotation en fourniture ,matériels et équipements scolaires aux écoles de la communes</t>
  </si>
  <si>
    <t>Réfetcion salle de classe / bourses scolaires</t>
  </si>
  <si>
    <t>Fournitures scolaire</t>
  </si>
  <si>
    <t>construction CEM Khinine</t>
  </si>
  <si>
    <t>Appui au etudiants ressortissants de Saraya</t>
  </si>
  <si>
    <t>Construction d'un mur de cloture (ecole elementaire)</t>
  </si>
  <si>
    <t>dons  de manuels d'apprentissageet équipements de table bancs( au nombre de 50 pour les salles de classes)</t>
  </si>
  <si>
    <t>Matériels informatique</t>
  </si>
  <si>
    <t>Construction d'ue salle de classe entièrement équipée dans l'école primaire</t>
  </si>
  <si>
    <t>Matériels et mobiliers</t>
  </si>
  <si>
    <t>appui aux ecoles</t>
  </si>
  <si>
    <t>construction d'une salle de classe equipée entierement</t>
  </si>
  <si>
    <t>Divers cadeaux</t>
  </si>
  <si>
    <t>personnel CDS</t>
  </si>
  <si>
    <t>DEPLACEMENT DES HABITANTS</t>
  </si>
  <si>
    <t>Déplacement village Sabodala et Madina Sabodala</t>
  </si>
  <si>
    <t>POPULATION DEPLACES</t>
  </si>
  <si>
    <t>DON OPERATION MUR SOLIDAIRE-VILLAGE PILOTE-CHN° 409582</t>
  </si>
  <si>
    <t>à préciser…..</t>
  </si>
  <si>
    <t>Split + m….</t>
  </si>
  <si>
    <t>DON DE L'ASSOCIATION SPORTIVE DE DIACK-JOURNEE CONSULTATION GRATUITE</t>
  </si>
  <si>
    <t>ASC</t>
  </si>
  <si>
    <t>Installation d’un système d’adduction d’eau potable au 
centre artisanal</t>
  </si>
  <si>
    <t>USAGERS DU CENTRE</t>
  </si>
  <si>
    <t xml:space="preserve"> SALEMATA</t>
  </si>
  <si>
    <t>SALEMATA</t>
  </si>
  <si>
    <t>collectivités territoriales</t>
  </si>
  <si>
    <t>SOUTIEN ORGANISATION FESTIVAL DU RIRE DIACK</t>
  </si>
  <si>
    <t>TIERS</t>
  </si>
  <si>
    <t>sapeurs pompiers</t>
  </si>
  <si>
    <t>Achat de véhicule pour la commune</t>
  </si>
  <si>
    <t>Agriculteurs</t>
  </si>
  <si>
    <t xml:space="preserve"> NIAKHENE</t>
  </si>
  <si>
    <t xml:space="preserve"> MERINA DAKHAR</t>
  </si>
  <si>
    <t>Prefecture de SARAYA</t>
  </si>
  <si>
    <t>Dons aux chefs de village</t>
  </si>
  <si>
    <t>Chef de village</t>
  </si>
  <si>
    <t>Achat de chaises pour le chef de village Bagnon</t>
  </si>
  <si>
    <t>Bouteilles eaux</t>
  </si>
  <si>
    <t>Organisation réligieuse</t>
  </si>
  <si>
    <t>CRD + Participation foir</t>
  </si>
  <si>
    <t>N'goudiane-keur ndoune</t>
  </si>
  <si>
    <t>mairie</t>
  </si>
  <si>
    <t>Aménagement</t>
  </si>
  <si>
    <t>Elargissement et nivellement des pistes Bountou-Bagué et de Bountou jusqu’à l'intersection de la route de Moura ; nivellement du térrain de football du village</t>
  </si>
  <si>
    <t>villages Bountou et Bagué</t>
  </si>
  <si>
    <t>Remise d'un groupe électrogène aux gendarmes de Mandakholy</t>
  </si>
  <si>
    <t>Gendarmérie</t>
  </si>
  <si>
    <t>SOUTIEN AUX SAPEURS POMPIER DE KHOMBOLE</t>
  </si>
  <si>
    <t>KHOMBOLE</t>
  </si>
  <si>
    <t>Participation à la célébration de la journée de l'arbre</t>
  </si>
  <si>
    <t>Eaux et Forêts</t>
  </si>
  <si>
    <t>Parrainage de la célébration de la journée mondiale contre le travail des enfants</t>
  </si>
  <si>
    <t>Inspection du travail</t>
  </si>
  <si>
    <t>BAUTIER FINANCIER A A COMMUNE DE MEDINA SABAKH</t>
  </si>
  <si>
    <t>COMMUNE DE MEDINA SABAKH</t>
  </si>
  <si>
    <t>Appui en facteurs de producteurs (intrants et labour) 
pour les agriculteurs impactés</t>
  </si>
  <si>
    <t>AGRICULTEURS IMPACTES</t>
  </si>
  <si>
    <t>MARAICHERS</t>
  </si>
  <si>
    <t>Cadeau enfants</t>
  </si>
  <si>
    <t>Personnels CDS</t>
  </si>
  <si>
    <t>Remise en état de batteries solaire</t>
  </si>
  <si>
    <t>Ecole et poste de sante</t>
  </si>
  <si>
    <t>les autorités</t>
  </si>
  <si>
    <t>Les Autorités</t>
  </si>
  <si>
    <t xml:space="preserve"> LOUGA</t>
  </si>
  <si>
    <t>appui financier achat clim</t>
  </si>
  <si>
    <t>khombole</t>
  </si>
  <si>
    <t>Appui institutionnel RSE acquisition equipement TIVAOUANE</t>
  </si>
  <si>
    <t>Prefecture</t>
  </si>
  <si>
    <t>VRT unite de gestion de l'appui institutionnel / 2023- 20000$/DMG</t>
  </si>
  <si>
    <t>DMG</t>
  </si>
  <si>
    <t>Acquisition logiciel de gestion informatique de l'état 
civil</t>
  </si>
  <si>
    <t>Formation en gestion des forages</t>
  </si>
  <si>
    <t>formation en gestion de forage</t>
  </si>
  <si>
    <t>artisans</t>
  </si>
  <si>
    <t>ACHAT MOUTONS VEUVES SALARIES DECEDES PENDANT LA TABASKI</t>
  </si>
  <si>
    <t>VEUVES</t>
  </si>
  <si>
    <t>Pélérinage lieu sain</t>
  </si>
  <si>
    <t>sterile</t>
  </si>
  <si>
    <t>DONS/ ASSOCIATION GESTES/CHN°402552</t>
  </si>
  <si>
    <t>INDEMNISATION POUR LES DOMMAGES AUX CULTURES ET AUX LOGEMENTS</t>
  </si>
  <si>
    <t>Production (tonnes)</t>
  </si>
  <si>
    <t>Production (FCFA)</t>
  </si>
  <si>
    <t>Produit</t>
  </si>
  <si>
    <t>Basalte</t>
  </si>
  <si>
    <t>Zircon</t>
  </si>
  <si>
    <t>Étiquettes de lignes</t>
  </si>
  <si>
    <t>Total général</t>
  </si>
  <si>
    <t>Clinker</t>
  </si>
  <si>
    <t>Gres</t>
  </si>
  <si>
    <t>Argile</t>
  </si>
  <si>
    <t>qte_brute</t>
  </si>
  <si>
    <t>cout_production</t>
  </si>
  <si>
    <t>qte_transforme</t>
  </si>
  <si>
    <t xml:space="preserve">Latérite </t>
  </si>
  <si>
    <t>Cout de production/qte</t>
  </si>
  <si>
    <t>Somme de qte_brute</t>
  </si>
  <si>
    <t>Somme de cout_production</t>
  </si>
  <si>
    <t xml:space="preserve"> GAWANE/LAMBAYE/BABA GARAGE</t>
  </si>
  <si>
    <t>001840/MMG/DMG</t>
  </si>
  <si>
    <t>011843/MIM/DMG</t>
  </si>
  <si>
    <t>Or et Substances connexes</t>
  </si>
  <si>
    <t>DIAMBA NORD</t>
  </si>
  <si>
    <t>D1999-1020</t>
  </si>
  <si>
    <t>0070-MM</t>
  </si>
  <si>
    <t>NINANING</t>
  </si>
  <si>
    <t>DINDEFELLO, TOMBORONKOTO, BANDAFASSI</t>
  </si>
  <si>
    <t>SOUROUKOTO NORD</t>
  </si>
  <si>
    <t>Sémi-mécanisée</t>
  </si>
  <si>
    <t>SOUROUKOTO SUD 2</t>
  </si>
  <si>
    <t xml:space="preserve"> CHERIF LÖ/ PAMBAL</t>
  </si>
  <si>
    <t xml:space="preserve"> TOMBORONKOTO/ BEMBOU/ SABADOLA</t>
  </si>
  <si>
    <t>KEDOUGOU/ SARAYA</t>
  </si>
  <si>
    <t>LINGEKHOTO</t>
  </si>
  <si>
    <t>PROCHIMAT SA</t>
  </si>
  <si>
    <t>10333/MMIAPME/DMG</t>
  </si>
  <si>
    <t>UTMWGS 84 ZONE 28</t>
  </si>
  <si>
    <t>KARAKHAENA</t>
  </si>
  <si>
    <t>DAORALA</t>
  </si>
  <si>
    <t>MEDINA BAFFE</t>
  </si>
  <si>
    <t>012395/MMG/DMG</t>
  </si>
  <si>
    <t>MISSIRA SIRIMANA</t>
  </si>
  <si>
    <t>AGNAM-CIVOL</t>
  </si>
  <si>
    <t>018603/MMG/DMG</t>
  </si>
  <si>
    <t>CONCESSION MINIERE DES ICS</t>
  </si>
  <si>
    <t>SILEX</t>
  </si>
  <si>
    <t>MBORO</t>
  </si>
  <si>
    <t>012407/ MMG/DMG</t>
  </si>
  <si>
    <t>MADINA BAFFE/ BEMBOU</t>
  </si>
  <si>
    <t>MADINA FOULBE</t>
  </si>
  <si>
    <t>BAKEL</t>
  </si>
  <si>
    <t>N°007391</t>
  </si>
  <si>
    <t>N°10566</t>
  </si>
  <si>
    <t>SADATOU</t>
  </si>
  <si>
    <t>0062254 MEMDMGBD</t>
  </si>
  <si>
    <t>Carrière</t>
  </si>
  <si>
    <t>DIASS</t>
  </si>
  <si>
    <t>MBOUR</t>
  </si>
  <si>
    <t>NDIASS/ THIES</t>
  </si>
  <si>
    <t>NDIASS</t>
  </si>
  <si>
    <t>006873873</t>
  </si>
  <si>
    <t>Bembou</t>
  </si>
  <si>
    <t>Kedougou</t>
  </si>
  <si>
    <t>Sadatou</t>
  </si>
  <si>
    <t>005494</t>
  </si>
  <si>
    <t>KEUR MOUSSA</t>
  </si>
  <si>
    <t>N°2000-106 du 22 février 2000</t>
  </si>
  <si>
    <t>BONDOLA</t>
  </si>
  <si>
    <t>MORICHOU</t>
  </si>
  <si>
    <t>N°2000-105 du 22 février 2000</t>
  </si>
  <si>
    <t>CALCAIRE KIRENE</t>
  </si>
  <si>
    <t>ARGILE-LATERITE TCHIKY</t>
  </si>
  <si>
    <t>2015-639 du 15 mai 2015</t>
  </si>
  <si>
    <t>CALCAIRE BANDIA</t>
  </si>
  <si>
    <t>DIACK</t>
  </si>
  <si>
    <t>N’GOUNDIANE</t>
  </si>
  <si>
    <t>033738</t>
  </si>
  <si>
    <t>MANSADALA</t>
  </si>
  <si>
    <t>DIALACOTO</t>
  </si>
  <si>
    <t>N°007325/MMG/DMG</t>
  </si>
  <si>
    <t>BEMBOU/ MEDINA BAFFE</t>
  </si>
  <si>
    <t>2008-1431</t>
  </si>
  <si>
    <t>N°024704</t>
  </si>
  <si>
    <t>PAKI TOGLOU</t>
  </si>
  <si>
    <t>Basalte (Grès)</t>
  </si>
  <si>
    <t>N'GOUDIANE</t>
  </si>
  <si>
    <t>BANDIA</t>
  </si>
  <si>
    <t>N°0032820</t>
  </si>
  <si>
    <t>N°028849</t>
  </si>
  <si>
    <t>013588</t>
  </si>
  <si>
    <t>ICS</t>
  </si>
  <si>
    <t>DAROU KHOUDOSS</t>
  </si>
  <si>
    <t>Niakhène</t>
  </si>
  <si>
    <t>Ilménite, zircon, rutile, leucoxène</t>
  </si>
  <si>
    <t>025476</t>
  </si>
  <si>
    <t>AINOUMANE</t>
  </si>
  <si>
    <t>DINGUIRAYE</t>
  </si>
  <si>
    <t>KHOSSANTO</t>
  </si>
  <si>
    <t>024218</t>
  </si>
  <si>
    <t>Ngoudiane-EGCCBN</t>
  </si>
  <si>
    <t>MISSIRAH SIRIMANA</t>
  </si>
  <si>
    <t>TOMBORONKOTO</t>
  </si>
  <si>
    <t>00365/MMG/DMG</t>
  </si>
  <si>
    <t>008707/MMG/DMG</t>
  </si>
  <si>
    <t>BRANSAN</t>
  </si>
  <si>
    <t>SANSAMBA</t>
  </si>
  <si>
    <t>013957</t>
  </si>
  <si>
    <t>M’BORO</t>
  </si>
  <si>
    <t>2011770</t>
  </si>
  <si>
    <t>NDENDORY</t>
  </si>
  <si>
    <t>KANEL</t>
  </si>
  <si>
    <t>BARGNY</t>
  </si>
  <si>
    <t>DAKAR</t>
  </si>
  <si>
    <t>Marno calcaires</t>
  </si>
  <si>
    <t>latérite</t>
  </si>
  <si>
    <t>NGOUNDIANE</t>
  </si>
  <si>
    <t>2009-1470</t>
  </si>
  <si>
    <t>017372</t>
  </si>
  <si>
    <t>Latérite</t>
  </si>
  <si>
    <t>030225</t>
  </si>
  <si>
    <t>030226</t>
  </si>
  <si>
    <t>026843</t>
  </si>
  <si>
    <t>031213</t>
  </si>
  <si>
    <t>DIOBASS</t>
  </si>
  <si>
    <t>013308</t>
  </si>
  <si>
    <t>SOCOCIM INDUSTRIES</t>
  </si>
  <si>
    <t>ALLOU KAGNE</t>
  </si>
  <si>
    <t>SODEVCO</t>
  </si>
  <si>
    <t>14179 DU 22/09/2016</t>
  </si>
  <si>
    <t>09104MMITPMEDGM</t>
  </si>
  <si>
    <t>TALIX-MINES SITE DE DIACK</t>
  </si>
  <si>
    <t>008205</t>
  </si>
  <si>
    <t>ICS Darou Khoudoss Mboro</t>
  </si>
  <si>
    <t>09040/MMD/MMG</t>
  </si>
  <si>
    <t>2017-1326</t>
  </si>
  <si>
    <t>DAROU KHOUDOSS/ MBORO/ KAYAR/ KAB GAYE</t>
  </si>
  <si>
    <t>TIVAOUANE/ KEBEMER</t>
  </si>
  <si>
    <t>2017-1416</t>
  </si>
  <si>
    <t>SAMBARABOUGOU</t>
  </si>
  <si>
    <t>N°3473</t>
  </si>
  <si>
    <t>IBEL SUD</t>
  </si>
  <si>
    <t>IBEL/ BANDAFASSI</t>
  </si>
  <si>
    <t>KOUSSOKO</t>
  </si>
  <si>
    <t>N°004304</t>
  </si>
  <si>
    <t>PERIMETRE1</t>
  </si>
  <si>
    <t>PERIMETRE2</t>
  </si>
  <si>
    <t>N°004305</t>
  </si>
  <si>
    <t>N°004306</t>
  </si>
  <si>
    <t>PERIMETRE3</t>
  </si>
  <si>
    <t>BEMBOU</t>
  </si>
  <si>
    <t>MADINA FOULBE1</t>
  </si>
  <si>
    <t>MADINA FOULBE2</t>
  </si>
  <si>
    <t>N°003484</t>
  </si>
  <si>
    <t>N°003485</t>
  </si>
  <si>
    <t>N°003487</t>
  </si>
  <si>
    <t>N°0037293</t>
  </si>
  <si>
    <t>N°0037294</t>
  </si>
  <si>
    <t>N°0037295</t>
  </si>
  <si>
    <t>N°0010678</t>
  </si>
  <si>
    <t>PERIMETRE 1</t>
  </si>
  <si>
    <t>PERIMETRE 2</t>
  </si>
  <si>
    <t>N°0010679</t>
  </si>
  <si>
    <t>N°0010680</t>
  </si>
  <si>
    <t>PERIMETRE 3</t>
  </si>
  <si>
    <t>2704/MIM/DMG</t>
  </si>
  <si>
    <t>2703/MIM/DMG</t>
  </si>
  <si>
    <t>2702/MIM/DMG</t>
  </si>
  <si>
    <t>4844/MIM/DMG</t>
  </si>
  <si>
    <t>4842/MIM/DMG</t>
  </si>
  <si>
    <t>2081/MIM/DMG</t>
  </si>
  <si>
    <t>222/MMG</t>
  </si>
  <si>
    <t>4843/MIM/DMG</t>
  </si>
  <si>
    <t>10283/MMG</t>
  </si>
  <si>
    <t>220/MIMCABCT</t>
  </si>
  <si>
    <t>17373/MMGCABCT1</t>
  </si>
  <si>
    <t>N’GOUNDIANE/ TASSETTE</t>
  </si>
  <si>
    <t>THILOGNE</t>
  </si>
  <si>
    <t>BOTO</t>
  </si>
  <si>
    <t>002592/MMG/DMG</t>
  </si>
  <si>
    <t>NDINDY</t>
  </si>
  <si>
    <t>N’DINDY/ THILMAKHA/ DAROU MOUSTY</t>
  </si>
  <si>
    <t>DIOURBEL/ TIVAOUANE/ KEBEMER</t>
  </si>
  <si>
    <t>MBORO/ TAIBA NDIAYE</t>
  </si>
  <si>
    <t>MMGDMG023599</t>
  </si>
  <si>
    <t>WASSADOU SUD</t>
  </si>
  <si>
    <t>MMGDMG023589</t>
  </si>
  <si>
    <t>9047MEF/MMAI</t>
  </si>
  <si>
    <t>NOTTO</t>
  </si>
  <si>
    <t>N°00008153</t>
  </si>
  <si>
    <t>ICS DE THIES</t>
  </si>
  <si>
    <t>M’BORO/ DAROU KHOUDOSS</t>
  </si>
  <si>
    <t>2006-359</t>
  </si>
  <si>
    <t>RUFISQUE/BARGNY</t>
  </si>
  <si>
    <t>2019-1239</t>
  </si>
  <si>
    <t>NGURKOKH</t>
  </si>
  <si>
    <t>MALICOUNDA</t>
  </si>
  <si>
    <t>FOULOUM</t>
  </si>
  <si>
    <t>007526/DMG/MMG</t>
  </si>
  <si>
    <t>ICS Darou Khoudoss</t>
  </si>
  <si>
    <t>6101/MIMTPME/DMG</t>
  </si>
  <si>
    <t>Produits</t>
  </si>
  <si>
    <t>Pays</t>
  </si>
  <si>
    <t>Anglaterre</t>
  </si>
  <si>
    <t>Hormite</t>
  </si>
  <si>
    <t>transprt_persn</t>
  </si>
  <si>
    <t>cadr_sal_sen</t>
  </si>
  <si>
    <t>Kolya</t>
  </si>
  <si>
    <t>KHARAKENAA Dalafing</t>
  </si>
  <si>
    <t>Faranding</t>
  </si>
  <si>
    <t>Gambagamba,goudibantan,Kouroudiakhouma,Kharakhaena,Garabrouya</t>
  </si>
  <si>
    <t>Moussala,bambadji</t>
  </si>
  <si>
    <t>Éducation et santé</t>
  </si>
  <si>
    <t>Moussala,sansamba,Kolia,dialadakhoto,mandankhoto,gamba,Kharakhaena,bambadji</t>
  </si>
  <si>
    <t>Satadougou</t>
  </si>
  <si>
    <t>Kondokho</t>
  </si>
  <si>
    <t>Satadougou,Karakaena,bambadji</t>
  </si>
  <si>
    <t xml:space="preserve">Etat </t>
  </si>
  <si>
    <t>Dakar</t>
  </si>
  <si>
    <t>Relocalisation village de KOULIMINDE</t>
  </si>
  <si>
    <t>Constructions village de KOULIMINDE</t>
  </si>
  <si>
    <t>Kouliminde</t>
  </si>
  <si>
    <t>Kerekonko</t>
  </si>
  <si>
    <t>Daworala</t>
  </si>
  <si>
    <t>kerekonko</t>
  </si>
  <si>
    <t>Dawrala</t>
  </si>
  <si>
    <t>Eclairage</t>
  </si>
  <si>
    <t>DIAS</t>
  </si>
  <si>
    <t>YENN</t>
  </si>
  <si>
    <t xml:space="preserve"> TIVAOUANE ET TOUBA</t>
  </si>
  <si>
    <t>TIVAOUANE ET TOUBA</t>
  </si>
  <si>
    <t>EAUX ET FORETS</t>
  </si>
  <si>
    <t>Travaux de remblais</t>
  </si>
  <si>
    <t>DIACK Mbodokhane</t>
  </si>
  <si>
    <t>DIACK Miol Miol</t>
  </si>
  <si>
    <t>Dialocoto</t>
  </si>
  <si>
    <t>MASSODOLA</t>
  </si>
  <si>
    <t>PARC GOUVERNANCE</t>
  </si>
  <si>
    <t>Goudibantan, boboti,sassamba,khouroudiakhouma,mandankhoto,foukhola</t>
  </si>
  <si>
    <t>Gamba gamb, kharakhaena</t>
  </si>
  <si>
    <t>MEDINA SABAKH</t>
  </si>
  <si>
    <t>Soutien aux veuves pendant la tabaski</t>
  </si>
  <si>
    <t>Mekhe et Diogo</t>
  </si>
  <si>
    <t>NDANDE</t>
  </si>
  <si>
    <t>DIOGO</t>
  </si>
  <si>
    <t>VILLAGE DE LA ZONE</t>
  </si>
  <si>
    <t xml:space="preserve">REGION DE THIES </t>
  </si>
  <si>
    <t>MANDANKHOLY</t>
  </si>
  <si>
    <t>Distribution de moustiquaires</t>
  </si>
  <si>
    <t>SYLLACOUNDA</t>
  </si>
  <si>
    <t>NIAGUIMOLI</t>
  </si>
  <si>
    <t>TAMBANOUMOUYA</t>
  </si>
  <si>
    <t>DINDEFELLO</t>
  </si>
  <si>
    <t>DIAKHABA</t>
  </si>
  <si>
    <t>Comite régional de gestion des épidemies</t>
  </si>
  <si>
    <t>poste de santé</t>
  </si>
  <si>
    <t>Bambaraya</t>
  </si>
  <si>
    <t>KHOSSANTO ET DIAKHALING</t>
  </si>
  <si>
    <t>Mise à disposition d’une (01) ambulance pour Poste de Bambaraya
Santé de Bambaraya</t>
  </si>
  <si>
    <t>BAMBOU</t>
  </si>
  <si>
    <t>Communes de Saraya</t>
  </si>
  <si>
    <t>FALOUMBOU</t>
  </si>
  <si>
    <t>Installation réseau electrique</t>
  </si>
  <si>
    <t>Appui à l'aménagement d'espace verts</t>
  </si>
  <si>
    <t>SABODOLA? MADINA SABODALA</t>
  </si>
  <si>
    <t>Familles vulnérables</t>
  </si>
  <si>
    <t>Appui aux projets de résilience économique des ménages vulnérables</t>
  </si>
  <si>
    <t>SABODALA, KHOSANTO</t>
  </si>
  <si>
    <t>PONDALA</t>
  </si>
  <si>
    <t>Achévement chantier construction foyer des femmes</t>
  </si>
  <si>
    <t>Appui des femmes en systéme de micro-crédit</t>
  </si>
  <si>
    <t xml:space="preserve"> SABODALA,khossanto et Missirah Sirimana</t>
  </si>
  <si>
    <t>SABODOLA et Faloumbou</t>
  </si>
  <si>
    <t>SABODALA MEDINA SABODALA</t>
  </si>
  <si>
    <t>Sabodola,khossanto,Bembou,Saraya,Missirah,Sirimana</t>
  </si>
  <si>
    <t xml:space="preserve"> SABODALA,MEDINA  SABODALA,KHOSSANTHO,Makhana</t>
  </si>
  <si>
    <t xml:space="preserve"> SABODALA KHOSSANTO</t>
  </si>
  <si>
    <t>LAM  LAM</t>
  </si>
  <si>
    <t>RUFISQUE  BARGNY</t>
  </si>
  <si>
    <t>DAKAR RUFISQUE</t>
  </si>
  <si>
    <t>BOUNTOU</t>
  </si>
  <si>
    <t>BAGUE</t>
  </si>
  <si>
    <t>Kolda</t>
  </si>
  <si>
    <t>THIES et LOUGA</t>
  </si>
  <si>
    <t>Maille variable entre 30 à 40</t>
  </si>
  <si>
    <t>12,5*12,6</t>
  </si>
  <si>
    <t>007086MM</t>
  </si>
  <si>
    <t>MBODIENE/POUT/NIANIANG</t>
  </si>
  <si>
    <t>400*50m</t>
  </si>
  <si>
    <t>AFRIGEM SL</t>
  </si>
  <si>
    <t>AFRIGOLD SARL</t>
  </si>
  <si>
    <t>BMCC SA</t>
  </si>
  <si>
    <t>CIMENTS DE L' AFRIQUE SA</t>
  </si>
  <si>
    <t>COMPAGNIE GENERALE D'EXPLOITATION DE CARRIERE</t>
  </si>
  <si>
    <t>GAZAL CARRIERES SUARL</t>
  </si>
  <si>
    <t>GECAMINES</t>
  </si>
  <si>
    <t>G-PHOS S.A.U</t>
  </si>
  <si>
    <t>GRANDE COTE OPERATIONS</t>
  </si>
  <si>
    <t>ROYAL SENEGAL MINES ET EQUIPEMENT</t>
  </si>
  <si>
    <t>SABODALA MINING COMPANY</t>
  </si>
  <si>
    <t>SOCIETE DE CONCASSAGE ET DU BETON (SOCOBE)</t>
  </si>
  <si>
    <t>SOCIETE DE MANUFACTURE DE PRODUCTION INDUSTRIELLE DU SENEGAL (SOMAPIS)</t>
  </si>
  <si>
    <t>SORED MINES SA</t>
  </si>
  <si>
    <t>STRATEX-EMC.SA</t>
  </si>
  <si>
    <t>TALIX-MINES</t>
  </si>
  <si>
    <t>2007-1327</t>
  </si>
  <si>
    <t>NIAMIA</t>
  </si>
  <si>
    <t>Grès</t>
  </si>
  <si>
    <t>substance</t>
  </si>
  <si>
    <t>Inde</t>
  </si>
  <si>
    <t>Gambie</t>
  </si>
  <si>
    <t>Guinée-Bissau</t>
  </si>
  <si>
    <t>Mali</t>
  </si>
  <si>
    <t>Mauritanie</t>
  </si>
  <si>
    <t>France</t>
  </si>
  <si>
    <t>Suisse</t>
  </si>
  <si>
    <t>Qatar</t>
  </si>
  <si>
    <t>Australie</t>
  </si>
  <si>
    <t>Côte d'Ivoire</t>
  </si>
  <si>
    <t>Canada</t>
  </si>
  <si>
    <t>Émirats arabes unis</t>
  </si>
  <si>
    <t>Pays-Bas</t>
  </si>
  <si>
    <t>Belgique</t>
  </si>
  <si>
    <t>Salvador</t>
  </si>
  <si>
    <t>Ghana</t>
  </si>
  <si>
    <t>Guinée</t>
  </si>
  <si>
    <t>Lituanie</t>
  </si>
  <si>
    <t>Mexique</t>
  </si>
  <si>
    <t>Pologne</t>
  </si>
  <si>
    <t>INDUSTRIE CHIMIQUES DU SENEGAL / INDORAMA</t>
  </si>
  <si>
    <t>Phosphate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</si>
</sst>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1" formatCode="_-* #,##0\ _C_F_A_-;\-* #,##0\ _C_F_A_-;_-* &quot;-&quot;\ _C_F_A_-;_-@_-"/>
    <numFmt numFmtId="164" formatCode="_-* #,##0.00\ _C_F_A_-;\-* #,##0.00\ _C_F_A_-;_-* &quot;-&quot;\ _C_F_A_-;_-@_-"/>
    <numFmt numFmtId="165" formatCode="_-* #,##0.0000\ _C_F_A_-;\-* #,##0.0000\ _C_F_A_-;_-* &quot;-&quot;\ _C_F_A_-;_-@_-"/>
    <numFmt numFmtId="166" formatCode="_-* #,##0.000\ _C_F_A_-;\-* #,##0.000\ _C_F_A_-;_-* &quot;-&quot;\ _C_F_A_-;_-@_-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rgb="FF000000"/>
      <name val="Tahoma"/>
      <family val="2"/>
    </font>
    <font>
      <sz val="11"/>
      <color indexed="8"/>
      <name val="Tahoma"/>
      <family val="2"/>
    </font>
    <font>
      <sz val="10"/>
      <color indexed="8"/>
      <name val="Tahoma"/>
      <family val="2"/>
    </font>
    <font>
      <sz val="11"/>
      <color theme="1"/>
      <name val="Tahoma"/>
      <family val="2"/>
    </font>
    <font>
      <b/>
      <sz val="11"/>
      <color indexed="8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indexed="8"/>
      <name val="Arial"/>
      <family val="2"/>
    </font>
    <font>
      <sz val="11"/>
      <color rgb="FF000000"/>
      <name val="Tahoma"/>
      <family val="2"/>
    </font>
    <font>
      <sz val="8"/>
      <name val="Calibri"/>
      <family val="2"/>
      <scheme val="minor"/>
    </font>
    <font>
      <sz val="11"/>
      <name val="Calibri"/>
      <family val="2"/>
    </font>
    <font>
      <sz val="11"/>
      <name val="Tahoma"/>
      <family val="2"/>
    </font>
    <font>
      <sz val="12"/>
      <color indexed="8"/>
      <name val="Tahoma"/>
      <family val="2"/>
    </font>
  </fonts>
  <fills count="1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C0C0C0"/>
        <bgColor rgb="FFC0C0C0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rgb="FFC0C0C0"/>
      </patternFill>
    </fill>
  </fills>
  <borders count="5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6">
    <xf numFmtId="0" fontId="0" fillId="0" borderId="0"/>
    <xf numFmtId="41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1" fillId="0" borderId="0"/>
    <xf numFmtId="0" fontId="14" fillId="0" borderId="0"/>
  </cellStyleXfs>
  <cellXfs count="109">
    <xf numFmtId="0" fontId="0" fillId="0" borderId="0" xfId="0"/>
    <xf numFmtId="0" fontId="4" fillId="3" borderId="2" xfId="13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41" fontId="5" fillId="0" borderId="1" xfId="1" applyFont="1" applyFill="1" applyBorder="1" applyAlignment="1">
      <alignment vertical="center" wrapText="1"/>
    </xf>
    <xf numFmtId="41" fontId="4" fillId="3" borderId="2" xfId="1" applyFont="1" applyFill="1" applyBorder="1" applyAlignment="1">
      <alignment horizontal="center" vertical="center" wrapText="1"/>
    </xf>
    <xf numFmtId="41" fontId="0" fillId="0" borderId="0" xfId="1" applyFont="1"/>
    <xf numFmtId="41" fontId="5" fillId="0" borderId="1" xfId="1" applyFont="1" applyFill="1" applyBorder="1" applyAlignment="1">
      <alignment horizontal="center" vertical="center" wrapText="1"/>
    </xf>
    <xf numFmtId="0" fontId="5" fillId="0" borderId="1" xfId="4" applyFont="1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1" fontId="0" fillId="0" borderId="0" xfId="1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/>
    </xf>
    <xf numFmtId="0" fontId="5" fillId="0" borderId="1" xfId="7" applyFont="1" applyBorder="1" applyAlignment="1">
      <alignment horizontal="center" vertical="center" wrapText="1"/>
    </xf>
    <xf numFmtId="0" fontId="5" fillId="0" borderId="1" xfId="8" applyFont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5" fillId="0" borderId="1" xfId="10" applyFont="1" applyBorder="1" applyAlignment="1">
      <alignment horizontal="center" vertical="center" wrapText="1"/>
    </xf>
    <xf numFmtId="0" fontId="4" fillId="3" borderId="0" xfId="13" applyFont="1" applyFill="1" applyAlignment="1">
      <alignment horizontal="center" vertical="center" wrapText="1"/>
    </xf>
    <xf numFmtId="0" fontId="5" fillId="0" borderId="0" xfId="11" applyFont="1" applyAlignment="1">
      <alignment horizontal="center" vertical="center" wrapText="1"/>
    </xf>
    <xf numFmtId="41" fontId="4" fillId="3" borderId="0" xfId="1" applyFont="1" applyFill="1" applyBorder="1" applyAlignment="1">
      <alignment horizontal="center" vertical="center" wrapText="1"/>
    </xf>
    <xf numFmtId="41" fontId="5" fillId="0" borderId="0" xfId="1" applyFont="1" applyFill="1" applyBorder="1" applyAlignment="1">
      <alignment horizontal="center" vertical="center" wrapText="1"/>
    </xf>
    <xf numFmtId="41" fontId="6" fillId="0" borderId="0" xfId="1" applyFont="1" applyBorder="1" applyAlignment="1">
      <alignment horizontal="center" vertical="center"/>
    </xf>
    <xf numFmtId="0" fontId="5" fillId="0" borderId="1" xfId="12" applyFont="1" applyBorder="1" applyAlignment="1">
      <alignment horizontal="center" vertical="center" wrapText="1"/>
    </xf>
    <xf numFmtId="0" fontId="5" fillId="0" borderId="0" xfId="3" applyFont="1" applyAlignment="1">
      <alignment horizontal="center" vertical="center" wrapText="1"/>
    </xf>
    <xf numFmtId="14" fontId="5" fillId="0" borderId="0" xfId="3" applyNumberFormat="1" applyFont="1" applyAlignment="1">
      <alignment horizontal="center" vertical="center" wrapText="1"/>
    </xf>
    <xf numFmtId="15" fontId="5" fillId="0" borderId="0" xfId="3" applyNumberFormat="1" applyFont="1" applyAlignment="1">
      <alignment horizontal="center" vertical="center" wrapText="1"/>
    </xf>
    <xf numFmtId="0" fontId="5" fillId="0" borderId="0" xfId="5" applyFont="1" applyAlignment="1">
      <alignment horizontal="center" vertical="center" wrapText="1"/>
    </xf>
    <xf numFmtId="14" fontId="5" fillId="0" borderId="0" xfId="5" applyNumberFormat="1" applyFont="1" applyAlignment="1">
      <alignment horizontal="center" vertical="center" wrapText="1"/>
    </xf>
    <xf numFmtId="15" fontId="5" fillId="0" borderId="0" xfId="5" applyNumberFormat="1" applyFont="1" applyAlignment="1">
      <alignment horizontal="center" vertical="center" wrapText="1"/>
    </xf>
    <xf numFmtId="0" fontId="6" fillId="0" borderId="0" xfId="5" applyFont="1" applyAlignment="1">
      <alignment horizontal="center" vertical="center"/>
    </xf>
    <xf numFmtId="0" fontId="5" fillId="0" borderId="0" xfId="6" applyFont="1" applyAlignment="1">
      <alignment horizontal="center" vertical="center" wrapText="1"/>
    </xf>
    <xf numFmtId="0" fontId="8" fillId="2" borderId="0" xfId="9" applyFont="1" applyFill="1" applyAlignment="1">
      <alignment horizontal="center" vertical="center" wrapText="1"/>
    </xf>
    <xf numFmtId="41" fontId="8" fillId="2" borderId="0" xfId="1" applyFont="1" applyFill="1" applyBorder="1" applyAlignment="1">
      <alignment horizontal="center" vertical="center" wrapText="1"/>
    </xf>
    <xf numFmtId="0" fontId="5" fillId="0" borderId="0" xfId="9" applyFont="1" applyAlignment="1">
      <alignment horizontal="center" vertical="center" wrapText="1"/>
    </xf>
    <xf numFmtId="164" fontId="4" fillId="3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0" fillId="0" borderId="0" xfId="1" applyNumberFormat="1" applyFont="1"/>
    <xf numFmtId="41" fontId="5" fillId="4" borderId="0" xfId="1" applyFont="1" applyFill="1" applyBorder="1" applyAlignment="1">
      <alignment horizontal="center" vertical="center" wrapText="1"/>
    </xf>
    <xf numFmtId="165" fontId="5" fillId="0" borderId="0" xfId="1" applyNumberFormat="1" applyFont="1" applyFill="1" applyBorder="1" applyAlignment="1">
      <alignment horizontal="center" vertical="center" wrapText="1"/>
    </xf>
    <xf numFmtId="0" fontId="4" fillId="3" borderId="3" xfId="13" applyFont="1" applyFill="1" applyBorder="1" applyAlignment="1">
      <alignment horizontal="center" vertical="center" wrapText="1"/>
    </xf>
    <xf numFmtId="0" fontId="5" fillId="0" borderId="3" xfId="14" applyFont="1" applyBorder="1" applyAlignment="1">
      <alignment vertical="center" wrapText="1"/>
    </xf>
    <xf numFmtId="41" fontId="4" fillId="3" borderId="3" xfId="1" applyFont="1" applyFill="1" applyBorder="1" applyAlignment="1">
      <alignment horizontal="center" vertical="center" wrapText="1"/>
    </xf>
    <xf numFmtId="41" fontId="5" fillId="0" borderId="3" xfId="1" applyFont="1" applyFill="1" applyBorder="1" applyAlignment="1">
      <alignment horizontal="center" vertical="center" wrapText="1"/>
    </xf>
    <xf numFmtId="41" fontId="7" fillId="0" borderId="0" xfId="1" applyFont="1" applyAlignment="1">
      <alignment horizontal="center"/>
    </xf>
    <xf numFmtId="164" fontId="4" fillId="3" borderId="3" xfId="1" applyNumberFormat="1" applyFont="1" applyFill="1" applyBorder="1" applyAlignment="1">
      <alignment horizontal="center" vertical="center" wrapText="1"/>
    </xf>
    <xf numFmtId="164" fontId="5" fillId="0" borderId="3" xfId="1" applyNumberFormat="1" applyFont="1" applyFill="1" applyBorder="1" applyAlignment="1">
      <alignment horizontal="center" vertical="center" wrapText="1"/>
    </xf>
    <xf numFmtId="164" fontId="7" fillId="0" borderId="0" xfId="1" applyNumberFormat="1" applyFont="1" applyAlignment="1">
      <alignment horizontal="center"/>
    </xf>
    <xf numFmtId="0" fontId="4" fillId="3" borderId="4" xfId="13" applyFont="1" applyFill="1" applyBorder="1" applyAlignment="1">
      <alignment horizontal="center" vertical="center" wrapText="1"/>
    </xf>
    <xf numFmtId="41" fontId="5" fillId="0" borderId="1" xfId="1" applyFont="1" applyBorder="1" applyAlignment="1">
      <alignment horizontal="center" vertical="center" wrapText="1"/>
    </xf>
    <xf numFmtId="41" fontId="0" fillId="0" borderId="0" xfId="1" applyFont="1" applyAlignment="1">
      <alignment horizontal="center" vertical="center"/>
    </xf>
    <xf numFmtId="0" fontId="5" fillId="5" borderId="1" xfId="8" applyFont="1" applyFill="1" applyBorder="1" applyAlignment="1">
      <alignment horizontal="center" vertical="center" wrapText="1"/>
    </xf>
    <xf numFmtId="0" fontId="5" fillId="6" borderId="1" xfId="8" applyFont="1" applyFill="1" applyBorder="1" applyAlignment="1">
      <alignment horizontal="center" vertical="center" wrapText="1"/>
    </xf>
    <xf numFmtId="41" fontId="5" fillId="7" borderId="1" xfId="1" applyFont="1" applyFill="1" applyBorder="1" applyAlignment="1">
      <alignment horizontal="center" vertical="center" wrapText="1"/>
    </xf>
    <xf numFmtId="41" fontId="5" fillId="7" borderId="0" xfId="1" applyFont="1" applyFill="1" applyBorder="1" applyAlignment="1">
      <alignment horizontal="center" vertical="center" wrapText="1"/>
    </xf>
    <xf numFmtId="0" fontId="5" fillId="6" borderId="0" xfId="9" applyFont="1" applyFill="1" applyAlignment="1">
      <alignment horizontal="center" vertical="center" wrapText="1"/>
    </xf>
    <xf numFmtId="41" fontId="15" fillId="7" borderId="0" xfId="1" applyFont="1" applyFill="1" applyBorder="1" applyAlignment="1">
      <alignment horizontal="center" vertical="center" wrapText="1"/>
    </xf>
    <xf numFmtId="0" fontId="5" fillId="8" borderId="0" xfId="9" applyFont="1" applyFill="1" applyAlignment="1">
      <alignment horizontal="center" vertical="center" wrapText="1"/>
    </xf>
    <xf numFmtId="41" fontId="16" fillId="7" borderId="0" xfId="1" applyFont="1" applyFill="1" applyBorder="1" applyAlignment="1">
      <alignment horizontal="center" vertical="center" wrapText="1"/>
    </xf>
    <xf numFmtId="20" fontId="5" fillId="7" borderId="0" xfId="9" applyNumberFormat="1" applyFont="1" applyFill="1" applyAlignment="1">
      <alignment horizontal="center" vertical="center" wrapText="1"/>
    </xf>
    <xf numFmtId="0" fontId="0" fillId="7" borderId="0" xfId="0" applyFill="1"/>
    <xf numFmtId="41" fontId="0" fillId="0" borderId="0" xfId="0" applyNumberFormat="1"/>
    <xf numFmtId="41" fontId="5" fillId="9" borderId="0" xfId="1" applyFont="1" applyFill="1" applyBorder="1" applyAlignment="1">
      <alignment horizontal="center" vertical="center" wrapText="1"/>
    </xf>
    <xf numFmtId="0" fontId="5" fillId="6" borderId="0" xfId="11" applyFont="1" applyFill="1" applyAlignment="1">
      <alignment horizontal="center" vertical="center" wrapText="1"/>
    </xf>
    <xf numFmtId="0" fontId="5" fillId="8" borderId="0" xfId="11" applyFont="1" applyFill="1" applyAlignment="1">
      <alignment horizontal="center" vertical="center" wrapText="1"/>
    </xf>
    <xf numFmtId="0" fontId="5" fillId="7" borderId="1" xfId="12" applyFont="1" applyFill="1" applyBorder="1" applyAlignment="1">
      <alignment horizontal="center" vertical="center" wrapText="1"/>
    </xf>
    <xf numFmtId="0" fontId="5" fillId="6" borderId="1" xfId="12" applyFont="1" applyFill="1" applyBorder="1" applyAlignment="1">
      <alignment horizontal="center" vertical="center" wrapText="1"/>
    </xf>
    <xf numFmtId="0" fontId="5" fillId="10" borderId="1" xfId="12" applyFont="1" applyFill="1" applyBorder="1" applyAlignment="1">
      <alignment horizontal="center" vertical="center" wrapText="1"/>
    </xf>
    <xf numFmtId="0" fontId="15" fillId="7" borderId="1" xfId="12" applyFont="1" applyFill="1" applyBorder="1" applyAlignment="1">
      <alignment horizontal="center" vertical="center" wrapText="1"/>
    </xf>
    <xf numFmtId="41" fontId="5" fillId="6" borderId="0" xfId="1" applyFont="1" applyFill="1" applyBorder="1" applyAlignment="1">
      <alignment horizontal="center" vertical="center" wrapText="1"/>
    </xf>
    <xf numFmtId="0" fontId="5" fillId="11" borderId="1" xfId="12" applyFont="1" applyFill="1" applyBorder="1" applyAlignment="1">
      <alignment horizontal="center" vertical="center" wrapText="1"/>
    </xf>
    <xf numFmtId="0" fontId="5" fillId="7" borderId="0" xfId="3" applyFont="1" applyFill="1" applyAlignment="1">
      <alignment horizontal="center" vertical="center" wrapText="1"/>
    </xf>
    <xf numFmtId="0" fontId="5" fillId="6" borderId="0" xfId="3" applyFont="1" applyFill="1" applyAlignment="1">
      <alignment horizontal="center" vertical="center" wrapText="1"/>
    </xf>
    <xf numFmtId="14" fontId="5" fillId="7" borderId="0" xfId="3" applyNumberFormat="1" applyFont="1" applyFill="1" applyAlignment="1">
      <alignment horizontal="center" vertical="center" wrapText="1"/>
    </xf>
    <xf numFmtId="0" fontId="5" fillId="8" borderId="0" xfId="3" applyFont="1" applyFill="1" applyAlignment="1">
      <alignment horizontal="center" vertical="center" wrapText="1"/>
    </xf>
    <xf numFmtId="0" fontId="0" fillId="6" borderId="0" xfId="0" applyFill="1"/>
    <xf numFmtId="0" fontId="5" fillId="6" borderId="0" xfId="5" applyFont="1" applyFill="1" applyAlignment="1">
      <alignment horizontal="center" vertical="center" wrapText="1"/>
    </xf>
    <xf numFmtId="0" fontId="5" fillId="7" borderId="0" xfId="5" applyFont="1" applyFill="1" applyAlignment="1">
      <alignment horizontal="center" vertical="center" wrapText="1"/>
    </xf>
    <xf numFmtId="14" fontId="5" fillId="7" borderId="0" xfId="5" applyNumberFormat="1" applyFont="1" applyFill="1" applyAlignment="1">
      <alignment horizontal="center" vertical="center" wrapText="1"/>
    </xf>
    <xf numFmtId="15" fontId="5" fillId="7" borderId="0" xfId="5" applyNumberFormat="1" applyFont="1" applyFill="1" applyAlignment="1">
      <alignment horizontal="center" vertical="center" wrapText="1"/>
    </xf>
    <xf numFmtId="15" fontId="5" fillId="7" borderId="0" xfId="3" applyNumberFormat="1" applyFont="1" applyFill="1" applyAlignment="1">
      <alignment horizontal="center" vertical="center" wrapText="1"/>
    </xf>
    <xf numFmtId="0" fontId="5" fillId="8" borderId="0" xfId="5" applyFont="1" applyFill="1" applyAlignment="1">
      <alignment horizontal="center" vertical="center" wrapText="1"/>
    </xf>
    <xf numFmtId="0" fontId="15" fillId="7" borderId="0" xfId="5" applyFont="1" applyFill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5" fontId="0" fillId="0" borderId="0" xfId="1" applyNumberFormat="1" applyFont="1"/>
    <xf numFmtId="41" fontId="4" fillId="12" borderId="0" xfId="1" applyFont="1" applyFill="1" applyBorder="1" applyAlignment="1">
      <alignment horizontal="center" vertical="center" wrapText="1"/>
    </xf>
    <xf numFmtId="41" fontId="8" fillId="0" borderId="0" xfId="1" applyFont="1" applyFill="1" applyBorder="1" applyAlignment="1">
      <alignment horizontal="center" vertical="center" wrapText="1"/>
    </xf>
    <xf numFmtId="41" fontId="8" fillId="0" borderId="0" xfId="1" applyFont="1" applyAlignment="1">
      <alignment horizontal="center" vertical="center" wrapText="1"/>
    </xf>
    <xf numFmtId="41" fontId="2" fillId="0" borderId="0" xfId="1" applyFont="1"/>
    <xf numFmtId="166" fontId="8" fillId="0" borderId="0" xfId="1" applyNumberFormat="1" applyFont="1" applyFill="1" applyBorder="1" applyAlignment="1">
      <alignment horizontal="center" vertical="center" wrapText="1"/>
    </xf>
    <xf numFmtId="164" fontId="5" fillId="0" borderId="1" xfId="1" applyNumberFormat="1" applyFont="1" applyBorder="1" applyAlignment="1">
      <alignment horizontal="center" vertical="center" wrapText="1"/>
    </xf>
    <xf numFmtId="41" fontId="4" fillId="0" borderId="2" xfId="1" applyFont="1" applyFill="1" applyBorder="1" applyAlignment="1">
      <alignment horizontal="center" vertical="center" wrapText="1"/>
    </xf>
    <xf numFmtId="41" fontId="4" fillId="0" borderId="2" xfId="1" applyFont="1" applyFill="1" applyBorder="1" applyAlignment="1">
      <alignment vertical="center" wrapText="1"/>
    </xf>
    <xf numFmtId="0" fontId="4" fillId="0" borderId="2" xfId="13" applyFont="1" applyFill="1" applyBorder="1" applyAlignment="1">
      <alignment horizontal="center" vertical="center" wrapText="1"/>
    </xf>
    <xf numFmtId="0" fontId="0" fillId="0" borderId="0" xfId="0" applyFill="1"/>
    <xf numFmtId="0" fontId="5" fillId="0" borderId="1" xfId="7" applyFont="1" applyFill="1" applyBorder="1" applyAlignment="1">
      <alignment vertical="center" wrapText="1"/>
    </xf>
    <xf numFmtId="0" fontId="12" fillId="0" borderId="1" xfId="13" applyFont="1" applyFill="1" applyBorder="1" applyAlignment="1">
      <alignment vertical="center"/>
    </xf>
    <xf numFmtId="14" fontId="12" fillId="0" borderId="1" xfId="13" applyNumberFormat="1" applyFont="1" applyFill="1" applyBorder="1" applyAlignment="1">
      <alignment horizontal="right" vertical="center"/>
    </xf>
    <xf numFmtId="14" fontId="12" fillId="0" borderId="0" xfId="13" applyNumberFormat="1" applyFont="1" applyFill="1" applyAlignment="1">
      <alignment horizontal="right" vertical="center"/>
    </xf>
    <xf numFmtId="0" fontId="12" fillId="0" borderId="1" xfId="13" applyFont="1" applyFill="1" applyBorder="1" applyAlignment="1">
      <alignment horizontal="right" vertical="center"/>
    </xf>
    <xf numFmtId="15" fontId="5" fillId="0" borderId="1" xfId="2" applyNumberFormat="1" applyFont="1" applyFill="1" applyBorder="1" applyAlignment="1">
      <alignment horizontal="right" vertical="center" wrapText="1"/>
    </xf>
    <xf numFmtId="0" fontId="5" fillId="0" borderId="1" xfId="6" applyFont="1" applyFill="1" applyBorder="1" applyAlignment="1">
      <alignment vertical="center" wrapText="1"/>
    </xf>
    <xf numFmtId="41" fontId="7" fillId="0" borderId="1" xfId="1" applyFont="1" applyFill="1" applyBorder="1" applyAlignment="1">
      <alignment vertical="center"/>
    </xf>
    <xf numFmtId="14" fontId="7" fillId="0" borderId="1" xfId="0" applyNumberFormat="1" applyFont="1" applyFill="1" applyBorder="1" applyAlignment="1">
      <alignment vertical="center"/>
    </xf>
    <xf numFmtId="14" fontId="7" fillId="0" borderId="0" xfId="0" applyNumberFormat="1" applyFont="1" applyFill="1" applyAlignment="1">
      <alignment vertical="center"/>
    </xf>
    <xf numFmtId="41" fontId="0" fillId="0" borderId="0" xfId="1" applyFont="1" applyFill="1"/>
    <xf numFmtId="41" fontId="0" fillId="0" borderId="0" xfId="1" applyFont="1" applyFill="1" applyAlignment="1">
      <alignment vertical="center"/>
    </xf>
    <xf numFmtId="41" fontId="0" fillId="0" borderId="0" xfId="1" applyFont="1" applyFill="1" applyAlignment="1"/>
  </cellXfs>
  <cellStyles count="16">
    <cellStyle name="Milliers [0]" xfId="1" builtinId="6"/>
    <cellStyle name="Normal" xfId="0" builtinId="0"/>
    <cellStyle name="Normal 2" xfId="13"/>
    <cellStyle name="Normal 3" xfId="15"/>
    <cellStyle name="Normal_Feuil1" xfId="2"/>
    <cellStyle name="Normal_Feuil10" xfId="10"/>
    <cellStyle name="Normal_Feuil11" xfId="11"/>
    <cellStyle name="Normal_Feuil12" xfId="12"/>
    <cellStyle name="Normal_Feuil2" xfId="14"/>
    <cellStyle name="Normal_Feuil4" xfId="5"/>
    <cellStyle name="Normal_Feuil7" xfId="7"/>
    <cellStyle name="Normal_Feuil8" xfId="8"/>
    <cellStyle name="Normal_Feuil9" xfId="9"/>
    <cellStyle name="Normal_Requete_PRODUCTION CIMICS" xfId="6"/>
    <cellStyle name="Normal_SONDAGE EXPLOITATION" xfId="4"/>
    <cellStyle name="Normal_SONDAGE EXPLORATION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Fallou DIONE" refreshedDate="45809.96802349537" createdVersion="6" refreshedVersion="6" minRefreshableVersion="3" recordCount="10">
  <cacheSource type="worksheet">
    <worksheetSource ref="A1:F11" sheet="Requete_PRODUCTION CIMICS"/>
  </cacheSource>
  <cacheFields count="6">
    <cacheField name="entreprise_id" numFmtId="0">
      <sharedItems/>
    </cacheField>
    <cacheField name="substance_desc" numFmtId="0">
      <sharedItems count="3">
        <s v="Argile"/>
        <s v="Calcaire"/>
        <s v="Latérite "/>
      </sharedItems>
    </cacheField>
    <cacheField name="qte_brute" numFmtId="41">
      <sharedItems containsSemiMixedTypes="0" containsString="0" containsNumber="1" containsInteger="1" minValue="6117" maxValue="4242786"/>
    </cacheField>
    <cacheField name="cout_production" numFmtId="41">
      <sharedItems containsSemiMixedTypes="0" containsString="0" containsNumber="1" containsInteger="1" minValue="99826" maxValue="8910000"/>
    </cacheField>
    <cacheField name="qte_transforme" numFmtId="41">
      <sharedItems containsSemiMixedTypes="0" containsString="0" containsNumber="1" containsInteger="1" minValue="61117" maxValue="4242786"/>
    </cacheField>
    <cacheField name="Cout de production/qte" numFmtId="164">
      <sharedItems containsSemiMixedTypes="0" containsString="0" containsNumber="1" minValue="1.5973031507585553" maxValue="16.31943763282654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">
  <r>
    <s v="CIMENTS DU SAHEL"/>
    <x v="0"/>
    <n v="597766"/>
    <n v="1972628"/>
    <n v="597766"/>
    <n v="3.3000003345790829"/>
  </r>
  <r>
    <s v="DANGOTE CEMENT SENEGAL"/>
    <x v="0"/>
    <n v="263885"/>
    <n v="541857"/>
    <n v="228943"/>
    <n v="2.053383102487826"/>
  </r>
  <r>
    <s v="CIMENTS DU SAHEL"/>
    <x v="1"/>
    <n v="4242786"/>
    <n v="8910000"/>
    <n v="4242786"/>
    <n v="2.1000352127116475"/>
  </r>
  <r>
    <s v="SOCIETE DE COMMERCIALISATION DU CIMENT"/>
    <x v="1"/>
    <n v="2044047"/>
    <n v="4486683"/>
    <n v="2044047"/>
    <n v="2.1949999192777856"/>
  </r>
  <r>
    <s v="SOCIETE DE COMMERCIALISATION DU CIMENT"/>
    <x v="1"/>
    <n v="91543"/>
    <n v="200937"/>
    <n v="91543"/>
    <n v="2.195001256240237"/>
  </r>
  <r>
    <s v="SOCIETE DE COMMERCIALISATION DU CIMENT"/>
    <x v="1"/>
    <n v="854286"/>
    <n v="1875158"/>
    <n v="854286"/>
    <n v="2.1950002692306794"/>
  </r>
  <r>
    <s v="DANGOTE CEMENT SENEGAL"/>
    <x v="1"/>
    <n v="1879230"/>
    <n v="3001700"/>
    <n v="1879230"/>
    <n v="1.5973031507585553"/>
  </r>
  <r>
    <s v="CIMENTS DU SAHEL"/>
    <x v="2"/>
    <n v="129108"/>
    <n v="387324"/>
    <n v="129108"/>
    <n v="3"/>
  </r>
  <r>
    <s v="SOCIETE DE COMMERCIALISATION DU CIMENT"/>
    <x v="2"/>
    <n v="96654"/>
    <n v="376371"/>
    <n v="96654"/>
    <n v="3.894003352163387"/>
  </r>
  <r>
    <s v="DANGOTE CEMENT SENEGAL"/>
    <x v="2"/>
    <n v="6117"/>
    <n v="99826"/>
    <n v="61117"/>
    <n v="16.31943763282654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eau croisé dynamique2" cacheId="26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>
  <location ref="K3:M7" firstHeaderRow="0" firstDataRow="1" firstDataCol="1"/>
  <pivotFields count="6">
    <pivotField showAll="0"/>
    <pivotField axis="axisRow" showAll="0">
      <items count="4">
        <item x="0"/>
        <item x="1"/>
        <item x="2"/>
        <item t="default"/>
      </items>
    </pivotField>
    <pivotField dataField="1" numFmtId="41" showAll="0"/>
    <pivotField dataField="1" numFmtId="41" showAll="0"/>
    <pivotField numFmtId="41" showAll="0"/>
    <pivotField numFmtId="164"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omme de qte_brute" fld="2" baseField="0" baseItem="0"/>
    <dataField name="Somme de cout_production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9"/>
  </sheetPr>
  <dimension ref="A1:P111"/>
  <sheetViews>
    <sheetView zoomScaleNormal="100" workbookViewId="0">
      <pane xSplit="1" ySplit="1" topLeftCell="B107" activePane="bottomRight" state="frozen"/>
      <selection pane="topRight" activeCell="B1" sqref="B1"/>
      <selection pane="bottomLeft" activeCell="A2" sqref="A2"/>
      <selection pane="bottomRight" activeCell="C118" sqref="C118"/>
    </sheetView>
  </sheetViews>
  <sheetFormatPr baseColWidth="10" defaultRowHeight="34.5" customHeight="1" x14ac:dyDescent="0.3"/>
  <cols>
    <col min="1" max="1" width="43.6640625" style="106" customWidth="1"/>
    <col min="2" max="2" width="30.44140625" style="107" bestFit="1" customWidth="1"/>
    <col min="3" max="3" width="32" style="106" bestFit="1" customWidth="1"/>
    <col min="4" max="4" width="24.88671875" style="106" bestFit="1" customWidth="1"/>
    <col min="5" max="5" width="28.6640625" style="106" bestFit="1" customWidth="1"/>
    <col min="6" max="7" width="31.88671875" style="106" customWidth="1"/>
    <col min="8" max="8" width="47.33203125" style="106" customWidth="1"/>
    <col min="9" max="9" width="31.88671875" style="106" customWidth="1"/>
    <col min="10" max="11" width="31.88671875" style="95" customWidth="1"/>
    <col min="12" max="15" width="31.88671875" style="108" customWidth="1"/>
    <col min="16" max="16" width="31.88671875" style="95" customWidth="1"/>
    <col min="17" max="16384" width="11.5546875" style="95"/>
  </cols>
  <sheetData>
    <row r="1" spans="1:16" ht="34.5" customHeight="1" x14ac:dyDescent="0.3">
      <c r="A1" s="92" t="s">
        <v>0</v>
      </c>
      <c r="B1" s="93" t="s">
        <v>3</v>
      </c>
      <c r="C1" s="92" t="s">
        <v>4</v>
      </c>
      <c r="D1" s="92" t="s">
        <v>5</v>
      </c>
      <c r="E1" s="92" t="s">
        <v>6</v>
      </c>
      <c r="F1" s="92" t="s">
        <v>7</v>
      </c>
      <c r="G1" s="92" t="s">
        <v>1060</v>
      </c>
      <c r="H1" s="92" t="s">
        <v>8</v>
      </c>
      <c r="I1" s="92" t="s">
        <v>9</v>
      </c>
      <c r="J1" s="94" t="s">
        <v>10</v>
      </c>
      <c r="K1" s="94" t="s">
        <v>11</v>
      </c>
      <c r="L1" s="93" t="s">
        <v>12</v>
      </c>
      <c r="M1" s="93" t="s">
        <v>13</v>
      </c>
      <c r="N1" s="93" t="s">
        <v>14</v>
      </c>
      <c r="O1" s="93" t="s">
        <v>15</v>
      </c>
      <c r="P1" s="94" t="s">
        <v>16</v>
      </c>
    </row>
    <row r="2" spans="1:16" ht="34.5" customHeight="1" x14ac:dyDescent="0.3">
      <c r="A2" s="96" t="s">
        <v>1041</v>
      </c>
      <c r="B2" s="97" t="s">
        <v>788</v>
      </c>
      <c r="C2" s="97" t="s">
        <v>786</v>
      </c>
      <c r="D2" s="97" t="s">
        <v>20</v>
      </c>
      <c r="E2" s="97" t="s">
        <v>37</v>
      </c>
      <c r="F2" s="97" t="s">
        <v>774</v>
      </c>
      <c r="G2" s="97" t="s">
        <v>38</v>
      </c>
      <c r="H2" s="97" t="s">
        <v>37</v>
      </c>
      <c r="I2" s="97" t="s">
        <v>37</v>
      </c>
      <c r="J2" s="98">
        <v>40513</v>
      </c>
      <c r="K2" s="99">
        <v>40513</v>
      </c>
      <c r="L2" s="100">
        <v>157</v>
      </c>
      <c r="M2" s="100">
        <v>0</v>
      </c>
      <c r="N2" s="100">
        <v>36.5</v>
      </c>
      <c r="O2" s="100">
        <v>36.5</v>
      </c>
      <c r="P2" s="101">
        <v>401768</v>
      </c>
    </row>
    <row r="3" spans="1:16" ht="34.5" customHeight="1" x14ac:dyDescent="0.3">
      <c r="A3" s="102" t="s">
        <v>1042</v>
      </c>
      <c r="B3" s="103" t="s">
        <v>789</v>
      </c>
      <c r="C3" s="103" t="s">
        <v>790</v>
      </c>
      <c r="D3" s="103" t="s">
        <v>24</v>
      </c>
      <c r="E3" s="103" t="s">
        <v>37</v>
      </c>
      <c r="F3" s="97" t="s">
        <v>774</v>
      </c>
      <c r="G3" s="97" t="s">
        <v>38</v>
      </c>
      <c r="H3" s="103" t="s">
        <v>56</v>
      </c>
      <c r="I3" s="97" t="s">
        <v>37</v>
      </c>
      <c r="J3" s="104">
        <v>42285</v>
      </c>
      <c r="K3" s="105">
        <v>42402</v>
      </c>
      <c r="L3" s="103">
        <v>0</v>
      </c>
      <c r="M3" s="103">
        <v>39</v>
      </c>
      <c r="N3" s="103">
        <v>0</v>
      </c>
      <c r="O3" s="103">
        <v>0</v>
      </c>
      <c r="P3" s="101">
        <v>401768</v>
      </c>
    </row>
    <row r="4" spans="1:16" ht="34.5" customHeight="1" x14ac:dyDescent="0.3">
      <c r="A4" s="102" t="s">
        <v>57</v>
      </c>
      <c r="B4" s="103">
        <v>26974</v>
      </c>
      <c r="C4" s="103" t="s">
        <v>791</v>
      </c>
      <c r="D4" s="103" t="s">
        <v>20</v>
      </c>
      <c r="E4" s="103" t="s">
        <v>37</v>
      </c>
      <c r="F4" s="97" t="s">
        <v>38</v>
      </c>
      <c r="G4" s="97" t="s">
        <v>38</v>
      </c>
      <c r="H4" s="103" t="s">
        <v>794</v>
      </c>
      <c r="I4" s="97" t="s">
        <v>56</v>
      </c>
      <c r="J4" s="104">
        <v>44228</v>
      </c>
      <c r="K4" s="105">
        <v>44405</v>
      </c>
      <c r="L4" s="103">
        <v>83</v>
      </c>
      <c r="M4" s="103">
        <v>0</v>
      </c>
      <c r="N4" s="103">
        <v>0</v>
      </c>
      <c r="O4" s="103">
        <v>0</v>
      </c>
      <c r="P4" s="101">
        <v>401768</v>
      </c>
    </row>
    <row r="5" spans="1:16" ht="34.5" customHeight="1" x14ac:dyDescent="0.3">
      <c r="A5" s="102" t="s">
        <v>57</v>
      </c>
      <c r="B5" s="103" t="s">
        <v>793</v>
      </c>
      <c r="C5" s="103" t="s">
        <v>198</v>
      </c>
      <c r="D5" s="103" t="s">
        <v>20</v>
      </c>
      <c r="E5" s="103" t="s">
        <v>37</v>
      </c>
      <c r="F5" s="97" t="s">
        <v>38</v>
      </c>
      <c r="G5" s="97" t="s">
        <v>38</v>
      </c>
      <c r="H5" s="103" t="s">
        <v>792</v>
      </c>
      <c r="I5" s="97" t="s">
        <v>56</v>
      </c>
      <c r="J5" s="104">
        <v>43231</v>
      </c>
      <c r="K5" s="105">
        <v>43256</v>
      </c>
      <c r="L5" s="103">
        <v>79</v>
      </c>
      <c r="M5" s="103">
        <v>0</v>
      </c>
      <c r="N5" s="103">
        <v>19</v>
      </c>
      <c r="O5" s="103">
        <v>0</v>
      </c>
      <c r="P5" s="101">
        <v>401768</v>
      </c>
    </row>
    <row r="6" spans="1:16" ht="34.5" customHeight="1" x14ac:dyDescent="0.3">
      <c r="A6" s="102" t="s">
        <v>211</v>
      </c>
      <c r="B6" s="103" t="s">
        <v>796</v>
      </c>
      <c r="C6" s="103" t="s">
        <v>929</v>
      </c>
      <c r="D6" s="103" t="s">
        <v>20</v>
      </c>
      <c r="E6" s="103" t="s">
        <v>205</v>
      </c>
      <c r="F6" s="97" t="s">
        <v>29</v>
      </c>
      <c r="G6" s="97" t="s">
        <v>29</v>
      </c>
      <c r="H6" s="103" t="s">
        <v>795</v>
      </c>
      <c r="I6" s="97" t="s">
        <v>205</v>
      </c>
      <c r="J6" s="104">
        <v>42157</v>
      </c>
      <c r="K6" s="105">
        <v>42200</v>
      </c>
      <c r="L6" s="103">
        <v>1590</v>
      </c>
      <c r="M6" s="103">
        <v>0</v>
      </c>
      <c r="N6" s="103">
        <v>401</v>
      </c>
      <c r="O6" s="103">
        <v>0</v>
      </c>
      <c r="P6" s="101">
        <v>44420</v>
      </c>
    </row>
    <row r="7" spans="1:16" ht="34.5" customHeight="1" x14ac:dyDescent="0.3">
      <c r="A7" s="102" t="s">
        <v>40</v>
      </c>
      <c r="B7" s="103" t="s">
        <v>41</v>
      </c>
      <c r="C7" s="103" t="s">
        <v>49</v>
      </c>
      <c r="D7" s="103" t="s">
        <v>20</v>
      </c>
      <c r="E7" s="103" t="s">
        <v>37</v>
      </c>
      <c r="F7" s="97" t="s">
        <v>38</v>
      </c>
      <c r="G7" s="97" t="s">
        <v>38</v>
      </c>
      <c r="H7" s="103" t="s">
        <v>39</v>
      </c>
      <c r="I7" s="97" t="s">
        <v>37</v>
      </c>
      <c r="J7" s="104">
        <v>43503</v>
      </c>
      <c r="K7" s="105">
        <v>43510</v>
      </c>
      <c r="L7" s="103">
        <v>22</v>
      </c>
      <c r="M7" s="103">
        <v>0</v>
      </c>
      <c r="N7" s="103">
        <v>0</v>
      </c>
      <c r="O7" s="103">
        <v>0</v>
      </c>
      <c r="P7" s="101">
        <v>401768</v>
      </c>
    </row>
    <row r="8" spans="1:16" ht="34.5" customHeight="1" x14ac:dyDescent="0.3">
      <c r="A8" s="102" t="s">
        <v>122</v>
      </c>
      <c r="B8" s="103">
        <v>13632</v>
      </c>
      <c r="C8" s="103" t="s">
        <v>797</v>
      </c>
      <c r="D8" s="103" t="s">
        <v>808</v>
      </c>
      <c r="E8" s="103" t="s">
        <v>98</v>
      </c>
      <c r="F8" s="97" t="s">
        <v>798</v>
      </c>
      <c r="G8" s="97" t="s">
        <v>123</v>
      </c>
      <c r="H8" s="103" t="s">
        <v>799</v>
      </c>
      <c r="I8" s="97" t="s">
        <v>116</v>
      </c>
      <c r="J8" s="104"/>
      <c r="K8" s="105">
        <v>45041</v>
      </c>
      <c r="L8" s="103"/>
      <c r="M8" s="103"/>
      <c r="N8" s="103"/>
      <c r="O8" s="103"/>
      <c r="P8" s="101">
        <v>401768</v>
      </c>
    </row>
    <row r="9" spans="1:16" ht="34.5" customHeight="1" x14ac:dyDescent="0.3">
      <c r="A9" s="102" t="s">
        <v>191</v>
      </c>
      <c r="B9" s="103" t="s">
        <v>800</v>
      </c>
      <c r="C9" s="103" t="s">
        <v>193</v>
      </c>
      <c r="D9" s="103" t="s">
        <v>20</v>
      </c>
      <c r="E9" s="103" t="s">
        <v>37</v>
      </c>
      <c r="F9" s="97" t="s">
        <v>38</v>
      </c>
      <c r="G9" s="97" t="s">
        <v>38</v>
      </c>
      <c r="H9" s="103" t="s">
        <v>801</v>
      </c>
      <c r="I9" s="97" t="s">
        <v>56</v>
      </c>
      <c r="J9" s="104">
        <v>43231</v>
      </c>
      <c r="K9" s="105">
        <v>44704</v>
      </c>
      <c r="L9" s="103">
        <v>176</v>
      </c>
      <c r="M9" s="103"/>
      <c r="N9" s="103"/>
      <c r="O9" s="103"/>
      <c r="P9" s="101">
        <v>401768</v>
      </c>
    </row>
    <row r="10" spans="1:16" ht="34.5" customHeight="1" x14ac:dyDescent="0.3">
      <c r="A10" s="102" t="s">
        <v>188</v>
      </c>
      <c r="B10" s="103" t="s">
        <v>189</v>
      </c>
      <c r="C10" s="103" t="s">
        <v>190</v>
      </c>
      <c r="D10" s="103" t="s">
        <v>20</v>
      </c>
      <c r="E10" s="103" t="s">
        <v>37</v>
      </c>
      <c r="F10" s="97" t="s">
        <v>38</v>
      </c>
      <c r="G10" s="97" t="s">
        <v>38</v>
      </c>
      <c r="H10" s="103" t="s">
        <v>833</v>
      </c>
      <c r="I10" s="97" t="s">
        <v>56</v>
      </c>
      <c r="J10" s="104">
        <v>44781</v>
      </c>
      <c r="K10" s="105">
        <v>44789</v>
      </c>
      <c r="L10" s="103">
        <v>58</v>
      </c>
      <c r="M10" s="103"/>
      <c r="N10" s="103"/>
      <c r="O10" s="103"/>
      <c r="P10" s="101">
        <v>401768</v>
      </c>
    </row>
    <row r="11" spans="1:16" ht="34.5" customHeight="1" x14ac:dyDescent="0.3">
      <c r="A11" s="102" t="s">
        <v>1043</v>
      </c>
      <c r="B11" s="103" t="s">
        <v>772</v>
      </c>
      <c r="C11" s="103" t="s">
        <v>23</v>
      </c>
      <c r="D11" s="103" t="s">
        <v>24</v>
      </c>
      <c r="E11" s="103" t="s">
        <v>25</v>
      </c>
      <c r="F11" s="97" t="s">
        <v>26</v>
      </c>
      <c r="G11" s="97" t="s">
        <v>29</v>
      </c>
      <c r="H11" s="103" t="s">
        <v>771</v>
      </c>
      <c r="I11" s="97" t="s">
        <v>28</v>
      </c>
      <c r="J11" s="104">
        <v>43180</v>
      </c>
      <c r="K11" s="105"/>
      <c r="L11" s="103">
        <v>75</v>
      </c>
      <c r="M11" s="103">
        <v>5</v>
      </c>
      <c r="N11" s="103">
        <v>0</v>
      </c>
      <c r="O11" s="103">
        <v>0</v>
      </c>
      <c r="P11" s="101">
        <v>401768</v>
      </c>
    </row>
    <row r="12" spans="1:16" ht="34.5" customHeight="1" x14ac:dyDescent="0.3">
      <c r="A12" s="102" t="s">
        <v>200</v>
      </c>
      <c r="B12" s="103" t="s">
        <v>804</v>
      </c>
      <c r="C12" s="103" t="s">
        <v>802</v>
      </c>
      <c r="D12" s="103" t="s">
        <v>20</v>
      </c>
      <c r="E12" s="103" t="s">
        <v>92</v>
      </c>
      <c r="F12" s="97" t="s">
        <v>38</v>
      </c>
      <c r="G12" s="97" t="s">
        <v>38</v>
      </c>
      <c r="H12" s="103" t="s">
        <v>802</v>
      </c>
      <c r="I12" s="97" t="s">
        <v>803</v>
      </c>
      <c r="J12" s="104">
        <v>43086</v>
      </c>
      <c r="K12" s="105">
        <v>43115</v>
      </c>
      <c r="L12" s="103">
        <v>260</v>
      </c>
      <c r="M12" s="103">
        <v>0</v>
      </c>
      <c r="N12" s="103">
        <v>65</v>
      </c>
      <c r="O12" s="103">
        <v>0</v>
      </c>
      <c r="P12" s="101">
        <v>401768</v>
      </c>
    </row>
    <row r="13" spans="1:16" ht="34.5" customHeight="1" x14ac:dyDescent="0.3">
      <c r="A13" s="102" t="s">
        <v>46</v>
      </c>
      <c r="B13" s="103" t="s">
        <v>805</v>
      </c>
      <c r="C13" s="103" t="s">
        <v>48</v>
      </c>
      <c r="D13" s="103" t="s">
        <v>20</v>
      </c>
      <c r="E13" s="103" t="s">
        <v>37</v>
      </c>
      <c r="F13" s="97" t="s">
        <v>38</v>
      </c>
      <c r="G13" s="97" t="s">
        <v>38</v>
      </c>
      <c r="H13" s="103" t="s">
        <v>806</v>
      </c>
      <c r="I13" s="97" t="s">
        <v>803</v>
      </c>
      <c r="J13" s="104">
        <v>44271</v>
      </c>
      <c r="K13" s="105">
        <v>44292</v>
      </c>
      <c r="L13" s="103">
        <v>144</v>
      </c>
      <c r="M13" s="103"/>
      <c r="N13" s="103"/>
      <c r="O13" s="103"/>
      <c r="P13" s="101">
        <v>401768</v>
      </c>
    </row>
    <row r="14" spans="1:16" ht="34.5" customHeight="1" x14ac:dyDescent="0.3">
      <c r="A14" s="102" t="s">
        <v>253</v>
      </c>
      <c r="B14" s="103" t="s">
        <v>807</v>
      </c>
      <c r="C14" s="103" t="s">
        <v>811</v>
      </c>
      <c r="D14" s="103" t="s">
        <v>808</v>
      </c>
      <c r="E14" s="103" t="s">
        <v>98</v>
      </c>
      <c r="F14" s="97" t="s">
        <v>103</v>
      </c>
      <c r="G14" s="97" t="s">
        <v>103</v>
      </c>
      <c r="H14" s="103" t="s">
        <v>812</v>
      </c>
      <c r="I14" s="97" t="s">
        <v>98</v>
      </c>
      <c r="J14" s="104"/>
      <c r="K14" s="105">
        <v>41143</v>
      </c>
      <c r="L14" s="103">
        <v>0.2</v>
      </c>
      <c r="M14" s="103">
        <v>0.06</v>
      </c>
      <c r="N14" s="103">
        <v>0</v>
      </c>
      <c r="O14" s="103">
        <v>0</v>
      </c>
      <c r="P14" s="101">
        <v>401768</v>
      </c>
    </row>
    <row r="15" spans="1:16" ht="34.5" customHeight="1" x14ac:dyDescent="0.3">
      <c r="A15" s="102" t="s">
        <v>194</v>
      </c>
      <c r="B15" s="103" t="s">
        <v>196</v>
      </c>
      <c r="C15" s="103" t="s">
        <v>930</v>
      </c>
      <c r="D15" s="103" t="s">
        <v>24</v>
      </c>
      <c r="E15" s="103" t="s">
        <v>37</v>
      </c>
      <c r="F15" s="97" t="s">
        <v>774</v>
      </c>
      <c r="G15" s="97" t="s">
        <v>38</v>
      </c>
      <c r="H15" s="103" t="s">
        <v>792</v>
      </c>
      <c r="I15" s="97" t="s">
        <v>56</v>
      </c>
      <c r="J15" s="104">
        <v>38215</v>
      </c>
      <c r="K15" s="105">
        <v>43944</v>
      </c>
      <c r="L15" s="103">
        <v>148</v>
      </c>
      <c r="M15" s="103"/>
      <c r="N15" s="103"/>
      <c r="O15" s="103"/>
      <c r="P15" s="101">
        <v>51120</v>
      </c>
    </row>
    <row r="16" spans="1:16" ht="34.5" customHeight="1" x14ac:dyDescent="0.3">
      <c r="A16" s="102" t="s">
        <v>68</v>
      </c>
      <c r="B16" s="103" t="s">
        <v>773</v>
      </c>
      <c r="C16" s="103" t="s">
        <v>70</v>
      </c>
      <c r="D16" s="103" t="s">
        <v>20</v>
      </c>
      <c r="E16" s="103" t="s">
        <v>37</v>
      </c>
      <c r="F16" s="97" t="s">
        <v>774</v>
      </c>
      <c r="G16" s="97" t="s">
        <v>38</v>
      </c>
      <c r="H16" s="103" t="s">
        <v>64</v>
      </c>
      <c r="I16" s="97" t="s">
        <v>56</v>
      </c>
      <c r="J16" s="104">
        <v>42102</v>
      </c>
      <c r="K16" s="105">
        <v>42165</v>
      </c>
      <c r="L16" s="103">
        <v>53.3</v>
      </c>
      <c r="M16" s="103">
        <v>0</v>
      </c>
      <c r="N16" s="103">
        <v>18.02</v>
      </c>
      <c r="O16" s="103">
        <v>0</v>
      </c>
      <c r="P16" s="101">
        <v>401768</v>
      </c>
    </row>
    <row r="17" spans="1:16" ht="34.5" customHeight="1" x14ac:dyDescent="0.3">
      <c r="A17" s="102" t="s">
        <v>68</v>
      </c>
      <c r="B17" s="103" t="s">
        <v>93</v>
      </c>
      <c r="C17" s="103" t="s">
        <v>775</v>
      </c>
      <c r="D17" s="103" t="s">
        <v>20</v>
      </c>
      <c r="E17" s="103" t="s">
        <v>37</v>
      </c>
      <c r="F17" s="97" t="s">
        <v>774</v>
      </c>
      <c r="G17" s="97" t="s">
        <v>38</v>
      </c>
      <c r="H17" s="103" t="s">
        <v>64</v>
      </c>
      <c r="I17" s="97" t="s">
        <v>56</v>
      </c>
      <c r="J17" s="104">
        <v>42102</v>
      </c>
      <c r="K17" s="105">
        <v>42165</v>
      </c>
      <c r="L17" s="103">
        <v>321.14999999999998</v>
      </c>
      <c r="M17" s="103">
        <v>0</v>
      </c>
      <c r="N17" s="103">
        <v>140.5</v>
      </c>
      <c r="O17" s="103">
        <v>0</v>
      </c>
      <c r="P17" s="101">
        <v>401768</v>
      </c>
    </row>
    <row r="18" spans="1:16" ht="34.5" customHeight="1" x14ac:dyDescent="0.3">
      <c r="A18" s="102" t="s">
        <v>212</v>
      </c>
      <c r="B18" s="103" t="s">
        <v>813</v>
      </c>
      <c r="C18" s="103" t="s">
        <v>820</v>
      </c>
      <c r="D18" s="103" t="s">
        <v>20</v>
      </c>
      <c r="E18" s="103" t="s">
        <v>37</v>
      </c>
      <c r="F18" s="97" t="s">
        <v>38</v>
      </c>
      <c r="G18" s="97" t="s">
        <v>38</v>
      </c>
      <c r="H18" s="103" t="s">
        <v>814</v>
      </c>
      <c r="I18" s="97" t="s">
        <v>815</v>
      </c>
      <c r="J18" s="104">
        <v>44606</v>
      </c>
      <c r="K18" s="105">
        <v>44623</v>
      </c>
      <c r="L18" s="103">
        <v>207.17</v>
      </c>
      <c r="M18" s="103">
        <v>0</v>
      </c>
      <c r="N18" s="103">
        <v>0</v>
      </c>
      <c r="O18" s="103">
        <v>0</v>
      </c>
      <c r="P18" s="101">
        <v>401768</v>
      </c>
    </row>
    <row r="19" spans="1:16" ht="34.5" customHeight="1" x14ac:dyDescent="0.3">
      <c r="A19" s="102" t="s">
        <v>212</v>
      </c>
      <c r="B19" s="103" t="s">
        <v>813</v>
      </c>
      <c r="C19" s="103" t="s">
        <v>821</v>
      </c>
      <c r="D19" s="103" t="s">
        <v>20</v>
      </c>
      <c r="E19" s="103" t="s">
        <v>37</v>
      </c>
      <c r="F19" s="97" t="s">
        <v>38</v>
      </c>
      <c r="G19" s="97" t="s">
        <v>38</v>
      </c>
      <c r="H19" s="103" t="s">
        <v>816</v>
      </c>
      <c r="I19" s="97" t="s">
        <v>815</v>
      </c>
      <c r="J19" s="104">
        <v>44606</v>
      </c>
      <c r="K19" s="105">
        <v>44623</v>
      </c>
      <c r="L19" s="103">
        <v>207.17</v>
      </c>
      <c r="M19" s="103">
        <v>0</v>
      </c>
      <c r="N19" s="103">
        <v>0</v>
      </c>
      <c r="O19" s="103">
        <v>0</v>
      </c>
      <c r="P19" s="101">
        <v>401768</v>
      </c>
    </row>
    <row r="20" spans="1:16" ht="34.5" customHeight="1" x14ac:dyDescent="0.3">
      <c r="A20" s="102" t="s">
        <v>383</v>
      </c>
      <c r="B20" s="103" t="s">
        <v>896</v>
      </c>
      <c r="C20" s="103" t="s">
        <v>897</v>
      </c>
      <c r="D20" s="103" t="s">
        <v>781</v>
      </c>
      <c r="E20" s="103" t="s">
        <v>37</v>
      </c>
      <c r="F20" s="97" t="s">
        <v>38</v>
      </c>
      <c r="G20" s="97" t="s">
        <v>38</v>
      </c>
      <c r="H20" s="103" t="s">
        <v>853</v>
      </c>
      <c r="I20" s="97" t="s">
        <v>56</v>
      </c>
      <c r="J20" s="104"/>
      <c r="K20" s="105">
        <v>44972</v>
      </c>
      <c r="L20" s="103">
        <v>0.15</v>
      </c>
      <c r="M20" s="103"/>
      <c r="N20" s="103"/>
      <c r="O20" s="103"/>
      <c r="P20" s="101">
        <v>401768</v>
      </c>
    </row>
    <row r="21" spans="1:16" ht="34.5" customHeight="1" x14ac:dyDescent="0.3">
      <c r="A21" s="102" t="s">
        <v>383</v>
      </c>
      <c r="B21" s="103" t="s">
        <v>899</v>
      </c>
      <c r="C21" s="103" t="s">
        <v>898</v>
      </c>
      <c r="D21" s="103" t="s">
        <v>781</v>
      </c>
      <c r="E21" s="103" t="s">
        <v>37</v>
      </c>
      <c r="F21" s="97" t="s">
        <v>38</v>
      </c>
      <c r="G21" s="97" t="s">
        <v>38</v>
      </c>
      <c r="H21" s="103" t="s">
        <v>853</v>
      </c>
      <c r="I21" s="97" t="s">
        <v>56</v>
      </c>
      <c r="J21" s="104"/>
      <c r="K21" s="105">
        <v>44972</v>
      </c>
      <c r="L21" s="103">
        <v>0.14000000000000001</v>
      </c>
      <c r="M21" s="103"/>
      <c r="N21" s="103"/>
      <c r="O21" s="103"/>
      <c r="P21" s="101">
        <v>401768</v>
      </c>
    </row>
    <row r="22" spans="1:16" ht="34.5" customHeight="1" x14ac:dyDescent="0.3">
      <c r="A22" s="102" t="s">
        <v>383</v>
      </c>
      <c r="B22" s="103" t="s">
        <v>900</v>
      </c>
      <c r="C22" s="103" t="s">
        <v>901</v>
      </c>
      <c r="D22" s="103" t="s">
        <v>781</v>
      </c>
      <c r="E22" s="103" t="s">
        <v>37</v>
      </c>
      <c r="F22" s="97" t="s">
        <v>38</v>
      </c>
      <c r="G22" s="97" t="s">
        <v>38</v>
      </c>
      <c r="H22" s="103" t="s">
        <v>853</v>
      </c>
      <c r="I22" s="97" t="s">
        <v>56</v>
      </c>
      <c r="J22" s="104"/>
      <c r="K22" s="105">
        <v>44972</v>
      </c>
      <c r="L22" s="103">
        <v>0.22</v>
      </c>
      <c r="M22" s="103"/>
      <c r="N22" s="103"/>
      <c r="O22" s="103"/>
      <c r="P22" s="101">
        <v>401768</v>
      </c>
    </row>
    <row r="23" spans="1:16" ht="34.5" customHeight="1" x14ac:dyDescent="0.3">
      <c r="A23" s="102" t="s">
        <v>383</v>
      </c>
      <c r="B23" s="103" t="s">
        <v>905</v>
      </c>
      <c r="C23" s="103"/>
      <c r="D23" s="103" t="s">
        <v>781</v>
      </c>
      <c r="E23" s="103" t="s">
        <v>37</v>
      </c>
      <c r="F23" s="97" t="s">
        <v>38</v>
      </c>
      <c r="G23" s="97" t="s">
        <v>38</v>
      </c>
      <c r="H23" s="103" t="s">
        <v>902</v>
      </c>
      <c r="I23" s="97" t="s">
        <v>56</v>
      </c>
      <c r="J23" s="104"/>
      <c r="K23" s="105">
        <v>44614</v>
      </c>
      <c r="L23" s="103">
        <v>0.41</v>
      </c>
      <c r="M23" s="103"/>
      <c r="N23" s="103"/>
      <c r="O23" s="103"/>
      <c r="P23" s="101">
        <v>401768</v>
      </c>
    </row>
    <row r="24" spans="1:16" ht="34.5" customHeight="1" x14ac:dyDescent="0.3">
      <c r="A24" s="102" t="s">
        <v>383</v>
      </c>
      <c r="B24" s="103" t="s">
        <v>906</v>
      </c>
      <c r="C24" s="103" t="s">
        <v>903</v>
      </c>
      <c r="D24" s="103" t="s">
        <v>781</v>
      </c>
      <c r="E24" s="103" t="s">
        <v>92</v>
      </c>
      <c r="F24" s="97" t="s">
        <v>38</v>
      </c>
      <c r="G24" s="97" t="s">
        <v>38</v>
      </c>
      <c r="H24" s="103" t="s">
        <v>802</v>
      </c>
      <c r="I24" s="97" t="s">
        <v>803</v>
      </c>
      <c r="J24" s="104"/>
      <c r="K24" s="105">
        <v>44614</v>
      </c>
      <c r="L24" s="103">
        <v>0.49</v>
      </c>
      <c r="M24" s="103"/>
      <c r="N24" s="103"/>
      <c r="O24" s="103"/>
      <c r="P24" s="101">
        <v>401768</v>
      </c>
    </row>
    <row r="25" spans="1:16" ht="34.5" customHeight="1" x14ac:dyDescent="0.3">
      <c r="A25" s="102" t="s">
        <v>383</v>
      </c>
      <c r="B25" s="103" t="s">
        <v>907</v>
      </c>
      <c r="C25" s="103" t="s">
        <v>904</v>
      </c>
      <c r="D25" s="103" t="s">
        <v>781</v>
      </c>
      <c r="E25" s="103" t="s">
        <v>92</v>
      </c>
      <c r="F25" s="97" t="s">
        <v>38</v>
      </c>
      <c r="G25" s="97" t="s">
        <v>38</v>
      </c>
      <c r="H25" s="103" t="s">
        <v>802</v>
      </c>
      <c r="I25" s="97" t="s">
        <v>803</v>
      </c>
      <c r="J25" s="104"/>
      <c r="K25" s="105">
        <v>44614</v>
      </c>
      <c r="L25" s="103">
        <v>0.48</v>
      </c>
      <c r="M25" s="103"/>
      <c r="N25" s="103"/>
      <c r="O25" s="103"/>
      <c r="P25" s="101">
        <v>401768</v>
      </c>
    </row>
    <row r="26" spans="1:16" ht="34.5" customHeight="1" x14ac:dyDescent="0.3">
      <c r="A26" s="102" t="s">
        <v>383</v>
      </c>
      <c r="B26" s="103" t="s">
        <v>908</v>
      </c>
      <c r="C26" s="103"/>
      <c r="D26" s="103" t="s">
        <v>781</v>
      </c>
      <c r="E26" s="103" t="s">
        <v>37</v>
      </c>
      <c r="F26" s="97" t="s">
        <v>38</v>
      </c>
      <c r="G26" s="97" t="s">
        <v>38</v>
      </c>
      <c r="H26" s="103" t="s">
        <v>853</v>
      </c>
      <c r="I26" s="97" t="s">
        <v>56</v>
      </c>
      <c r="J26" s="104"/>
      <c r="K26" s="105">
        <v>44908</v>
      </c>
      <c r="L26" s="103">
        <v>0.5</v>
      </c>
      <c r="M26" s="103"/>
      <c r="N26" s="103"/>
      <c r="O26" s="103"/>
      <c r="P26" s="101">
        <v>401768</v>
      </c>
    </row>
    <row r="27" spans="1:16" ht="34.5" customHeight="1" x14ac:dyDescent="0.3">
      <c r="A27" s="102" t="s">
        <v>383</v>
      </c>
      <c r="B27" s="103" t="s">
        <v>909</v>
      </c>
      <c r="C27" s="103"/>
      <c r="D27" s="103" t="s">
        <v>781</v>
      </c>
      <c r="E27" s="103" t="s">
        <v>37</v>
      </c>
      <c r="F27" s="97" t="s">
        <v>38</v>
      </c>
      <c r="G27" s="97" t="s">
        <v>38</v>
      </c>
      <c r="H27" s="103" t="s">
        <v>853</v>
      </c>
      <c r="I27" s="97" t="s">
        <v>56</v>
      </c>
      <c r="J27" s="104"/>
      <c r="K27" s="105">
        <v>44908</v>
      </c>
      <c r="L27" s="103">
        <v>0.5</v>
      </c>
      <c r="M27" s="103"/>
      <c r="N27" s="103"/>
      <c r="O27" s="103"/>
      <c r="P27" s="101">
        <v>401768</v>
      </c>
    </row>
    <row r="28" spans="1:16" ht="34.5" customHeight="1" x14ac:dyDescent="0.3">
      <c r="A28" s="102" t="s">
        <v>383</v>
      </c>
      <c r="B28" s="103" t="s">
        <v>910</v>
      </c>
      <c r="C28" s="103"/>
      <c r="D28" s="103" t="s">
        <v>781</v>
      </c>
      <c r="E28" s="103" t="s">
        <v>37</v>
      </c>
      <c r="F28" s="97" t="s">
        <v>38</v>
      </c>
      <c r="G28" s="97" t="s">
        <v>38</v>
      </c>
      <c r="H28" s="103" t="s">
        <v>853</v>
      </c>
      <c r="I28" s="97" t="s">
        <v>56</v>
      </c>
      <c r="J28" s="104"/>
      <c r="K28" s="105">
        <v>44909</v>
      </c>
      <c r="L28" s="103">
        <v>0.49</v>
      </c>
      <c r="M28" s="103"/>
      <c r="N28" s="103"/>
      <c r="O28" s="103"/>
      <c r="P28" s="101">
        <v>401768</v>
      </c>
    </row>
    <row r="29" spans="1:16" ht="34.5" customHeight="1" x14ac:dyDescent="0.3">
      <c r="A29" s="102" t="s">
        <v>383</v>
      </c>
      <c r="B29" s="103" t="s">
        <v>911</v>
      </c>
      <c r="C29" s="103" t="s">
        <v>912</v>
      </c>
      <c r="D29" s="103" t="s">
        <v>781</v>
      </c>
      <c r="E29" s="103" t="s">
        <v>37</v>
      </c>
      <c r="F29" s="97" t="s">
        <v>38</v>
      </c>
      <c r="G29" s="97" t="s">
        <v>38</v>
      </c>
      <c r="H29" s="103" t="s">
        <v>854</v>
      </c>
      <c r="I29" s="97" t="s">
        <v>37</v>
      </c>
      <c r="J29" s="104"/>
      <c r="K29" s="105">
        <v>45028</v>
      </c>
      <c r="L29" s="103">
        <v>0.49</v>
      </c>
      <c r="M29" s="103"/>
      <c r="N29" s="103"/>
      <c r="O29" s="103"/>
      <c r="P29" s="101">
        <v>401768</v>
      </c>
    </row>
    <row r="30" spans="1:16" ht="34.5" customHeight="1" x14ac:dyDescent="0.3">
      <c r="A30" s="102" t="s">
        <v>383</v>
      </c>
      <c r="B30" s="103" t="s">
        <v>914</v>
      </c>
      <c r="C30" s="103" t="s">
        <v>913</v>
      </c>
      <c r="D30" s="103" t="s">
        <v>781</v>
      </c>
      <c r="E30" s="103" t="s">
        <v>37</v>
      </c>
      <c r="F30" s="97" t="s">
        <v>38</v>
      </c>
      <c r="G30" s="97" t="s">
        <v>38</v>
      </c>
      <c r="H30" s="103" t="s">
        <v>853</v>
      </c>
      <c r="I30" s="97" t="s">
        <v>56</v>
      </c>
      <c r="J30" s="104"/>
      <c r="K30" s="105">
        <v>45028</v>
      </c>
      <c r="L30" s="103">
        <v>0.35</v>
      </c>
      <c r="M30" s="103"/>
      <c r="N30" s="103"/>
      <c r="O30" s="103"/>
      <c r="P30" s="101">
        <v>401768</v>
      </c>
    </row>
    <row r="31" spans="1:16" ht="34.5" customHeight="1" x14ac:dyDescent="0.3">
      <c r="A31" s="102" t="s">
        <v>383</v>
      </c>
      <c r="B31" s="103" t="s">
        <v>915</v>
      </c>
      <c r="C31" s="103" t="s">
        <v>916</v>
      </c>
      <c r="D31" s="103" t="s">
        <v>781</v>
      </c>
      <c r="E31" s="103" t="s">
        <v>37</v>
      </c>
      <c r="F31" s="97" t="s">
        <v>38</v>
      </c>
      <c r="G31" s="97" t="s">
        <v>38</v>
      </c>
      <c r="H31" s="103" t="s">
        <v>853</v>
      </c>
      <c r="I31" s="97" t="s">
        <v>56</v>
      </c>
      <c r="J31" s="104"/>
      <c r="K31" s="105">
        <v>45028</v>
      </c>
      <c r="L31" s="103">
        <v>0.44</v>
      </c>
      <c r="M31" s="103"/>
      <c r="N31" s="103"/>
      <c r="O31" s="103"/>
      <c r="P31" s="101">
        <v>401768</v>
      </c>
    </row>
    <row r="32" spans="1:16" ht="34.5" customHeight="1" x14ac:dyDescent="0.3">
      <c r="A32" s="102" t="s">
        <v>1044</v>
      </c>
      <c r="B32" s="103" t="s">
        <v>817</v>
      </c>
      <c r="C32" s="103" t="s">
        <v>208</v>
      </c>
      <c r="D32" s="103" t="s">
        <v>24</v>
      </c>
      <c r="E32" s="103" t="s">
        <v>98</v>
      </c>
      <c r="F32" s="97" t="s">
        <v>103</v>
      </c>
      <c r="G32" s="97" t="s">
        <v>103</v>
      </c>
      <c r="H32" s="103" t="s">
        <v>818</v>
      </c>
      <c r="I32" s="97" t="s">
        <v>98</v>
      </c>
      <c r="J32" s="104">
        <v>42479</v>
      </c>
      <c r="K32" s="105">
        <v>44279</v>
      </c>
      <c r="L32" s="103">
        <v>2.77</v>
      </c>
      <c r="M32" s="103">
        <v>2.77</v>
      </c>
      <c r="N32" s="103">
        <v>0</v>
      </c>
      <c r="O32" s="103">
        <v>0</v>
      </c>
      <c r="P32" s="101">
        <v>401768</v>
      </c>
    </row>
    <row r="33" spans="1:16" ht="34.5" customHeight="1" x14ac:dyDescent="0.3">
      <c r="A33" s="102" t="s">
        <v>110</v>
      </c>
      <c r="B33" s="103" t="s">
        <v>822</v>
      </c>
      <c r="C33" s="103" t="s">
        <v>823</v>
      </c>
      <c r="D33" s="103" t="s">
        <v>36</v>
      </c>
      <c r="E33" s="103" t="s">
        <v>98</v>
      </c>
      <c r="F33" s="97" t="s">
        <v>103</v>
      </c>
      <c r="G33" s="97" t="s">
        <v>103</v>
      </c>
      <c r="H33" s="103" t="s">
        <v>809</v>
      </c>
      <c r="I33" s="97" t="s">
        <v>810</v>
      </c>
      <c r="J33" s="104">
        <v>36574</v>
      </c>
      <c r="K33" s="105">
        <v>36578</v>
      </c>
      <c r="L33" s="103">
        <v>3.5</v>
      </c>
      <c r="M33" s="103">
        <v>1.9</v>
      </c>
      <c r="N33" s="103">
        <v>0</v>
      </c>
      <c r="O33" s="103">
        <v>0.65</v>
      </c>
      <c r="P33" s="101">
        <v>401768</v>
      </c>
    </row>
    <row r="34" spans="1:16" ht="34.5" customHeight="1" x14ac:dyDescent="0.3">
      <c r="A34" s="102" t="s">
        <v>110</v>
      </c>
      <c r="B34" s="103" t="s">
        <v>819</v>
      </c>
      <c r="C34" s="103" t="s">
        <v>824</v>
      </c>
      <c r="D34" s="103" t="s">
        <v>36</v>
      </c>
      <c r="E34" s="103" t="s">
        <v>98</v>
      </c>
      <c r="F34" s="97" t="s">
        <v>763</v>
      </c>
      <c r="G34" s="97" t="s">
        <v>763</v>
      </c>
      <c r="H34" s="103" t="s">
        <v>809</v>
      </c>
      <c r="I34" s="97" t="s">
        <v>810</v>
      </c>
      <c r="J34" s="104">
        <v>36574</v>
      </c>
      <c r="K34" s="105">
        <v>36578</v>
      </c>
      <c r="L34" s="103">
        <v>2</v>
      </c>
      <c r="M34" s="103">
        <v>0.72</v>
      </c>
      <c r="N34" s="103">
        <v>0</v>
      </c>
      <c r="O34" s="103">
        <v>0.18</v>
      </c>
      <c r="P34" s="101">
        <v>401768</v>
      </c>
    </row>
    <row r="35" spans="1:16" ht="34.5" customHeight="1" x14ac:dyDescent="0.3">
      <c r="A35" s="102" t="s">
        <v>110</v>
      </c>
      <c r="B35" s="103" t="s">
        <v>825</v>
      </c>
      <c r="C35" s="103" t="s">
        <v>826</v>
      </c>
      <c r="D35" s="103" t="s">
        <v>36</v>
      </c>
      <c r="E35" s="103" t="s">
        <v>98</v>
      </c>
      <c r="F35" s="97" t="s">
        <v>103</v>
      </c>
      <c r="G35" s="97" t="s">
        <v>103</v>
      </c>
      <c r="H35" s="103" t="s">
        <v>809</v>
      </c>
      <c r="I35" s="97" t="s">
        <v>810</v>
      </c>
      <c r="J35" s="104">
        <v>36574</v>
      </c>
      <c r="K35" s="105">
        <v>42139</v>
      </c>
      <c r="L35" s="103">
        <v>2.36</v>
      </c>
      <c r="M35" s="103">
        <v>0.1</v>
      </c>
      <c r="N35" s="103"/>
      <c r="O35" s="103"/>
      <c r="P35" s="101">
        <v>401768</v>
      </c>
    </row>
    <row r="36" spans="1:16" ht="34.5" customHeight="1" x14ac:dyDescent="0.3">
      <c r="A36" s="102" t="s">
        <v>1045</v>
      </c>
      <c r="B36" s="103" t="s">
        <v>917</v>
      </c>
      <c r="C36" s="103"/>
      <c r="D36" s="103" t="s">
        <v>808</v>
      </c>
      <c r="E36" s="103" t="s">
        <v>98</v>
      </c>
      <c r="F36" s="97" t="s">
        <v>103</v>
      </c>
      <c r="G36" s="97" t="s">
        <v>103</v>
      </c>
      <c r="H36" s="103" t="s">
        <v>839</v>
      </c>
      <c r="I36" s="97" t="s">
        <v>98</v>
      </c>
      <c r="J36" s="104"/>
      <c r="K36" s="105">
        <v>44606</v>
      </c>
      <c r="L36" s="103"/>
      <c r="M36" s="103"/>
      <c r="N36" s="103"/>
      <c r="O36" s="103"/>
      <c r="P36" s="101">
        <v>401768</v>
      </c>
    </row>
    <row r="37" spans="1:16" ht="34.5" customHeight="1" x14ac:dyDescent="0.3">
      <c r="A37" s="102" t="s">
        <v>1045</v>
      </c>
      <c r="B37" s="103" t="s">
        <v>918</v>
      </c>
      <c r="C37" s="103"/>
      <c r="D37" s="103" t="s">
        <v>808</v>
      </c>
      <c r="E37" s="103" t="s">
        <v>98</v>
      </c>
      <c r="F37" s="97" t="s">
        <v>103</v>
      </c>
      <c r="G37" s="97" t="s">
        <v>103</v>
      </c>
      <c r="H37" s="103" t="s">
        <v>839</v>
      </c>
      <c r="I37" s="97" t="s">
        <v>98</v>
      </c>
      <c r="J37" s="104">
        <v>44606</v>
      </c>
      <c r="K37" s="105">
        <v>44606</v>
      </c>
      <c r="L37" s="103">
        <v>50</v>
      </c>
      <c r="M37" s="103">
        <v>50</v>
      </c>
      <c r="N37" s="103"/>
      <c r="O37" s="103"/>
      <c r="P37" s="101">
        <v>401768</v>
      </c>
    </row>
    <row r="38" spans="1:16" ht="34.5" customHeight="1" x14ac:dyDescent="0.3">
      <c r="A38" s="102" t="s">
        <v>1045</v>
      </c>
      <c r="B38" s="103" t="s">
        <v>919</v>
      </c>
      <c r="C38" s="103"/>
      <c r="D38" s="103" t="s">
        <v>808</v>
      </c>
      <c r="E38" s="103" t="s">
        <v>98</v>
      </c>
      <c r="F38" s="97" t="s">
        <v>757</v>
      </c>
      <c r="G38" s="97" t="s">
        <v>757</v>
      </c>
      <c r="H38" s="103" t="s">
        <v>828</v>
      </c>
      <c r="I38" s="97" t="s">
        <v>98</v>
      </c>
      <c r="J38" s="104"/>
      <c r="K38" s="105">
        <v>44606</v>
      </c>
      <c r="L38" s="103">
        <v>410</v>
      </c>
      <c r="M38" s="103">
        <v>410</v>
      </c>
      <c r="N38" s="103"/>
      <c r="O38" s="103"/>
      <c r="P38" s="101">
        <v>401768</v>
      </c>
    </row>
    <row r="39" spans="1:16" ht="34.5" customHeight="1" x14ac:dyDescent="0.3">
      <c r="A39" s="102" t="s">
        <v>1045</v>
      </c>
      <c r="B39" s="103" t="s">
        <v>920</v>
      </c>
      <c r="C39" s="103"/>
      <c r="D39" s="103" t="s">
        <v>808</v>
      </c>
      <c r="E39" s="103" t="s">
        <v>98</v>
      </c>
      <c r="F39" s="97" t="s">
        <v>757</v>
      </c>
      <c r="G39" s="97" t="s">
        <v>757</v>
      </c>
      <c r="H39" s="103" t="s">
        <v>828</v>
      </c>
      <c r="I39" s="97" t="s">
        <v>98</v>
      </c>
      <c r="J39" s="104"/>
      <c r="K39" s="105">
        <v>44635</v>
      </c>
      <c r="L39" s="103">
        <v>50</v>
      </c>
      <c r="M39" s="103">
        <v>50</v>
      </c>
      <c r="N39" s="103"/>
      <c r="O39" s="103"/>
      <c r="P39" s="101">
        <v>401768</v>
      </c>
    </row>
    <row r="40" spans="1:16" ht="34.5" customHeight="1" x14ac:dyDescent="0.3">
      <c r="A40" s="102" t="s">
        <v>1045</v>
      </c>
      <c r="B40" s="103" t="s">
        <v>921</v>
      </c>
      <c r="C40" s="103"/>
      <c r="D40" s="103" t="s">
        <v>808</v>
      </c>
      <c r="E40" s="103" t="s">
        <v>98</v>
      </c>
      <c r="F40" s="97" t="s">
        <v>757</v>
      </c>
      <c r="G40" s="97" t="s">
        <v>757</v>
      </c>
      <c r="H40" s="103" t="s">
        <v>828</v>
      </c>
      <c r="I40" s="97" t="s">
        <v>98</v>
      </c>
      <c r="J40" s="104"/>
      <c r="K40" s="105">
        <v>44635</v>
      </c>
      <c r="L40" s="103">
        <v>150</v>
      </c>
      <c r="M40" s="103">
        <v>150</v>
      </c>
      <c r="N40" s="103"/>
      <c r="O40" s="103"/>
      <c r="P40" s="101">
        <v>401768</v>
      </c>
    </row>
    <row r="41" spans="1:16" ht="34.5" customHeight="1" x14ac:dyDescent="0.3">
      <c r="A41" s="102" t="s">
        <v>1045</v>
      </c>
      <c r="B41" s="103" t="s">
        <v>922</v>
      </c>
      <c r="C41" s="103"/>
      <c r="D41" s="103" t="s">
        <v>808</v>
      </c>
      <c r="E41" s="103" t="s">
        <v>98</v>
      </c>
      <c r="F41" s="97" t="s">
        <v>103</v>
      </c>
      <c r="G41" s="97" t="s">
        <v>103</v>
      </c>
      <c r="H41" s="103" t="s">
        <v>839</v>
      </c>
      <c r="I41" s="97" t="s">
        <v>98</v>
      </c>
      <c r="J41" s="104"/>
      <c r="K41" s="105">
        <v>44594</v>
      </c>
      <c r="L41" s="103">
        <v>30</v>
      </c>
      <c r="M41" s="103">
        <v>30</v>
      </c>
      <c r="N41" s="103"/>
      <c r="O41" s="103"/>
      <c r="P41" s="101">
        <v>401768</v>
      </c>
    </row>
    <row r="42" spans="1:16" ht="34.5" customHeight="1" x14ac:dyDescent="0.3">
      <c r="A42" s="102" t="s">
        <v>1045</v>
      </c>
      <c r="B42" s="103" t="s">
        <v>927</v>
      </c>
      <c r="C42" s="103"/>
      <c r="D42" s="103" t="s">
        <v>808</v>
      </c>
      <c r="E42" s="103" t="s">
        <v>98</v>
      </c>
      <c r="F42" s="97" t="s">
        <v>103</v>
      </c>
      <c r="G42" s="97" t="s">
        <v>103</v>
      </c>
      <c r="H42" s="103" t="s">
        <v>839</v>
      </c>
      <c r="I42" s="97" t="s">
        <v>98</v>
      </c>
      <c r="J42" s="104"/>
      <c r="K42" s="105">
        <v>43647</v>
      </c>
      <c r="L42" s="103">
        <v>330</v>
      </c>
      <c r="M42" s="103">
        <v>330</v>
      </c>
      <c r="N42" s="103"/>
      <c r="O42" s="103"/>
      <c r="P42" s="101">
        <v>401768</v>
      </c>
    </row>
    <row r="43" spans="1:16" ht="34.5" customHeight="1" x14ac:dyDescent="0.3">
      <c r="A43" s="102" t="s">
        <v>1045</v>
      </c>
      <c r="B43" s="103" t="s">
        <v>923</v>
      </c>
      <c r="C43" s="103"/>
      <c r="D43" s="103" t="s">
        <v>808</v>
      </c>
      <c r="E43" s="103" t="s">
        <v>98</v>
      </c>
      <c r="F43" s="97" t="s">
        <v>757</v>
      </c>
      <c r="G43" s="97" t="s">
        <v>757</v>
      </c>
      <c r="H43" s="103" t="s">
        <v>928</v>
      </c>
      <c r="I43" s="97" t="s">
        <v>98</v>
      </c>
      <c r="J43" s="104"/>
      <c r="K43" s="105">
        <v>45299</v>
      </c>
      <c r="L43" s="103">
        <v>140</v>
      </c>
      <c r="M43" s="103">
        <v>0</v>
      </c>
      <c r="N43" s="103"/>
      <c r="O43" s="103"/>
      <c r="P43" s="101">
        <v>401768</v>
      </c>
    </row>
    <row r="44" spans="1:16" ht="34.5" customHeight="1" x14ac:dyDescent="0.3">
      <c r="A44" s="102" t="s">
        <v>1045</v>
      </c>
      <c r="B44" s="103" t="s">
        <v>924</v>
      </c>
      <c r="C44" s="103"/>
      <c r="D44" s="103" t="s">
        <v>808</v>
      </c>
      <c r="E44" s="103" t="s">
        <v>98</v>
      </c>
      <c r="F44" s="97" t="s">
        <v>757</v>
      </c>
      <c r="G44" s="97" t="s">
        <v>757</v>
      </c>
      <c r="H44" s="103" t="s">
        <v>828</v>
      </c>
      <c r="I44" s="97" t="s">
        <v>98</v>
      </c>
      <c r="J44" s="104"/>
      <c r="K44" s="105">
        <v>44635</v>
      </c>
      <c r="L44" s="103">
        <v>20</v>
      </c>
      <c r="M44" s="103">
        <v>20</v>
      </c>
      <c r="N44" s="103"/>
      <c r="O44" s="103"/>
      <c r="P44" s="101">
        <v>401768</v>
      </c>
    </row>
    <row r="45" spans="1:16" ht="34.5" customHeight="1" x14ac:dyDescent="0.3">
      <c r="A45" s="102" t="s">
        <v>1045</v>
      </c>
      <c r="B45" s="103" t="s">
        <v>925</v>
      </c>
      <c r="C45" s="103"/>
      <c r="D45" s="103" t="s">
        <v>808</v>
      </c>
      <c r="E45" s="103" t="s">
        <v>98</v>
      </c>
      <c r="F45" s="97" t="s">
        <v>757</v>
      </c>
      <c r="G45" s="97" t="s">
        <v>757</v>
      </c>
      <c r="H45" s="103" t="s">
        <v>828</v>
      </c>
      <c r="I45" s="97" t="s">
        <v>98</v>
      </c>
      <c r="J45" s="104"/>
      <c r="K45" s="105">
        <v>43986</v>
      </c>
      <c r="L45" s="103">
        <v>15</v>
      </c>
      <c r="M45" s="103">
        <v>15</v>
      </c>
      <c r="N45" s="103"/>
      <c r="O45" s="103"/>
      <c r="P45" s="101">
        <v>401768</v>
      </c>
    </row>
    <row r="46" spans="1:16" ht="34.5" customHeight="1" x14ac:dyDescent="0.3">
      <c r="A46" s="102" t="s">
        <v>1045</v>
      </c>
      <c r="B46" s="103" t="s">
        <v>926</v>
      </c>
      <c r="C46" s="103"/>
      <c r="D46" s="103" t="s">
        <v>808</v>
      </c>
      <c r="E46" s="103" t="s">
        <v>98</v>
      </c>
      <c r="F46" s="97" t="s">
        <v>757</v>
      </c>
      <c r="G46" s="97" t="s">
        <v>757</v>
      </c>
      <c r="H46" s="103" t="s">
        <v>35</v>
      </c>
      <c r="I46" s="97" t="s">
        <v>37</v>
      </c>
      <c r="J46" s="104"/>
      <c r="K46" s="105">
        <v>43520</v>
      </c>
      <c r="L46" s="103">
        <v>1150</v>
      </c>
      <c r="M46" s="103">
        <v>0</v>
      </c>
      <c r="N46" s="103"/>
      <c r="O46" s="103"/>
      <c r="P46" s="101">
        <v>401768</v>
      </c>
    </row>
    <row r="47" spans="1:16" ht="34.5" customHeight="1" x14ac:dyDescent="0.3">
      <c r="A47" s="102" t="s">
        <v>95</v>
      </c>
      <c r="B47" s="103">
        <v>1670</v>
      </c>
      <c r="C47" s="103" t="s">
        <v>827</v>
      </c>
      <c r="D47" s="103" t="s">
        <v>808</v>
      </c>
      <c r="E47" s="103" t="s">
        <v>98</v>
      </c>
      <c r="F47" s="97" t="s">
        <v>757</v>
      </c>
      <c r="G47" s="97" t="s">
        <v>757</v>
      </c>
      <c r="H47" s="103" t="s">
        <v>828</v>
      </c>
      <c r="I47" s="97" t="s">
        <v>98</v>
      </c>
      <c r="J47" s="104">
        <v>43844</v>
      </c>
      <c r="K47" s="105"/>
      <c r="L47" s="103">
        <v>9.1999999999999998E-2</v>
      </c>
      <c r="M47" s="103">
        <v>0.12</v>
      </c>
      <c r="N47" s="103">
        <v>0</v>
      </c>
      <c r="O47" s="103">
        <v>0</v>
      </c>
      <c r="P47" s="101">
        <v>401768</v>
      </c>
    </row>
    <row r="48" spans="1:16" ht="34.5" customHeight="1" x14ac:dyDescent="0.3">
      <c r="A48" s="102" t="s">
        <v>95</v>
      </c>
      <c r="B48" s="103" t="s">
        <v>829</v>
      </c>
      <c r="C48" s="103" t="s">
        <v>830</v>
      </c>
      <c r="D48" s="103" t="s">
        <v>808</v>
      </c>
      <c r="E48" s="103" t="s">
        <v>92</v>
      </c>
      <c r="F48" s="97" t="s">
        <v>757</v>
      </c>
      <c r="G48" s="97" t="s">
        <v>757</v>
      </c>
      <c r="H48" s="103" t="s">
        <v>831</v>
      </c>
      <c r="I48" s="97" t="s">
        <v>92</v>
      </c>
      <c r="J48" s="104">
        <v>44489</v>
      </c>
      <c r="K48" s="105">
        <v>44489</v>
      </c>
      <c r="L48" s="103">
        <v>0.5</v>
      </c>
      <c r="M48" s="103">
        <v>0.5</v>
      </c>
      <c r="N48" s="103">
        <v>0</v>
      </c>
      <c r="O48" s="103">
        <v>0</v>
      </c>
      <c r="P48" s="101">
        <v>401768</v>
      </c>
    </row>
    <row r="49" spans="1:16" ht="34.5" customHeight="1" x14ac:dyDescent="0.3">
      <c r="A49" s="102" t="s">
        <v>187</v>
      </c>
      <c r="B49" s="103" t="s">
        <v>832</v>
      </c>
      <c r="C49" s="103" t="s">
        <v>187</v>
      </c>
      <c r="D49" s="103" t="s">
        <v>20</v>
      </c>
      <c r="E49" s="103" t="s">
        <v>37</v>
      </c>
      <c r="F49" s="97" t="s">
        <v>38</v>
      </c>
      <c r="G49" s="97" t="s">
        <v>38</v>
      </c>
      <c r="H49" s="103" t="s">
        <v>833</v>
      </c>
      <c r="I49" s="97" t="s">
        <v>56</v>
      </c>
      <c r="J49" s="104">
        <v>44256</v>
      </c>
      <c r="K49" s="105">
        <v>44280</v>
      </c>
      <c r="L49" s="103">
        <v>298</v>
      </c>
      <c r="M49" s="103"/>
      <c r="N49" s="103"/>
      <c r="O49" s="103"/>
      <c r="P49" s="101">
        <v>401768</v>
      </c>
    </row>
    <row r="50" spans="1:16" ht="34.5" customHeight="1" x14ac:dyDescent="0.3">
      <c r="A50" s="102" t="s">
        <v>78</v>
      </c>
      <c r="B50" s="103" t="s">
        <v>79</v>
      </c>
      <c r="C50" s="103" t="s">
        <v>80</v>
      </c>
      <c r="D50" s="103" t="s">
        <v>20</v>
      </c>
      <c r="E50" s="103" t="s">
        <v>81</v>
      </c>
      <c r="F50" s="97" t="s">
        <v>29</v>
      </c>
      <c r="G50" s="97" t="s">
        <v>29</v>
      </c>
      <c r="H50" s="103" t="s">
        <v>82</v>
      </c>
      <c r="I50" s="97" t="s">
        <v>81</v>
      </c>
      <c r="J50" s="104">
        <v>40737</v>
      </c>
      <c r="K50" s="105">
        <v>41613</v>
      </c>
      <c r="L50" s="103">
        <v>2645</v>
      </c>
      <c r="M50" s="103">
        <v>0</v>
      </c>
      <c r="N50" s="103">
        <v>0</v>
      </c>
      <c r="O50" s="103">
        <v>125</v>
      </c>
      <c r="P50" s="101">
        <v>401768</v>
      </c>
    </row>
    <row r="51" spans="1:16" ht="34.5" customHeight="1" x14ac:dyDescent="0.3">
      <c r="A51" s="102" t="s">
        <v>269</v>
      </c>
      <c r="B51" s="103" t="s">
        <v>834</v>
      </c>
      <c r="C51" s="103" t="s">
        <v>208</v>
      </c>
      <c r="D51" s="103" t="s">
        <v>36</v>
      </c>
      <c r="E51" s="103" t="s">
        <v>98</v>
      </c>
      <c r="F51" s="97" t="s">
        <v>103</v>
      </c>
      <c r="G51" s="97" t="s">
        <v>103</v>
      </c>
      <c r="H51" s="103" t="s">
        <v>208</v>
      </c>
      <c r="I51" s="97" t="s">
        <v>98</v>
      </c>
      <c r="J51" s="104">
        <v>39794</v>
      </c>
      <c r="K51" s="105">
        <v>39794</v>
      </c>
      <c r="L51" s="103">
        <v>8</v>
      </c>
      <c r="M51" s="103">
        <v>1</v>
      </c>
      <c r="N51" s="103">
        <v>0</v>
      </c>
      <c r="O51" s="103">
        <v>0</v>
      </c>
      <c r="P51" s="101">
        <v>401768</v>
      </c>
    </row>
    <row r="52" spans="1:16" ht="34.5" customHeight="1" x14ac:dyDescent="0.3">
      <c r="A52" s="102" t="s">
        <v>262</v>
      </c>
      <c r="B52" s="103" t="s">
        <v>835</v>
      </c>
      <c r="C52" s="103" t="s">
        <v>836</v>
      </c>
      <c r="D52" s="103" t="s">
        <v>808</v>
      </c>
      <c r="E52" s="103" t="s">
        <v>98</v>
      </c>
      <c r="F52" s="97" t="s">
        <v>837</v>
      </c>
      <c r="G52" s="97" t="s">
        <v>1059</v>
      </c>
      <c r="H52" s="103" t="s">
        <v>809</v>
      </c>
      <c r="I52" s="97" t="s">
        <v>810</v>
      </c>
      <c r="J52" s="104"/>
      <c r="K52" s="105">
        <v>44811</v>
      </c>
      <c r="L52" s="103">
        <v>0.111452</v>
      </c>
      <c r="M52" s="103"/>
      <c r="N52" s="103"/>
      <c r="O52" s="103"/>
      <c r="P52" s="101">
        <v>401768</v>
      </c>
    </row>
    <row r="53" spans="1:16" ht="34.5" customHeight="1" x14ac:dyDescent="0.3">
      <c r="A53" s="102" t="s">
        <v>1046</v>
      </c>
      <c r="B53" s="103" t="s">
        <v>952</v>
      </c>
      <c r="C53" s="103" t="s">
        <v>839</v>
      </c>
      <c r="D53" s="103" t="s">
        <v>808</v>
      </c>
      <c r="E53" s="103" t="s">
        <v>98</v>
      </c>
      <c r="F53" s="97" t="s">
        <v>103</v>
      </c>
      <c r="G53" s="97" t="s">
        <v>103</v>
      </c>
      <c r="H53" s="103" t="s">
        <v>839</v>
      </c>
      <c r="I53" s="97" t="s">
        <v>98</v>
      </c>
      <c r="J53" s="104"/>
      <c r="K53" s="105">
        <v>44882</v>
      </c>
      <c r="L53" s="103">
        <v>0.51</v>
      </c>
      <c r="M53" s="103">
        <v>0.34</v>
      </c>
      <c r="N53" s="103"/>
      <c r="O53" s="103"/>
      <c r="P53" s="101"/>
    </row>
    <row r="54" spans="1:16" ht="34.5" customHeight="1" x14ac:dyDescent="0.3">
      <c r="A54" s="102" t="s">
        <v>1047</v>
      </c>
      <c r="B54" s="103" t="s">
        <v>841</v>
      </c>
      <c r="C54" s="103" t="s">
        <v>827</v>
      </c>
      <c r="D54" s="103" t="s">
        <v>808</v>
      </c>
      <c r="E54" s="103" t="s">
        <v>98</v>
      </c>
      <c r="F54" s="97" t="s">
        <v>757</v>
      </c>
      <c r="G54" s="97" t="s">
        <v>757</v>
      </c>
      <c r="H54" s="103" t="s">
        <v>838</v>
      </c>
      <c r="I54" s="97" t="s">
        <v>98</v>
      </c>
      <c r="J54" s="104"/>
      <c r="K54" s="105">
        <v>44879</v>
      </c>
      <c r="L54" s="103">
        <v>0.83</v>
      </c>
      <c r="M54" s="103">
        <v>0.83</v>
      </c>
      <c r="N54" s="103"/>
      <c r="O54" s="103"/>
      <c r="P54" s="101">
        <v>401768</v>
      </c>
    </row>
    <row r="55" spans="1:16" ht="34.5" customHeight="1" x14ac:dyDescent="0.3">
      <c r="A55" s="102" t="s">
        <v>1047</v>
      </c>
      <c r="B55" s="103" t="s">
        <v>840</v>
      </c>
      <c r="C55" s="103" t="s">
        <v>839</v>
      </c>
      <c r="D55" s="103" t="s">
        <v>808</v>
      </c>
      <c r="E55" s="103" t="s">
        <v>98</v>
      </c>
      <c r="F55" s="97" t="s">
        <v>103</v>
      </c>
      <c r="G55" s="97" t="s">
        <v>103</v>
      </c>
      <c r="H55" s="103" t="s">
        <v>839</v>
      </c>
      <c r="I55" s="97" t="s">
        <v>98</v>
      </c>
      <c r="J55" s="104"/>
      <c r="K55" s="105">
        <v>44476</v>
      </c>
      <c r="L55" s="103">
        <v>0.17228099999999999</v>
      </c>
      <c r="M55" s="103">
        <v>0.89400000000000002</v>
      </c>
      <c r="N55" s="103"/>
      <c r="O55" s="103">
        <v>0.14499999999999999</v>
      </c>
      <c r="P55" s="101">
        <v>401768</v>
      </c>
    </row>
    <row r="56" spans="1:16" ht="34.5" customHeight="1" x14ac:dyDescent="0.3">
      <c r="A56" s="102" t="s">
        <v>263</v>
      </c>
      <c r="B56" s="103" t="s">
        <v>842</v>
      </c>
      <c r="C56" s="103" t="s">
        <v>843</v>
      </c>
      <c r="D56" s="103" t="s">
        <v>808</v>
      </c>
      <c r="E56" s="103" t="s">
        <v>98</v>
      </c>
      <c r="F56" s="97" t="s">
        <v>123</v>
      </c>
      <c r="G56" s="97" t="s">
        <v>123</v>
      </c>
      <c r="H56" s="103" t="s">
        <v>844</v>
      </c>
      <c r="I56" s="97" t="s">
        <v>116</v>
      </c>
      <c r="J56" s="104">
        <v>43273</v>
      </c>
      <c r="K56" s="105">
        <v>43273</v>
      </c>
      <c r="L56" s="103">
        <v>1</v>
      </c>
      <c r="M56" s="103">
        <v>1</v>
      </c>
      <c r="N56" s="103"/>
      <c r="O56" s="103"/>
      <c r="P56" s="101">
        <v>401768</v>
      </c>
    </row>
    <row r="57" spans="1:16" ht="34.5" customHeight="1" x14ac:dyDescent="0.3">
      <c r="A57" s="102" t="s">
        <v>310</v>
      </c>
      <c r="B57" s="103" t="s">
        <v>789</v>
      </c>
      <c r="C57" s="103" t="s">
        <v>895</v>
      </c>
      <c r="D57" s="103" t="s">
        <v>20</v>
      </c>
      <c r="E57" s="103" t="s">
        <v>37</v>
      </c>
      <c r="F57" s="97" t="s">
        <v>774</v>
      </c>
      <c r="G57" s="97" t="s">
        <v>38</v>
      </c>
      <c r="H57" s="103" t="s">
        <v>895</v>
      </c>
      <c r="I57" s="97" t="s">
        <v>37</v>
      </c>
      <c r="J57" s="104">
        <v>44257</v>
      </c>
      <c r="K57" s="105">
        <v>44413</v>
      </c>
      <c r="L57" s="103">
        <v>26.2</v>
      </c>
      <c r="M57" s="103">
        <v>0</v>
      </c>
      <c r="N57" s="103">
        <v>0</v>
      </c>
      <c r="O57" s="103">
        <v>0</v>
      </c>
      <c r="P57" s="101">
        <v>401768</v>
      </c>
    </row>
    <row r="58" spans="1:16" ht="34.5" customHeight="1" x14ac:dyDescent="0.3">
      <c r="A58" s="102" t="s">
        <v>1048</v>
      </c>
      <c r="B58" s="103" t="s">
        <v>202</v>
      </c>
      <c r="C58" s="103" t="s">
        <v>845</v>
      </c>
      <c r="D58" s="103" t="s">
        <v>20</v>
      </c>
      <c r="E58" s="103" t="s">
        <v>98</v>
      </c>
      <c r="F58" s="97" t="s">
        <v>29</v>
      </c>
      <c r="G58" s="97" t="s">
        <v>29</v>
      </c>
      <c r="H58" s="103" t="s">
        <v>116</v>
      </c>
      <c r="I58" s="97" t="s">
        <v>116</v>
      </c>
      <c r="J58" s="104">
        <v>42145</v>
      </c>
      <c r="K58" s="105">
        <v>42179</v>
      </c>
      <c r="L58" s="103">
        <v>636</v>
      </c>
      <c r="M58" s="103">
        <v>0</v>
      </c>
      <c r="N58" s="103">
        <v>0</v>
      </c>
      <c r="O58" s="103">
        <v>0</v>
      </c>
      <c r="P58" s="101">
        <v>401768</v>
      </c>
    </row>
    <row r="59" spans="1:16" ht="34.5" customHeight="1" x14ac:dyDescent="0.3">
      <c r="A59" s="102" t="s">
        <v>1049</v>
      </c>
      <c r="B59" s="103" t="s">
        <v>887</v>
      </c>
      <c r="C59" s="103" t="s">
        <v>129</v>
      </c>
      <c r="D59" s="103" t="s">
        <v>36</v>
      </c>
      <c r="E59" s="103" t="s">
        <v>98</v>
      </c>
      <c r="F59" s="97" t="s">
        <v>846</v>
      </c>
      <c r="G59" s="97" t="s">
        <v>846</v>
      </c>
      <c r="H59" s="103" t="s">
        <v>888</v>
      </c>
      <c r="I59" s="97" t="s">
        <v>889</v>
      </c>
      <c r="J59" s="104">
        <v>38239</v>
      </c>
      <c r="K59" s="105">
        <v>38249</v>
      </c>
      <c r="L59" s="103">
        <v>445</v>
      </c>
      <c r="M59" s="103">
        <v>0</v>
      </c>
      <c r="N59" s="103">
        <v>0</v>
      </c>
      <c r="O59" s="103">
        <v>0</v>
      </c>
      <c r="P59" s="101">
        <v>401768</v>
      </c>
    </row>
    <row r="60" spans="1:16" ht="34.5" customHeight="1" x14ac:dyDescent="0.3">
      <c r="A60" s="102" t="s">
        <v>384</v>
      </c>
      <c r="B60" s="103" t="s">
        <v>892</v>
      </c>
      <c r="C60" s="103" t="s">
        <v>893</v>
      </c>
      <c r="D60" s="103" t="s">
        <v>20</v>
      </c>
      <c r="E60" s="103" t="s">
        <v>37</v>
      </c>
      <c r="F60" s="97" t="s">
        <v>38</v>
      </c>
      <c r="G60" s="97" t="s">
        <v>38</v>
      </c>
      <c r="H60" s="103" t="s">
        <v>894</v>
      </c>
      <c r="I60" s="97" t="s">
        <v>37</v>
      </c>
      <c r="J60" s="104">
        <v>44781</v>
      </c>
      <c r="K60" s="105">
        <v>44792</v>
      </c>
      <c r="L60" s="103">
        <v>180</v>
      </c>
      <c r="M60" s="103"/>
      <c r="N60" s="103"/>
      <c r="O60" s="103"/>
      <c r="P60" s="101">
        <v>401768</v>
      </c>
    </row>
    <row r="61" spans="1:16" ht="34.5" customHeight="1" x14ac:dyDescent="0.3">
      <c r="A61" s="102" t="s">
        <v>199</v>
      </c>
      <c r="B61" s="103" t="s">
        <v>847</v>
      </c>
      <c r="C61" s="103" t="s">
        <v>848</v>
      </c>
      <c r="D61" s="103" t="s">
        <v>20</v>
      </c>
      <c r="E61" s="103" t="s">
        <v>25</v>
      </c>
      <c r="F61" s="97" t="s">
        <v>29</v>
      </c>
      <c r="G61" s="97" t="s">
        <v>29</v>
      </c>
      <c r="H61" s="103" t="s">
        <v>849</v>
      </c>
      <c r="I61" s="97" t="s">
        <v>28</v>
      </c>
      <c r="J61" s="104">
        <v>44099</v>
      </c>
      <c r="K61" s="105">
        <v>44132</v>
      </c>
      <c r="L61" s="103">
        <v>588</v>
      </c>
      <c r="M61" s="103">
        <v>0</v>
      </c>
      <c r="N61" s="103">
        <v>0</v>
      </c>
      <c r="O61" s="103">
        <v>0</v>
      </c>
      <c r="P61" s="101">
        <v>45592</v>
      </c>
    </row>
    <row r="62" spans="1:16" ht="34.5" customHeight="1" x14ac:dyDescent="0.3">
      <c r="A62" s="102" t="s">
        <v>117</v>
      </c>
      <c r="B62" s="103" t="s">
        <v>776</v>
      </c>
      <c r="C62" s="103" t="s">
        <v>118</v>
      </c>
      <c r="D62" s="103" t="s">
        <v>36</v>
      </c>
      <c r="E62" s="103" t="s">
        <v>98</v>
      </c>
      <c r="F62" s="97" t="s">
        <v>29</v>
      </c>
      <c r="G62" s="97" t="s">
        <v>29</v>
      </c>
      <c r="H62" s="103" t="s">
        <v>119</v>
      </c>
      <c r="I62" s="97" t="s">
        <v>116</v>
      </c>
      <c r="J62" s="104">
        <v>39561</v>
      </c>
      <c r="K62" s="105">
        <v>36452</v>
      </c>
      <c r="L62" s="103">
        <v>173</v>
      </c>
      <c r="M62" s="103">
        <v>0.57999999999999996</v>
      </c>
      <c r="N62" s="103">
        <v>0</v>
      </c>
      <c r="O62" s="103">
        <v>0</v>
      </c>
      <c r="P62" s="101">
        <v>401768</v>
      </c>
    </row>
    <row r="63" spans="1:16" ht="34.5" customHeight="1" x14ac:dyDescent="0.3">
      <c r="A63" s="102" t="s">
        <v>184</v>
      </c>
      <c r="B63" s="103" t="s">
        <v>185</v>
      </c>
      <c r="C63" s="103" t="s">
        <v>186</v>
      </c>
      <c r="D63" s="103" t="s">
        <v>20</v>
      </c>
      <c r="E63" s="103" t="s">
        <v>37</v>
      </c>
      <c r="F63" s="97" t="s">
        <v>774</v>
      </c>
      <c r="G63" s="97" t="s">
        <v>38</v>
      </c>
      <c r="H63" s="103" t="s">
        <v>850</v>
      </c>
      <c r="I63" s="97" t="s">
        <v>56</v>
      </c>
      <c r="J63" s="104">
        <v>40128</v>
      </c>
      <c r="K63" s="105">
        <v>40128</v>
      </c>
      <c r="L63" s="103">
        <v>103</v>
      </c>
      <c r="M63" s="103">
        <v>0</v>
      </c>
      <c r="N63" s="103">
        <v>45</v>
      </c>
      <c r="O63" s="103">
        <v>0</v>
      </c>
      <c r="P63" s="101">
        <v>401768</v>
      </c>
    </row>
    <row r="64" spans="1:16" ht="34.5" customHeight="1" x14ac:dyDescent="0.3">
      <c r="A64" s="102" t="s">
        <v>259</v>
      </c>
      <c r="B64" s="103" t="s">
        <v>851</v>
      </c>
      <c r="C64" s="103" t="s">
        <v>852</v>
      </c>
      <c r="D64" s="103" t="s">
        <v>808</v>
      </c>
      <c r="E64" s="103" t="s">
        <v>98</v>
      </c>
      <c r="F64" s="97" t="s">
        <v>757</v>
      </c>
      <c r="G64" s="97" t="s">
        <v>757</v>
      </c>
      <c r="H64" s="103" t="s">
        <v>828</v>
      </c>
      <c r="I64" s="97" t="s">
        <v>98</v>
      </c>
      <c r="J64" s="104">
        <v>43742</v>
      </c>
      <c r="K64" s="105">
        <v>43797</v>
      </c>
      <c r="L64" s="103">
        <v>0.06</v>
      </c>
      <c r="M64" s="103">
        <v>6.3399999999999998E-2</v>
      </c>
      <c r="N64" s="103">
        <v>0</v>
      </c>
      <c r="O64" s="103">
        <v>0</v>
      </c>
      <c r="P64" s="101">
        <v>401768</v>
      </c>
    </row>
    <row r="65" spans="1:16" ht="34.5" customHeight="1" x14ac:dyDescent="0.3">
      <c r="A65" s="102" t="s">
        <v>217</v>
      </c>
      <c r="B65" s="103" t="s">
        <v>890</v>
      </c>
      <c r="C65" s="103" t="s">
        <v>891</v>
      </c>
      <c r="D65" s="103" t="s">
        <v>24</v>
      </c>
      <c r="E65" s="103" t="s">
        <v>37</v>
      </c>
      <c r="F65" s="97" t="s">
        <v>38</v>
      </c>
      <c r="G65" s="97" t="s">
        <v>38</v>
      </c>
      <c r="H65" s="103" t="s">
        <v>853</v>
      </c>
      <c r="I65" s="97" t="s">
        <v>56</v>
      </c>
      <c r="J65" s="104">
        <v>42702</v>
      </c>
      <c r="K65" s="105">
        <v>42929</v>
      </c>
      <c r="L65" s="103">
        <v>121.83</v>
      </c>
      <c r="M65" s="103">
        <v>0</v>
      </c>
      <c r="N65" s="103">
        <v>0</v>
      </c>
      <c r="O65" s="103">
        <v>0</v>
      </c>
      <c r="P65" s="101">
        <v>401768</v>
      </c>
    </row>
    <row r="66" spans="1:16" ht="34.5" customHeight="1" x14ac:dyDescent="0.3">
      <c r="A66" s="102" t="s">
        <v>75</v>
      </c>
      <c r="B66" s="103">
        <v>2208</v>
      </c>
      <c r="C66" s="103" t="s">
        <v>56</v>
      </c>
      <c r="D66" s="103" t="s">
        <v>20</v>
      </c>
      <c r="E66" s="103" t="s">
        <v>37</v>
      </c>
      <c r="F66" s="97" t="s">
        <v>77</v>
      </c>
      <c r="G66" s="97" t="s">
        <v>77</v>
      </c>
      <c r="H66" s="103" t="s">
        <v>67</v>
      </c>
      <c r="I66" s="97" t="s">
        <v>56</v>
      </c>
      <c r="J66" s="104">
        <v>45416</v>
      </c>
      <c r="K66" s="105">
        <v>43256</v>
      </c>
      <c r="L66" s="103">
        <v>2200</v>
      </c>
      <c r="M66" s="103">
        <v>1650</v>
      </c>
      <c r="N66" s="103">
        <v>550</v>
      </c>
      <c r="O66" s="103">
        <v>0</v>
      </c>
      <c r="P66" s="101">
        <v>401768</v>
      </c>
    </row>
    <row r="67" spans="1:16" ht="34.5" customHeight="1" x14ac:dyDescent="0.3">
      <c r="A67" s="102" t="s">
        <v>75</v>
      </c>
      <c r="B67" s="103"/>
      <c r="C67" s="103"/>
      <c r="D67" s="103" t="s">
        <v>20</v>
      </c>
      <c r="E67" s="103" t="s">
        <v>37</v>
      </c>
      <c r="F67" s="97"/>
      <c r="G67" s="97" t="s">
        <v>77</v>
      </c>
      <c r="H67" s="103"/>
      <c r="I67" s="97"/>
      <c r="J67" s="104"/>
      <c r="K67" s="105"/>
      <c r="L67" s="103">
        <v>286</v>
      </c>
      <c r="M67" s="103">
        <v>0</v>
      </c>
      <c r="N67" s="103">
        <v>0</v>
      </c>
      <c r="O67" s="103">
        <v>0</v>
      </c>
      <c r="P67" s="101">
        <v>401768</v>
      </c>
    </row>
    <row r="68" spans="1:16" ht="34.5" customHeight="1" x14ac:dyDescent="0.3">
      <c r="A68" s="102" t="s">
        <v>53</v>
      </c>
      <c r="B68" s="103" t="s">
        <v>777</v>
      </c>
      <c r="C68" s="103" t="s">
        <v>54</v>
      </c>
      <c r="D68" s="103" t="s">
        <v>20</v>
      </c>
      <c r="E68" s="103" t="s">
        <v>37</v>
      </c>
      <c r="F68" s="97" t="s">
        <v>774</v>
      </c>
      <c r="G68" s="97" t="s">
        <v>38</v>
      </c>
      <c r="H68" s="103" t="s">
        <v>55</v>
      </c>
      <c r="I68" s="97" t="s">
        <v>56</v>
      </c>
      <c r="J68" s="104">
        <v>43882</v>
      </c>
      <c r="K68" s="105">
        <v>43886</v>
      </c>
      <c r="L68" s="103">
        <v>286</v>
      </c>
      <c r="M68" s="103">
        <v>0</v>
      </c>
      <c r="N68" s="103">
        <v>0</v>
      </c>
      <c r="O68" s="103">
        <v>0</v>
      </c>
      <c r="P68" s="101">
        <v>44969</v>
      </c>
    </row>
    <row r="69" spans="1:16" ht="34.5" customHeight="1" x14ac:dyDescent="0.3">
      <c r="A69" s="102" t="s">
        <v>33</v>
      </c>
      <c r="B69" s="103" t="s">
        <v>34</v>
      </c>
      <c r="C69" s="103" t="s">
        <v>35</v>
      </c>
      <c r="D69" s="103" t="s">
        <v>36</v>
      </c>
      <c r="E69" s="103" t="s">
        <v>37</v>
      </c>
      <c r="F69" s="97" t="s">
        <v>38</v>
      </c>
      <c r="G69" s="97" t="s">
        <v>38</v>
      </c>
      <c r="H69" s="103" t="s">
        <v>39</v>
      </c>
      <c r="I69" s="97" t="s">
        <v>37</v>
      </c>
      <c r="J69" s="104">
        <v>42565</v>
      </c>
      <c r="K69" s="105">
        <v>42565</v>
      </c>
      <c r="L69" s="103">
        <v>87.5</v>
      </c>
      <c r="M69" s="103">
        <v>0</v>
      </c>
      <c r="N69" s="103">
        <v>0</v>
      </c>
      <c r="O69" s="103">
        <v>0</v>
      </c>
      <c r="P69" s="101">
        <v>401768</v>
      </c>
    </row>
    <row r="70" spans="1:16" ht="34.5" customHeight="1" x14ac:dyDescent="0.3">
      <c r="A70" s="102" t="s">
        <v>787</v>
      </c>
      <c r="B70" s="103">
        <v>96536</v>
      </c>
      <c r="C70" s="103" t="s">
        <v>107</v>
      </c>
      <c r="D70" s="103" t="s">
        <v>36</v>
      </c>
      <c r="E70" s="103" t="s">
        <v>98</v>
      </c>
      <c r="F70" s="97" t="s">
        <v>99</v>
      </c>
      <c r="G70" s="97" t="s">
        <v>99</v>
      </c>
      <c r="H70" s="103" t="s">
        <v>102</v>
      </c>
      <c r="I70" s="97" t="s">
        <v>101</v>
      </c>
      <c r="J70" s="104"/>
      <c r="K70" s="105">
        <v>35242</v>
      </c>
      <c r="L70" s="103">
        <v>0.45</v>
      </c>
      <c r="M70" s="103">
        <v>0</v>
      </c>
      <c r="N70" s="103">
        <v>0</v>
      </c>
      <c r="O70" s="103">
        <v>0</v>
      </c>
      <c r="P70" s="101">
        <v>401768</v>
      </c>
    </row>
    <row r="71" spans="1:16" ht="34.5" customHeight="1" x14ac:dyDescent="0.3">
      <c r="A71" s="102" t="s">
        <v>787</v>
      </c>
      <c r="B71" s="103">
        <v>7930</v>
      </c>
      <c r="C71" s="103" t="s">
        <v>778</v>
      </c>
      <c r="D71" s="103" t="s">
        <v>36</v>
      </c>
      <c r="E71" s="103" t="s">
        <v>98</v>
      </c>
      <c r="F71" s="97" t="s">
        <v>99</v>
      </c>
      <c r="G71" s="97" t="s">
        <v>99</v>
      </c>
      <c r="H71" s="103" t="s">
        <v>102</v>
      </c>
      <c r="I71" s="97" t="s">
        <v>101</v>
      </c>
      <c r="J71" s="104"/>
      <c r="K71" s="105">
        <v>35296</v>
      </c>
      <c r="L71" s="103">
        <v>1.45</v>
      </c>
      <c r="M71" s="103">
        <v>0.01</v>
      </c>
      <c r="N71" s="103">
        <v>0</v>
      </c>
      <c r="O71" s="103">
        <v>0</v>
      </c>
      <c r="P71" s="101">
        <v>401768</v>
      </c>
    </row>
    <row r="72" spans="1:16" ht="34.5" customHeight="1" x14ac:dyDescent="0.3">
      <c r="A72" s="102" t="s">
        <v>787</v>
      </c>
      <c r="B72" s="103">
        <v>966720</v>
      </c>
      <c r="C72" s="103" t="s">
        <v>208</v>
      </c>
      <c r="D72" s="103" t="s">
        <v>36</v>
      </c>
      <c r="E72" s="103" t="s">
        <v>98</v>
      </c>
      <c r="F72" s="97" t="s">
        <v>99</v>
      </c>
      <c r="G72" s="97" t="s">
        <v>99</v>
      </c>
      <c r="H72" s="103" t="s">
        <v>208</v>
      </c>
      <c r="I72" s="97" t="s">
        <v>98</v>
      </c>
      <c r="J72" s="104"/>
      <c r="K72" s="105">
        <v>35296</v>
      </c>
      <c r="L72" s="103">
        <v>0.36</v>
      </c>
      <c r="M72" s="103">
        <v>0</v>
      </c>
      <c r="N72" s="103">
        <v>0</v>
      </c>
      <c r="O72" s="103">
        <v>0</v>
      </c>
      <c r="P72" s="101">
        <v>401768</v>
      </c>
    </row>
    <row r="73" spans="1:16" ht="34.5" customHeight="1" x14ac:dyDescent="0.3">
      <c r="A73" s="102" t="s">
        <v>50</v>
      </c>
      <c r="B73" s="103">
        <v>15766</v>
      </c>
      <c r="C73" s="103" t="s">
        <v>52</v>
      </c>
      <c r="D73" s="103" t="s">
        <v>20</v>
      </c>
      <c r="E73" s="103" t="s">
        <v>37</v>
      </c>
      <c r="F73" s="97" t="s">
        <v>38</v>
      </c>
      <c r="G73" s="97" t="s">
        <v>38</v>
      </c>
      <c r="H73" s="103" t="s">
        <v>779</v>
      </c>
      <c r="I73" s="97" t="s">
        <v>37</v>
      </c>
      <c r="J73" s="104">
        <v>44143</v>
      </c>
      <c r="K73" s="105">
        <v>44068</v>
      </c>
      <c r="L73" s="103">
        <v>320</v>
      </c>
      <c r="M73" s="103">
        <v>0</v>
      </c>
      <c r="N73" s="103">
        <v>0</v>
      </c>
      <c r="O73" s="103">
        <v>0</v>
      </c>
      <c r="P73" s="101">
        <v>401768</v>
      </c>
    </row>
    <row r="74" spans="1:16" ht="34.5" customHeight="1" x14ac:dyDescent="0.3">
      <c r="A74" s="102" t="s">
        <v>1050</v>
      </c>
      <c r="B74" s="103" t="s">
        <v>855</v>
      </c>
      <c r="C74" s="103" t="s">
        <v>839</v>
      </c>
      <c r="D74" s="103" t="s">
        <v>808</v>
      </c>
      <c r="E74" s="103" t="s">
        <v>98</v>
      </c>
      <c r="F74" s="97" t="s">
        <v>103</v>
      </c>
      <c r="G74" s="97" t="s">
        <v>103</v>
      </c>
      <c r="H74" s="103" t="s">
        <v>809</v>
      </c>
      <c r="I74" s="97" t="s">
        <v>810</v>
      </c>
      <c r="J74" s="104"/>
      <c r="K74" s="105">
        <v>43470</v>
      </c>
      <c r="L74" s="103">
        <v>0.17</v>
      </c>
      <c r="M74" s="103">
        <v>0.42</v>
      </c>
      <c r="N74" s="103"/>
      <c r="O74" s="103"/>
      <c r="P74" s="101">
        <v>401768</v>
      </c>
    </row>
    <row r="75" spans="1:16" ht="34.5" customHeight="1" x14ac:dyDescent="0.3">
      <c r="A75" s="102" t="s">
        <v>60</v>
      </c>
      <c r="B75" s="103" t="s">
        <v>61</v>
      </c>
      <c r="C75" s="103" t="s">
        <v>62</v>
      </c>
      <c r="D75" s="103" t="s">
        <v>36</v>
      </c>
      <c r="E75" s="103" t="s">
        <v>37</v>
      </c>
      <c r="F75" s="97" t="s">
        <v>774</v>
      </c>
      <c r="G75" s="97" t="s">
        <v>38</v>
      </c>
      <c r="H75" s="103" t="s">
        <v>63</v>
      </c>
      <c r="I75" s="97" t="s">
        <v>56</v>
      </c>
      <c r="J75" s="104">
        <v>42101</v>
      </c>
      <c r="K75" s="105">
        <v>42214</v>
      </c>
      <c r="L75" s="103">
        <v>291.8</v>
      </c>
      <c r="M75" s="103">
        <v>0</v>
      </c>
      <c r="N75" s="103"/>
      <c r="O75" s="103">
        <v>0.24199999999999999</v>
      </c>
      <c r="P75" s="101">
        <v>51345</v>
      </c>
    </row>
    <row r="76" spans="1:16" ht="34.5" customHeight="1" x14ac:dyDescent="0.3">
      <c r="A76" s="102" t="s">
        <v>1051</v>
      </c>
      <c r="B76" s="103" t="s">
        <v>856</v>
      </c>
      <c r="C76" s="103" t="s">
        <v>857</v>
      </c>
      <c r="D76" s="103" t="s">
        <v>20</v>
      </c>
      <c r="E76" s="103" t="s">
        <v>37</v>
      </c>
      <c r="F76" s="97" t="s">
        <v>38</v>
      </c>
      <c r="G76" s="97" t="s">
        <v>38</v>
      </c>
      <c r="H76" s="103" t="s">
        <v>62</v>
      </c>
      <c r="I76" s="97" t="s">
        <v>56</v>
      </c>
      <c r="J76" s="104">
        <v>43161</v>
      </c>
      <c r="K76" s="105">
        <v>43210</v>
      </c>
      <c r="L76" s="103">
        <v>337.5</v>
      </c>
      <c r="M76" s="103">
        <v>0</v>
      </c>
      <c r="N76" s="103">
        <v>0</v>
      </c>
      <c r="O76" s="103">
        <v>0</v>
      </c>
      <c r="P76" s="101">
        <v>401768</v>
      </c>
    </row>
    <row r="77" spans="1:16" ht="34.5" customHeight="1" x14ac:dyDescent="0.3">
      <c r="A77" s="102" t="s">
        <v>71</v>
      </c>
      <c r="B77" s="103">
        <v>11839</v>
      </c>
      <c r="C77" s="103" t="s">
        <v>73</v>
      </c>
      <c r="D77" s="103" t="s">
        <v>20</v>
      </c>
      <c r="E77" s="103" t="s">
        <v>37</v>
      </c>
      <c r="F77" s="97" t="s">
        <v>38</v>
      </c>
      <c r="G77" s="97" t="s">
        <v>38</v>
      </c>
      <c r="H77" s="103" t="s">
        <v>74</v>
      </c>
      <c r="I77" s="97" t="s">
        <v>56</v>
      </c>
      <c r="J77" s="104">
        <v>43994</v>
      </c>
      <c r="K77" s="105">
        <v>44028</v>
      </c>
      <c r="L77" s="103">
        <v>9.1999999999999993</v>
      </c>
      <c r="M77" s="103">
        <v>0</v>
      </c>
      <c r="N77" s="103">
        <v>0</v>
      </c>
      <c r="O77" s="103">
        <v>0</v>
      </c>
      <c r="P77" s="101">
        <v>401768</v>
      </c>
    </row>
    <row r="78" spans="1:16" ht="34.5" customHeight="1" x14ac:dyDescent="0.3">
      <c r="A78" s="102" t="s">
        <v>71</v>
      </c>
      <c r="B78" s="103">
        <v>5598</v>
      </c>
      <c r="C78" s="103" t="s">
        <v>780</v>
      </c>
      <c r="D78" s="103" t="s">
        <v>781</v>
      </c>
      <c r="E78" s="103" t="s">
        <v>37</v>
      </c>
      <c r="F78" s="97" t="s">
        <v>38</v>
      </c>
      <c r="G78" s="97" t="s">
        <v>38</v>
      </c>
      <c r="H78" s="103" t="s">
        <v>74</v>
      </c>
      <c r="I78" s="97" t="s">
        <v>56</v>
      </c>
      <c r="J78" s="104">
        <v>43994</v>
      </c>
      <c r="K78" s="105">
        <v>45008</v>
      </c>
      <c r="L78" s="103">
        <v>0.39</v>
      </c>
      <c r="M78" s="103">
        <v>0</v>
      </c>
      <c r="N78" s="103">
        <v>2.7E-2</v>
      </c>
      <c r="O78" s="103">
        <v>0</v>
      </c>
      <c r="P78" s="101">
        <v>401768</v>
      </c>
    </row>
    <row r="79" spans="1:16" ht="34.5" customHeight="1" x14ac:dyDescent="0.3">
      <c r="A79" s="102" t="s">
        <v>71</v>
      </c>
      <c r="B79" s="103">
        <v>5596</v>
      </c>
      <c r="C79" s="103" t="s">
        <v>782</v>
      </c>
      <c r="D79" s="103" t="s">
        <v>20</v>
      </c>
      <c r="E79" s="103" t="s">
        <v>37</v>
      </c>
      <c r="F79" s="97" t="s">
        <v>38</v>
      </c>
      <c r="G79" s="97" t="s">
        <v>38</v>
      </c>
      <c r="H79" s="103" t="s">
        <v>74</v>
      </c>
      <c r="I79" s="97" t="s">
        <v>56</v>
      </c>
      <c r="J79" s="104">
        <v>43994</v>
      </c>
      <c r="K79" s="105">
        <v>44991</v>
      </c>
      <c r="L79" s="103">
        <v>0.49</v>
      </c>
      <c r="M79" s="103">
        <v>0.02</v>
      </c>
      <c r="N79" s="103">
        <v>0</v>
      </c>
      <c r="O79" s="103">
        <v>0.01</v>
      </c>
      <c r="P79" s="101">
        <v>401768</v>
      </c>
    </row>
    <row r="80" spans="1:16" ht="34.5" customHeight="1" x14ac:dyDescent="0.3">
      <c r="A80" s="102" t="s">
        <v>96</v>
      </c>
      <c r="B80" s="103" t="s">
        <v>97</v>
      </c>
      <c r="C80" s="103" t="s">
        <v>107</v>
      </c>
      <c r="D80" s="103" t="s">
        <v>36</v>
      </c>
      <c r="E80" s="103" t="s">
        <v>98</v>
      </c>
      <c r="F80" s="97" t="s">
        <v>99</v>
      </c>
      <c r="G80" s="97" t="s">
        <v>99</v>
      </c>
      <c r="H80" s="103" t="s">
        <v>100</v>
      </c>
      <c r="I80" s="97" t="s">
        <v>98</v>
      </c>
      <c r="J80" s="104">
        <v>35941</v>
      </c>
      <c r="K80" s="105">
        <v>36574</v>
      </c>
      <c r="L80" s="103">
        <v>2.1579000000000002</v>
      </c>
      <c r="M80" s="103">
        <v>0.19800000000000001</v>
      </c>
      <c r="N80" s="103">
        <v>0</v>
      </c>
      <c r="O80" s="103">
        <v>0.104</v>
      </c>
      <c r="P80" s="101">
        <v>401768</v>
      </c>
    </row>
    <row r="81" spans="1:16" ht="34.5" customHeight="1" x14ac:dyDescent="0.3">
      <c r="A81" s="102" t="s">
        <v>83</v>
      </c>
      <c r="B81" s="103" t="s">
        <v>86</v>
      </c>
      <c r="C81" s="103" t="s">
        <v>89</v>
      </c>
      <c r="D81" s="103" t="s">
        <v>66</v>
      </c>
      <c r="E81" s="103" t="s">
        <v>87</v>
      </c>
      <c r="F81" s="97" t="s">
        <v>85</v>
      </c>
      <c r="G81" s="97" t="s">
        <v>85</v>
      </c>
      <c r="H81" s="103" t="s">
        <v>88</v>
      </c>
      <c r="I81" s="97" t="s">
        <v>87</v>
      </c>
      <c r="J81" s="104"/>
      <c r="K81" s="105">
        <v>44572</v>
      </c>
      <c r="L81" s="103">
        <v>4.5</v>
      </c>
      <c r="M81" s="103">
        <v>0.32</v>
      </c>
      <c r="N81" s="103">
        <v>0</v>
      </c>
      <c r="O81" s="103">
        <v>0.32</v>
      </c>
      <c r="P81" s="101">
        <v>401768</v>
      </c>
    </row>
    <row r="82" spans="1:16" ht="34.5" customHeight="1" x14ac:dyDescent="0.3">
      <c r="A82" s="102" t="s">
        <v>114</v>
      </c>
      <c r="B82" s="103" t="s">
        <v>115</v>
      </c>
      <c r="C82" s="103" t="s">
        <v>126</v>
      </c>
      <c r="D82" s="103" t="s">
        <v>66</v>
      </c>
      <c r="E82" s="103" t="s">
        <v>98</v>
      </c>
      <c r="F82" s="97" t="s">
        <v>29</v>
      </c>
      <c r="G82" s="97" t="s">
        <v>29</v>
      </c>
      <c r="H82" s="103" t="s">
        <v>783</v>
      </c>
      <c r="I82" s="97" t="s">
        <v>116</v>
      </c>
      <c r="J82" s="104">
        <v>40126</v>
      </c>
      <c r="K82" s="105">
        <v>40126</v>
      </c>
      <c r="L82" s="103">
        <v>5</v>
      </c>
      <c r="M82" s="103">
        <v>0</v>
      </c>
      <c r="N82" s="103">
        <v>0</v>
      </c>
      <c r="O82" s="103">
        <v>0</v>
      </c>
      <c r="P82" s="101">
        <v>401768</v>
      </c>
    </row>
    <row r="83" spans="1:16" ht="34.5" customHeight="1" x14ac:dyDescent="0.3">
      <c r="A83" s="102" t="s">
        <v>65</v>
      </c>
      <c r="B83" s="103" t="s">
        <v>931</v>
      </c>
      <c r="C83" s="103" t="s">
        <v>858</v>
      </c>
      <c r="D83" s="103" t="s">
        <v>66</v>
      </c>
      <c r="E83" s="103" t="s">
        <v>37</v>
      </c>
      <c r="F83" s="97" t="s">
        <v>38</v>
      </c>
      <c r="G83" s="97" t="s">
        <v>38</v>
      </c>
      <c r="H83" s="103" t="s">
        <v>56</v>
      </c>
      <c r="I83" s="97" t="s">
        <v>56</v>
      </c>
      <c r="J83" s="104"/>
      <c r="K83" s="105">
        <v>40935</v>
      </c>
      <c r="L83" s="103">
        <v>5</v>
      </c>
      <c r="M83" s="103">
        <v>2.5</v>
      </c>
      <c r="N83" s="103">
        <v>0</v>
      </c>
      <c r="O83" s="103">
        <v>1.5</v>
      </c>
      <c r="P83" s="101">
        <v>401768</v>
      </c>
    </row>
    <row r="84" spans="1:16" ht="34.5" customHeight="1" x14ac:dyDescent="0.3">
      <c r="A84" s="102" t="s">
        <v>32</v>
      </c>
      <c r="B84" s="103" t="s">
        <v>859</v>
      </c>
      <c r="C84" s="103" t="s">
        <v>932</v>
      </c>
      <c r="D84" s="103" t="s">
        <v>20</v>
      </c>
      <c r="E84" s="103" t="s">
        <v>25</v>
      </c>
      <c r="F84" s="97" t="s">
        <v>29</v>
      </c>
      <c r="G84" s="97" t="s">
        <v>29</v>
      </c>
      <c r="H84" s="103" t="s">
        <v>933</v>
      </c>
      <c r="I84" s="97" t="s">
        <v>934</v>
      </c>
      <c r="J84" s="104">
        <v>42368</v>
      </c>
      <c r="K84" s="105">
        <v>42429</v>
      </c>
      <c r="L84" s="103">
        <v>870</v>
      </c>
      <c r="M84" s="103">
        <v>0</v>
      </c>
      <c r="N84" s="103">
        <v>380</v>
      </c>
      <c r="O84" s="103">
        <v>490</v>
      </c>
      <c r="P84" s="101">
        <v>401768</v>
      </c>
    </row>
    <row r="85" spans="1:16" ht="34.5" customHeight="1" x14ac:dyDescent="0.3">
      <c r="A85" s="102" t="s">
        <v>878</v>
      </c>
      <c r="B85" s="103" t="s">
        <v>944</v>
      </c>
      <c r="C85" s="103" t="s">
        <v>864</v>
      </c>
      <c r="D85" s="103" t="s">
        <v>36</v>
      </c>
      <c r="E85" s="103" t="s">
        <v>865</v>
      </c>
      <c r="F85" s="97" t="s">
        <v>866</v>
      </c>
      <c r="G85" s="97" t="s">
        <v>866</v>
      </c>
      <c r="H85" s="103" t="s">
        <v>945</v>
      </c>
      <c r="I85" s="97" t="s">
        <v>21</v>
      </c>
      <c r="J85" s="104">
        <v>38826</v>
      </c>
      <c r="K85" s="105">
        <v>38826</v>
      </c>
      <c r="L85" s="103">
        <v>4.6150000000000002</v>
      </c>
      <c r="M85" s="103">
        <v>1.99</v>
      </c>
      <c r="N85" s="103"/>
      <c r="O85" s="103"/>
      <c r="P85" s="101">
        <v>401768</v>
      </c>
    </row>
    <row r="86" spans="1:16" ht="34.5" customHeight="1" x14ac:dyDescent="0.3">
      <c r="A86" s="102" t="s">
        <v>878</v>
      </c>
      <c r="B86" s="103">
        <v>13309</v>
      </c>
      <c r="C86" s="103" t="s">
        <v>831</v>
      </c>
      <c r="D86" s="103" t="s">
        <v>808</v>
      </c>
      <c r="E86" s="103" t="s">
        <v>92</v>
      </c>
      <c r="F86" s="97" t="s">
        <v>763</v>
      </c>
      <c r="G86" s="97" t="s">
        <v>763</v>
      </c>
      <c r="H86" s="103" t="s">
        <v>831</v>
      </c>
      <c r="I86" s="97" t="s">
        <v>92</v>
      </c>
      <c r="J86" s="104">
        <v>44708</v>
      </c>
      <c r="K86" s="105">
        <v>44708</v>
      </c>
      <c r="L86" s="103">
        <v>1.5</v>
      </c>
      <c r="M86" s="103">
        <v>0</v>
      </c>
      <c r="N86" s="103"/>
      <c r="O86" s="103"/>
      <c r="P86" s="101"/>
    </row>
    <row r="87" spans="1:16" ht="34.5" customHeight="1" x14ac:dyDescent="0.3">
      <c r="A87" s="102" t="s">
        <v>878</v>
      </c>
      <c r="B87" s="103">
        <v>12204</v>
      </c>
      <c r="C87" s="103" t="s">
        <v>98</v>
      </c>
      <c r="D87" s="103" t="s">
        <v>808</v>
      </c>
      <c r="E87" s="103" t="s">
        <v>98</v>
      </c>
      <c r="F87" s="97" t="s">
        <v>867</v>
      </c>
      <c r="G87" s="97" t="s">
        <v>871</v>
      </c>
      <c r="H87" s="103" t="s">
        <v>98</v>
      </c>
      <c r="I87" s="97" t="s">
        <v>98</v>
      </c>
      <c r="J87" s="104">
        <v>45034</v>
      </c>
      <c r="K87" s="105">
        <v>45034</v>
      </c>
      <c r="L87" s="103">
        <v>0.96</v>
      </c>
      <c r="M87" s="103"/>
      <c r="N87" s="103"/>
      <c r="O87" s="103"/>
      <c r="P87" s="101">
        <v>401768</v>
      </c>
    </row>
    <row r="88" spans="1:16" ht="34.5" customHeight="1" x14ac:dyDescent="0.3">
      <c r="A88" s="102" t="s">
        <v>878</v>
      </c>
      <c r="B88" s="103">
        <v>13541</v>
      </c>
      <c r="C88" s="103" t="s">
        <v>949</v>
      </c>
      <c r="D88" s="103" t="s">
        <v>808</v>
      </c>
      <c r="E88" s="103" t="s">
        <v>98</v>
      </c>
      <c r="F88" s="97" t="s">
        <v>103</v>
      </c>
      <c r="G88" s="97" t="s">
        <v>103</v>
      </c>
      <c r="H88" s="103" t="s">
        <v>949</v>
      </c>
      <c r="I88" s="97" t="s">
        <v>116</v>
      </c>
      <c r="J88" s="104">
        <v>45041</v>
      </c>
      <c r="K88" s="105">
        <v>45041</v>
      </c>
      <c r="L88" s="103">
        <v>1.31</v>
      </c>
      <c r="M88" s="103">
        <v>0</v>
      </c>
      <c r="N88" s="103"/>
      <c r="O88" s="103"/>
      <c r="P88" s="101"/>
    </row>
    <row r="89" spans="1:16" ht="34.5" customHeight="1" x14ac:dyDescent="0.3">
      <c r="A89" s="102" t="s">
        <v>878</v>
      </c>
      <c r="B89" s="103">
        <v>12205</v>
      </c>
      <c r="C89" s="103" t="s">
        <v>948</v>
      </c>
      <c r="D89" s="103" t="s">
        <v>808</v>
      </c>
      <c r="E89" s="103" t="s">
        <v>98</v>
      </c>
      <c r="F89" s="97" t="s">
        <v>103</v>
      </c>
      <c r="G89" s="97" t="s">
        <v>103</v>
      </c>
      <c r="H89" s="103" t="s">
        <v>948</v>
      </c>
      <c r="I89" s="97" t="s">
        <v>810</v>
      </c>
      <c r="J89" s="104">
        <v>45034</v>
      </c>
      <c r="K89" s="105">
        <v>45034</v>
      </c>
      <c r="L89" s="103">
        <v>2</v>
      </c>
      <c r="M89" s="103">
        <v>0</v>
      </c>
      <c r="N89" s="103"/>
      <c r="O89" s="103"/>
      <c r="P89" s="101">
        <v>401768</v>
      </c>
    </row>
    <row r="90" spans="1:16" ht="34.5" customHeight="1" x14ac:dyDescent="0.3">
      <c r="A90" s="102" t="s">
        <v>878</v>
      </c>
      <c r="B90" s="103" t="s">
        <v>869</v>
      </c>
      <c r="C90" s="103" t="s">
        <v>208</v>
      </c>
      <c r="D90" s="103" t="s">
        <v>36</v>
      </c>
      <c r="E90" s="103" t="s">
        <v>98</v>
      </c>
      <c r="F90" s="97" t="s">
        <v>103</v>
      </c>
      <c r="G90" s="97" t="s">
        <v>103</v>
      </c>
      <c r="H90" s="103" t="s">
        <v>818</v>
      </c>
      <c r="I90" s="97" t="s">
        <v>98</v>
      </c>
      <c r="J90" s="104">
        <v>40177</v>
      </c>
      <c r="K90" s="105">
        <v>40177</v>
      </c>
      <c r="L90" s="103">
        <v>4.0999999999999996</v>
      </c>
      <c r="M90" s="103">
        <v>0.32</v>
      </c>
      <c r="N90" s="103"/>
      <c r="O90" s="103"/>
      <c r="P90" s="101">
        <v>401768</v>
      </c>
    </row>
    <row r="91" spans="1:16" ht="34.5" customHeight="1" x14ac:dyDescent="0.3">
      <c r="A91" s="102" t="s">
        <v>878</v>
      </c>
      <c r="B91" s="103" t="s">
        <v>946</v>
      </c>
      <c r="C91" s="103" t="s">
        <v>839</v>
      </c>
      <c r="D91" s="103" t="s">
        <v>36</v>
      </c>
      <c r="E91" s="103" t="s">
        <v>98</v>
      </c>
      <c r="F91" s="97" t="s">
        <v>103</v>
      </c>
      <c r="G91" s="97" t="s">
        <v>103</v>
      </c>
      <c r="H91" s="103" t="s">
        <v>947</v>
      </c>
      <c r="I91" s="97" t="s">
        <v>810</v>
      </c>
      <c r="J91" s="104">
        <v>43677</v>
      </c>
      <c r="K91" s="105">
        <v>43677</v>
      </c>
      <c r="L91" s="103">
        <v>3.7189999999999999</v>
      </c>
      <c r="M91" s="103">
        <v>0.27</v>
      </c>
      <c r="N91" s="103"/>
      <c r="O91" s="103"/>
      <c r="P91" s="101">
        <v>401768</v>
      </c>
    </row>
    <row r="92" spans="1:16" ht="34.5" customHeight="1" x14ac:dyDescent="0.3">
      <c r="A92" s="102" t="s">
        <v>878</v>
      </c>
      <c r="B92" s="103" t="s">
        <v>870</v>
      </c>
      <c r="C92" s="103" t="s">
        <v>827</v>
      </c>
      <c r="D92" s="103" t="s">
        <v>808</v>
      </c>
      <c r="E92" s="103" t="s">
        <v>98</v>
      </c>
      <c r="F92" s="97" t="s">
        <v>871</v>
      </c>
      <c r="G92" s="97" t="s">
        <v>871</v>
      </c>
      <c r="H92" s="103" t="s">
        <v>868</v>
      </c>
      <c r="I92" s="97" t="s">
        <v>98</v>
      </c>
      <c r="J92" s="104">
        <v>43657</v>
      </c>
      <c r="K92" s="105">
        <v>43657</v>
      </c>
      <c r="L92" s="103">
        <v>0.3</v>
      </c>
      <c r="M92" s="103">
        <v>0.08</v>
      </c>
      <c r="N92" s="103"/>
      <c r="O92" s="103"/>
      <c r="P92" s="101">
        <v>401768</v>
      </c>
    </row>
    <row r="93" spans="1:16" ht="34.5" customHeight="1" x14ac:dyDescent="0.3">
      <c r="A93" s="102" t="s">
        <v>878</v>
      </c>
      <c r="B93" s="103" t="s">
        <v>872</v>
      </c>
      <c r="C93" s="103" t="s">
        <v>839</v>
      </c>
      <c r="D93" s="103" t="s">
        <v>808</v>
      </c>
      <c r="E93" s="103" t="s">
        <v>98</v>
      </c>
      <c r="F93" s="97" t="s">
        <v>103</v>
      </c>
      <c r="G93" s="97" t="s">
        <v>103</v>
      </c>
      <c r="H93" s="103" t="s">
        <v>809</v>
      </c>
      <c r="I93" s="97" t="s">
        <v>810</v>
      </c>
      <c r="J93" s="104">
        <v>44452</v>
      </c>
      <c r="K93" s="105">
        <v>44452</v>
      </c>
      <c r="L93" s="103">
        <v>0.156</v>
      </c>
      <c r="M93" s="103">
        <v>0</v>
      </c>
      <c r="N93" s="103"/>
      <c r="O93" s="103"/>
      <c r="P93" s="101">
        <v>401768</v>
      </c>
    </row>
    <row r="94" spans="1:16" ht="34.5" customHeight="1" x14ac:dyDescent="0.3">
      <c r="A94" s="102" t="s">
        <v>878</v>
      </c>
      <c r="B94" s="103" t="s">
        <v>873</v>
      </c>
      <c r="C94" s="103" t="s">
        <v>839</v>
      </c>
      <c r="D94" s="103" t="s">
        <v>808</v>
      </c>
      <c r="E94" s="103" t="s">
        <v>98</v>
      </c>
      <c r="F94" s="97" t="s">
        <v>103</v>
      </c>
      <c r="G94" s="97" t="s">
        <v>103</v>
      </c>
      <c r="H94" s="103" t="s">
        <v>809</v>
      </c>
      <c r="I94" s="97" t="s">
        <v>810</v>
      </c>
      <c r="J94" s="104">
        <v>44452</v>
      </c>
      <c r="K94" s="105">
        <v>44452</v>
      </c>
      <c r="L94" s="103">
        <v>0.14099999999999999</v>
      </c>
      <c r="M94" s="103">
        <v>0</v>
      </c>
      <c r="N94" s="103"/>
      <c r="O94" s="103"/>
      <c r="P94" s="101">
        <v>401768</v>
      </c>
    </row>
    <row r="95" spans="1:16" ht="34.5" customHeight="1" x14ac:dyDescent="0.3">
      <c r="A95" s="102" t="s">
        <v>878</v>
      </c>
      <c r="B95" s="103" t="s">
        <v>874</v>
      </c>
      <c r="C95" s="103" t="s">
        <v>839</v>
      </c>
      <c r="D95" s="103" t="s">
        <v>808</v>
      </c>
      <c r="E95" s="103" t="s">
        <v>98</v>
      </c>
      <c r="F95" s="97" t="s">
        <v>103</v>
      </c>
      <c r="G95" s="97" t="s">
        <v>103</v>
      </c>
      <c r="H95" s="103" t="s">
        <v>809</v>
      </c>
      <c r="I95" s="97" t="s">
        <v>810</v>
      </c>
      <c r="J95" s="104">
        <v>44452</v>
      </c>
      <c r="K95" s="105">
        <v>44452</v>
      </c>
      <c r="L95" s="103">
        <v>0.108</v>
      </c>
      <c r="M95" s="103">
        <v>0</v>
      </c>
      <c r="N95" s="103"/>
      <c r="O95" s="103"/>
      <c r="P95" s="101">
        <v>401768</v>
      </c>
    </row>
    <row r="96" spans="1:16" ht="34.5" customHeight="1" x14ac:dyDescent="0.3">
      <c r="A96" s="102" t="s">
        <v>878</v>
      </c>
      <c r="B96" s="103" t="s">
        <v>875</v>
      </c>
      <c r="C96" s="103" t="s">
        <v>876</v>
      </c>
      <c r="D96" s="103" t="s">
        <v>808</v>
      </c>
      <c r="E96" s="103" t="s">
        <v>98</v>
      </c>
      <c r="F96" s="97" t="s">
        <v>103</v>
      </c>
      <c r="G96" s="97" t="s">
        <v>103</v>
      </c>
      <c r="H96" s="103" t="s">
        <v>208</v>
      </c>
      <c r="I96" s="97" t="s">
        <v>810</v>
      </c>
      <c r="J96" s="104">
        <v>44462</v>
      </c>
      <c r="K96" s="105">
        <v>44462</v>
      </c>
      <c r="L96" s="103">
        <v>0.95</v>
      </c>
      <c r="M96" s="103">
        <v>0</v>
      </c>
      <c r="N96" s="103"/>
      <c r="O96" s="103"/>
      <c r="P96" s="101">
        <v>401768</v>
      </c>
    </row>
    <row r="97" spans="1:16" ht="34.5" customHeight="1" x14ac:dyDescent="0.3">
      <c r="A97" s="102" t="s">
        <v>878</v>
      </c>
      <c r="B97" s="103" t="s">
        <v>877</v>
      </c>
      <c r="C97" s="103" t="s">
        <v>831</v>
      </c>
      <c r="D97" s="103" t="s">
        <v>808</v>
      </c>
      <c r="E97" s="103" t="s">
        <v>92</v>
      </c>
      <c r="F97" s="97" t="s">
        <v>763</v>
      </c>
      <c r="G97" s="97" t="s">
        <v>763</v>
      </c>
      <c r="H97" s="103" t="s">
        <v>831</v>
      </c>
      <c r="I97" s="97" t="s">
        <v>92</v>
      </c>
      <c r="J97" s="104">
        <v>44708</v>
      </c>
      <c r="K97" s="105">
        <v>44708</v>
      </c>
      <c r="L97" s="103">
        <v>0.75</v>
      </c>
      <c r="M97" s="103">
        <v>0</v>
      </c>
      <c r="N97" s="103"/>
      <c r="O97" s="103"/>
      <c r="P97" s="101">
        <v>401768</v>
      </c>
    </row>
    <row r="98" spans="1:16" ht="34.5" customHeight="1" x14ac:dyDescent="0.3">
      <c r="A98" s="102" t="s">
        <v>1052</v>
      </c>
      <c r="B98" s="103">
        <v>10862</v>
      </c>
      <c r="C98" s="103" t="s">
        <v>843</v>
      </c>
      <c r="D98" s="103" t="s">
        <v>808</v>
      </c>
      <c r="E98" s="103" t="s">
        <v>98</v>
      </c>
      <c r="F98" s="97" t="s">
        <v>798</v>
      </c>
      <c r="G98" s="97" t="s">
        <v>123</v>
      </c>
      <c r="H98" s="103" t="s">
        <v>935</v>
      </c>
      <c r="I98" s="97" t="s">
        <v>116</v>
      </c>
      <c r="J98" s="104"/>
      <c r="K98" s="105">
        <v>43196</v>
      </c>
      <c r="L98" s="103"/>
      <c r="M98" s="103"/>
      <c r="N98" s="103"/>
      <c r="O98" s="103"/>
      <c r="P98" s="101">
        <v>401768</v>
      </c>
    </row>
    <row r="99" spans="1:16" ht="34.5" customHeight="1" x14ac:dyDescent="0.3">
      <c r="A99" s="102" t="s">
        <v>1053</v>
      </c>
      <c r="B99" s="103" t="s">
        <v>950</v>
      </c>
      <c r="C99" s="103" t="s">
        <v>951</v>
      </c>
      <c r="D99" s="103" t="s">
        <v>808</v>
      </c>
      <c r="E99" s="103" t="s">
        <v>98</v>
      </c>
      <c r="F99" s="97" t="s">
        <v>123</v>
      </c>
      <c r="G99" s="97" t="s">
        <v>123</v>
      </c>
      <c r="H99" s="103" t="s">
        <v>844</v>
      </c>
      <c r="I99" s="97" t="s">
        <v>116</v>
      </c>
      <c r="J99" s="104"/>
      <c r="K99" s="105">
        <v>43195</v>
      </c>
      <c r="L99" s="103">
        <v>0</v>
      </c>
      <c r="M99" s="103">
        <v>0</v>
      </c>
      <c r="N99" s="103">
        <v>0</v>
      </c>
      <c r="O99" s="103">
        <v>0</v>
      </c>
      <c r="P99" s="101">
        <v>401768</v>
      </c>
    </row>
    <row r="100" spans="1:16" ht="34.5" customHeight="1" x14ac:dyDescent="0.3">
      <c r="A100" s="102" t="s">
        <v>249</v>
      </c>
      <c r="B100" s="103" t="s">
        <v>861</v>
      </c>
      <c r="C100" s="103" t="s">
        <v>862</v>
      </c>
      <c r="D100" s="103" t="s">
        <v>36</v>
      </c>
      <c r="E100" s="103" t="s">
        <v>205</v>
      </c>
      <c r="F100" s="97" t="s">
        <v>29</v>
      </c>
      <c r="G100" s="97" t="s">
        <v>29</v>
      </c>
      <c r="H100" s="103" t="s">
        <v>862</v>
      </c>
      <c r="I100" s="97" t="s">
        <v>863</v>
      </c>
      <c r="J100" s="104">
        <v>39727</v>
      </c>
      <c r="K100" s="105">
        <v>40768</v>
      </c>
      <c r="L100" s="103">
        <v>661</v>
      </c>
      <c r="M100" s="103"/>
      <c r="N100" s="103"/>
      <c r="O100" s="103"/>
      <c r="P100" s="101">
        <v>401768</v>
      </c>
    </row>
    <row r="101" spans="1:16" ht="34.5" customHeight="1" x14ac:dyDescent="0.3">
      <c r="A101" s="102" t="s">
        <v>42</v>
      </c>
      <c r="B101" s="103" t="s">
        <v>43</v>
      </c>
      <c r="C101" s="103" t="s">
        <v>44</v>
      </c>
      <c r="D101" s="103" t="s">
        <v>20</v>
      </c>
      <c r="E101" s="103" t="s">
        <v>37</v>
      </c>
      <c r="F101" s="97" t="s">
        <v>38</v>
      </c>
      <c r="G101" s="97" t="s">
        <v>38</v>
      </c>
      <c r="H101" s="103" t="s">
        <v>784</v>
      </c>
      <c r="I101" s="97" t="s">
        <v>785</v>
      </c>
      <c r="J101" s="104">
        <v>42955</v>
      </c>
      <c r="K101" s="105">
        <v>42955</v>
      </c>
      <c r="L101" s="103">
        <v>113.2</v>
      </c>
      <c r="M101" s="103">
        <v>0</v>
      </c>
      <c r="N101" s="103">
        <v>0</v>
      </c>
      <c r="O101" s="103">
        <v>0</v>
      </c>
      <c r="P101" s="101">
        <v>401768</v>
      </c>
    </row>
    <row r="102" spans="1:16" ht="34.5" customHeight="1" x14ac:dyDescent="0.3">
      <c r="A102" s="102" t="s">
        <v>112</v>
      </c>
      <c r="B102" s="103">
        <v>9828</v>
      </c>
      <c r="C102" s="103" t="s">
        <v>879</v>
      </c>
      <c r="D102" s="103" t="s">
        <v>36</v>
      </c>
      <c r="E102" s="103" t="s">
        <v>98</v>
      </c>
      <c r="F102" s="97" t="s">
        <v>99</v>
      </c>
      <c r="G102" s="97" t="s">
        <v>99</v>
      </c>
      <c r="H102" s="103" t="s">
        <v>818</v>
      </c>
      <c r="I102" s="97" t="s">
        <v>98</v>
      </c>
      <c r="J102" s="104">
        <v>35943</v>
      </c>
      <c r="K102" s="105">
        <v>35807</v>
      </c>
      <c r="L102" s="103"/>
      <c r="M102" s="103">
        <v>0.6</v>
      </c>
      <c r="N102" s="103"/>
      <c r="O102" s="103">
        <v>0.1</v>
      </c>
      <c r="P102" s="101">
        <v>401768</v>
      </c>
    </row>
    <row r="103" spans="1:16" ht="34.5" customHeight="1" x14ac:dyDescent="0.3">
      <c r="A103" s="102" t="s">
        <v>382</v>
      </c>
      <c r="B103" s="103" t="s">
        <v>938</v>
      </c>
      <c r="C103" s="103" t="s">
        <v>937</v>
      </c>
      <c r="D103" s="103" t="s">
        <v>20</v>
      </c>
      <c r="E103" s="103" t="s">
        <v>37</v>
      </c>
      <c r="F103" s="97" t="s">
        <v>38</v>
      </c>
      <c r="G103" s="97" t="s">
        <v>38</v>
      </c>
      <c r="H103" s="103" t="s">
        <v>854</v>
      </c>
      <c r="I103" s="97" t="s">
        <v>37</v>
      </c>
      <c r="J103" s="104">
        <v>40818</v>
      </c>
      <c r="K103" s="105">
        <v>40940</v>
      </c>
      <c r="L103" s="103">
        <v>40</v>
      </c>
      <c r="M103" s="103">
        <v>0</v>
      </c>
      <c r="N103" s="103">
        <v>30</v>
      </c>
      <c r="O103" s="103">
        <v>0</v>
      </c>
      <c r="P103" s="101">
        <v>401768</v>
      </c>
    </row>
    <row r="104" spans="1:16" ht="34.5" customHeight="1" x14ac:dyDescent="0.3">
      <c r="A104" s="102" t="s">
        <v>382</v>
      </c>
      <c r="B104" s="103" t="s">
        <v>936</v>
      </c>
      <c r="C104" s="103" t="s">
        <v>937</v>
      </c>
      <c r="D104" s="103" t="s">
        <v>20</v>
      </c>
      <c r="E104" s="103" t="s">
        <v>37</v>
      </c>
      <c r="F104" s="97" t="s">
        <v>38</v>
      </c>
      <c r="G104" s="97" t="s">
        <v>38</v>
      </c>
      <c r="H104" s="103" t="s">
        <v>854</v>
      </c>
      <c r="I104" s="97" t="s">
        <v>37</v>
      </c>
      <c r="J104" s="104">
        <v>40568</v>
      </c>
      <c r="K104" s="105">
        <v>40865</v>
      </c>
      <c r="L104" s="103">
        <v>54</v>
      </c>
      <c r="M104" s="103">
        <v>0</v>
      </c>
      <c r="N104" s="103">
        <v>37.5</v>
      </c>
      <c r="O104" s="103">
        <v>0</v>
      </c>
      <c r="P104" s="101">
        <v>401768</v>
      </c>
    </row>
    <row r="105" spans="1:16" ht="34.5" customHeight="1" x14ac:dyDescent="0.3">
      <c r="A105" s="102" t="s">
        <v>880</v>
      </c>
      <c r="B105" s="103" t="s">
        <v>939</v>
      </c>
      <c r="C105" s="103" t="s">
        <v>839</v>
      </c>
      <c r="D105" s="103" t="s">
        <v>808</v>
      </c>
      <c r="E105" s="103" t="s">
        <v>98</v>
      </c>
      <c r="F105" s="97" t="s">
        <v>103</v>
      </c>
      <c r="G105" s="97" t="s">
        <v>103</v>
      </c>
      <c r="H105" s="103" t="s">
        <v>940</v>
      </c>
      <c r="I105" s="97" t="s">
        <v>98</v>
      </c>
      <c r="J105" s="104"/>
      <c r="K105" s="105">
        <v>36582</v>
      </c>
      <c r="L105" s="103">
        <v>0.2</v>
      </c>
      <c r="M105" s="103">
        <v>0.15</v>
      </c>
      <c r="N105" s="103"/>
      <c r="O105" s="103"/>
      <c r="P105" s="101">
        <v>401768</v>
      </c>
    </row>
    <row r="106" spans="1:16" ht="34.5" customHeight="1" x14ac:dyDescent="0.3">
      <c r="A106" s="102" t="s">
        <v>1055</v>
      </c>
      <c r="B106" s="103" t="s">
        <v>941</v>
      </c>
      <c r="C106" s="103" t="s">
        <v>222</v>
      </c>
      <c r="D106" s="103" t="s">
        <v>20</v>
      </c>
      <c r="E106" s="103" t="s">
        <v>37</v>
      </c>
      <c r="F106" s="97" t="s">
        <v>774</v>
      </c>
      <c r="G106" s="97" t="s">
        <v>38</v>
      </c>
      <c r="H106" s="103" t="s">
        <v>792</v>
      </c>
      <c r="I106" s="97" t="s">
        <v>56</v>
      </c>
      <c r="J106" s="104">
        <v>43846</v>
      </c>
      <c r="K106" s="105">
        <v>43878</v>
      </c>
      <c r="L106" s="103">
        <v>472.5</v>
      </c>
      <c r="M106" s="103">
        <v>0</v>
      </c>
      <c r="N106" s="103">
        <v>0</v>
      </c>
      <c r="O106" s="103">
        <v>0</v>
      </c>
      <c r="P106" s="101">
        <v>401768</v>
      </c>
    </row>
    <row r="107" spans="1:16" ht="34.5" customHeight="1" x14ac:dyDescent="0.3">
      <c r="A107" s="102" t="s">
        <v>265</v>
      </c>
      <c r="B107" s="103" t="s">
        <v>881</v>
      </c>
      <c r="C107" s="103" t="s">
        <v>942</v>
      </c>
      <c r="D107" s="103" t="s">
        <v>808</v>
      </c>
      <c r="E107" s="103" t="s">
        <v>98</v>
      </c>
      <c r="F107" s="97" t="s">
        <v>123</v>
      </c>
      <c r="G107" s="97" t="s">
        <v>123</v>
      </c>
      <c r="H107" s="103" t="s">
        <v>860</v>
      </c>
      <c r="I107" s="97" t="s">
        <v>799</v>
      </c>
      <c r="J107" s="104"/>
      <c r="K107" s="105">
        <v>44460</v>
      </c>
      <c r="L107" s="103"/>
      <c r="M107" s="103"/>
      <c r="N107" s="103"/>
      <c r="O107" s="103"/>
      <c r="P107" s="101">
        <v>401768</v>
      </c>
    </row>
    <row r="108" spans="1:16" ht="34.5" customHeight="1" x14ac:dyDescent="0.3">
      <c r="A108" s="102" t="s">
        <v>1056</v>
      </c>
      <c r="B108" s="103" t="s">
        <v>882</v>
      </c>
      <c r="C108" s="103" t="s">
        <v>883</v>
      </c>
      <c r="D108" s="103" t="s">
        <v>808</v>
      </c>
      <c r="E108" s="103" t="s">
        <v>98</v>
      </c>
      <c r="F108" s="97" t="s">
        <v>757</v>
      </c>
      <c r="G108" s="97" t="s">
        <v>757</v>
      </c>
      <c r="H108" s="103" t="s">
        <v>868</v>
      </c>
      <c r="I108" s="97" t="s">
        <v>98</v>
      </c>
      <c r="J108" s="104">
        <v>39709</v>
      </c>
      <c r="K108" s="105">
        <v>40066</v>
      </c>
      <c r="L108" s="103">
        <v>0.21</v>
      </c>
      <c r="M108" s="103">
        <v>0.08</v>
      </c>
      <c r="N108" s="103">
        <v>0</v>
      </c>
      <c r="O108" s="103">
        <v>0</v>
      </c>
      <c r="P108" s="101">
        <v>401768</v>
      </c>
    </row>
    <row r="109" spans="1:16" ht="34.5" customHeight="1" x14ac:dyDescent="0.3">
      <c r="A109" s="102" t="s">
        <v>264</v>
      </c>
      <c r="B109" s="103" t="s">
        <v>884</v>
      </c>
      <c r="C109" s="103" t="s">
        <v>885</v>
      </c>
      <c r="D109" s="103" t="s">
        <v>808</v>
      </c>
      <c r="E109" s="103" t="s">
        <v>98</v>
      </c>
      <c r="F109" s="97" t="s">
        <v>123</v>
      </c>
      <c r="G109" s="97" t="s">
        <v>123</v>
      </c>
      <c r="H109" s="103" t="s">
        <v>943</v>
      </c>
      <c r="I109" s="97" t="s">
        <v>116</v>
      </c>
      <c r="J109" s="104">
        <v>43175</v>
      </c>
      <c r="K109" s="105">
        <v>43207</v>
      </c>
      <c r="L109" s="103">
        <v>0</v>
      </c>
      <c r="M109" s="103">
        <v>0</v>
      </c>
      <c r="N109" s="103">
        <v>0</v>
      </c>
      <c r="O109" s="103">
        <v>0</v>
      </c>
      <c r="P109" s="101">
        <v>401768</v>
      </c>
    </row>
    <row r="110" spans="1:16" ht="34.5" customHeight="1" x14ac:dyDescent="0.3">
      <c r="A110" s="102" t="s">
        <v>254</v>
      </c>
      <c r="B110" s="103" t="s">
        <v>886</v>
      </c>
      <c r="C110" s="103" t="s">
        <v>839</v>
      </c>
      <c r="D110" s="103" t="s">
        <v>808</v>
      </c>
      <c r="E110" s="103" t="s">
        <v>98</v>
      </c>
      <c r="F110" s="97" t="s">
        <v>103</v>
      </c>
      <c r="G110" s="97" t="s">
        <v>103</v>
      </c>
      <c r="H110" s="103" t="s">
        <v>839</v>
      </c>
      <c r="I110" s="97" t="s">
        <v>98</v>
      </c>
      <c r="J110" s="104"/>
      <c r="K110" s="105">
        <v>42885</v>
      </c>
      <c r="L110" s="103">
        <v>0.14313899999999999</v>
      </c>
      <c r="M110" s="103">
        <v>0</v>
      </c>
      <c r="N110" s="103">
        <v>0</v>
      </c>
      <c r="O110" s="103">
        <v>0</v>
      </c>
      <c r="P110" s="101">
        <v>401768</v>
      </c>
    </row>
    <row r="111" spans="1:16" ht="34.5" customHeight="1" x14ac:dyDescent="0.3">
      <c r="A111" s="102" t="s">
        <v>1054</v>
      </c>
      <c r="B111" s="103" t="s">
        <v>1057</v>
      </c>
      <c r="C111" s="103" t="s">
        <v>1058</v>
      </c>
      <c r="D111" s="103" t="s">
        <v>36</v>
      </c>
      <c r="E111" s="103" t="s">
        <v>37</v>
      </c>
      <c r="F111" s="97" t="s">
        <v>38</v>
      </c>
      <c r="G111" s="97" t="s">
        <v>38</v>
      </c>
      <c r="H111" s="103" t="s">
        <v>850</v>
      </c>
      <c r="I111" s="97" t="s">
        <v>37</v>
      </c>
      <c r="J111" s="104">
        <v>40346</v>
      </c>
      <c r="K111" s="105">
        <v>39388</v>
      </c>
      <c r="L111" s="103">
        <v>120</v>
      </c>
      <c r="M111" s="103">
        <v>0</v>
      </c>
      <c r="N111" s="103">
        <v>0</v>
      </c>
      <c r="O111" s="103">
        <v>0</v>
      </c>
      <c r="P111" s="101">
        <v>46693</v>
      </c>
    </row>
  </sheetData>
  <autoFilter ref="A1:P111"/>
  <phoneticPr fontId="13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"/>
  <sheetViews>
    <sheetView workbookViewId="0">
      <pane ySplit="1" topLeftCell="A2" activePane="bottomLeft" state="frozen"/>
      <selection activeCell="D7" sqref="D7"/>
      <selection pane="bottomLeft" activeCell="D7" sqref="D7"/>
    </sheetView>
  </sheetViews>
  <sheetFormatPr baseColWidth="10" defaultRowHeight="14.4" x14ac:dyDescent="0.3"/>
  <cols>
    <col min="1" max="1" width="32.6640625" style="8" customWidth="1"/>
    <col min="2" max="2" width="24.44140625" style="10" customWidth="1"/>
    <col min="3" max="3" width="21.6640625" style="10" customWidth="1"/>
    <col min="4" max="4" width="19.33203125" style="10" customWidth="1"/>
    <col min="5" max="5" width="23.44140625" style="10" customWidth="1"/>
    <col min="6" max="8" width="19.33203125" style="10" customWidth="1"/>
  </cols>
  <sheetData>
    <row r="1" spans="1:8" ht="31.2" customHeight="1" x14ac:dyDescent="0.3">
      <c r="A1" s="1" t="s">
        <v>0</v>
      </c>
      <c r="B1" s="4" t="s">
        <v>3</v>
      </c>
      <c r="C1" s="4" t="s">
        <v>5</v>
      </c>
      <c r="D1" s="4" t="s">
        <v>176</v>
      </c>
      <c r="E1" s="4" t="s">
        <v>133</v>
      </c>
      <c r="F1" s="4" t="s">
        <v>134</v>
      </c>
      <c r="G1" s="4" t="s">
        <v>135</v>
      </c>
      <c r="H1" s="4" t="s">
        <v>136</v>
      </c>
    </row>
    <row r="2" spans="1:8" ht="28.95" customHeight="1" x14ac:dyDescent="0.3">
      <c r="A2" s="7" t="s">
        <v>57</v>
      </c>
      <c r="B2" s="3" t="s">
        <v>58</v>
      </c>
      <c r="C2" s="3" t="s">
        <v>20</v>
      </c>
      <c r="D2" s="3" t="s">
        <v>203</v>
      </c>
      <c r="E2" s="3" t="s">
        <v>144</v>
      </c>
      <c r="F2" s="3">
        <v>10</v>
      </c>
      <c r="G2" s="3" t="s">
        <v>145</v>
      </c>
      <c r="H2" s="3">
        <v>1</v>
      </c>
    </row>
    <row r="3" spans="1:8" ht="28.95" customHeight="1" x14ac:dyDescent="0.3">
      <c r="A3" s="7" t="s">
        <v>57</v>
      </c>
      <c r="B3" s="3" t="s">
        <v>58</v>
      </c>
      <c r="C3" s="3" t="s">
        <v>20</v>
      </c>
      <c r="D3" s="3" t="s">
        <v>203</v>
      </c>
      <c r="E3" s="3" t="s">
        <v>144</v>
      </c>
      <c r="F3" s="3">
        <v>10</v>
      </c>
      <c r="G3" s="3" t="s">
        <v>145</v>
      </c>
      <c r="H3" s="3">
        <v>1</v>
      </c>
    </row>
    <row r="4" spans="1:8" ht="28.95" customHeight="1" x14ac:dyDescent="0.3">
      <c r="A4" s="7" t="s">
        <v>57</v>
      </c>
      <c r="B4" s="3" t="s">
        <v>58</v>
      </c>
      <c r="C4" s="3" t="s">
        <v>20</v>
      </c>
      <c r="D4" s="3" t="s">
        <v>209</v>
      </c>
      <c r="E4" s="3" t="s">
        <v>148</v>
      </c>
      <c r="F4" s="3">
        <v>1012</v>
      </c>
      <c r="G4" s="3" t="s">
        <v>139</v>
      </c>
      <c r="H4" s="3">
        <v>1</v>
      </c>
    </row>
    <row r="5" spans="1:8" ht="28.95" customHeight="1" x14ac:dyDescent="0.3">
      <c r="A5" s="7" t="s">
        <v>57</v>
      </c>
      <c r="B5" s="3" t="s">
        <v>58</v>
      </c>
      <c r="C5" s="3" t="s">
        <v>20</v>
      </c>
      <c r="D5" s="3" t="s">
        <v>209</v>
      </c>
      <c r="E5" s="3" t="s">
        <v>148</v>
      </c>
      <c r="F5" s="3">
        <v>1012</v>
      </c>
      <c r="G5" s="3" t="s">
        <v>139</v>
      </c>
      <c r="H5" s="3">
        <v>1</v>
      </c>
    </row>
    <row r="6" spans="1:8" ht="28.95" customHeight="1" x14ac:dyDescent="0.3">
      <c r="A6" s="7" t="s">
        <v>57</v>
      </c>
      <c r="B6" s="3" t="s">
        <v>58</v>
      </c>
      <c r="C6" s="3" t="s">
        <v>20</v>
      </c>
      <c r="D6" s="3" t="s">
        <v>195</v>
      </c>
      <c r="E6" s="3" t="s">
        <v>139</v>
      </c>
      <c r="F6" s="3">
        <v>0</v>
      </c>
      <c r="G6" s="3" t="s">
        <v>139</v>
      </c>
      <c r="H6" s="3">
        <v>0</v>
      </c>
    </row>
    <row r="7" spans="1:8" ht="28.95" customHeight="1" x14ac:dyDescent="0.3">
      <c r="A7" s="7" t="s">
        <v>57</v>
      </c>
      <c r="B7" s="3" t="s">
        <v>58</v>
      </c>
      <c r="C7" s="3" t="s">
        <v>20</v>
      </c>
      <c r="D7" s="3" t="s">
        <v>195</v>
      </c>
      <c r="E7" s="3" t="s">
        <v>139</v>
      </c>
      <c r="F7" s="3">
        <v>0</v>
      </c>
      <c r="G7" s="3" t="s">
        <v>139</v>
      </c>
      <c r="H7" s="3">
        <v>0</v>
      </c>
    </row>
    <row r="8" spans="1:8" ht="28.95" customHeight="1" x14ac:dyDescent="0.3">
      <c r="A8" s="7" t="s">
        <v>68</v>
      </c>
      <c r="B8" s="3" t="s">
        <v>93</v>
      </c>
      <c r="C8" s="3" t="s">
        <v>20</v>
      </c>
      <c r="D8" s="3" t="s">
        <v>204</v>
      </c>
      <c r="E8" s="3" t="s">
        <v>150</v>
      </c>
      <c r="F8" s="3">
        <v>4</v>
      </c>
      <c r="G8" s="3" t="s">
        <v>151</v>
      </c>
      <c r="H8" s="3">
        <v>0</v>
      </c>
    </row>
    <row r="9" spans="1:8" ht="28.95" customHeight="1" x14ac:dyDescent="0.3">
      <c r="A9" s="7" t="s">
        <v>68</v>
      </c>
      <c r="B9" s="3" t="s">
        <v>93</v>
      </c>
      <c r="C9" s="3" t="s">
        <v>20</v>
      </c>
      <c r="D9" s="3" t="s">
        <v>195</v>
      </c>
      <c r="E9" s="3" t="s">
        <v>143</v>
      </c>
      <c r="F9" s="3">
        <v>2</v>
      </c>
      <c r="G9" s="3" t="s">
        <v>152</v>
      </c>
      <c r="H9" s="3">
        <v>0</v>
      </c>
    </row>
    <row r="10" spans="1:8" ht="28.95" customHeight="1" x14ac:dyDescent="0.3">
      <c r="A10" s="7" t="s">
        <v>68</v>
      </c>
      <c r="B10" s="3" t="s">
        <v>93</v>
      </c>
      <c r="C10" s="3" t="s">
        <v>20</v>
      </c>
      <c r="D10" s="3" t="s">
        <v>195</v>
      </c>
      <c r="E10" s="3" t="s">
        <v>143</v>
      </c>
      <c r="F10" s="3">
        <v>16</v>
      </c>
      <c r="G10" s="3" t="s">
        <v>153</v>
      </c>
      <c r="H10" s="3">
        <v>0</v>
      </c>
    </row>
    <row r="11" spans="1:8" ht="28.95" customHeight="1" x14ac:dyDescent="0.3">
      <c r="A11" s="7" t="s">
        <v>68</v>
      </c>
      <c r="B11" s="3" t="s">
        <v>93</v>
      </c>
      <c r="C11" s="3" t="s">
        <v>20</v>
      </c>
      <c r="D11" s="3" t="s">
        <v>204</v>
      </c>
      <c r="E11" s="3" t="s">
        <v>143</v>
      </c>
      <c r="F11" s="3">
        <v>1</v>
      </c>
      <c r="G11" s="3" t="s">
        <v>154</v>
      </c>
      <c r="H11" s="3">
        <v>0</v>
      </c>
    </row>
    <row r="12" spans="1:8" ht="28.95" customHeight="1" x14ac:dyDescent="0.3">
      <c r="A12" s="7" t="s">
        <v>78</v>
      </c>
      <c r="B12" s="3" t="s">
        <v>79</v>
      </c>
      <c r="C12" s="3" t="s">
        <v>20</v>
      </c>
      <c r="D12" s="3" t="s">
        <v>204</v>
      </c>
      <c r="E12" s="3" t="s">
        <v>139</v>
      </c>
      <c r="F12" s="3">
        <v>0</v>
      </c>
      <c r="G12" s="3" t="s">
        <v>139</v>
      </c>
      <c r="H12" s="3">
        <v>0</v>
      </c>
    </row>
    <row r="13" spans="1:8" ht="28.95" customHeight="1" x14ac:dyDescent="0.3">
      <c r="A13" s="7" t="s">
        <v>90</v>
      </c>
      <c r="B13" s="3" t="s">
        <v>91</v>
      </c>
      <c r="C13" s="3" t="s">
        <v>66</v>
      </c>
      <c r="D13" s="3" t="s">
        <v>210</v>
      </c>
      <c r="E13" s="3" t="s">
        <v>155</v>
      </c>
      <c r="F13" s="3">
        <v>25</v>
      </c>
      <c r="G13" s="3" t="s">
        <v>139</v>
      </c>
      <c r="H13" s="3">
        <v>0</v>
      </c>
    </row>
    <row r="14" spans="1:8" ht="28.95" customHeight="1" x14ac:dyDescent="0.3">
      <c r="A14" s="7" t="s">
        <v>33</v>
      </c>
      <c r="B14" s="3" t="s">
        <v>34</v>
      </c>
      <c r="C14" s="3" t="s">
        <v>36</v>
      </c>
      <c r="D14" s="3" t="s">
        <v>204</v>
      </c>
      <c r="E14" s="3" t="s">
        <v>139</v>
      </c>
      <c r="F14" s="3">
        <v>2949</v>
      </c>
      <c r="G14" s="3" t="s">
        <v>139</v>
      </c>
      <c r="H14" s="3">
        <v>1.6</v>
      </c>
    </row>
    <row r="15" spans="1:8" ht="28.95" customHeight="1" x14ac:dyDescent="0.3">
      <c r="A15" s="7" t="s">
        <v>33</v>
      </c>
      <c r="B15" s="3" t="s">
        <v>34</v>
      </c>
      <c r="C15" s="3" t="s">
        <v>36</v>
      </c>
      <c r="D15" s="3" t="s">
        <v>204</v>
      </c>
      <c r="E15" s="3" t="s">
        <v>139</v>
      </c>
      <c r="F15" s="3">
        <v>2949</v>
      </c>
      <c r="G15" s="3" t="s">
        <v>139</v>
      </c>
      <c r="H15" s="3">
        <v>1.6</v>
      </c>
    </row>
    <row r="16" spans="1:8" ht="28.95" customHeight="1" x14ac:dyDescent="0.3">
      <c r="A16" s="7" t="s">
        <v>33</v>
      </c>
      <c r="B16" s="3" t="s">
        <v>34</v>
      </c>
      <c r="C16" s="3" t="s">
        <v>36</v>
      </c>
      <c r="D16" s="3" t="s">
        <v>210</v>
      </c>
      <c r="E16" s="3" t="s">
        <v>156</v>
      </c>
      <c r="F16" s="3">
        <v>0</v>
      </c>
      <c r="G16" s="3" t="s">
        <v>141</v>
      </c>
      <c r="H16" s="3">
        <v>0</v>
      </c>
    </row>
    <row r="17" spans="1:8" ht="28.95" customHeight="1" x14ac:dyDescent="0.3">
      <c r="A17" s="7" t="s">
        <v>33</v>
      </c>
      <c r="B17" s="3" t="s">
        <v>34</v>
      </c>
      <c r="C17" s="3" t="s">
        <v>36</v>
      </c>
      <c r="D17" s="3" t="s">
        <v>210</v>
      </c>
      <c r="E17" s="3" t="s">
        <v>156</v>
      </c>
      <c r="F17" s="3">
        <v>0</v>
      </c>
      <c r="G17" s="3" t="s">
        <v>141</v>
      </c>
      <c r="H17" s="3">
        <v>0</v>
      </c>
    </row>
    <row r="18" spans="1:8" ht="28.95" customHeight="1" x14ac:dyDescent="0.3">
      <c r="A18" s="7" t="s">
        <v>33</v>
      </c>
      <c r="B18" s="3" t="s">
        <v>34</v>
      </c>
      <c r="C18" s="3" t="s">
        <v>36</v>
      </c>
      <c r="D18" s="3" t="s">
        <v>210</v>
      </c>
      <c r="E18" s="3" t="s">
        <v>156</v>
      </c>
      <c r="F18" s="3">
        <v>0</v>
      </c>
      <c r="G18" s="3" t="s">
        <v>141</v>
      </c>
      <c r="H18" s="3">
        <v>0</v>
      </c>
    </row>
    <row r="19" spans="1:8" ht="28.95" customHeight="1" x14ac:dyDescent="0.3">
      <c r="A19" s="7" t="s">
        <v>33</v>
      </c>
      <c r="B19" s="3" t="s">
        <v>34</v>
      </c>
      <c r="C19" s="3" t="s">
        <v>36</v>
      </c>
      <c r="D19" s="3" t="s">
        <v>210</v>
      </c>
      <c r="E19" s="3" t="s">
        <v>156</v>
      </c>
      <c r="F19" s="3">
        <v>0</v>
      </c>
      <c r="G19" s="3" t="s">
        <v>141</v>
      </c>
      <c r="H19" s="3">
        <v>0</v>
      </c>
    </row>
    <row r="20" spans="1:8" ht="28.95" customHeight="1" x14ac:dyDescent="0.3">
      <c r="A20" s="7" t="s">
        <v>33</v>
      </c>
      <c r="B20" s="3" t="s">
        <v>34</v>
      </c>
      <c r="C20" s="3" t="s">
        <v>36</v>
      </c>
      <c r="D20" s="3" t="s">
        <v>210</v>
      </c>
      <c r="E20" s="3" t="s">
        <v>159</v>
      </c>
      <c r="F20" s="3">
        <v>0</v>
      </c>
      <c r="G20" s="3" t="s">
        <v>140</v>
      </c>
      <c r="H20" s="3">
        <v>0</v>
      </c>
    </row>
    <row r="21" spans="1:8" ht="28.95" customHeight="1" x14ac:dyDescent="0.3">
      <c r="A21" s="7" t="s">
        <v>33</v>
      </c>
      <c r="B21" s="3" t="s">
        <v>34</v>
      </c>
      <c r="C21" s="3" t="s">
        <v>36</v>
      </c>
      <c r="D21" s="3" t="s">
        <v>210</v>
      </c>
      <c r="E21" s="3" t="s">
        <v>159</v>
      </c>
      <c r="F21" s="3">
        <v>0</v>
      </c>
      <c r="G21" s="3" t="s">
        <v>140</v>
      </c>
      <c r="H21" s="3">
        <v>0</v>
      </c>
    </row>
    <row r="22" spans="1:8" ht="28.95" customHeight="1" x14ac:dyDescent="0.3">
      <c r="A22" s="7" t="s">
        <v>33</v>
      </c>
      <c r="B22" s="3" t="s">
        <v>34</v>
      </c>
      <c r="C22" s="3" t="s">
        <v>36</v>
      </c>
      <c r="D22" s="3" t="s">
        <v>210</v>
      </c>
      <c r="E22" s="3" t="s">
        <v>160</v>
      </c>
      <c r="F22" s="3">
        <v>0</v>
      </c>
      <c r="G22" s="3" t="s">
        <v>158</v>
      </c>
      <c r="H22" s="3">
        <v>0</v>
      </c>
    </row>
    <row r="23" spans="1:8" ht="28.95" customHeight="1" x14ac:dyDescent="0.3">
      <c r="A23" s="7" t="s">
        <v>33</v>
      </c>
      <c r="B23" s="3" t="s">
        <v>34</v>
      </c>
      <c r="C23" s="3" t="s">
        <v>36</v>
      </c>
      <c r="D23" s="3" t="s">
        <v>210</v>
      </c>
      <c r="E23" s="3" t="s">
        <v>160</v>
      </c>
      <c r="F23" s="3">
        <v>0</v>
      </c>
      <c r="G23" s="3" t="s">
        <v>158</v>
      </c>
      <c r="H23" s="3">
        <v>0</v>
      </c>
    </row>
    <row r="24" spans="1:8" ht="28.95" customHeight="1" x14ac:dyDescent="0.3">
      <c r="A24" s="7" t="s">
        <v>33</v>
      </c>
      <c r="B24" s="3" t="s">
        <v>45</v>
      </c>
      <c r="C24" s="3" t="s">
        <v>36</v>
      </c>
      <c r="D24" s="3" t="s">
        <v>210</v>
      </c>
      <c r="E24" s="3" t="s">
        <v>156</v>
      </c>
      <c r="F24" s="3">
        <v>0</v>
      </c>
      <c r="G24" s="3" t="s">
        <v>141</v>
      </c>
      <c r="H24" s="3">
        <v>0</v>
      </c>
    </row>
    <row r="25" spans="1:8" ht="28.95" customHeight="1" x14ac:dyDescent="0.3">
      <c r="A25" s="7" t="s">
        <v>33</v>
      </c>
      <c r="B25" s="3" t="s">
        <v>45</v>
      </c>
      <c r="C25" s="3" t="s">
        <v>36</v>
      </c>
      <c r="D25" s="3" t="s">
        <v>210</v>
      </c>
      <c r="E25" s="3" t="s">
        <v>156</v>
      </c>
      <c r="F25" s="3">
        <v>0</v>
      </c>
      <c r="G25" s="3" t="s">
        <v>141</v>
      </c>
      <c r="H25" s="3">
        <v>0</v>
      </c>
    </row>
    <row r="26" spans="1:8" ht="28.95" customHeight="1" x14ac:dyDescent="0.3">
      <c r="A26" s="7" t="s">
        <v>33</v>
      </c>
      <c r="B26" s="3" t="s">
        <v>45</v>
      </c>
      <c r="C26" s="3" t="s">
        <v>36</v>
      </c>
      <c r="D26" s="3" t="s">
        <v>210</v>
      </c>
      <c r="E26" s="3" t="s">
        <v>159</v>
      </c>
      <c r="F26" s="3">
        <v>0</v>
      </c>
      <c r="G26" s="3" t="s">
        <v>140</v>
      </c>
      <c r="H26" s="3">
        <v>0</v>
      </c>
    </row>
    <row r="27" spans="1:8" ht="28.95" customHeight="1" x14ac:dyDescent="0.3">
      <c r="A27" s="7" t="s">
        <v>33</v>
      </c>
      <c r="B27" s="3" t="s">
        <v>45</v>
      </c>
      <c r="C27" s="3" t="s">
        <v>36</v>
      </c>
      <c r="D27" s="3" t="s">
        <v>210</v>
      </c>
      <c r="E27" s="3" t="s">
        <v>160</v>
      </c>
      <c r="F27" s="3">
        <v>0</v>
      </c>
      <c r="G27" s="3" t="s">
        <v>158</v>
      </c>
      <c r="H27" s="3">
        <v>0</v>
      </c>
    </row>
    <row r="28" spans="1:8" ht="28.95" customHeight="1" x14ac:dyDescent="0.3">
      <c r="A28" s="7" t="s">
        <v>17</v>
      </c>
      <c r="B28" s="3" t="s">
        <v>19</v>
      </c>
      <c r="C28" s="3" t="s">
        <v>20</v>
      </c>
      <c r="D28" s="3" t="s">
        <v>195</v>
      </c>
      <c r="E28" s="3" t="s">
        <v>146</v>
      </c>
      <c r="F28" s="3">
        <v>1</v>
      </c>
      <c r="G28" s="3" t="s">
        <v>147</v>
      </c>
      <c r="H28" s="3">
        <v>2</v>
      </c>
    </row>
    <row r="29" spans="1:8" ht="28.95" customHeight="1" x14ac:dyDescent="0.3">
      <c r="A29" s="7" t="s">
        <v>17</v>
      </c>
      <c r="B29" s="3" t="s">
        <v>19</v>
      </c>
      <c r="C29" s="3" t="s">
        <v>20</v>
      </c>
      <c r="D29" s="3" t="s">
        <v>195</v>
      </c>
      <c r="E29" s="3" t="s">
        <v>146</v>
      </c>
      <c r="F29" s="3">
        <v>1</v>
      </c>
      <c r="G29" s="3" t="s">
        <v>147</v>
      </c>
      <c r="H29" s="3">
        <v>2</v>
      </c>
    </row>
    <row r="30" spans="1:8" ht="28.95" customHeight="1" x14ac:dyDescent="0.3">
      <c r="A30" s="7" t="s">
        <v>17</v>
      </c>
      <c r="B30" s="3" t="s">
        <v>19</v>
      </c>
      <c r="C30" s="3" t="s">
        <v>20</v>
      </c>
      <c r="D30" s="3" t="s">
        <v>195</v>
      </c>
      <c r="E30" s="3" t="s">
        <v>146</v>
      </c>
      <c r="F30" s="3">
        <v>1</v>
      </c>
      <c r="G30" s="3" t="s">
        <v>147</v>
      </c>
      <c r="H30" s="3">
        <v>2</v>
      </c>
    </row>
    <row r="31" spans="1:8" ht="28.95" customHeight="1" x14ac:dyDescent="0.3">
      <c r="A31" s="7" t="s">
        <v>17</v>
      </c>
      <c r="B31" s="3" t="s">
        <v>19</v>
      </c>
      <c r="C31" s="3" t="s">
        <v>20</v>
      </c>
      <c r="D31" s="3" t="s">
        <v>195</v>
      </c>
      <c r="E31" s="3" t="s">
        <v>146</v>
      </c>
      <c r="F31" s="3">
        <v>1</v>
      </c>
      <c r="G31" s="3" t="s">
        <v>147</v>
      </c>
      <c r="H31" s="3">
        <v>2</v>
      </c>
    </row>
    <row r="32" spans="1:8" ht="28.95" customHeight="1" x14ac:dyDescent="0.3">
      <c r="A32" s="7" t="s">
        <v>17</v>
      </c>
      <c r="B32" s="3" t="s">
        <v>19</v>
      </c>
      <c r="C32" s="3" t="s">
        <v>20</v>
      </c>
      <c r="D32" s="3" t="s">
        <v>195</v>
      </c>
      <c r="E32" s="3" t="s">
        <v>146</v>
      </c>
      <c r="F32" s="3">
        <v>1</v>
      </c>
      <c r="G32" s="3" t="s">
        <v>147</v>
      </c>
      <c r="H32" s="3">
        <v>2</v>
      </c>
    </row>
    <row r="33" spans="1:8" ht="28.95" customHeight="1" x14ac:dyDescent="0.3">
      <c r="A33" s="7" t="s">
        <v>17</v>
      </c>
      <c r="B33" s="3" t="s">
        <v>19</v>
      </c>
      <c r="C33" s="3" t="s">
        <v>20</v>
      </c>
      <c r="D33" s="3" t="s">
        <v>195</v>
      </c>
      <c r="E33" s="3" t="s">
        <v>146</v>
      </c>
      <c r="F33" s="3">
        <v>1</v>
      </c>
      <c r="G33" s="3" t="s">
        <v>147</v>
      </c>
      <c r="H33" s="3">
        <v>2</v>
      </c>
    </row>
    <row r="34" spans="1:8" ht="28.95" customHeight="1" x14ac:dyDescent="0.3">
      <c r="A34" s="7" t="s">
        <v>114</v>
      </c>
      <c r="B34" s="3" t="s">
        <v>125</v>
      </c>
      <c r="C34" s="3" t="s">
        <v>66</v>
      </c>
      <c r="D34" s="3" t="s">
        <v>204</v>
      </c>
      <c r="E34" s="3" t="s">
        <v>149</v>
      </c>
      <c r="F34" s="3">
        <v>1038</v>
      </c>
      <c r="G34" s="3" t="s">
        <v>139</v>
      </c>
      <c r="H34" s="3">
        <v>0</v>
      </c>
    </row>
    <row r="35" spans="1:8" ht="28.95" customHeight="1" x14ac:dyDescent="0.3">
      <c r="A35" s="7" t="s">
        <v>114</v>
      </c>
      <c r="B35" s="3" t="s">
        <v>125</v>
      </c>
      <c r="C35" s="3" t="s">
        <v>66</v>
      </c>
      <c r="D35" s="3" t="s">
        <v>204</v>
      </c>
      <c r="E35" s="3" t="s">
        <v>149</v>
      </c>
      <c r="F35" s="3">
        <v>1038</v>
      </c>
      <c r="G35" s="3" t="s">
        <v>139</v>
      </c>
      <c r="H35" s="3">
        <v>0</v>
      </c>
    </row>
    <row r="36" spans="1:8" ht="28.95" customHeight="1" x14ac:dyDescent="0.3">
      <c r="A36" s="7" t="s">
        <v>114</v>
      </c>
      <c r="B36" s="3" t="s">
        <v>125</v>
      </c>
      <c r="C36" s="3" t="s">
        <v>66</v>
      </c>
      <c r="D36" s="3" t="s">
        <v>204</v>
      </c>
      <c r="E36" s="3" t="s">
        <v>149</v>
      </c>
      <c r="F36" s="3">
        <v>1038</v>
      </c>
      <c r="G36" s="3" t="s">
        <v>139</v>
      </c>
      <c r="H36" s="3">
        <v>0</v>
      </c>
    </row>
    <row r="37" spans="1:8" ht="28.95" customHeight="1" x14ac:dyDescent="0.3">
      <c r="A37" s="7" t="s">
        <v>114</v>
      </c>
      <c r="B37" s="3" t="s">
        <v>125</v>
      </c>
      <c r="C37" s="3" t="s">
        <v>66</v>
      </c>
      <c r="D37" s="3" t="s">
        <v>204</v>
      </c>
      <c r="E37" s="3" t="s">
        <v>149</v>
      </c>
      <c r="F37" s="3">
        <v>1038</v>
      </c>
      <c r="G37" s="3" t="s">
        <v>139</v>
      </c>
      <c r="H37" s="3">
        <v>0</v>
      </c>
    </row>
  </sheetData>
  <autoFilter ref="A1:H37">
    <sortState ref="A2:H37">
      <sortCondition ref="A1:A37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499984740745262"/>
  </sheetPr>
  <dimension ref="A1:V15"/>
  <sheetViews>
    <sheetView workbookViewId="0">
      <pane xSplit="1" ySplit="1" topLeftCell="J6" activePane="bottomRight" state="frozen"/>
      <selection activeCell="D7" sqref="D7"/>
      <selection pane="topRight" activeCell="D7" sqref="D7"/>
      <selection pane="bottomLeft" activeCell="D7" sqref="D7"/>
      <selection pane="bottomRight" activeCell="D7" sqref="D7"/>
    </sheetView>
  </sheetViews>
  <sheetFormatPr baseColWidth="10" defaultRowHeight="14.4" x14ac:dyDescent="0.3"/>
  <cols>
    <col min="1" max="1" width="29.6640625" style="11" customWidth="1"/>
    <col min="2" max="22" width="25.33203125" style="11" customWidth="1"/>
  </cols>
  <sheetData>
    <row r="1" spans="1:22" ht="36" customHeight="1" x14ac:dyDescent="0.3">
      <c r="A1" s="17" t="s">
        <v>170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10</v>
      </c>
      <c r="G1" s="17" t="s">
        <v>11</v>
      </c>
      <c r="H1" s="17" t="s">
        <v>172</v>
      </c>
      <c r="I1" s="17" t="s">
        <v>12</v>
      </c>
      <c r="J1" s="17" t="s">
        <v>13</v>
      </c>
      <c r="K1" s="17" t="s">
        <v>14</v>
      </c>
      <c r="L1" s="17" t="s">
        <v>15</v>
      </c>
      <c r="M1" s="17" t="s">
        <v>16</v>
      </c>
      <c r="N1" s="17" t="s">
        <v>176</v>
      </c>
      <c r="O1" s="17" t="s">
        <v>132</v>
      </c>
      <c r="P1" s="17" t="s">
        <v>133</v>
      </c>
      <c r="Q1" s="17" t="s">
        <v>134</v>
      </c>
      <c r="R1" s="17" t="s">
        <v>135</v>
      </c>
      <c r="S1" s="17" t="s">
        <v>136</v>
      </c>
      <c r="T1" s="17" t="s">
        <v>137</v>
      </c>
      <c r="U1" s="17" t="s">
        <v>178</v>
      </c>
      <c r="V1" s="17" t="s">
        <v>179</v>
      </c>
    </row>
    <row r="2" spans="1:22" ht="33.6" customHeight="1" x14ac:dyDescent="0.3">
      <c r="A2" s="71" t="s">
        <v>57</v>
      </c>
      <c r="B2" s="70" t="s">
        <v>793</v>
      </c>
      <c r="C2" s="23" t="s">
        <v>198</v>
      </c>
      <c r="D2" s="23" t="s">
        <v>20</v>
      </c>
      <c r="E2" s="23" t="s">
        <v>37</v>
      </c>
      <c r="F2" s="24">
        <v>43231</v>
      </c>
      <c r="G2" s="24">
        <v>43256</v>
      </c>
      <c r="H2" s="23">
        <v>0</v>
      </c>
      <c r="I2" s="23">
        <v>79</v>
      </c>
      <c r="J2" s="23">
        <v>0</v>
      </c>
      <c r="K2" s="23">
        <v>19</v>
      </c>
      <c r="L2" s="23">
        <v>0</v>
      </c>
      <c r="M2" s="25">
        <v>401768</v>
      </c>
      <c r="N2" s="23" t="s">
        <v>204</v>
      </c>
      <c r="O2" s="23" t="s">
        <v>138</v>
      </c>
      <c r="P2" s="23" t="s">
        <v>138</v>
      </c>
      <c r="Q2" s="23">
        <v>1528</v>
      </c>
      <c r="R2" s="23" t="s">
        <v>165</v>
      </c>
      <c r="S2" s="23">
        <v>0.23</v>
      </c>
      <c r="T2" s="23">
        <v>0</v>
      </c>
      <c r="U2" s="23">
        <v>1</v>
      </c>
      <c r="V2" s="23" t="s">
        <v>183</v>
      </c>
    </row>
    <row r="3" spans="1:22" ht="33.6" customHeight="1" x14ac:dyDescent="0.3">
      <c r="A3" s="71" t="s">
        <v>191</v>
      </c>
      <c r="B3" s="23" t="s">
        <v>192</v>
      </c>
      <c r="C3" s="23" t="s">
        <v>193</v>
      </c>
      <c r="D3" s="23" t="s">
        <v>20</v>
      </c>
      <c r="E3" s="23" t="s">
        <v>37</v>
      </c>
      <c r="F3" s="24">
        <v>43231</v>
      </c>
      <c r="G3" s="24">
        <v>44704</v>
      </c>
      <c r="H3" s="23">
        <v>3500000</v>
      </c>
      <c r="I3" s="23">
        <v>176</v>
      </c>
      <c r="J3" s="23">
        <v>0</v>
      </c>
      <c r="K3" s="23">
        <v>0</v>
      </c>
      <c r="L3" s="23">
        <v>0</v>
      </c>
      <c r="M3" s="25">
        <v>401768</v>
      </c>
      <c r="N3" s="23" t="s">
        <v>204</v>
      </c>
      <c r="O3" s="23" t="s">
        <v>138</v>
      </c>
      <c r="P3" s="23" t="s">
        <v>138</v>
      </c>
      <c r="Q3" s="23">
        <v>7032</v>
      </c>
      <c r="R3" s="23" t="s">
        <v>139</v>
      </c>
      <c r="S3" s="23">
        <v>0</v>
      </c>
      <c r="T3" s="23">
        <v>0</v>
      </c>
      <c r="U3" s="23">
        <v>1</v>
      </c>
      <c r="V3" s="23" t="s">
        <v>183</v>
      </c>
    </row>
    <row r="4" spans="1:22" ht="33.6" customHeight="1" x14ac:dyDescent="0.3">
      <c r="A4" s="71" t="s">
        <v>191</v>
      </c>
      <c r="B4" s="23" t="s">
        <v>192</v>
      </c>
      <c r="C4" s="23" t="s">
        <v>193</v>
      </c>
      <c r="D4" s="23" t="s">
        <v>20</v>
      </c>
      <c r="E4" s="23" t="s">
        <v>37</v>
      </c>
      <c r="F4" s="24">
        <v>43231</v>
      </c>
      <c r="G4" s="24">
        <v>44704</v>
      </c>
      <c r="H4" s="23">
        <v>3500000</v>
      </c>
      <c r="I4" s="23">
        <v>176</v>
      </c>
      <c r="J4" s="23">
        <v>0</v>
      </c>
      <c r="K4" s="23">
        <v>0</v>
      </c>
      <c r="L4" s="23">
        <v>0</v>
      </c>
      <c r="M4" s="25">
        <v>401768</v>
      </c>
      <c r="N4" s="70"/>
      <c r="O4" s="23" t="s">
        <v>138</v>
      </c>
      <c r="P4" s="23" t="s">
        <v>138</v>
      </c>
      <c r="Q4" s="23">
        <v>4126</v>
      </c>
      <c r="R4" s="23" t="s">
        <v>139</v>
      </c>
      <c r="S4" s="23">
        <v>0</v>
      </c>
      <c r="T4" s="23">
        <v>0</v>
      </c>
      <c r="U4" s="23">
        <v>1</v>
      </c>
      <c r="V4" s="23" t="s">
        <v>183</v>
      </c>
    </row>
    <row r="5" spans="1:22" ht="33.6" customHeight="1" x14ac:dyDescent="0.3">
      <c r="A5" s="71" t="s">
        <v>191</v>
      </c>
      <c r="B5" s="23" t="s">
        <v>192</v>
      </c>
      <c r="C5" s="23" t="s">
        <v>193</v>
      </c>
      <c r="D5" s="23" t="s">
        <v>20</v>
      </c>
      <c r="E5" s="23" t="s">
        <v>37</v>
      </c>
      <c r="F5" s="24">
        <v>43231</v>
      </c>
      <c r="G5" s="24">
        <v>44704</v>
      </c>
      <c r="H5" s="23">
        <v>3500000</v>
      </c>
      <c r="I5" s="23">
        <v>176</v>
      </c>
      <c r="J5" s="23">
        <v>0</v>
      </c>
      <c r="K5" s="23">
        <v>0</v>
      </c>
      <c r="L5" s="23">
        <v>0</v>
      </c>
      <c r="M5" s="25">
        <v>401768</v>
      </c>
      <c r="N5" s="70"/>
      <c r="O5" s="23" t="s">
        <v>138</v>
      </c>
      <c r="P5" s="23" t="s">
        <v>138</v>
      </c>
      <c r="Q5" s="23">
        <v>3790</v>
      </c>
      <c r="R5" s="23" t="s">
        <v>139</v>
      </c>
      <c r="S5" s="23">
        <v>0</v>
      </c>
      <c r="T5" s="23">
        <v>0</v>
      </c>
      <c r="U5" s="23">
        <v>1</v>
      </c>
      <c r="V5" s="23" t="s">
        <v>183</v>
      </c>
    </row>
    <row r="6" spans="1:22" ht="33.6" customHeight="1" x14ac:dyDescent="0.3">
      <c r="A6" s="71" t="s">
        <v>188</v>
      </c>
      <c r="B6" s="23" t="s">
        <v>189</v>
      </c>
      <c r="C6" s="23" t="s">
        <v>190</v>
      </c>
      <c r="D6" s="23" t="s">
        <v>20</v>
      </c>
      <c r="E6" s="23" t="s">
        <v>37</v>
      </c>
      <c r="F6" s="24">
        <v>44781</v>
      </c>
      <c r="G6" s="24">
        <v>44789</v>
      </c>
      <c r="H6" s="23">
        <v>1900000</v>
      </c>
      <c r="I6" s="23">
        <v>58</v>
      </c>
      <c r="J6" s="23">
        <v>0</v>
      </c>
      <c r="K6" s="23">
        <v>0</v>
      </c>
      <c r="L6" s="23">
        <v>0</v>
      </c>
      <c r="M6" s="25">
        <v>401768</v>
      </c>
      <c r="N6" s="70"/>
      <c r="O6" s="23" t="s">
        <v>138</v>
      </c>
      <c r="P6" s="23" t="s">
        <v>138</v>
      </c>
      <c r="Q6" s="23">
        <v>3598</v>
      </c>
      <c r="R6" s="23" t="s">
        <v>139</v>
      </c>
      <c r="S6" s="23">
        <v>0</v>
      </c>
      <c r="T6" s="23">
        <v>0</v>
      </c>
      <c r="U6" s="23">
        <v>1</v>
      </c>
      <c r="V6" s="23" t="s">
        <v>183</v>
      </c>
    </row>
    <row r="7" spans="1:22" ht="33.6" customHeight="1" x14ac:dyDescent="0.3">
      <c r="A7" s="71" t="s">
        <v>188</v>
      </c>
      <c r="B7" s="23" t="s">
        <v>189</v>
      </c>
      <c r="C7" s="23" t="s">
        <v>190</v>
      </c>
      <c r="D7" s="23" t="s">
        <v>20</v>
      </c>
      <c r="E7" s="23" t="s">
        <v>37</v>
      </c>
      <c r="F7" s="24">
        <v>44781</v>
      </c>
      <c r="G7" s="24">
        <v>44789</v>
      </c>
      <c r="H7" s="23">
        <v>1900000</v>
      </c>
      <c r="I7" s="23">
        <v>58</v>
      </c>
      <c r="J7" s="23">
        <v>0</v>
      </c>
      <c r="K7" s="23">
        <v>0</v>
      </c>
      <c r="L7" s="23">
        <v>0</v>
      </c>
      <c r="M7" s="25">
        <v>401768</v>
      </c>
      <c r="N7" s="70"/>
      <c r="O7" s="23" t="s">
        <v>138</v>
      </c>
      <c r="P7" s="23" t="s">
        <v>138</v>
      </c>
      <c r="Q7" s="23">
        <v>8250</v>
      </c>
      <c r="R7" s="23" t="s">
        <v>139</v>
      </c>
      <c r="S7" s="23">
        <v>0</v>
      </c>
      <c r="T7" s="23">
        <v>0</v>
      </c>
      <c r="U7" s="23">
        <v>1</v>
      </c>
      <c r="V7" s="23" t="s">
        <v>183</v>
      </c>
    </row>
    <row r="8" spans="1:22" ht="33.6" customHeight="1" x14ac:dyDescent="0.3">
      <c r="A8" s="71" t="s">
        <v>46</v>
      </c>
      <c r="B8" s="23" t="s">
        <v>47</v>
      </c>
      <c r="C8" s="23" t="s">
        <v>48</v>
      </c>
      <c r="D8" s="23" t="s">
        <v>20</v>
      </c>
      <c r="E8" s="23" t="s">
        <v>37</v>
      </c>
      <c r="F8" s="24">
        <v>44271</v>
      </c>
      <c r="G8" s="24">
        <v>44292</v>
      </c>
      <c r="H8" s="70">
        <v>100500</v>
      </c>
      <c r="I8" s="23">
        <v>144</v>
      </c>
      <c r="J8" s="23">
        <v>0</v>
      </c>
      <c r="K8" s="23">
        <v>0</v>
      </c>
      <c r="L8" s="23">
        <v>0</v>
      </c>
      <c r="M8" s="25">
        <v>401768</v>
      </c>
      <c r="N8" s="23" t="s">
        <v>181</v>
      </c>
      <c r="O8" s="23" t="s">
        <v>138</v>
      </c>
      <c r="P8" s="23" t="s">
        <v>163</v>
      </c>
      <c r="Q8" s="23">
        <v>870</v>
      </c>
      <c r="R8" s="23" t="s">
        <v>157</v>
      </c>
      <c r="S8" s="23">
        <v>0</v>
      </c>
      <c r="T8" s="23">
        <v>1</v>
      </c>
      <c r="U8" s="23">
        <v>1</v>
      </c>
      <c r="V8" s="23" t="s">
        <v>183</v>
      </c>
    </row>
    <row r="9" spans="1:22" s="59" customFormat="1" ht="33.6" customHeight="1" x14ac:dyDescent="0.3">
      <c r="A9" s="70" t="s">
        <v>194</v>
      </c>
      <c r="B9" s="70" t="s">
        <v>196</v>
      </c>
      <c r="C9" s="70" t="s">
        <v>197</v>
      </c>
      <c r="D9" s="70" t="s">
        <v>24</v>
      </c>
      <c r="E9" s="70" t="s">
        <v>37</v>
      </c>
      <c r="F9" s="72">
        <v>38215</v>
      </c>
      <c r="G9" s="72">
        <v>43949</v>
      </c>
      <c r="H9" s="70">
        <v>0</v>
      </c>
      <c r="I9" s="70">
        <v>148</v>
      </c>
      <c r="J9" s="70">
        <v>0</v>
      </c>
      <c r="K9" s="70">
        <v>0</v>
      </c>
      <c r="L9" s="70">
        <v>0</v>
      </c>
      <c r="M9" s="79">
        <v>51120</v>
      </c>
      <c r="N9" s="70" t="s">
        <v>195</v>
      </c>
      <c r="O9" s="70"/>
      <c r="P9" s="70" t="s">
        <v>1037</v>
      </c>
      <c r="Q9" s="70">
        <v>163</v>
      </c>
      <c r="R9" s="70" t="s">
        <v>139</v>
      </c>
      <c r="S9" s="70">
        <v>0</v>
      </c>
      <c r="T9" s="70">
        <v>0</v>
      </c>
      <c r="U9" s="70">
        <v>1</v>
      </c>
      <c r="V9" s="70" t="s">
        <v>183</v>
      </c>
    </row>
    <row r="10" spans="1:22" s="59" customFormat="1" ht="33.6" customHeight="1" x14ac:dyDescent="0.3">
      <c r="A10" s="70" t="s">
        <v>194</v>
      </c>
      <c r="B10" s="70" t="s">
        <v>196</v>
      </c>
      <c r="C10" s="70" t="s">
        <v>197</v>
      </c>
      <c r="D10" s="70" t="s">
        <v>24</v>
      </c>
      <c r="E10" s="70" t="s">
        <v>37</v>
      </c>
      <c r="F10" s="72">
        <v>38215</v>
      </c>
      <c r="G10" s="72">
        <v>43955</v>
      </c>
      <c r="H10" s="70">
        <v>0</v>
      </c>
      <c r="I10" s="70">
        <v>148</v>
      </c>
      <c r="J10" s="70">
        <v>0</v>
      </c>
      <c r="K10" s="70">
        <v>0</v>
      </c>
      <c r="L10" s="70">
        <v>0</v>
      </c>
      <c r="M10" s="79">
        <v>51120</v>
      </c>
      <c r="N10" s="70" t="s">
        <v>204</v>
      </c>
      <c r="O10" s="70" t="s">
        <v>138</v>
      </c>
      <c r="P10" s="70" t="s">
        <v>166</v>
      </c>
      <c r="Q10" s="70">
        <v>1422</v>
      </c>
      <c r="R10" s="70" t="s">
        <v>142</v>
      </c>
      <c r="S10" s="70">
        <v>1.27</v>
      </c>
      <c r="T10" s="70">
        <v>0</v>
      </c>
      <c r="U10" s="70">
        <v>1</v>
      </c>
      <c r="V10" s="70" t="s">
        <v>183</v>
      </c>
    </row>
    <row r="11" spans="1:22" ht="33.6" customHeight="1" x14ac:dyDescent="0.3">
      <c r="A11" s="73" t="s">
        <v>212</v>
      </c>
      <c r="B11" s="23" t="s">
        <v>213</v>
      </c>
      <c r="C11" s="23" t="s">
        <v>214</v>
      </c>
      <c r="D11" s="23" t="s">
        <v>20</v>
      </c>
      <c r="E11" s="23" t="s">
        <v>37</v>
      </c>
      <c r="F11" s="24">
        <v>44606</v>
      </c>
      <c r="G11" s="24">
        <v>44642</v>
      </c>
      <c r="H11" s="23">
        <v>10620000</v>
      </c>
      <c r="I11" s="23">
        <v>207.17</v>
      </c>
      <c r="J11" s="23">
        <v>0</v>
      </c>
      <c r="K11" s="23">
        <v>0</v>
      </c>
      <c r="L11" s="23">
        <v>0</v>
      </c>
      <c r="M11" s="25">
        <v>401768</v>
      </c>
      <c r="N11" s="23" t="s">
        <v>210</v>
      </c>
      <c r="O11" s="23" t="s">
        <v>164</v>
      </c>
      <c r="P11" s="23" t="s">
        <v>139</v>
      </c>
      <c r="Q11" s="23">
        <v>0</v>
      </c>
      <c r="R11" s="23" t="s">
        <v>139</v>
      </c>
      <c r="S11" s="23">
        <v>0</v>
      </c>
      <c r="T11" s="23">
        <v>0</v>
      </c>
      <c r="U11" s="23">
        <v>1</v>
      </c>
      <c r="V11" s="23" t="s">
        <v>183</v>
      </c>
    </row>
    <row r="12" spans="1:22" ht="33.6" customHeight="1" x14ac:dyDescent="0.3">
      <c r="A12" s="71" t="s">
        <v>206</v>
      </c>
      <c r="B12" s="70">
        <v>5494</v>
      </c>
      <c r="C12" s="23" t="s">
        <v>208</v>
      </c>
      <c r="D12" s="23" t="s">
        <v>24</v>
      </c>
      <c r="E12" s="23" t="s">
        <v>98</v>
      </c>
      <c r="F12" s="24">
        <v>42479</v>
      </c>
      <c r="G12" s="24">
        <v>44279</v>
      </c>
      <c r="H12" s="70">
        <v>57000</v>
      </c>
      <c r="I12" s="23">
        <v>2.77</v>
      </c>
      <c r="J12" s="23">
        <v>2.77</v>
      </c>
      <c r="K12" s="23">
        <v>0</v>
      </c>
      <c r="L12" s="23">
        <v>0</v>
      </c>
      <c r="M12" s="25">
        <v>401768</v>
      </c>
      <c r="N12" s="23" t="s">
        <v>210</v>
      </c>
      <c r="O12" s="23" t="s">
        <v>167</v>
      </c>
      <c r="P12" s="23" t="s">
        <v>168</v>
      </c>
      <c r="Q12" s="23">
        <v>1100</v>
      </c>
      <c r="R12" s="23" t="s">
        <v>169</v>
      </c>
      <c r="S12" s="23">
        <v>0</v>
      </c>
      <c r="T12" s="23">
        <v>0</v>
      </c>
      <c r="U12" s="23">
        <v>1</v>
      </c>
      <c r="V12" s="23" t="s">
        <v>183</v>
      </c>
    </row>
    <row r="13" spans="1:22" ht="33.6" customHeight="1" x14ac:dyDescent="0.3">
      <c r="A13" s="71" t="s">
        <v>78</v>
      </c>
      <c r="B13" s="23" t="s">
        <v>79</v>
      </c>
      <c r="C13" s="70" t="s">
        <v>1034</v>
      </c>
      <c r="D13" s="23" t="s">
        <v>20</v>
      </c>
      <c r="E13" s="23" t="s">
        <v>81</v>
      </c>
      <c r="F13" s="24">
        <v>40737</v>
      </c>
      <c r="G13" s="24">
        <v>41613</v>
      </c>
      <c r="H13" s="23">
        <v>2982500</v>
      </c>
      <c r="I13" s="23">
        <v>2645</v>
      </c>
      <c r="J13" s="23">
        <v>0</v>
      </c>
      <c r="K13" s="23">
        <v>2520</v>
      </c>
      <c r="L13" s="23">
        <v>125</v>
      </c>
      <c r="M13" s="25">
        <v>401768</v>
      </c>
      <c r="N13" s="23" t="s">
        <v>204</v>
      </c>
      <c r="O13" s="23" t="s">
        <v>138</v>
      </c>
      <c r="P13" s="23" t="s">
        <v>139</v>
      </c>
      <c r="Q13" s="70">
        <v>18</v>
      </c>
      <c r="R13" s="70">
        <v>53</v>
      </c>
      <c r="S13" s="70">
        <v>955.15</v>
      </c>
      <c r="T13" s="23">
        <v>0</v>
      </c>
      <c r="U13" s="23">
        <v>1</v>
      </c>
      <c r="V13" s="23" t="s">
        <v>183</v>
      </c>
    </row>
    <row r="14" spans="1:22" ht="33.6" customHeight="1" x14ac:dyDescent="0.3">
      <c r="A14" s="71" t="s">
        <v>127</v>
      </c>
      <c r="B14" s="23" t="s">
        <v>128</v>
      </c>
      <c r="C14" s="23" t="s">
        <v>129</v>
      </c>
      <c r="D14" s="23" t="s">
        <v>36</v>
      </c>
      <c r="E14" s="70" t="s">
        <v>1035</v>
      </c>
      <c r="F14" s="24">
        <v>38239</v>
      </c>
      <c r="G14" s="24">
        <v>38249</v>
      </c>
      <c r="H14" s="23">
        <v>544243</v>
      </c>
      <c r="I14" s="23">
        <v>445</v>
      </c>
      <c r="J14" s="23">
        <v>0</v>
      </c>
      <c r="K14" s="23">
        <v>0</v>
      </c>
      <c r="L14" s="23">
        <v>0</v>
      </c>
      <c r="M14" s="25">
        <v>401768</v>
      </c>
      <c r="N14" s="23" t="s">
        <v>195</v>
      </c>
      <c r="O14" s="23" t="s">
        <v>138</v>
      </c>
      <c r="P14" s="23" t="s">
        <v>162</v>
      </c>
      <c r="Q14" s="23">
        <v>42451</v>
      </c>
      <c r="R14" s="23" t="s">
        <v>139</v>
      </c>
      <c r="S14" s="23">
        <v>0</v>
      </c>
      <c r="T14" s="23">
        <v>0</v>
      </c>
      <c r="U14" s="23">
        <v>1</v>
      </c>
      <c r="V14" s="23" t="s">
        <v>183</v>
      </c>
    </row>
    <row r="15" spans="1:22" ht="33.6" customHeight="1" x14ac:dyDescent="0.3">
      <c r="A15" s="71" t="s">
        <v>184</v>
      </c>
      <c r="B15" s="23" t="s">
        <v>185</v>
      </c>
      <c r="C15" s="23" t="s">
        <v>186</v>
      </c>
      <c r="D15" s="23" t="s">
        <v>20</v>
      </c>
      <c r="E15" s="23" t="s">
        <v>37</v>
      </c>
      <c r="F15" s="24">
        <v>40128</v>
      </c>
      <c r="G15" s="24">
        <v>40128</v>
      </c>
      <c r="H15" s="23">
        <v>4520000</v>
      </c>
      <c r="I15" s="23">
        <v>103</v>
      </c>
      <c r="J15" s="23">
        <v>0</v>
      </c>
      <c r="K15" s="23">
        <v>45</v>
      </c>
      <c r="L15" s="23">
        <v>0</v>
      </c>
      <c r="M15" s="25">
        <v>401768</v>
      </c>
      <c r="N15" s="23" t="s">
        <v>195</v>
      </c>
      <c r="O15" s="23" t="s">
        <v>138</v>
      </c>
      <c r="P15" s="70" t="s">
        <v>1036</v>
      </c>
      <c r="Q15" s="23">
        <v>15202</v>
      </c>
      <c r="R15" s="23" t="s">
        <v>139</v>
      </c>
      <c r="S15" s="23">
        <v>0</v>
      </c>
      <c r="T15" s="23">
        <v>0</v>
      </c>
      <c r="U15" s="23">
        <v>1</v>
      </c>
      <c r="V15" s="23" t="s">
        <v>183</v>
      </c>
    </row>
  </sheetData>
  <autoFilter ref="A1:V15"/>
  <phoneticPr fontId="1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2"/>
  <sheetViews>
    <sheetView workbookViewId="0">
      <pane xSplit="1" ySplit="1" topLeftCell="N7" activePane="bottomRight" state="frozen"/>
      <selection pane="topRight" activeCell="B1" sqref="B1"/>
      <selection pane="bottomLeft" activeCell="A2" sqref="A2"/>
      <selection pane="bottomRight" activeCell="P15" sqref="P15"/>
    </sheetView>
  </sheetViews>
  <sheetFormatPr baseColWidth="10" defaultRowHeight="14.4" x14ac:dyDescent="0.3"/>
  <cols>
    <col min="1" max="1" width="37.5546875" customWidth="1"/>
    <col min="2" max="2" width="24.88671875" bestFit="1" customWidth="1"/>
    <col min="3" max="3" width="30.33203125" customWidth="1"/>
    <col min="4" max="18" width="21.6640625" customWidth="1"/>
    <col min="19" max="19" width="36.6640625" customWidth="1"/>
    <col min="20" max="27" width="21.6640625" customWidth="1"/>
  </cols>
  <sheetData>
    <row r="1" spans="1:27" ht="27.6" x14ac:dyDescent="0.3">
      <c r="A1" s="17" t="s">
        <v>170</v>
      </c>
      <c r="B1" s="17" t="s">
        <v>3</v>
      </c>
      <c r="C1" s="17" t="s">
        <v>4</v>
      </c>
      <c r="D1" s="17" t="s">
        <v>5</v>
      </c>
      <c r="E1" s="17" t="s">
        <v>171</v>
      </c>
      <c r="F1" s="17" t="s">
        <v>6</v>
      </c>
      <c r="G1" s="17" t="s">
        <v>10</v>
      </c>
      <c r="H1" s="17" t="s">
        <v>11</v>
      </c>
      <c r="I1" s="17" t="s">
        <v>172</v>
      </c>
      <c r="J1" s="17" t="s">
        <v>12</v>
      </c>
      <c r="K1" s="17" t="s">
        <v>15</v>
      </c>
      <c r="L1" s="17" t="s">
        <v>16</v>
      </c>
      <c r="M1" s="17" t="s">
        <v>173</v>
      </c>
      <c r="N1" s="17" t="s">
        <v>174</v>
      </c>
      <c r="O1" s="17" t="s">
        <v>175</v>
      </c>
      <c r="P1" s="17" t="s">
        <v>131</v>
      </c>
      <c r="Q1" s="17" t="s">
        <v>176</v>
      </c>
      <c r="R1" s="17" t="s">
        <v>177</v>
      </c>
      <c r="S1" s="17" t="s">
        <v>132</v>
      </c>
      <c r="T1" s="17" t="s">
        <v>133</v>
      </c>
      <c r="U1" s="17" t="s">
        <v>134</v>
      </c>
      <c r="V1" s="17" t="s">
        <v>135</v>
      </c>
      <c r="W1" s="17" t="s">
        <v>136</v>
      </c>
      <c r="X1" s="17" t="s">
        <v>215</v>
      </c>
      <c r="Y1" s="17" t="s">
        <v>178</v>
      </c>
      <c r="Z1" s="17" t="s">
        <v>179</v>
      </c>
      <c r="AA1" s="17" t="s">
        <v>180</v>
      </c>
    </row>
    <row r="2" spans="1:27" s="59" customFormat="1" ht="30" customHeight="1" x14ac:dyDescent="0.3">
      <c r="A2" s="76" t="s">
        <v>40</v>
      </c>
      <c r="B2" s="76" t="s">
        <v>41</v>
      </c>
      <c r="C2" s="76" t="s">
        <v>49</v>
      </c>
      <c r="D2" s="76" t="s">
        <v>20</v>
      </c>
      <c r="E2" s="76" t="s">
        <v>138</v>
      </c>
      <c r="F2" s="76" t="s">
        <v>37</v>
      </c>
      <c r="G2" s="77">
        <v>43503</v>
      </c>
      <c r="H2" s="77">
        <v>43510</v>
      </c>
      <c r="I2" s="76">
        <v>1291500</v>
      </c>
      <c r="J2" s="76">
        <v>22</v>
      </c>
      <c r="K2" s="76">
        <v>0</v>
      </c>
      <c r="L2" s="78">
        <v>401768</v>
      </c>
      <c r="M2" s="76">
        <v>0</v>
      </c>
      <c r="N2" s="76">
        <v>0</v>
      </c>
      <c r="O2" s="76">
        <v>0</v>
      </c>
      <c r="P2" s="76">
        <v>2</v>
      </c>
      <c r="Q2" s="76" t="s">
        <v>195</v>
      </c>
      <c r="R2" s="76" t="s">
        <v>182</v>
      </c>
      <c r="S2" s="76"/>
      <c r="T2" s="76"/>
      <c r="U2" s="76">
        <v>13323</v>
      </c>
      <c r="V2" s="76" t="s">
        <v>219</v>
      </c>
      <c r="W2" s="76">
        <v>0.64</v>
      </c>
      <c r="X2" s="76">
        <v>0</v>
      </c>
      <c r="Y2" s="76">
        <v>1</v>
      </c>
      <c r="Z2" s="76" t="s">
        <v>183</v>
      </c>
      <c r="AA2" s="76" t="s">
        <v>182</v>
      </c>
    </row>
    <row r="3" spans="1:27" ht="30" customHeight="1" x14ac:dyDescent="0.3">
      <c r="A3" s="80" t="s">
        <v>68</v>
      </c>
      <c r="B3" s="26" t="s">
        <v>69</v>
      </c>
      <c r="C3" s="26" t="s">
        <v>70</v>
      </c>
      <c r="D3" s="26" t="s">
        <v>20</v>
      </c>
      <c r="E3" s="26" t="s">
        <v>138</v>
      </c>
      <c r="F3" s="26" t="s">
        <v>37</v>
      </c>
      <c r="G3" s="27">
        <v>42102</v>
      </c>
      <c r="H3" s="27">
        <v>42165</v>
      </c>
      <c r="I3" s="26">
        <v>287389959</v>
      </c>
      <c r="J3" s="26">
        <v>53.3</v>
      </c>
      <c r="K3" s="26">
        <v>0</v>
      </c>
      <c r="L3" s="28">
        <v>401768</v>
      </c>
      <c r="M3" s="26">
        <v>0</v>
      </c>
      <c r="N3" s="26">
        <v>0</v>
      </c>
      <c r="O3" s="26">
        <v>0</v>
      </c>
      <c r="P3" s="26">
        <v>2</v>
      </c>
      <c r="Q3" s="26" t="s">
        <v>195</v>
      </c>
      <c r="R3" s="26" t="s">
        <v>182</v>
      </c>
      <c r="S3" s="26" t="s">
        <v>138</v>
      </c>
      <c r="T3" s="26" t="s">
        <v>138</v>
      </c>
      <c r="U3" s="26">
        <v>15573</v>
      </c>
      <c r="V3" s="26" t="s">
        <v>216</v>
      </c>
      <c r="W3" s="26">
        <v>0</v>
      </c>
      <c r="X3" s="26">
        <v>0</v>
      </c>
      <c r="Y3" s="26">
        <v>1</v>
      </c>
      <c r="Z3" s="26" t="s">
        <v>183</v>
      </c>
      <c r="AA3" s="26" t="s">
        <v>182</v>
      </c>
    </row>
    <row r="4" spans="1:27" ht="30" customHeight="1" x14ac:dyDescent="0.3">
      <c r="A4" s="80" t="s">
        <v>68</v>
      </c>
      <c r="B4" s="26" t="s">
        <v>69</v>
      </c>
      <c r="C4" s="26" t="s">
        <v>70</v>
      </c>
      <c r="D4" s="26" t="s">
        <v>20</v>
      </c>
      <c r="E4" s="26" t="s">
        <v>138</v>
      </c>
      <c r="F4" s="26" t="s">
        <v>37</v>
      </c>
      <c r="G4" s="27">
        <v>42102</v>
      </c>
      <c r="H4" s="27">
        <v>42165</v>
      </c>
      <c r="I4" s="26">
        <v>287389959</v>
      </c>
      <c r="J4" s="26">
        <v>53.3</v>
      </c>
      <c r="K4" s="26">
        <v>0</v>
      </c>
      <c r="L4" s="28">
        <v>401768</v>
      </c>
      <c r="M4" s="26">
        <v>0</v>
      </c>
      <c r="N4" s="26">
        <v>0</v>
      </c>
      <c r="O4" s="26">
        <v>0</v>
      </c>
      <c r="P4" s="26">
        <v>4</v>
      </c>
      <c r="Q4" s="26" t="s">
        <v>204</v>
      </c>
      <c r="R4" s="26" t="s">
        <v>182</v>
      </c>
      <c r="S4" s="26" t="s">
        <v>138</v>
      </c>
      <c r="T4" s="26" t="s">
        <v>138</v>
      </c>
      <c r="U4" s="26">
        <v>10490</v>
      </c>
      <c r="V4" s="26" t="s">
        <v>216</v>
      </c>
      <c r="W4" s="26">
        <v>0</v>
      </c>
      <c r="X4" s="26">
        <v>0</v>
      </c>
      <c r="Y4" s="26">
        <v>1</v>
      </c>
      <c r="Z4" s="26" t="s">
        <v>183</v>
      </c>
      <c r="AA4" s="26" t="s">
        <v>182</v>
      </c>
    </row>
    <row r="5" spans="1:27" ht="30" customHeight="1" x14ac:dyDescent="0.3">
      <c r="A5" s="75" t="s">
        <v>78</v>
      </c>
      <c r="B5" s="26" t="s">
        <v>79</v>
      </c>
      <c r="C5" s="76" t="s">
        <v>81</v>
      </c>
      <c r="D5" s="26" t="s">
        <v>20</v>
      </c>
      <c r="E5" s="26" t="s">
        <v>138</v>
      </c>
      <c r="F5" s="26" t="s">
        <v>81</v>
      </c>
      <c r="G5" s="27">
        <v>40737</v>
      </c>
      <c r="H5" s="27">
        <v>41613</v>
      </c>
      <c r="I5" s="26">
        <v>2982500</v>
      </c>
      <c r="J5" s="26">
        <v>2645</v>
      </c>
      <c r="K5" s="26">
        <v>125</v>
      </c>
      <c r="L5" s="28">
        <v>401768</v>
      </c>
      <c r="M5" s="26">
        <v>0</v>
      </c>
      <c r="N5" s="26">
        <v>0</v>
      </c>
      <c r="O5" s="26">
        <v>0</v>
      </c>
      <c r="P5" s="26">
        <v>4</v>
      </c>
      <c r="Q5" s="26" t="s">
        <v>204</v>
      </c>
      <c r="R5" s="26" t="s">
        <v>182</v>
      </c>
      <c r="S5" s="26" t="s">
        <v>138</v>
      </c>
      <c r="T5" s="26" t="s">
        <v>139</v>
      </c>
      <c r="U5" s="26">
        <v>955</v>
      </c>
      <c r="V5" s="26" t="s">
        <v>216</v>
      </c>
      <c r="W5" s="26">
        <v>0</v>
      </c>
      <c r="X5" s="26">
        <v>0</v>
      </c>
      <c r="Y5" s="26">
        <v>1</v>
      </c>
      <c r="Z5" s="26" t="s">
        <v>183</v>
      </c>
      <c r="AA5" s="26" t="s">
        <v>182</v>
      </c>
    </row>
    <row r="6" spans="1:27" ht="30" customHeight="1" x14ac:dyDescent="0.3">
      <c r="A6" s="75" t="s">
        <v>201</v>
      </c>
      <c r="B6" s="26" t="s">
        <v>202</v>
      </c>
      <c r="C6" s="26" t="s">
        <v>207</v>
      </c>
      <c r="D6" s="26" t="s">
        <v>20</v>
      </c>
      <c r="E6" s="26" t="s">
        <v>138</v>
      </c>
      <c r="F6" s="26" t="s">
        <v>98</v>
      </c>
      <c r="G6" s="27">
        <v>42145</v>
      </c>
      <c r="H6" s="27">
        <v>42179</v>
      </c>
      <c r="I6" s="26">
        <v>0</v>
      </c>
      <c r="J6" s="26">
        <v>636</v>
      </c>
      <c r="K6" s="26">
        <v>0</v>
      </c>
      <c r="L6" s="28">
        <v>401768</v>
      </c>
      <c r="M6" s="26">
        <v>0</v>
      </c>
      <c r="N6" s="26">
        <v>0</v>
      </c>
      <c r="O6" s="26">
        <v>0</v>
      </c>
      <c r="P6" s="26">
        <v>6</v>
      </c>
      <c r="Q6" s="26" t="s">
        <v>210</v>
      </c>
      <c r="R6" s="26" t="s">
        <v>182</v>
      </c>
      <c r="S6" s="26" t="s">
        <v>138</v>
      </c>
      <c r="T6" s="26" t="s">
        <v>227</v>
      </c>
      <c r="U6" s="26">
        <v>6457</v>
      </c>
      <c r="V6" s="26" t="s">
        <v>161</v>
      </c>
      <c r="W6" s="26">
        <v>0</v>
      </c>
      <c r="X6" s="26">
        <v>0</v>
      </c>
      <c r="Y6" s="26">
        <v>1</v>
      </c>
      <c r="Z6" s="26" t="s">
        <v>183</v>
      </c>
      <c r="AA6" s="26" t="s">
        <v>182</v>
      </c>
    </row>
    <row r="7" spans="1:27" ht="30" customHeight="1" x14ac:dyDescent="0.3">
      <c r="A7" s="75" t="s">
        <v>127</v>
      </c>
      <c r="B7" s="26" t="s">
        <v>128</v>
      </c>
      <c r="C7" s="26" t="s">
        <v>129</v>
      </c>
      <c r="D7" s="26" t="s">
        <v>36</v>
      </c>
      <c r="E7" s="26" t="s">
        <v>138</v>
      </c>
      <c r="F7" s="26" t="s">
        <v>98</v>
      </c>
      <c r="G7" s="27">
        <v>38239</v>
      </c>
      <c r="H7" s="27">
        <v>38249</v>
      </c>
      <c r="I7" s="26">
        <v>544243</v>
      </c>
      <c r="J7" s="26">
        <v>445</v>
      </c>
      <c r="K7" s="26">
        <v>0</v>
      </c>
      <c r="L7" s="28">
        <v>401768</v>
      </c>
      <c r="M7" s="26">
        <v>0</v>
      </c>
      <c r="N7" s="26">
        <v>0</v>
      </c>
      <c r="O7" s="26">
        <v>0</v>
      </c>
      <c r="P7" s="26">
        <v>2</v>
      </c>
      <c r="Q7" s="26" t="s">
        <v>195</v>
      </c>
      <c r="R7" s="26" t="s">
        <v>182</v>
      </c>
      <c r="S7" s="26" t="s">
        <v>138</v>
      </c>
      <c r="T7" s="26" t="s">
        <v>230</v>
      </c>
      <c r="U7" s="26">
        <v>5347</v>
      </c>
      <c r="V7" s="26" t="s">
        <v>216</v>
      </c>
      <c r="W7" s="26">
        <v>0</v>
      </c>
      <c r="X7" s="26">
        <v>0</v>
      </c>
      <c r="Y7" s="26">
        <v>1</v>
      </c>
      <c r="Z7" s="26" t="s">
        <v>183</v>
      </c>
      <c r="AA7" s="26" t="s">
        <v>182</v>
      </c>
    </row>
    <row r="8" spans="1:27" ht="30" customHeight="1" x14ac:dyDescent="0.3">
      <c r="A8" s="75" t="s">
        <v>117</v>
      </c>
      <c r="B8" s="26" t="s">
        <v>130</v>
      </c>
      <c r="C8" s="26" t="s">
        <v>118</v>
      </c>
      <c r="D8" s="26" t="s">
        <v>36</v>
      </c>
      <c r="E8" s="26" t="s">
        <v>138</v>
      </c>
      <c r="F8" s="26" t="s">
        <v>98</v>
      </c>
      <c r="G8" s="27">
        <v>39561</v>
      </c>
      <c r="H8" s="27">
        <v>36452</v>
      </c>
      <c r="I8" s="26">
        <v>0</v>
      </c>
      <c r="J8" s="26">
        <v>173</v>
      </c>
      <c r="K8" s="26">
        <v>0</v>
      </c>
      <c r="L8" s="28">
        <v>401768</v>
      </c>
      <c r="M8" s="26">
        <v>0</v>
      </c>
      <c r="N8" s="26">
        <v>0</v>
      </c>
      <c r="O8" s="26">
        <v>0</v>
      </c>
      <c r="P8" s="26">
        <v>6</v>
      </c>
      <c r="Q8" s="26" t="s">
        <v>210</v>
      </c>
      <c r="R8" s="26" t="s">
        <v>182</v>
      </c>
      <c r="S8" s="26" t="s">
        <v>233</v>
      </c>
      <c r="T8" s="26" t="s">
        <v>138</v>
      </c>
      <c r="U8" s="26">
        <v>15488</v>
      </c>
      <c r="V8" s="26" t="s">
        <v>216</v>
      </c>
      <c r="W8" s="26">
        <v>0</v>
      </c>
      <c r="X8" s="26">
        <v>0</v>
      </c>
      <c r="Y8" s="26">
        <v>4</v>
      </c>
      <c r="Z8" s="76"/>
      <c r="AA8" s="26" t="s">
        <v>182</v>
      </c>
    </row>
    <row r="9" spans="1:27" ht="30" customHeight="1" x14ac:dyDescent="0.3">
      <c r="A9" s="75" t="s">
        <v>75</v>
      </c>
      <c r="B9" s="26" t="s">
        <v>76</v>
      </c>
      <c r="C9" s="26" t="s">
        <v>56</v>
      </c>
      <c r="D9" s="26" t="s">
        <v>20</v>
      </c>
      <c r="E9" s="26" t="s">
        <v>138</v>
      </c>
      <c r="F9" s="26" t="s">
        <v>37</v>
      </c>
      <c r="G9" s="27">
        <v>45416</v>
      </c>
      <c r="H9" s="27">
        <v>43256</v>
      </c>
      <c r="I9" s="81">
        <v>1700000</v>
      </c>
      <c r="J9" s="26">
        <v>2200</v>
      </c>
      <c r="K9" s="26">
        <v>0</v>
      </c>
      <c r="L9" s="28">
        <v>401768</v>
      </c>
      <c r="M9" s="26">
        <v>0</v>
      </c>
      <c r="N9" s="26">
        <v>0</v>
      </c>
      <c r="O9" s="26">
        <v>0</v>
      </c>
      <c r="P9" s="26">
        <v>4</v>
      </c>
      <c r="Q9" s="26" t="s">
        <v>204</v>
      </c>
      <c r="R9" s="26" t="s">
        <v>182</v>
      </c>
      <c r="S9" s="26" t="s">
        <v>138</v>
      </c>
      <c r="T9" s="26" t="s">
        <v>138</v>
      </c>
      <c r="U9" s="26">
        <v>3018</v>
      </c>
      <c r="V9" s="26" t="s">
        <v>216</v>
      </c>
      <c r="W9" s="26">
        <v>0</v>
      </c>
      <c r="X9" s="26">
        <v>0</v>
      </c>
      <c r="Y9" s="26">
        <v>1</v>
      </c>
      <c r="Z9" s="76"/>
      <c r="AA9" s="26" t="s">
        <v>182</v>
      </c>
    </row>
    <row r="10" spans="1:27" ht="30" customHeight="1" x14ac:dyDescent="0.3">
      <c r="A10" s="75" t="s">
        <v>75</v>
      </c>
      <c r="B10" s="26" t="s">
        <v>76</v>
      </c>
      <c r="C10" s="26" t="s">
        <v>56</v>
      </c>
      <c r="D10" s="26" t="s">
        <v>20</v>
      </c>
      <c r="E10" s="26" t="s">
        <v>138</v>
      </c>
      <c r="F10" s="26" t="s">
        <v>37</v>
      </c>
      <c r="G10" s="27">
        <v>45416</v>
      </c>
      <c r="H10" s="27">
        <v>43256</v>
      </c>
      <c r="I10" s="76">
        <v>1700000</v>
      </c>
      <c r="J10" s="26">
        <v>2200</v>
      </c>
      <c r="K10" s="26">
        <v>0</v>
      </c>
      <c r="L10" s="28">
        <v>401768</v>
      </c>
      <c r="M10" s="26">
        <v>0</v>
      </c>
      <c r="N10" s="26">
        <v>0</v>
      </c>
      <c r="O10" s="26">
        <v>0</v>
      </c>
      <c r="P10" s="26">
        <v>1</v>
      </c>
      <c r="Q10" s="26" t="s">
        <v>181</v>
      </c>
      <c r="R10" s="26" t="s">
        <v>182</v>
      </c>
      <c r="S10" s="26" t="s">
        <v>138</v>
      </c>
      <c r="T10" s="26" t="s">
        <v>138</v>
      </c>
      <c r="U10" s="26">
        <v>829</v>
      </c>
      <c r="V10" s="26" t="s">
        <v>216</v>
      </c>
      <c r="W10" s="26">
        <v>0</v>
      </c>
      <c r="X10" s="26">
        <v>0</v>
      </c>
      <c r="Y10" s="26">
        <v>1</v>
      </c>
      <c r="Z10" s="26" t="s">
        <v>183</v>
      </c>
      <c r="AA10" s="26" t="s">
        <v>182</v>
      </c>
    </row>
    <row r="11" spans="1:27" ht="30" customHeight="1" x14ac:dyDescent="0.3">
      <c r="A11" s="75" t="s">
        <v>53</v>
      </c>
      <c r="B11" s="76" t="s">
        <v>1038</v>
      </c>
      <c r="C11" s="26" t="s">
        <v>54</v>
      </c>
      <c r="D11" s="26" t="s">
        <v>20</v>
      </c>
      <c r="E11" s="26" t="s">
        <v>138</v>
      </c>
      <c r="F11" s="26" t="s">
        <v>37</v>
      </c>
      <c r="G11" s="77"/>
      <c r="H11" s="27">
        <v>43886</v>
      </c>
      <c r="I11" s="76"/>
      <c r="J11" s="26">
        <v>286</v>
      </c>
      <c r="K11" s="26">
        <v>0</v>
      </c>
      <c r="L11" s="28">
        <v>44969</v>
      </c>
      <c r="M11" s="26">
        <v>0</v>
      </c>
      <c r="N11" s="26">
        <v>0</v>
      </c>
      <c r="O11" s="26">
        <v>0</v>
      </c>
      <c r="P11" s="26">
        <v>2</v>
      </c>
      <c r="Q11" s="26" t="s">
        <v>195</v>
      </c>
      <c r="R11" s="26" t="s">
        <v>182</v>
      </c>
      <c r="S11" s="26" t="s">
        <v>138</v>
      </c>
      <c r="T11" s="26" t="s">
        <v>223</v>
      </c>
      <c r="U11" s="26">
        <v>120</v>
      </c>
      <c r="V11" s="26" t="s">
        <v>224</v>
      </c>
      <c r="W11" s="26">
        <v>0</v>
      </c>
      <c r="X11" s="26">
        <v>0</v>
      </c>
      <c r="Y11" s="26">
        <v>1</v>
      </c>
      <c r="Z11" s="26" t="s">
        <v>183</v>
      </c>
      <c r="AA11" s="26" t="s">
        <v>182</v>
      </c>
    </row>
    <row r="12" spans="1:27" ht="30" customHeight="1" x14ac:dyDescent="0.3">
      <c r="A12" s="75" t="s">
        <v>53</v>
      </c>
      <c r="B12" s="76" t="s">
        <v>1038</v>
      </c>
      <c r="C12" s="26" t="s">
        <v>54</v>
      </c>
      <c r="D12" s="26" t="s">
        <v>20</v>
      </c>
      <c r="E12" s="26" t="s">
        <v>138</v>
      </c>
      <c r="F12" s="26" t="s">
        <v>37</v>
      </c>
      <c r="G12" s="77"/>
      <c r="H12" s="27">
        <v>43886</v>
      </c>
      <c r="I12" s="76"/>
      <c r="J12" s="26">
        <v>286</v>
      </c>
      <c r="K12" s="26">
        <v>0</v>
      </c>
      <c r="L12" s="28">
        <v>44969</v>
      </c>
      <c r="M12" s="26">
        <v>0</v>
      </c>
      <c r="N12" s="26">
        <v>0</v>
      </c>
      <c r="O12" s="26">
        <v>0</v>
      </c>
      <c r="P12" s="26">
        <v>4</v>
      </c>
      <c r="Q12" s="26" t="s">
        <v>204</v>
      </c>
      <c r="R12" s="26" t="s">
        <v>182</v>
      </c>
      <c r="S12" s="26" t="s">
        <v>138</v>
      </c>
      <c r="T12" s="26" t="s">
        <v>138</v>
      </c>
      <c r="U12" s="26">
        <v>291</v>
      </c>
      <c r="V12" s="26" t="s">
        <v>225</v>
      </c>
      <c r="W12" s="26">
        <v>0</v>
      </c>
      <c r="X12" s="26">
        <v>0</v>
      </c>
      <c r="Y12" s="26">
        <v>1</v>
      </c>
      <c r="Z12" s="76"/>
      <c r="AA12" s="26" t="s">
        <v>182</v>
      </c>
    </row>
    <row r="13" spans="1:27" ht="30" customHeight="1" x14ac:dyDescent="0.3">
      <c r="A13" s="75" t="s">
        <v>33</v>
      </c>
      <c r="B13" s="26" t="s">
        <v>45</v>
      </c>
      <c r="C13" s="26" t="s">
        <v>35</v>
      </c>
      <c r="D13" s="26" t="s">
        <v>36</v>
      </c>
      <c r="E13" s="26" t="s">
        <v>138</v>
      </c>
      <c r="F13" s="26" t="s">
        <v>37</v>
      </c>
      <c r="G13" s="27">
        <v>42565</v>
      </c>
      <c r="H13" s="27">
        <v>42565</v>
      </c>
      <c r="I13" s="26">
        <v>0</v>
      </c>
      <c r="J13" s="26">
        <v>87.5</v>
      </c>
      <c r="K13" s="26">
        <v>0</v>
      </c>
      <c r="L13" s="28">
        <v>401768</v>
      </c>
      <c r="M13" s="26">
        <v>0</v>
      </c>
      <c r="N13" s="26">
        <v>0</v>
      </c>
      <c r="O13" s="26">
        <v>0</v>
      </c>
      <c r="P13" s="26">
        <v>2</v>
      </c>
      <c r="Q13" s="26" t="s">
        <v>195</v>
      </c>
      <c r="R13" s="26" t="s">
        <v>182</v>
      </c>
      <c r="S13" s="26" t="s">
        <v>138</v>
      </c>
      <c r="T13" s="26" t="s">
        <v>141</v>
      </c>
      <c r="U13" s="26">
        <v>20508</v>
      </c>
      <c r="V13" s="26" t="s">
        <v>216</v>
      </c>
      <c r="W13" s="26">
        <v>0</v>
      </c>
      <c r="X13" s="26">
        <v>0</v>
      </c>
      <c r="Y13" s="76">
        <v>1</v>
      </c>
      <c r="Z13" s="76" t="s">
        <v>183</v>
      </c>
      <c r="AA13" s="26" t="s">
        <v>182</v>
      </c>
    </row>
    <row r="14" spans="1:27" ht="30" customHeight="1" x14ac:dyDescent="0.3">
      <c r="A14" s="75" t="s">
        <v>105</v>
      </c>
      <c r="B14" s="26" t="s">
        <v>106</v>
      </c>
      <c r="C14" s="76" t="s">
        <v>1039</v>
      </c>
      <c r="D14" s="26" t="s">
        <v>36</v>
      </c>
      <c r="E14" s="26" t="s">
        <v>138</v>
      </c>
      <c r="F14" s="26" t="s">
        <v>98</v>
      </c>
      <c r="G14" s="29"/>
      <c r="H14" s="27">
        <v>35242</v>
      </c>
      <c r="I14" s="26">
        <v>0</v>
      </c>
      <c r="J14" s="26">
        <v>0.45</v>
      </c>
      <c r="K14" s="26">
        <v>0</v>
      </c>
      <c r="L14" s="28">
        <v>401768</v>
      </c>
      <c r="M14" s="26">
        <v>0</v>
      </c>
      <c r="N14" s="26">
        <v>0</v>
      </c>
      <c r="O14" s="26">
        <v>0</v>
      </c>
      <c r="P14" s="26">
        <v>6</v>
      </c>
      <c r="Q14" s="26" t="s">
        <v>210</v>
      </c>
      <c r="R14" s="26" t="s">
        <v>182</v>
      </c>
      <c r="S14" s="26" t="s">
        <v>228</v>
      </c>
      <c r="T14" s="26" t="s">
        <v>138</v>
      </c>
      <c r="U14" s="26">
        <v>0</v>
      </c>
      <c r="V14" s="26" t="s">
        <v>216</v>
      </c>
      <c r="W14" s="26">
        <v>0</v>
      </c>
      <c r="X14" s="26">
        <v>0</v>
      </c>
      <c r="Y14" s="26">
        <v>1</v>
      </c>
      <c r="Z14" s="26" t="s">
        <v>183</v>
      </c>
      <c r="AA14" s="26" t="s">
        <v>182</v>
      </c>
    </row>
    <row r="15" spans="1:27" ht="30" customHeight="1" x14ac:dyDescent="0.3">
      <c r="A15" s="75" t="s">
        <v>50</v>
      </c>
      <c r="B15" s="26" t="s">
        <v>51</v>
      </c>
      <c r="C15" s="26" t="s">
        <v>52</v>
      </c>
      <c r="D15" s="26" t="s">
        <v>20</v>
      </c>
      <c r="E15" s="26" t="s">
        <v>138</v>
      </c>
      <c r="F15" s="26" t="s">
        <v>37</v>
      </c>
      <c r="G15" s="27">
        <v>44143</v>
      </c>
      <c r="H15" s="27">
        <v>44068</v>
      </c>
      <c r="I15" s="76">
        <v>1221140</v>
      </c>
      <c r="J15" s="26">
        <v>320</v>
      </c>
      <c r="K15" s="26">
        <v>0</v>
      </c>
      <c r="L15" s="28">
        <v>401768</v>
      </c>
      <c r="M15" s="26">
        <v>0</v>
      </c>
      <c r="N15" s="26">
        <v>0</v>
      </c>
      <c r="O15" s="26">
        <v>0</v>
      </c>
      <c r="P15" s="26">
        <v>2</v>
      </c>
      <c r="Q15" s="26" t="s">
        <v>195</v>
      </c>
      <c r="R15" s="26" t="s">
        <v>182</v>
      </c>
      <c r="S15" s="26" t="s">
        <v>138</v>
      </c>
      <c r="T15" s="26" t="s">
        <v>138</v>
      </c>
      <c r="U15" s="26">
        <v>9441</v>
      </c>
      <c r="V15" s="26" t="s">
        <v>216</v>
      </c>
      <c r="W15" s="26">
        <v>0</v>
      </c>
      <c r="X15" s="26">
        <v>0</v>
      </c>
      <c r="Y15" s="26">
        <v>1</v>
      </c>
      <c r="Z15" s="26" t="s">
        <v>183</v>
      </c>
      <c r="AA15" s="26" t="s">
        <v>182</v>
      </c>
    </row>
    <row r="16" spans="1:27" ht="30" customHeight="1" x14ac:dyDescent="0.3">
      <c r="A16" s="75" t="s">
        <v>50</v>
      </c>
      <c r="B16" s="26" t="s">
        <v>51</v>
      </c>
      <c r="C16" s="26" t="s">
        <v>52</v>
      </c>
      <c r="D16" s="26" t="s">
        <v>20</v>
      </c>
      <c r="E16" s="26" t="s">
        <v>138</v>
      </c>
      <c r="F16" s="26" t="s">
        <v>37</v>
      </c>
      <c r="G16" s="27">
        <v>44143</v>
      </c>
      <c r="H16" s="27">
        <v>44068</v>
      </c>
      <c r="I16" s="26">
        <v>1221140000</v>
      </c>
      <c r="J16" s="26">
        <v>320</v>
      </c>
      <c r="K16" s="26">
        <v>0</v>
      </c>
      <c r="L16" s="28">
        <v>401768</v>
      </c>
      <c r="M16" s="26">
        <v>0</v>
      </c>
      <c r="N16" s="26">
        <v>0</v>
      </c>
      <c r="O16" s="26">
        <v>0</v>
      </c>
      <c r="P16" s="26">
        <v>1</v>
      </c>
      <c r="Q16" s="26" t="s">
        <v>181</v>
      </c>
      <c r="R16" s="26" t="s">
        <v>182</v>
      </c>
      <c r="S16" s="26" t="s">
        <v>138</v>
      </c>
      <c r="T16" s="26" t="s">
        <v>138</v>
      </c>
      <c r="U16" s="26">
        <v>15538</v>
      </c>
      <c r="V16" s="26" t="s">
        <v>216</v>
      </c>
      <c r="W16" s="26">
        <v>0</v>
      </c>
      <c r="X16" s="26">
        <v>0</v>
      </c>
      <c r="Y16" s="26">
        <v>1</v>
      </c>
      <c r="Z16" s="26" t="s">
        <v>183</v>
      </c>
      <c r="AA16" s="26" t="s">
        <v>182</v>
      </c>
    </row>
    <row r="17" spans="1:27" ht="30" customHeight="1" x14ac:dyDescent="0.3">
      <c r="A17" s="75" t="s">
        <v>71</v>
      </c>
      <c r="B17" s="26" t="s">
        <v>72</v>
      </c>
      <c r="C17" s="26" t="s">
        <v>73</v>
      </c>
      <c r="D17" s="26" t="s">
        <v>20</v>
      </c>
      <c r="E17" s="26" t="s">
        <v>138</v>
      </c>
      <c r="F17" s="26" t="s">
        <v>37</v>
      </c>
      <c r="G17" s="27">
        <v>43994</v>
      </c>
      <c r="H17" s="27">
        <v>44028</v>
      </c>
      <c r="I17" s="76">
        <v>122409</v>
      </c>
      <c r="J17" s="26">
        <v>9.1999999999999993</v>
      </c>
      <c r="K17" s="26">
        <v>0</v>
      </c>
      <c r="L17" s="28">
        <v>401768</v>
      </c>
      <c r="M17" s="26">
        <v>0</v>
      </c>
      <c r="N17" s="26">
        <v>0</v>
      </c>
      <c r="O17" s="26">
        <v>0</v>
      </c>
      <c r="P17" s="26">
        <v>6</v>
      </c>
      <c r="Q17" s="26" t="s">
        <v>210</v>
      </c>
      <c r="R17" s="26" t="s">
        <v>182</v>
      </c>
      <c r="S17" s="26" t="s">
        <v>226</v>
      </c>
      <c r="T17" s="26" t="s">
        <v>138</v>
      </c>
      <c r="U17" s="29"/>
      <c r="V17" s="26" t="s">
        <v>216</v>
      </c>
      <c r="W17" s="26">
        <v>0</v>
      </c>
      <c r="X17" s="26">
        <v>0</v>
      </c>
      <c r="Y17" s="26">
        <v>1</v>
      </c>
      <c r="Z17" s="26" t="s">
        <v>183</v>
      </c>
      <c r="AA17" s="26" t="s">
        <v>182</v>
      </c>
    </row>
    <row r="18" spans="1:27" ht="30" customHeight="1" x14ac:dyDescent="0.3">
      <c r="A18" s="75" t="s">
        <v>104</v>
      </c>
      <c r="B18" s="26" t="s">
        <v>97</v>
      </c>
      <c r="C18" s="26" t="s">
        <v>96</v>
      </c>
      <c r="D18" s="26" t="s">
        <v>36</v>
      </c>
      <c r="E18" s="26" t="s">
        <v>138</v>
      </c>
      <c r="F18" s="26" t="s">
        <v>98</v>
      </c>
      <c r="G18" s="27">
        <v>35941</v>
      </c>
      <c r="H18" s="27">
        <v>36574</v>
      </c>
      <c r="I18" s="26">
        <v>0</v>
      </c>
      <c r="J18" s="26">
        <v>2.1579000000000002</v>
      </c>
      <c r="K18" s="26">
        <v>0.104</v>
      </c>
      <c r="L18" s="28">
        <v>401768</v>
      </c>
      <c r="M18" s="26">
        <v>0</v>
      </c>
      <c r="N18" s="26">
        <v>0</v>
      </c>
      <c r="O18" s="26">
        <v>0</v>
      </c>
      <c r="P18" s="26">
        <v>4</v>
      </c>
      <c r="Q18" s="26" t="s">
        <v>204</v>
      </c>
      <c r="R18" s="26" t="s">
        <v>182</v>
      </c>
      <c r="S18" s="26" t="s">
        <v>138</v>
      </c>
      <c r="T18" s="26" t="s">
        <v>138</v>
      </c>
      <c r="U18" s="26">
        <v>850000</v>
      </c>
      <c r="V18" s="26" t="s">
        <v>216</v>
      </c>
      <c r="W18" s="26">
        <v>0</v>
      </c>
      <c r="X18" s="26">
        <v>30</v>
      </c>
      <c r="Y18" s="26">
        <v>1</v>
      </c>
      <c r="Z18" s="26" t="s">
        <v>183</v>
      </c>
      <c r="AA18" s="26" t="s">
        <v>182</v>
      </c>
    </row>
    <row r="19" spans="1:27" ht="30" customHeight="1" x14ac:dyDescent="0.3">
      <c r="A19" s="75" t="s">
        <v>83</v>
      </c>
      <c r="B19" s="26" t="s">
        <v>86</v>
      </c>
      <c r="C19" s="26" t="s">
        <v>89</v>
      </c>
      <c r="D19" s="26" t="s">
        <v>66</v>
      </c>
      <c r="E19" s="26" t="s">
        <v>138</v>
      </c>
      <c r="F19" s="26" t="s">
        <v>87</v>
      </c>
      <c r="G19" s="29"/>
      <c r="H19" s="27">
        <v>44572</v>
      </c>
      <c r="I19" s="26">
        <v>0</v>
      </c>
      <c r="J19" s="26">
        <v>4.5</v>
      </c>
      <c r="K19" s="26">
        <v>0.32</v>
      </c>
      <c r="L19" s="28">
        <v>401768</v>
      </c>
      <c r="M19" s="26">
        <v>0</v>
      </c>
      <c r="N19" s="26">
        <v>0</v>
      </c>
      <c r="O19" s="26">
        <v>0</v>
      </c>
      <c r="P19" s="26">
        <v>1</v>
      </c>
      <c r="Q19" s="26" t="s">
        <v>181</v>
      </c>
      <c r="R19" s="26" t="s">
        <v>182</v>
      </c>
      <c r="S19" s="26" t="s">
        <v>138</v>
      </c>
      <c r="T19" s="26" t="s">
        <v>138</v>
      </c>
      <c r="U19" s="26">
        <v>2250</v>
      </c>
      <c r="V19" s="26" t="s">
        <v>216</v>
      </c>
      <c r="W19" s="26">
        <v>0</v>
      </c>
      <c r="X19" s="26">
        <v>0</v>
      </c>
      <c r="Y19" s="26">
        <v>1</v>
      </c>
      <c r="Z19" s="26" t="s">
        <v>183</v>
      </c>
      <c r="AA19" s="26" t="s">
        <v>182</v>
      </c>
    </row>
    <row r="20" spans="1:27" ht="30" customHeight="1" x14ac:dyDescent="0.3">
      <c r="A20" s="75" t="s">
        <v>42</v>
      </c>
      <c r="B20" s="26" t="s">
        <v>43</v>
      </c>
      <c r="C20" s="26" t="s">
        <v>44</v>
      </c>
      <c r="D20" s="26" t="s">
        <v>20</v>
      </c>
      <c r="E20" s="26" t="s">
        <v>138</v>
      </c>
      <c r="F20" s="26" t="s">
        <v>37</v>
      </c>
      <c r="G20" s="27">
        <v>42955</v>
      </c>
      <c r="H20" s="77"/>
      <c r="I20" s="76"/>
      <c r="J20" s="26">
        <v>113.2</v>
      </c>
      <c r="K20" s="26">
        <v>0</v>
      </c>
      <c r="L20" s="28">
        <v>44430</v>
      </c>
      <c r="M20" s="26">
        <v>0</v>
      </c>
      <c r="N20" s="26">
        <v>0</v>
      </c>
      <c r="O20" s="26">
        <v>0</v>
      </c>
      <c r="P20" s="26">
        <v>1</v>
      </c>
      <c r="Q20" s="26" t="s">
        <v>181</v>
      </c>
      <c r="R20" s="26" t="s">
        <v>182</v>
      </c>
      <c r="S20" s="26" t="s">
        <v>138</v>
      </c>
      <c r="T20" s="26" t="s">
        <v>138</v>
      </c>
      <c r="U20" s="26">
        <v>8250</v>
      </c>
      <c r="V20" s="26" t="s">
        <v>216</v>
      </c>
      <c r="W20" s="26">
        <v>0</v>
      </c>
      <c r="X20" s="26">
        <v>0</v>
      </c>
      <c r="Y20" s="26">
        <v>1</v>
      </c>
      <c r="Z20" s="26" t="s">
        <v>183</v>
      </c>
      <c r="AA20" s="26" t="s">
        <v>182</v>
      </c>
    </row>
    <row r="21" spans="1:27" ht="30" customHeight="1" x14ac:dyDescent="0.3">
      <c r="A21" s="75" t="s">
        <v>112</v>
      </c>
      <c r="B21" s="26" t="s">
        <v>109</v>
      </c>
      <c r="C21" s="26" t="s">
        <v>232</v>
      </c>
      <c r="D21" s="26" t="s">
        <v>36</v>
      </c>
      <c r="E21" s="26" t="s">
        <v>138</v>
      </c>
      <c r="F21" s="26" t="s">
        <v>98</v>
      </c>
      <c r="G21" s="27">
        <v>35943</v>
      </c>
      <c r="H21" s="27">
        <v>35807</v>
      </c>
      <c r="I21" s="26">
        <v>0</v>
      </c>
      <c r="J21" s="76">
        <v>13.48</v>
      </c>
      <c r="K21" s="26">
        <v>0.1</v>
      </c>
      <c r="L21" s="28">
        <v>401768</v>
      </c>
      <c r="M21" s="26">
        <v>0</v>
      </c>
      <c r="N21" s="26">
        <v>0</v>
      </c>
      <c r="O21" s="26">
        <v>0</v>
      </c>
      <c r="P21" s="26">
        <v>4</v>
      </c>
      <c r="Q21" s="26" t="s">
        <v>204</v>
      </c>
      <c r="R21" s="26" t="s">
        <v>182</v>
      </c>
      <c r="S21" s="26" t="s">
        <v>138</v>
      </c>
      <c r="T21" s="26" t="s">
        <v>138</v>
      </c>
      <c r="U21" s="26">
        <v>250</v>
      </c>
      <c r="V21" s="26" t="s">
        <v>216</v>
      </c>
      <c r="W21" s="26">
        <v>0</v>
      </c>
      <c r="X21" s="26">
        <v>0</v>
      </c>
      <c r="Y21" s="26">
        <v>4</v>
      </c>
      <c r="Z21" s="76"/>
      <c r="AA21" s="26" t="s">
        <v>182</v>
      </c>
    </row>
    <row r="22" spans="1:27" ht="30" customHeight="1" x14ac:dyDescent="0.3">
      <c r="A22" s="75" t="s">
        <v>220</v>
      </c>
      <c r="B22" s="26" t="s">
        <v>221</v>
      </c>
      <c r="C22" s="26" t="s">
        <v>222</v>
      </c>
      <c r="D22" s="26" t="s">
        <v>20</v>
      </c>
      <c r="E22" s="26" t="s">
        <v>138</v>
      </c>
      <c r="F22" s="26" t="s">
        <v>37</v>
      </c>
      <c r="G22" s="27">
        <v>44577</v>
      </c>
      <c r="H22" s="27">
        <v>43878</v>
      </c>
      <c r="I22" s="29"/>
      <c r="J22" s="26">
        <v>472.5</v>
      </c>
      <c r="K22" s="26">
        <v>0</v>
      </c>
      <c r="L22" s="28">
        <v>401768</v>
      </c>
      <c r="M22" s="26">
        <v>0</v>
      </c>
      <c r="N22" s="26">
        <v>0</v>
      </c>
      <c r="O22" s="26">
        <v>0</v>
      </c>
      <c r="P22" s="26">
        <v>1</v>
      </c>
      <c r="Q22" s="26" t="s">
        <v>181</v>
      </c>
      <c r="R22" s="26" t="s">
        <v>182</v>
      </c>
      <c r="S22" s="26" t="s">
        <v>138</v>
      </c>
      <c r="T22" s="76" t="s">
        <v>1040</v>
      </c>
      <c r="U22" s="76">
        <v>91</v>
      </c>
      <c r="V22" s="26" t="s">
        <v>216</v>
      </c>
      <c r="W22" s="26">
        <v>0</v>
      </c>
      <c r="X22" s="26">
        <v>0</v>
      </c>
      <c r="Y22" s="26">
        <v>1</v>
      </c>
      <c r="Z22" s="26" t="s">
        <v>183</v>
      </c>
      <c r="AA22" s="26" t="s">
        <v>182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1"/>
  <dimension ref="A1:AG54"/>
  <sheetViews>
    <sheetView tabSelected="1" zoomScale="85" zoomScaleNormal="85" workbookViewId="0">
      <pane xSplit="1" ySplit="1" topLeftCell="E2" activePane="bottomRight" state="frozen"/>
      <selection pane="topRight" activeCell="B1" sqref="B1"/>
      <selection pane="bottomLeft" activeCell="A2" sqref="A2"/>
      <selection pane="bottomRight" activeCell="J49" sqref="J49"/>
    </sheetView>
  </sheetViews>
  <sheetFormatPr baseColWidth="10" defaultRowHeight="14.4" x14ac:dyDescent="0.3"/>
  <cols>
    <col min="1" max="1" width="53.44140625" customWidth="1"/>
    <col min="2" max="3" width="21.109375" customWidth="1"/>
    <col min="4" max="4" width="23.5546875" style="5" customWidth="1"/>
    <col min="5" max="5" width="28.33203125" style="5" customWidth="1"/>
    <col min="6" max="13" width="23.5546875" style="5" customWidth="1"/>
    <col min="14" max="14" width="21.109375" style="36" customWidth="1"/>
    <col min="15" max="15" width="21.88671875" style="36" bestFit="1" customWidth="1"/>
  </cols>
  <sheetData>
    <row r="1" spans="1:33" ht="41.4" x14ac:dyDescent="0.3">
      <c r="A1" s="17" t="s">
        <v>0</v>
      </c>
      <c r="B1" s="17" t="s">
        <v>234</v>
      </c>
      <c r="C1" s="17" t="s">
        <v>756</v>
      </c>
      <c r="D1" s="19" t="s">
        <v>235</v>
      </c>
      <c r="E1" s="19" t="s">
        <v>236</v>
      </c>
      <c r="F1" s="19" t="s">
        <v>237</v>
      </c>
      <c r="G1" s="19" t="s">
        <v>238</v>
      </c>
      <c r="H1" s="19" t="s">
        <v>239</v>
      </c>
      <c r="I1" s="19" t="s">
        <v>240</v>
      </c>
      <c r="J1" s="19" t="s">
        <v>241</v>
      </c>
      <c r="K1" s="19" t="s">
        <v>242</v>
      </c>
      <c r="L1" s="19" t="s">
        <v>243</v>
      </c>
      <c r="M1" s="19" t="s">
        <v>244</v>
      </c>
      <c r="N1" s="34" t="s">
        <v>754</v>
      </c>
      <c r="O1" s="34" t="s">
        <v>755</v>
      </c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</row>
    <row r="2" spans="1:33" ht="24.6" customHeight="1" x14ac:dyDescent="0.3">
      <c r="A2" s="30" t="s">
        <v>245</v>
      </c>
      <c r="B2" s="30" t="s">
        <v>38</v>
      </c>
      <c r="C2" s="30" t="s">
        <v>38</v>
      </c>
      <c r="D2" s="35">
        <v>9.096804E-2</v>
      </c>
      <c r="E2" s="35">
        <v>0</v>
      </c>
      <c r="F2" s="20">
        <v>0</v>
      </c>
      <c r="G2" s="20">
        <v>0</v>
      </c>
      <c r="H2" s="20">
        <v>0</v>
      </c>
      <c r="I2" s="20">
        <v>3421526</v>
      </c>
      <c r="J2" s="20">
        <v>0</v>
      </c>
      <c r="K2" s="20">
        <v>0</v>
      </c>
      <c r="L2" s="20">
        <v>0</v>
      </c>
      <c r="M2" s="20">
        <v>0</v>
      </c>
      <c r="N2" s="35">
        <f>D2+E2+H2-G2</f>
        <v>9.096804E-2</v>
      </c>
      <c r="O2" s="35">
        <f>I2+J2+M2-L2</f>
        <v>3421526</v>
      </c>
    </row>
    <row r="3" spans="1:33" ht="24.6" customHeight="1" x14ac:dyDescent="0.3">
      <c r="A3" s="30" t="s">
        <v>33</v>
      </c>
      <c r="B3" s="30" t="s">
        <v>38</v>
      </c>
      <c r="C3" s="30" t="s">
        <v>38</v>
      </c>
      <c r="D3" s="35">
        <v>0</v>
      </c>
      <c r="E3" s="35">
        <v>3.7307999999999999</v>
      </c>
      <c r="F3" s="20">
        <v>0</v>
      </c>
      <c r="G3" s="37">
        <v>0</v>
      </c>
      <c r="H3" s="37">
        <v>0</v>
      </c>
      <c r="I3" s="20">
        <v>0</v>
      </c>
      <c r="J3" s="20">
        <v>137107656</v>
      </c>
      <c r="K3" s="20">
        <v>0</v>
      </c>
      <c r="L3" s="20">
        <v>56238</v>
      </c>
      <c r="M3" s="20">
        <v>307536</v>
      </c>
      <c r="N3" s="35">
        <f>D3+E3+H3-G3</f>
        <v>3.7307999999999999</v>
      </c>
      <c r="O3" s="35">
        <f>I3+J3+M3-L3</f>
        <v>137358954</v>
      </c>
    </row>
    <row r="4" spans="1:33" ht="24.6" customHeight="1" x14ac:dyDescent="0.3">
      <c r="A4" s="30" t="s">
        <v>60</v>
      </c>
      <c r="B4" s="30" t="s">
        <v>38</v>
      </c>
      <c r="C4" s="30" t="s">
        <v>38</v>
      </c>
      <c r="D4" s="35">
        <v>0.25</v>
      </c>
      <c r="E4" s="35">
        <v>8.89</v>
      </c>
      <c r="F4" s="20">
        <v>0</v>
      </c>
      <c r="G4" s="20">
        <v>0.27</v>
      </c>
      <c r="H4" s="20">
        <v>0.11</v>
      </c>
      <c r="I4" s="20">
        <v>9494007</v>
      </c>
      <c r="J4" s="20">
        <v>341013457</v>
      </c>
      <c r="K4" s="20">
        <v>0</v>
      </c>
      <c r="L4" s="20">
        <v>2337</v>
      </c>
      <c r="M4" s="20">
        <v>1362</v>
      </c>
      <c r="N4" s="35">
        <f>D4+E4+H4-G4</f>
        <v>8.98</v>
      </c>
      <c r="O4" s="35">
        <f>I4+J4+M4-L4</f>
        <v>350506489</v>
      </c>
    </row>
    <row r="5" spans="1:33" ht="24.6" customHeight="1" x14ac:dyDescent="0.3">
      <c r="A5" s="30" t="s">
        <v>71</v>
      </c>
      <c r="B5" s="30" t="s">
        <v>38</v>
      </c>
      <c r="C5" s="30" t="s">
        <v>38</v>
      </c>
      <c r="D5" s="38">
        <v>3.6692999999999999E-3</v>
      </c>
      <c r="E5" s="35">
        <v>0</v>
      </c>
      <c r="F5" s="20">
        <v>0</v>
      </c>
      <c r="G5" s="20">
        <v>0</v>
      </c>
      <c r="H5" s="20">
        <v>0</v>
      </c>
      <c r="I5" s="37">
        <v>139433.4</v>
      </c>
      <c r="J5" s="20">
        <v>0</v>
      </c>
      <c r="K5" s="20">
        <v>0</v>
      </c>
      <c r="L5" s="20">
        <v>0</v>
      </c>
      <c r="M5" s="20">
        <v>0</v>
      </c>
      <c r="N5" s="38">
        <f>D5+E5+H5-G5</f>
        <v>3.6692999999999999E-3</v>
      </c>
      <c r="O5" s="35">
        <f>I5+J5+M5-L5</f>
        <v>139433.4</v>
      </c>
    </row>
    <row r="6" spans="1:33" ht="24.6" customHeight="1" x14ac:dyDescent="0.3">
      <c r="A6" s="30" t="s">
        <v>65</v>
      </c>
      <c r="B6" s="30" t="s">
        <v>38</v>
      </c>
      <c r="C6" s="30" t="s">
        <v>38</v>
      </c>
      <c r="D6" s="38">
        <v>4.1999999999999997E-3</v>
      </c>
      <c r="E6" s="35">
        <v>0</v>
      </c>
      <c r="F6" s="20">
        <v>0</v>
      </c>
      <c r="G6" s="20">
        <v>0</v>
      </c>
      <c r="H6" s="20">
        <v>0</v>
      </c>
      <c r="I6" s="20">
        <v>159600</v>
      </c>
      <c r="J6" s="20">
        <v>0</v>
      </c>
      <c r="K6" s="20">
        <v>0</v>
      </c>
      <c r="L6" s="20">
        <v>0</v>
      </c>
      <c r="M6" s="20">
        <v>0</v>
      </c>
      <c r="N6" s="38">
        <f>D6+E6+H6-G6</f>
        <v>4.1999999999999997E-3</v>
      </c>
      <c r="O6" s="35">
        <f>I6+J6+M6-L6</f>
        <v>159600</v>
      </c>
    </row>
    <row r="7" spans="1:33" ht="24.6" hidden="1" customHeight="1" x14ac:dyDescent="0.3">
      <c r="A7" s="30" t="s">
        <v>60</v>
      </c>
      <c r="B7" s="30" t="s">
        <v>246</v>
      </c>
      <c r="C7" s="30" t="s">
        <v>246</v>
      </c>
      <c r="D7" s="20">
        <v>0</v>
      </c>
      <c r="E7" s="38">
        <v>0.68</v>
      </c>
      <c r="F7" s="20">
        <v>0</v>
      </c>
      <c r="G7" s="20">
        <v>0</v>
      </c>
      <c r="H7" s="20">
        <v>0</v>
      </c>
      <c r="I7" s="20">
        <v>0</v>
      </c>
      <c r="J7" s="20">
        <v>307938</v>
      </c>
      <c r="K7" s="20">
        <v>0</v>
      </c>
      <c r="L7" s="20">
        <v>0</v>
      </c>
      <c r="M7" s="20">
        <v>0</v>
      </c>
      <c r="N7" s="35">
        <f t="shared" ref="N7:N45" si="0">D7+E7+H7-G7</f>
        <v>0.68</v>
      </c>
      <c r="O7" s="35">
        <f t="shared" ref="O7:O45" si="1">I7+J7+M7-L7</f>
        <v>307938</v>
      </c>
    </row>
    <row r="8" spans="1:33" ht="24.6" hidden="1" customHeight="1" x14ac:dyDescent="0.3">
      <c r="A8" s="30" t="s">
        <v>33</v>
      </c>
      <c r="B8" s="30" t="s">
        <v>246</v>
      </c>
      <c r="C8" s="30" t="s">
        <v>246</v>
      </c>
      <c r="D8" s="20">
        <v>0</v>
      </c>
      <c r="E8" s="38">
        <v>0.27589999999999998</v>
      </c>
      <c r="F8" s="20">
        <v>0</v>
      </c>
      <c r="G8" s="20">
        <v>0</v>
      </c>
      <c r="H8" s="20">
        <v>0</v>
      </c>
      <c r="I8" s="20">
        <v>0</v>
      </c>
      <c r="J8" s="20">
        <v>122375.993</v>
      </c>
      <c r="K8" s="20">
        <v>0</v>
      </c>
      <c r="L8" s="20">
        <v>0</v>
      </c>
      <c r="M8" s="20">
        <v>0</v>
      </c>
      <c r="N8" s="35">
        <f t="shared" si="0"/>
        <v>0.27589999999999998</v>
      </c>
      <c r="O8" s="35">
        <f t="shared" si="1"/>
        <v>122375.993</v>
      </c>
    </row>
    <row r="9" spans="1:33" ht="24.6" hidden="1" customHeight="1" x14ac:dyDescent="0.3">
      <c r="A9" s="30" t="s">
        <v>127</v>
      </c>
      <c r="B9" s="30" t="s">
        <v>247</v>
      </c>
      <c r="C9" s="30" t="s">
        <v>247</v>
      </c>
      <c r="D9" s="20">
        <v>0</v>
      </c>
      <c r="E9" s="20">
        <v>24987</v>
      </c>
      <c r="F9" s="20">
        <v>0</v>
      </c>
      <c r="G9" s="20">
        <v>1448</v>
      </c>
      <c r="H9" s="20">
        <v>1387</v>
      </c>
      <c r="I9" s="20">
        <v>0</v>
      </c>
      <c r="J9" s="20">
        <v>3442000</v>
      </c>
      <c r="K9" s="20">
        <v>0</v>
      </c>
      <c r="L9" s="20">
        <v>126</v>
      </c>
      <c r="M9" s="20">
        <v>94</v>
      </c>
      <c r="N9" s="35">
        <f t="shared" si="0"/>
        <v>24926</v>
      </c>
      <c r="O9" s="35">
        <f t="shared" si="1"/>
        <v>3441968</v>
      </c>
    </row>
    <row r="10" spans="1:33" ht="24.6" hidden="1" customHeight="1" x14ac:dyDescent="0.3">
      <c r="A10" s="30" t="s">
        <v>249</v>
      </c>
      <c r="B10" s="30" t="s">
        <v>248</v>
      </c>
      <c r="C10" s="30" t="s">
        <v>248</v>
      </c>
      <c r="D10" s="20">
        <v>50000</v>
      </c>
      <c r="E10" s="20">
        <v>312935</v>
      </c>
      <c r="F10" s="20">
        <v>0</v>
      </c>
      <c r="G10" s="20">
        <v>0</v>
      </c>
      <c r="H10" s="20">
        <v>0</v>
      </c>
      <c r="I10" s="20">
        <v>4820622.1500000004</v>
      </c>
      <c r="J10" s="20">
        <v>30636004</v>
      </c>
      <c r="K10" s="20">
        <v>0</v>
      </c>
      <c r="L10" s="20">
        <v>0</v>
      </c>
      <c r="M10" s="20">
        <v>0</v>
      </c>
      <c r="N10" s="35">
        <f t="shared" si="0"/>
        <v>362935</v>
      </c>
      <c r="O10" s="35">
        <f t="shared" si="1"/>
        <v>35456626.149999999</v>
      </c>
    </row>
    <row r="11" spans="1:33" ht="24.6" hidden="1" customHeight="1" x14ac:dyDescent="0.3">
      <c r="A11" s="30" t="s">
        <v>22</v>
      </c>
      <c r="B11" s="30" t="s">
        <v>248</v>
      </c>
      <c r="C11" s="30" t="s">
        <v>248</v>
      </c>
      <c r="D11" s="20">
        <v>17249</v>
      </c>
      <c r="E11" s="20">
        <v>120731</v>
      </c>
      <c r="F11" s="20">
        <v>0</v>
      </c>
      <c r="G11" s="20">
        <v>923</v>
      </c>
      <c r="H11" s="20">
        <v>25737</v>
      </c>
      <c r="I11" s="20">
        <v>688000</v>
      </c>
      <c r="J11" s="20">
        <v>7012000</v>
      </c>
      <c r="K11" s="20">
        <v>0</v>
      </c>
      <c r="L11" s="20">
        <v>0</v>
      </c>
      <c r="M11" s="20">
        <v>1403</v>
      </c>
      <c r="N11" s="35">
        <f t="shared" si="0"/>
        <v>162794</v>
      </c>
      <c r="O11" s="35">
        <f t="shared" si="1"/>
        <v>7701403</v>
      </c>
    </row>
    <row r="12" spans="1:33" ht="24.6" hidden="1" customHeight="1" x14ac:dyDescent="0.3">
      <c r="A12" s="30" t="s">
        <v>117</v>
      </c>
      <c r="B12" s="30" t="s">
        <v>248</v>
      </c>
      <c r="C12" s="30" t="s">
        <v>248</v>
      </c>
      <c r="D12" s="20">
        <v>0</v>
      </c>
      <c r="E12" s="20">
        <v>99</v>
      </c>
      <c r="F12" s="20">
        <v>0</v>
      </c>
      <c r="G12" s="20">
        <v>33590</v>
      </c>
      <c r="H12" s="20">
        <v>60935</v>
      </c>
      <c r="I12" s="20">
        <v>0</v>
      </c>
      <c r="J12" s="20">
        <v>12309</v>
      </c>
      <c r="K12" s="20">
        <v>0</v>
      </c>
      <c r="L12" s="20">
        <v>1053777</v>
      </c>
      <c r="M12" s="20">
        <v>2120399</v>
      </c>
      <c r="N12" s="35">
        <f t="shared" si="0"/>
        <v>27444</v>
      </c>
      <c r="O12" s="35">
        <f t="shared" si="1"/>
        <v>1078931</v>
      </c>
    </row>
    <row r="13" spans="1:33" ht="24.6" hidden="1" customHeight="1" x14ac:dyDescent="0.3">
      <c r="A13" s="30" t="s">
        <v>112</v>
      </c>
      <c r="B13" s="30" t="s">
        <v>248</v>
      </c>
      <c r="C13" s="30" t="s">
        <v>248</v>
      </c>
      <c r="D13" s="20">
        <v>474.5</v>
      </c>
      <c r="E13" s="20">
        <v>0</v>
      </c>
      <c r="F13" s="20">
        <v>0</v>
      </c>
      <c r="G13" s="20">
        <v>1052</v>
      </c>
      <c r="H13" s="20">
        <v>414</v>
      </c>
      <c r="I13" s="20">
        <v>55042</v>
      </c>
      <c r="J13" s="20">
        <v>0</v>
      </c>
      <c r="K13" s="20">
        <v>0</v>
      </c>
      <c r="L13" s="20">
        <v>3296</v>
      </c>
      <c r="M13" s="20">
        <v>1448</v>
      </c>
      <c r="N13" s="35"/>
      <c r="O13" s="35">
        <f t="shared" ref="O13" si="2">I13+J13+M13-L13</f>
        <v>53194</v>
      </c>
    </row>
    <row r="14" spans="1:33" ht="24.6" hidden="1" customHeight="1" x14ac:dyDescent="0.3">
      <c r="A14" s="30" t="s">
        <v>114</v>
      </c>
      <c r="B14" s="30" t="s">
        <v>250</v>
      </c>
      <c r="C14" s="30" t="s">
        <v>248</v>
      </c>
      <c r="D14" s="20">
        <v>4829</v>
      </c>
      <c r="E14" s="20">
        <v>110073</v>
      </c>
      <c r="F14" s="20">
        <v>0</v>
      </c>
      <c r="G14" s="20">
        <v>28199</v>
      </c>
      <c r="H14" s="20">
        <v>27645</v>
      </c>
      <c r="I14" s="20">
        <v>250924</v>
      </c>
      <c r="J14" s="20">
        <v>9298623</v>
      </c>
      <c r="K14" s="20">
        <v>0</v>
      </c>
      <c r="L14" s="20">
        <v>2489351</v>
      </c>
      <c r="M14" s="20">
        <v>2297575</v>
      </c>
      <c r="N14" s="35">
        <f t="shared" si="0"/>
        <v>114348</v>
      </c>
      <c r="O14" s="35">
        <f t="shared" si="1"/>
        <v>9357771</v>
      </c>
    </row>
    <row r="15" spans="1:33" ht="24.6" hidden="1" customHeight="1" x14ac:dyDescent="0.3">
      <c r="A15" s="30" t="s">
        <v>112</v>
      </c>
      <c r="B15" s="30" t="s">
        <v>99</v>
      </c>
      <c r="C15" s="30" t="s">
        <v>99</v>
      </c>
      <c r="D15" s="20">
        <v>4110.4799999999996</v>
      </c>
      <c r="E15" s="20">
        <v>176175.27</v>
      </c>
      <c r="F15" s="20">
        <v>0</v>
      </c>
      <c r="G15" s="20">
        <v>13466</v>
      </c>
      <c r="H15" s="20">
        <v>6567</v>
      </c>
      <c r="I15" s="20">
        <v>194565</v>
      </c>
      <c r="J15" s="20">
        <v>4477247</v>
      </c>
      <c r="K15" s="20">
        <v>0</v>
      </c>
      <c r="L15" s="20">
        <v>198597</v>
      </c>
      <c r="M15" s="20">
        <v>82271</v>
      </c>
      <c r="N15" s="35">
        <f t="shared" si="0"/>
        <v>173386.75</v>
      </c>
      <c r="O15" s="35">
        <f t="shared" si="1"/>
        <v>4555486</v>
      </c>
    </row>
    <row r="16" spans="1:33" ht="24.6" hidden="1" customHeight="1" x14ac:dyDescent="0.3">
      <c r="A16" s="30" t="s">
        <v>104</v>
      </c>
      <c r="B16" s="30" t="s">
        <v>99</v>
      </c>
      <c r="C16" s="30" t="s">
        <v>99</v>
      </c>
      <c r="D16" s="20">
        <v>104.46</v>
      </c>
      <c r="E16" s="20">
        <v>26829.632000000001</v>
      </c>
      <c r="F16" s="20">
        <v>0</v>
      </c>
      <c r="G16" s="20">
        <v>0</v>
      </c>
      <c r="H16" s="20">
        <v>0</v>
      </c>
      <c r="I16" s="20">
        <v>9651</v>
      </c>
      <c r="J16" s="20">
        <v>1025833</v>
      </c>
      <c r="K16" s="20">
        <v>0</v>
      </c>
      <c r="L16" s="20">
        <v>0</v>
      </c>
      <c r="M16" s="20">
        <v>0</v>
      </c>
      <c r="N16" s="35">
        <f t="shared" si="0"/>
        <v>26934.092000000001</v>
      </c>
      <c r="O16" s="35">
        <f t="shared" si="1"/>
        <v>1035484</v>
      </c>
    </row>
    <row r="17" spans="1:15" ht="24.6" hidden="1" customHeight="1" x14ac:dyDescent="0.3">
      <c r="A17" s="30" t="s">
        <v>105</v>
      </c>
      <c r="B17" s="30" t="s">
        <v>99</v>
      </c>
      <c r="C17" s="30" t="s">
        <v>99</v>
      </c>
      <c r="D17" s="20">
        <v>1328</v>
      </c>
      <c r="E17" s="20">
        <v>84</v>
      </c>
      <c r="F17" s="20">
        <v>0</v>
      </c>
      <c r="G17" s="20">
        <v>0</v>
      </c>
      <c r="H17" s="20">
        <v>0</v>
      </c>
      <c r="I17" s="20">
        <v>101910</v>
      </c>
      <c r="J17" s="20">
        <v>14824</v>
      </c>
      <c r="K17" s="20">
        <v>0</v>
      </c>
      <c r="L17" s="20">
        <v>0</v>
      </c>
      <c r="M17" s="20">
        <v>0</v>
      </c>
      <c r="N17" s="35">
        <f t="shared" si="0"/>
        <v>1412</v>
      </c>
      <c r="O17" s="35">
        <f t="shared" si="1"/>
        <v>116734</v>
      </c>
    </row>
    <row r="18" spans="1:15" ht="24.6" hidden="1" customHeight="1" x14ac:dyDescent="0.3">
      <c r="A18" s="30" t="s">
        <v>127</v>
      </c>
      <c r="B18" s="30" t="s">
        <v>251</v>
      </c>
      <c r="C18" s="30" t="s">
        <v>758</v>
      </c>
      <c r="D18" s="20">
        <v>0</v>
      </c>
      <c r="E18" s="20">
        <v>47556</v>
      </c>
      <c r="F18" s="20">
        <v>0</v>
      </c>
      <c r="G18" s="20">
        <v>421</v>
      </c>
      <c r="H18" s="20">
        <v>1263</v>
      </c>
      <c r="I18" s="20">
        <v>0</v>
      </c>
      <c r="J18" s="20">
        <v>54997000</v>
      </c>
      <c r="K18" s="20">
        <v>0</v>
      </c>
      <c r="L18" s="20">
        <v>208</v>
      </c>
      <c r="M18" s="20">
        <v>854</v>
      </c>
      <c r="N18" s="35">
        <f t="shared" si="0"/>
        <v>48398</v>
      </c>
      <c r="O18" s="35">
        <f t="shared" si="1"/>
        <v>54997646</v>
      </c>
    </row>
    <row r="19" spans="1:15" ht="24.6" hidden="1" customHeight="1" x14ac:dyDescent="0.3">
      <c r="A19" s="30" t="s">
        <v>127</v>
      </c>
      <c r="B19" s="30" t="s">
        <v>120</v>
      </c>
      <c r="C19" s="30" t="s">
        <v>120</v>
      </c>
      <c r="D19" s="20">
        <v>0</v>
      </c>
      <c r="E19" s="20">
        <v>421624</v>
      </c>
      <c r="F19" s="20">
        <v>0</v>
      </c>
      <c r="G19" s="20">
        <v>2498</v>
      </c>
      <c r="H19" s="20">
        <v>1031</v>
      </c>
      <c r="I19" s="20">
        <v>0</v>
      </c>
      <c r="J19" s="20">
        <v>77725000</v>
      </c>
      <c r="K19" s="20">
        <v>0</v>
      </c>
      <c r="L19" s="20">
        <v>217</v>
      </c>
      <c r="M19" s="20">
        <v>123</v>
      </c>
      <c r="N19" s="35">
        <f t="shared" si="0"/>
        <v>420157</v>
      </c>
      <c r="O19" s="35">
        <f t="shared" si="1"/>
        <v>77724906</v>
      </c>
    </row>
    <row r="20" spans="1:15" ht="24.6" hidden="1" customHeight="1" x14ac:dyDescent="0.3">
      <c r="A20" s="30" t="s">
        <v>127</v>
      </c>
      <c r="B20" s="30" t="s">
        <v>121</v>
      </c>
      <c r="C20" s="30" t="s">
        <v>121</v>
      </c>
      <c r="D20" s="20">
        <v>0</v>
      </c>
      <c r="E20" s="20">
        <v>4820</v>
      </c>
      <c r="F20" s="20">
        <v>0</v>
      </c>
      <c r="G20" s="20">
        <v>19</v>
      </c>
      <c r="H20" s="20">
        <v>141</v>
      </c>
      <c r="I20" s="20">
        <v>0</v>
      </c>
      <c r="J20" s="20">
        <v>3949000</v>
      </c>
      <c r="K20" s="20">
        <v>0</v>
      </c>
      <c r="L20" s="20">
        <v>7</v>
      </c>
      <c r="M20" s="20">
        <v>76</v>
      </c>
      <c r="N20" s="35">
        <f t="shared" si="0"/>
        <v>4942</v>
      </c>
      <c r="O20" s="35">
        <f t="shared" si="1"/>
        <v>3949069</v>
      </c>
    </row>
    <row r="21" spans="1:15" ht="24.6" hidden="1" customHeight="1" x14ac:dyDescent="0.3">
      <c r="A21" s="30" t="s">
        <v>253</v>
      </c>
      <c r="B21" s="30" t="s">
        <v>103</v>
      </c>
      <c r="C21" s="30" t="s">
        <v>103</v>
      </c>
      <c r="D21" s="20">
        <v>626599</v>
      </c>
      <c r="E21" s="20">
        <v>0</v>
      </c>
      <c r="F21" s="20">
        <v>687344</v>
      </c>
      <c r="G21" s="20">
        <v>43160</v>
      </c>
      <c r="H21" s="20">
        <v>103905</v>
      </c>
      <c r="I21" s="20">
        <v>1662069</v>
      </c>
      <c r="J21" s="20">
        <v>0</v>
      </c>
      <c r="K21" s="20">
        <v>1872822</v>
      </c>
      <c r="L21" s="20">
        <v>138161</v>
      </c>
      <c r="M21" s="20">
        <v>355409</v>
      </c>
      <c r="N21" s="35">
        <f t="shared" si="0"/>
        <v>687344</v>
      </c>
      <c r="O21" s="35">
        <f t="shared" si="1"/>
        <v>1879317</v>
      </c>
    </row>
    <row r="22" spans="1:15" ht="24.6" hidden="1" customHeight="1" x14ac:dyDescent="0.3">
      <c r="A22" s="30" t="s">
        <v>256</v>
      </c>
      <c r="B22" s="30" t="s">
        <v>103</v>
      </c>
      <c r="C22" s="30" t="s">
        <v>103</v>
      </c>
      <c r="D22" s="20">
        <v>2364002</v>
      </c>
      <c r="E22" s="20">
        <v>0</v>
      </c>
      <c r="F22" s="20">
        <v>0</v>
      </c>
      <c r="G22" s="20">
        <v>0</v>
      </c>
      <c r="H22" s="20">
        <v>0</v>
      </c>
      <c r="I22" s="20">
        <v>18884902</v>
      </c>
      <c r="J22" s="20">
        <v>0</v>
      </c>
      <c r="K22" s="20">
        <v>0</v>
      </c>
      <c r="L22" s="20">
        <v>0</v>
      </c>
      <c r="M22" s="20">
        <v>0</v>
      </c>
      <c r="N22" s="35">
        <f t="shared" si="0"/>
        <v>2364002</v>
      </c>
      <c r="O22" s="35">
        <f t="shared" si="1"/>
        <v>18884902</v>
      </c>
    </row>
    <row r="23" spans="1:15" ht="24.6" hidden="1" customHeight="1" x14ac:dyDescent="0.3">
      <c r="A23" s="30" t="s">
        <v>138</v>
      </c>
      <c r="B23" s="30" t="s">
        <v>103</v>
      </c>
      <c r="C23" s="30" t="s">
        <v>103</v>
      </c>
      <c r="D23" s="20">
        <v>39601</v>
      </c>
      <c r="E23" s="20">
        <v>0</v>
      </c>
      <c r="F23" s="20">
        <v>0</v>
      </c>
      <c r="G23" s="20">
        <v>0</v>
      </c>
      <c r="H23" s="20">
        <v>0</v>
      </c>
      <c r="I23" s="20">
        <v>115200</v>
      </c>
      <c r="J23" s="20">
        <v>0</v>
      </c>
      <c r="K23" s="20">
        <v>0</v>
      </c>
      <c r="L23" s="20">
        <v>0</v>
      </c>
      <c r="M23" s="20">
        <v>0</v>
      </c>
      <c r="N23" s="35">
        <f t="shared" si="0"/>
        <v>39601</v>
      </c>
      <c r="O23" s="35">
        <f t="shared" si="1"/>
        <v>115200</v>
      </c>
    </row>
    <row r="24" spans="1:15" ht="24.6" hidden="1" customHeight="1" x14ac:dyDescent="0.3">
      <c r="A24" s="30" t="s">
        <v>255</v>
      </c>
      <c r="B24" s="30" t="s">
        <v>103</v>
      </c>
      <c r="C24" s="30" t="s">
        <v>103</v>
      </c>
      <c r="D24" s="20">
        <v>57637</v>
      </c>
      <c r="E24" s="20">
        <v>0</v>
      </c>
      <c r="F24" s="20">
        <v>0</v>
      </c>
      <c r="G24" s="20">
        <v>0</v>
      </c>
      <c r="H24" s="20">
        <v>0</v>
      </c>
      <c r="I24" s="20">
        <v>260000</v>
      </c>
      <c r="J24" s="20">
        <v>0</v>
      </c>
      <c r="K24" s="20">
        <v>0</v>
      </c>
      <c r="L24" s="20">
        <v>0</v>
      </c>
      <c r="M24" s="20">
        <v>0</v>
      </c>
      <c r="N24" s="35">
        <f t="shared" si="0"/>
        <v>57637</v>
      </c>
      <c r="O24" s="35">
        <f t="shared" si="1"/>
        <v>260000</v>
      </c>
    </row>
    <row r="25" spans="1:15" ht="24.6" hidden="1" customHeight="1" x14ac:dyDescent="0.3">
      <c r="A25" s="30" t="s">
        <v>257</v>
      </c>
      <c r="B25" s="30" t="s">
        <v>103</v>
      </c>
      <c r="C25" s="30" t="s">
        <v>103</v>
      </c>
      <c r="D25" s="20">
        <v>2758</v>
      </c>
      <c r="E25" s="20">
        <v>0</v>
      </c>
      <c r="F25" s="20">
        <v>0</v>
      </c>
      <c r="G25" s="20">
        <v>0</v>
      </c>
      <c r="H25" s="20">
        <v>0</v>
      </c>
      <c r="I25" s="20">
        <v>22017</v>
      </c>
      <c r="J25" s="20">
        <v>0</v>
      </c>
      <c r="K25" s="20">
        <v>0</v>
      </c>
      <c r="L25" s="20">
        <v>0</v>
      </c>
      <c r="M25" s="20">
        <v>0</v>
      </c>
      <c r="N25" s="35">
        <f t="shared" si="0"/>
        <v>2758</v>
      </c>
      <c r="O25" s="35">
        <f t="shared" si="1"/>
        <v>22017</v>
      </c>
    </row>
    <row r="26" spans="1:15" ht="24.6" hidden="1" customHeight="1" x14ac:dyDescent="0.3">
      <c r="A26" s="30" t="s">
        <v>254</v>
      </c>
      <c r="B26" s="30" t="s">
        <v>103</v>
      </c>
      <c r="C26" s="30" t="s">
        <v>103</v>
      </c>
      <c r="D26" s="20">
        <v>401791</v>
      </c>
      <c r="E26" s="20">
        <v>0</v>
      </c>
      <c r="F26" s="20">
        <v>0</v>
      </c>
      <c r="G26" s="20">
        <v>0</v>
      </c>
      <c r="H26" s="20">
        <v>0</v>
      </c>
      <c r="I26" s="20">
        <v>401791</v>
      </c>
      <c r="J26" s="20">
        <v>0</v>
      </c>
      <c r="K26" s="20">
        <v>0</v>
      </c>
      <c r="L26" s="20">
        <v>0</v>
      </c>
      <c r="M26" s="20">
        <v>0</v>
      </c>
      <c r="N26" s="35">
        <f t="shared" si="0"/>
        <v>401791</v>
      </c>
      <c r="O26" s="35">
        <f t="shared" si="1"/>
        <v>401791</v>
      </c>
    </row>
    <row r="27" spans="1:15" ht="24.6" hidden="1" customHeight="1" x14ac:dyDescent="0.3">
      <c r="A27" s="30" t="s">
        <v>256</v>
      </c>
      <c r="B27" s="30" t="s">
        <v>258</v>
      </c>
      <c r="C27" s="30" t="s">
        <v>757</v>
      </c>
      <c r="D27" s="20">
        <v>115938</v>
      </c>
      <c r="E27" s="20">
        <v>0</v>
      </c>
      <c r="F27" s="20">
        <v>0</v>
      </c>
      <c r="G27" s="20">
        <v>0</v>
      </c>
      <c r="H27" s="20">
        <v>0</v>
      </c>
      <c r="I27" s="20">
        <v>935150</v>
      </c>
      <c r="J27" s="20">
        <v>0</v>
      </c>
      <c r="K27" s="20">
        <v>0</v>
      </c>
      <c r="L27" s="20">
        <v>0</v>
      </c>
      <c r="M27" s="20">
        <v>0</v>
      </c>
      <c r="N27" s="35">
        <f t="shared" si="0"/>
        <v>115938</v>
      </c>
      <c r="O27" s="35">
        <f t="shared" si="1"/>
        <v>935150</v>
      </c>
    </row>
    <row r="28" spans="1:15" ht="24.6" hidden="1" customHeight="1" x14ac:dyDescent="0.3">
      <c r="A28" s="30" t="s">
        <v>95</v>
      </c>
      <c r="B28" s="30" t="s">
        <v>258</v>
      </c>
      <c r="C28" s="30" t="s">
        <v>757</v>
      </c>
      <c r="D28" s="20">
        <v>1661058</v>
      </c>
      <c r="E28" s="20">
        <v>72174</v>
      </c>
      <c r="F28" s="20">
        <v>1730504</v>
      </c>
      <c r="G28" s="20">
        <v>84268</v>
      </c>
      <c r="H28" s="20">
        <v>56601</v>
      </c>
      <c r="I28" s="20">
        <v>11655004</v>
      </c>
      <c r="J28" s="20">
        <v>650916</v>
      </c>
      <c r="K28" s="20">
        <v>12546332</v>
      </c>
      <c r="L28" s="20">
        <v>408800</v>
      </c>
      <c r="M28" s="20">
        <v>380461</v>
      </c>
      <c r="N28" s="35">
        <f t="shared" si="0"/>
        <v>1705565</v>
      </c>
      <c r="O28" s="35">
        <f t="shared" si="1"/>
        <v>12277581</v>
      </c>
    </row>
    <row r="29" spans="1:15" ht="24.6" hidden="1" customHeight="1" x14ac:dyDescent="0.3">
      <c r="A29" s="30" t="s">
        <v>257</v>
      </c>
      <c r="B29" s="30" t="s">
        <v>258</v>
      </c>
      <c r="C29" s="30" t="s">
        <v>757</v>
      </c>
      <c r="D29" s="20">
        <v>2822421</v>
      </c>
      <c r="E29" s="20">
        <v>22058</v>
      </c>
      <c r="F29" s="20">
        <v>3038</v>
      </c>
      <c r="G29" s="20">
        <v>0</v>
      </c>
      <c r="H29" s="20">
        <v>0</v>
      </c>
      <c r="I29" s="20">
        <v>17778246</v>
      </c>
      <c r="J29" s="20">
        <v>46887</v>
      </c>
      <c r="K29" s="20">
        <v>9368</v>
      </c>
      <c r="L29" s="20">
        <v>0</v>
      </c>
      <c r="M29" s="20">
        <v>0</v>
      </c>
      <c r="N29" s="35">
        <f t="shared" si="0"/>
        <v>2844479</v>
      </c>
      <c r="O29" s="35">
        <f t="shared" si="1"/>
        <v>17825133</v>
      </c>
    </row>
    <row r="30" spans="1:15" ht="24.6" hidden="1" customHeight="1" x14ac:dyDescent="0.3">
      <c r="A30" s="30" t="s">
        <v>260</v>
      </c>
      <c r="B30" s="30" t="s">
        <v>258</v>
      </c>
      <c r="C30" s="30" t="s">
        <v>757</v>
      </c>
      <c r="D30" s="20">
        <v>183776</v>
      </c>
      <c r="E30" s="20">
        <v>0</v>
      </c>
      <c r="F30" s="20">
        <v>21370</v>
      </c>
      <c r="G30" s="20">
        <v>0</v>
      </c>
      <c r="H30" s="20">
        <v>0</v>
      </c>
      <c r="I30" s="20">
        <v>2136323</v>
      </c>
      <c r="J30" s="20">
        <v>0</v>
      </c>
      <c r="K30" s="20">
        <v>136604</v>
      </c>
      <c r="L30" s="20">
        <v>0</v>
      </c>
      <c r="M30" s="20">
        <v>0</v>
      </c>
      <c r="N30" s="35">
        <f t="shared" si="0"/>
        <v>183776</v>
      </c>
      <c r="O30" s="35">
        <f t="shared" si="1"/>
        <v>2136323</v>
      </c>
    </row>
    <row r="31" spans="1:15" ht="24.6" hidden="1" customHeight="1" x14ac:dyDescent="0.3">
      <c r="A31" s="30" t="s">
        <v>259</v>
      </c>
      <c r="B31" s="30" t="s">
        <v>261</v>
      </c>
      <c r="C31" s="30" t="s">
        <v>757</v>
      </c>
      <c r="D31" s="20">
        <v>111966</v>
      </c>
      <c r="E31" s="20">
        <v>0</v>
      </c>
      <c r="F31" s="20">
        <v>0</v>
      </c>
      <c r="G31" s="20">
        <v>0</v>
      </c>
      <c r="H31" s="20">
        <v>0</v>
      </c>
      <c r="I31" s="20">
        <v>847818</v>
      </c>
      <c r="J31" s="20">
        <v>0</v>
      </c>
      <c r="K31" s="20">
        <v>0</v>
      </c>
      <c r="L31" s="20">
        <v>0</v>
      </c>
      <c r="M31" s="20">
        <v>0</v>
      </c>
      <c r="N31" s="35">
        <f t="shared" si="0"/>
        <v>111966</v>
      </c>
      <c r="O31" s="35">
        <f t="shared" si="1"/>
        <v>847818</v>
      </c>
    </row>
    <row r="32" spans="1:15" ht="24.6" hidden="1" customHeight="1" x14ac:dyDescent="0.3">
      <c r="A32" s="30" t="s">
        <v>263</v>
      </c>
      <c r="B32" s="30" t="s">
        <v>123</v>
      </c>
      <c r="C32" s="30" t="s">
        <v>123</v>
      </c>
      <c r="D32" s="20">
        <v>360552</v>
      </c>
      <c r="E32" s="20">
        <v>0</v>
      </c>
      <c r="F32" s="20">
        <v>0</v>
      </c>
      <c r="G32" s="20">
        <v>0</v>
      </c>
      <c r="H32" s="20">
        <v>0</v>
      </c>
      <c r="I32" s="20">
        <v>2369576</v>
      </c>
      <c r="J32" s="20">
        <v>0</v>
      </c>
      <c r="K32" s="20">
        <v>0</v>
      </c>
      <c r="L32" s="20">
        <v>0</v>
      </c>
      <c r="M32" s="20">
        <v>0</v>
      </c>
      <c r="N32" s="35">
        <f t="shared" si="0"/>
        <v>360552</v>
      </c>
      <c r="O32" s="35">
        <f t="shared" si="1"/>
        <v>2369576</v>
      </c>
    </row>
    <row r="33" spans="1:15" ht="24.6" hidden="1" customHeight="1" x14ac:dyDescent="0.3">
      <c r="A33" s="30" t="s">
        <v>264</v>
      </c>
      <c r="B33" s="30" t="s">
        <v>123</v>
      </c>
      <c r="C33" s="30" t="s">
        <v>123</v>
      </c>
      <c r="D33" s="20">
        <v>147326</v>
      </c>
      <c r="E33" s="20">
        <v>0</v>
      </c>
      <c r="F33" s="20">
        <v>0</v>
      </c>
      <c r="G33" s="20">
        <v>14.7</v>
      </c>
      <c r="H33" s="20">
        <v>8.0850000000000009</v>
      </c>
      <c r="I33" s="20">
        <v>873939</v>
      </c>
      <c r="J33" s="20">
        <v>0</v>
      </c>
      <c r="K33" s="20">
        <v>0</v>
      </c>
      <c r="L33" s="20">
        <v>87200</v>
      </c>
      <c r="M33" s="20">
        <v>47960</v>
      </c>
      <c r="N33" s="35">
        <f t="shared" si="0"/>
        <v>147319.38499999998</v>
      </c>
      <c r="O33" s="35">
        <f t="shared" si="1"/>
        <v>834699</v>
      </c>
    </row>
    <row r="34" spans="1:15" ht="24.6" hidden="1" customHeight="1" x14ac:dyDescent="0.3">
      <c r="A34" s="30" t="s">
        <v>122</v>
      </c>
      <c r="B34" s="30" t="s">
        <v>123</v>
      </c>
      <c r="C34" s="30" t="s">
        <v>123</v>
      </c>
      <c r="D34" s="20">
        <v>252000</v>
      </c>
      <c r="E34" s="20">
        <v>0</v>
      </c>
      <c r="F34" s="20">
        <v>300000</v>
      </c>
      <c r="G34" s="20">
        <v>0</v>
      </c>
      <c r="H34" s="20">
        <v>0</v>
      </c>
      <c r="I34" s="20">
        <v>1638000</v>
      </c>
      <c r="J34" s="20">
        <v>0</v>
      </c>
      <c r="K34" s="20">
        <v>1950000</v>
      </c>
      <c r="L34" s="20">
        <v>0</v>
      </c>
      <c r="M34" s="20">
        <v>0</v>
      </c>
      <c r="N34" s="35">
        <f t="shared" si="0"/>
        <v>252000</v>
      </c>
      <c r="O34" s="35">
        <f t="shared" si="1"/>
        <v>1638000</v>
      </c>
    </row>
    <row r="35" spans="1:15" ht="24.6" hidden="1" customHeight="1" x14ac:dyDescent="0.3">
      <c r="A35" s="30" t="s">
        <v>127</v>
      </c>
      <c r="B35" s="30" t="s">
        <v>266</v>
      </c>
      <c r="C35" s="30" t="s">
        <v>266</v>
      </c>
      <c r="D35" s="20">
        <v>0</v>
      </c>
      <c r="E35" s="20">
        <v>3062</v>
      </c>
      <c r="F35" s="20">
        <v>0</v>
      </c>
      <c r="G35" s="20">
        <v>77</v>
      </c>
      <c r="H35" s="20">
        <v>78</v>
      </c>
      <c r="I35" s="20">
        <v>0</v>
      </c>
      <c r="J35" s="20">
        <v>3676000</v>
      </c>
      <c r="K35" s="20">
        <v>0</v>
      </c>
      <c r="L35" s="20">
        <v>36</v>
      </c>
      <c r="M35" s="20">
        <v>48</v>
      </c>
      <c r="N35" s="35">
        <f t="shared" si="0"/>
        <v>3063</v>
      </c>
      <c r="O35" s="35">
        <f t="shared" si="1"/>
        <v>3676012</v>
      </c>
    </row>
    <row r="36" spans="1:15" ht="24.6" hidden="1" customHeight="1" x14ac:dyDescent="0.3">
      <c r="A36" s="30" t="s">
        <v>117</v>
      </c>
      <c r="B36" s="30" t="s">
        <v>267</v>
      </c>
      <c r="C36" s="30" t="s">
        <v>267</v>
      </c>
      <c r="D36" s="20">
        <v>1</v>
      </c>
      <c r="E36" s="20">
        <v>508678</v>
      </c>
      <c r="F36" s="20">
        <v>0</v>
      </c>
      <c r="G36" s="20">
        <v>43178</v>
      </c>
      <c r="H36" s="20">
        <v>39137</v>
      </c>
      <c r="I36" s="20">
        <v>875</v>
      </c>
      <c r="J36" s="20">
        <v>300732781</v>
      </c>
      <c r="K36" s="20">
        <v>0</v>
      </c>
      <c r="L36" s="20">
        <v>18650398</v>
      </c>
      <c r="M36" s="20">
        <v>13908002</v>
      </c>
      <c r="N36" s="35">
        <f t="shared" si="0"/>
        <v>504638</v>
      </c>
      <c r="O36" s="35">
        <f t="shared" si="1"/>
        <v>295991260</v>
      </c>
    </row>
    <row r="37" spans="1:15" ht="24.6" hidden="1" customHeight="1" x14ac:dyDescent="0.3">
      <c r="A37" s="30" t="s">
        <v>110</v>
      </c>
      <c r="B37" s="30" t="s">
        <v>268</v>
      </c>
      <c r="C37" s="30" t="s">
        <v>268</v>
      </c>
      <c r="D37" s="20">
        <v>2646686</v>
      </c>
      <c r="E37" s="20">
        <v>1512362</v>
      </c>
      <c r="F37" s="20">
        <v>12563</v>
      </c>
      <c r="G37" s="20">
        <v>36378</v>
      </c>
      <c r="H37" s="20">
        <v>36547</v>
      </c>
      <c r="I37" s="20">
        <v>133790950</v>
      </c>
      <c r="J37" s="20">
        <v>73749014</v>
      </c>
      <c r="K37" s="20">
        <v>572807</v>
      </c>
      <c r="L37" s="20">
        <v>1537377</v>
      </c>
      <c r="M37" s="20">
        <v>1217119</v>
      </c>
      <c r="N37" s="35">
        <f t="shared" si="0"/>
        <v>4159217</v>
      </c>
      <c r="O37" s="35">
        <f t="shared" si="1"/>
        <v>207219706</v>
      </c>
    </row>
    <row r="38" spans="1:15" ht="24.6" hidden="1" customHeight="1" x14ac:dyDescent="0.3">
      <c r="A38" s="30" t="s">
        <v>270</v>
      </c>
      <c r="B38" s="30" t="s">
        <v>268</v>
      </c>
      <c r="C38" s="30" t="s">
        <v>268</v>
      </c>
      <c r="D38" s="20">
        <v>3055821</v>
      </c>
      <c r="E38" s="20">
        <v>172724</v>
      </c>
      <c r="F38" s="20">
        <v>0</v>
      </c>
      <c r="G38" s="20">
        <v>10269</v>
      </c>
      <c r="H38" s="20">
        <v>15306</v>
      </c>
      <c r="I38" s="20">
        <v>156996188</v>
      </c>
      <c r="J38" s="20">
        <v>8589577</v>
      </c>
      <c r="K38" s="20">
        <v>0</v>
      </c>
      <c r="L38" s="20">
        <v>442988</v>
      </c>
      <c r="M38" s="20">
        <v>623056</v>
      </c>
      <c r="N38" s="35">
        <f t="shared" si="0"/>
        <v>3233582</v>
      </c>
      <c r="O38" s="35">
        <f t="shared" si="1"/>
        <v>165765833</v>
      </c>
    </row>
    <row r="39" spans="1:15" ht="24.6" hidden="1" customHeight="1" x14ac:dyDescent="0.3">
      <c r="A39" s="30" t="s">
        <v>269</v>
      </c>
      <c r="B39" s="30" t="s">
        <v>268</v>
      </c>
      <c r="C39" s="30" t="s">
        <v>268</v>
      </c>
      <c r="D39" s="20">
        <v>1092271</v>
      </c>
      <c r="E39" s="20">
        <v>289867</v>
      </c>
      <c r="F39" s="20">
        <v>0</v>
      </c>
      <c r="G39" s="20">
        <v>27266</v>
      </c>
      <c r="H39" s="20">
        <v>11028</v>
      </c>
      <c r="I39" s="20">
        <v>58588563</v>
      </c>
      <c r="J39" s="20">
        <v>14222790</v>
      </c>
      <c r="K39" s="20">
        <v>0</v>
      </c>
      <c r="L39" s="20">
        <v>1063760</v>
      </c>
      <c r="M39" s="20">
        <v>554050</v>
      </c>
      <c r="N39" s="35">
        <f t="shared" si="0"/>
        <v>1365900</v>
      </c>
      <c r="O39" s="35">
        <f t="shared" si="1"/>
        <v>72301643</v>
      </c>
    </row>
    <row r="40" spans="1:15" ht="24.6" hidden="1" customHeight="1" x14ac:dyDescent="0.3">
      <c r="A40" s="30" t="s">
        <v>117</v>
      </c>
      <c r="B40" s="30" t="s">
        <v>271</v>
      </c>
      <c r="C40" s="30" t="s">
        <v>271</v>
      </c>
      <c r="D40" s="20">
        <v>84183</v>
      </c>
      <c r="E40" s="20">
        <v>51524</v>
      </c>
      <c r="F40" s="20">
        <v>0</v>
      </c>
      <c r="G40" s="20">
        <v>25222</v>
      </c>
      <c r="H40" s="20">
        <v>20476</v>
      </c>
      <c r="I40" s="20">
        <v>25342534</v>
      </c>
      <c r="J40" s="20">
        <v>19938789</v>
      </c>
      <c r="K40" s="20">
        <v>0</v>
      </c>
      <c r="L40" s="20">
        <v>6142778</v>
      </c>
      <c r="M40" s="20">
        <v>7284621</v>
      </c>
      <c r="N40" s="35">
        <f t="shared" si="0"/>
        <v>130961</v>
      </c>
      <c r="O40" s="35">
        <f t="shared" si="1"/>
        <v>46423166</v>
      </c>
    </row>
    <row r="41" spans="1:15" ht="24.6" hidden="1" customHeight="1" x14ac:dyDescent="0.3">
      <c r="A41" s="30" t="s">
        <v>262</v>
      </c>
      <c r="B41" s="30" t="s">
        <v>94</v>
      </c>
      <c r="C41" s="30" t="s">
        <v>762</v>
      </c>
      <c r="D41" s="20">
        <v>7701</v>
      </c>
      <c r="E41" s="20">
        <v>0</v>
      </c>
      <c r="F41" s="20">
        <v>0</v>
      </c>
      <c r="G41" s="20">
        <v>0</v>
      </c>
      <c r="H41" s="20">
        <v>0</v>
      </c>
      <c r="I41" s="20">
        <v>58734</v>
      </c>
      <c r="J41" s="20">
        <v>0</v>
      </c>
      <c r="K41" s="20">
        <v>0</v>
      </c>
      <c r="L41" s="20">
        <v>0</v>
      </c>
      <c r="M41" s="20">
        <v>0</v>
      </c>
      <c r="N41" s="35">
        <f t="shared" si="0"/>
        <v>7701</v>
      </c>
      <c r="O41" s="35">
        <f t="shared" si="1"/>
        <v>58734</v>
      </c>
    </row>
    <row r="42" spans="1:15" ht="24.6" hidden="1" customHeight="1" x14ac:dyDescent="0.3">
      <c r="A42" s="30" t="s">
        <v>112</v>
      </c>
      <c r="B42" s="30" t="s">
        <v>94</v>
      </c>
      <c r="C42" s="30" t="s">
        <v>99</v>
      </c>
      <c r="D42" s="20">
        <v>4110</v>
      </c>
      <c r="E42" s="20">
        <v>0</v>
      </c>
      <c r="F42" s="20">
        <v>0</v>
      </c>
      <c r="G42" s="20">
        <v>0</v>
      </c>
      <c r="H42" s="20">
        <v>0</v>
      </c>
      <c r="I42" s="20">
        <v>0</v>
      </c>
      <c r="J42" s="20">
        <v>0</v>
      </c>
      <c r="K42" s="20">
        <v>0</v>
      </c>
      <c r="L42" s="20">
        <v>0</v>
      </c>
      <c r="M42" s="20">
        <v>0</v>
      </c>
      <c r="N42" s="35">
        <f t="shared" si="0"/>
        <v>4110</v>
      </c>
      <c r="O42" s="35">
        <f t="shared" si="1"/>
        <v>0</v>
      </c>
    </row>
    <row r="43" spans="1:15" ht="24.6" hidden="1" customHeight="1" x14ac:dyDescent="0.3">
      <c r="A43" s="30" t="s">
        <v>270</v>
      </c>
      <c r="B43" s="30" t="s">
        <v>94</v>
      </c>
      <c r="C43" s="30" t="s">
        <v>761</v>
      </c>
      <c r="D43" s="20">
        <v>0</v>
      </c>
      <c r="E43" s="20">
        <v>3599</v>
      </c>
      <c r="F43" s="20">
        <v>0</v>
      </c>
      <c r="G43" s="20">
        <v>10400</v>
      </c>
      <c r="H43" s="20">
        <v>65912</v>
      </c>
      <c r="I43" s="20">
        <v>0</v>
      </c>
      <c r="J43" s="20">
        <v>134974</v>
      </c>
      <c r="K43" s="20">
        <v>0</v>
      </c>
      <c r="L43" s="20">
        <v>516155</v>
      </c>
      <c r="M43" s="20">
        <v>3943764</v>
      </c>
      <c r="N43" s="35">
        <f t="shared" si="0"/>
        <v>59111</v>
      </c>
      <c r="O43" s="35">
        <f t="shared" si="1"/>
        <v>3562583</v>
      </c>
    </row>
    <row r="44" spans="1:15" ht="24.6" hidden="1" customHeight="1" x14ac:dyDescent="0.3">
      <c r="A44" s="30" t="s">
        <v>104</v>
      </c>
      <c r="B44" s="30" t="s">
        <v>94</v>
      </c>
      <c r="C44" s="30" t="s">
        <v>956</v>
      </c>
      <c r="D44" s="20">
        <v>0</v>
      </c>
      <c r="E44" s="20">
        <v>17749.954000000002</v>
      </c>
      <c r="F44" s="20">
        <v>0</v>
      </c>
      <c r="G44" s="20">
        <v>0</v>
      </c>
      <c r="H44" s="20">
        <v>0</v>
      </c>
      <c r="I44" s="20">
        <v>0</v>
      </c>
      <c r="J44" s="20">
        <v>1164325</v>
      </c>
      <c r="K44" s="20">
        <v>0</v>
      </c>
      <c r="L44" s="20">
        <v>0</v>
      </c>
      <c r="M44" s="20">
        <v>0</v>
      </c>
      <c r="N44" s="35">
        <f t="shared" si="0"/>
        <v>17749.954000000002</v>
      </c>
      <c r="O44" s="35">
        <f t="shared" si="1"/>
        <v>1164325</v>
      </c>
    </row>
    <row r="45" spans="1:15" ht="24.6" hidden="1" customHeight="1" x14ac:dyDescent="0.3">
      <c r="A45" s="30" t="s">
        <v>105</v>
      </c>
      <c r="B45" s="30" t="s">
        <v>94</v>
      </c>
      <c r="C45" s="30" t="s">
        <v>99</v>
      </c>
      <c r="D45" s="20">
        <v>0</v>
      </c>
      <c r="E45" s="20">
        <v>4247</v>
      </c>
      <c r="F45" s="20">
        <v>0</v>
      </c>
      <c r="G45" s="20">
        <v>0</v>
      </c>
      <c r="H45" s="20">
        <v>0</v>
      </c>
      <c r="I45" s="20">
        <v>0</v>
      </c>
      <c r="J45" s="20">
        <v>349559</v>
      </c>
      <c r="K45" s="20">
        <v>0</v>
      </c>
      <c r="L45" s="20">
        <v>0</v>
      </c>
      <c r="M45" s="20">
        <v>0</v>
      </c>
      <c r="N45" s="35">
        <f t="shared" si="0"/>
        <v>4247</v>
      </c>
      <c r="O45" s="35">
        <f t="shared" si="1"/>
        <v>349559</v>
      </c>
    </row>
    <row r="46" spans="1:15" s="89" customFormat="1" ht="24.6" customHeight="1" x14ac:dyDescent="0.3">
      <c r="A46" s="88"/>
      <c r="B46" s="88"/>
      <c r="C46" s="88"/>
      <c r="D46" s="87"/>
      <c r="E46" s="87"/>
      <c r="F46" s="87"/>
      <c r="G46" s="87"/>
      <c r="H46" s="87"/>
      <c r="I46" s="87">
        <f>SUBTOTAL(9,I2:I45)</f>
        <v>13214566.4</v>
      </c>
      <c r="J46" s="87">
        <f>SUBTOTAL(9,J2:J45)</f>
        <v>478121113</v>
      </c>
      <c r="K46" s="87"/>
      <c r="L46" s="87"/>
      <c r="M46" s="87"/>
      <c r="N46" s="90">
        <f>SUBTOTAL(9,N2:N45)</f>
        <v>12.809637340000002</v>
      </c>
      <c r="O46" s="87">
        <f t="shared" ref="O46" si="3">SUBTOTAL(9,O2:O45)</f>
        <v>491586002.39999998</v>
      </c>
    </row>
    <row r="47" spans="1:15" x14ac:dyDescent="0.3">
      <c r="C47" s="5"/>
    </row>
    <row r="48" spans="1:15" x14ac:dyDescent="0.3">
      <c r="C48" s="5"/>
      <c r="J48" s="5">
        <f>+J46+I46</f>
        <v>491335679.39999998</v>
      </c>
    </row>
    <row r="49" spans="3:13" x14ac:dyDescent="0.3">
      <c r="C49" s="5"/>
    </row>
    <row r="50" spans="3:13" x14ac:dyDescent="0.3">
      <c r="C50" s="5"/>
      <c r="M50" s="85"/>
    </row>
    <row r="51" spans="3:13" x14ac:dyDescent="0.3">
      <c r="M51" s="85"/>
    </row>
    <row r="52" spans="3:13" x14ac:dyDescent="0.3">
      <c r="M52" s="85"/>
    </row>
    <row r="53" spans="3:13" x14ac:dyDescent="0.3">
      <c r="M53" s="85"/>
    </row>
    <row r="54" spans="3:13" x14ac:dyDescent="0.3">
      <c r="M54" s="85"/>
    </row>
  </sheetData>
  <autoFilter ref="A1:O45">
    <filterColumn colId="2">
      <filters>
        <filter val="Or"/>
      </filters>
    </filterColumn>
  </autoFilter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4" sqref="B4"/>
    </sheetView>
  </sheetViews>
  <sheetFormatPr baseColWidth="10" defaultRowHeight="14.4" x14ac:dyDescent="0.3"/>
  <cols>
    <col min="1" max="1" width="37.6640625" style="11" customWidth="1"/>
    <col min="2" max="2" width="19.44140625" style="11" customWidth="1"/>
    <col min="3" max="5" width="20.109375" style="43" customWidth="1"/>
    <col min="6" max="6" width="20.109375" style="46" customWidth="1"/>
    <col min="11" max="11" width="19.5546875" style="5" bestFit="1" customWidth="1"/>
    <col min="12" max="12" width="18.88671875" style="5" bestFit="1" customWidth="1"/>
    <col min="13" max="13" width="24.77734375" style="5" bestFit="1" customWidth="1"/>
  </cols>
  <sheetData>
    <row r="1" spans="1:32" s="2" customFormat="1" ht="40.200000000000003" customHeight="1" x14ac:dyDescent="0.3">
      <c r="A1" s="39" t="s">
        <v>0</v>
      </c>
      <c r="B1" s="39" t="s">
        <v>7</v>
      </c>
      <c r="C1" s="41" t="s">
        <v>764</v>
      </c>
      <c r="D1" s="41" t="s">
        <v>765</v>
      </c>
      <c r="E1" s="41" t="s">
        <v>766</v>
      </c>
      <c r="F1" s="44" t="s">
        <v>768</v>
      </c>
      <c r="G1" s="17"/>
      <c r="H1" s="17"/>
      <c r="I1" s="17"/>
      <c r="J1" s="17"/>
      <c r="K1" s="19"/>
      <c r="L1" s="19"/>
      <c r="M1" s="19"/>
      <c r="N1" s="17"/>
      <c r="O1" s="17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</row>
    <row r="2" spans="1:32" s="8" customFormat="1" ht="31.2" customHeight="1" x14ac:dyDescent="0.3">
      <c r="A2" s="40" t="s">
        <v>110</v>
      </c>
      <c r="B2" s="40" t="s">
        <v>763</v>
      </c>
      <c r="C2" s="42">
        <v>597766</v>
      </c>
      <c r="D2" s="42">
        <v>1972628</v>
      </c>
      <c r="E2" s="42">
        <v>597766</v>
      </c>
      <c r="F2" s="45">
        <f>D2/C2</f>
        <v>3.3000003345790829</v>
      </c>
      <c r="K2" s="10"/>
      <c r="L2" s="10"/>
      <c r="M2" s="10"/>
    </row>
    <row r="3" spans="1:32" s="8" customFormat="1" ht="31.2" customHeight="1" x14ac:dyDescent="0.3">
      <c r="A3" s="40" t="s">
        <v>269</v>
      </c>
      <c r="B3" s="40" t="s">
        <v>763</v>
      </c>
      <c r="C3" s="42">
        <v>263885</v>
      </c>
      <c r="D3" s="42">
        <v>541857</v>
      </c>
      <c r="E3" s="42">
        <v>228943</v>
      </c>
      <c r="F3" s="45">
        <f t="shared" ref="F3:F11" si="0">D3/C3</f>
        <v>2.053383102487826</v>
      </c>
      <c r="K3" s="82" t="s">
        <v>759</v>
      </c>
      <c r="L3" t="s">
        <v>769</v>
      </c>
      <c r="M3" t="s">
        <v>770</v>
      </c>
    </row>
    <row r="4" spans="1:32" s="8" customFormat="1" ht="31.2" customHeight="1" x14ac:dyDescent="0.3">
      <c r="A4" s="40" t="s">
        <v>110</v>
      </c>
      <c r="B4" s="40" t="s">
        <v>103</v>
      </c>
      <c r="C4" s="42">
        <v>4242786</v>
      </c>
      <c r="D4" s="42">
        <v>8910000</v>
      </c>
      <c r="E4" s="42">
        <v>4242786</v>
      </c>
      <c r="F4" s="45">
        <f t="shared" si="0"/>
        <v>2.1000352127116475</v>
      </c>
      <c r="K4" s="83" t="s">
        <v>763</v>
      </c>
      <c r="L4" s="84">
        <v>861651</v>
      </c>
      <c r="M4" s="84">
        <v>2514485</v>
      </c>
    </row>
    <row r="5" spans="1:32" s="8" customFormat="1" ht="31.2" customHeight="1" x14ac:dyDescent="0.3">
      <c r="A5" s="40" t="s">
        <v>270</v>
      </c>
      <c r="B5" s="40" t="s">
        <v>103</v>
      </c>
      <c r="C5" s="42">
        <v>2044047</v>
      </c>
      <c r="D5" s="42">
        <v>4486683</v>
      </c>
      <c r="E5" s="42">
        <v>2044047</v>
      </c>
      <c r="F5" s="45">
        <f t="shared" si="0"/>
        <v>2.1949999192777856</v>
      </c>
      <c r="K5" s="83" t="s">
        <v>103</v>
      </c>
      <c r="L5" s="84">
        <v>9111892</v>
      </c>
      <c r="M5" s="84">
        <v>18474478</v>
      </c>
    </row>
    <row r="6" spans="1:32" s="8" customFormat="1" ht="31.2" customHeight="1" x14ac:dyDescent="0.3">
      <c r="A6" s="40" t="s">
        <v>270</v>
      </c>
      <c r="B6" s="40" t="s">
        <v>103</v>
      </c>
      <c r="C6" s="42">
        <v>91543</v>
      </c>
      <c r="D6" s="42">
        <v>200937</v>
      </c>
      <c r="E6" s="42">
        <v>91543</v>
      </c>
      <c r="F6" s="45">
        <f t="shared" si="0"/>
        <v>2.195001256240237</v>
      </c>
      <c r="K6" s="83" t="s">
        <v>767</v>
      </c>
      <c r="L6" s="84">
        <v>231879</v>
      </c>
      <c r="M6" s="84">
        <v>863521</v>
      </c>
    </row>
    <row r="7" spans="1:32" s="8" customFormat="1" ht="31.2" customHeight="1" x14ac:dyDescent="0.3">
      <c r="A7" s="40" t="s">
        <v>270</v>
      </c>
      <c r="B7" s="40" t="s">
        <v>103</v>
      </c>
      <c r="C7" s="42">
        <v>854286</v>
      </c>
      <c r="D7" s="42">
        <v>1875158</v>
      </c>
      <c r="E7" s="42">
        <v>854286</v>
      </c>
      <c r="F7" s="45">
        <f t="shared" si="0"/>
        <v>2.1950002692306794</v>
      </c>
      <c r="K7" s="83" t="s">
        <v>760</v>
      </c>
      <c r="L7" s="84">
        <v>10205422</v>
      </c>
      <c r="M7" s="84">
        <v>21852484</v>
      </c>
    </row>
    <row r="8" spans="1:32" s="8" customFormat="1" ht="31.2" customHeight="1" x14ac:dyDescent="0.3">
      <c r="A8" s="40" t="s">
        <v>269</v>
      </c>
      <c r="B8" s="40" t="s">
        <v>103</v>
      </c>
      <c r="C8" s="42">
        <v>1879230</v>
      </c>
      <c r="D8" s="42">
        <v>3001700</v>
      </c>
      <c r="E8" s="42">
        <v>1879230</v>
      </c>
      <c r="F8" s="45">
        <f t="shared" si="0"/>
        <v>1.5973031507585553</v>
      </c>
      <c r="K8" s="5"/>
      <c r="L8" s="5"/>
      <c r="M8" s="5"/>
    </row>
    <row r="9" spans="1:32" s="8" customFormat="1" ht="31.2" customHeight="1" x14ac:dyDescent="0.3">
      <c r="A9" s="40" t="s">
        <v>110</v>
      </c>
      <c r="B9" s="40" t="s">
        <v>767</v>
      </c>
      <c r="C9" s="42">
        <v>129108</v>
      </c>
      <c r="D9" s="42">
        <v>387324</v>
      </c>
      <c r="E9" s="42">
        <v>129108</v>
      </c>
      <c r="F9" s="45">
        <f t="shared" si="0"/>
        <v>3</v>
      </c>
      <c r="K9" s="5"/>
      <c r="L9" s="5"/>
      <c r="M9" s="5"/>
    </row>
    <row r="10" spans="1:32" s="8" customFormat="1" ht="31.2" customHeight="1" x14ac:dyDescent="0.3">
      <c r="A10" s="40" t="s">
        <v>270</v>
      </c>
      <c r="B10" s="40" t="s">
        <v>767</v>
      </c>
      <c r="C10" s="42">
        <v>96654</v>
      </c>
      <c r="D10" s="42">
        <v>376371</v>
      </c>
      <c r="E10" s="42">
        <v>96654</v>
      </c>
      <c r="F10" s="45">
        <f t="shared" si="0"/>
        <v>3.894003352163387</v>
      </c>
      <c r="K10" s="5"/>
      <c r="L10" s="5"/>
      <c r="M10" s="5"/>
    </row>
    <row r="11" spans="1:32" s="8" customFormat="1" ht="31.2" customHeight="1" x14ac:dyDescent="0.3">
      <c r="A11" s="40" t="s">
        <v>269</v>
      </c>
      <c r="B11" s="40" t="s">
        <v>767</v>
      </c>
      <c r="C11" s="42">
        <v>61117</v>
      </c>
      <c r="D11" s="42">
        <v>99826</v>
      </c>
      <c r="E11" s="42">
        <v>61117</v>
      </c>
      <c r="F11" s="45">
        <f t="shared" si="0"/>
        <v>1.6333589672267945</v>
      </c>
      <c r="K11" s="5"/>
      <c r="L11" s="5"/>
      <c r="M11" s="5"/>
    </row>
    <row r="12" spans="1:32" s="8" customFormat="1" ht="31.2" customHeight="1" x14ac:dyDescent="0.3">
      <c r="A12" s="40" t="s">
        <v>1081</v>
      </c>
      <c r="B12" s="40" t="s">
        <v>1082</v>
      </c>
      <c r="C12" s="42">
        <v>1882000</v>
      </c>
      <c r="D12" s="42">
        <v>67213640</v>
      </c>
      <c r="E12" s="42">
        <v>1939508</v>
      </c>
      <c r="F12" s="45">
        <f>D12/C12</f>
        <v>35.713942614240167</v>
      </c>
      <c r="K12" s="5"/>
      <c r="L12" s="5"/>
      <c r="M12" s="5"/>
    </row>
  </sheetData>
  <autoFilter ref="A1:E1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4"/>
  <sheetViews>
    <sheetView workbookViewId="0">
      <pane ySplit="1" topLeftCell="A2" activePane="bottomLeft" state="frozen"/>
      <selection pane="bottomLeft" activeCell="C6" sqref="C6"/>
    </sheetView>
  </sheetViews>
  <sheetFormatPr baseColWidth="10" defaultRowHeight="14.4" x14ac:dyDescent="0.3"/>
  <cols>
    <col min="1" max="1" width="38.6640625" customWidth="1"/>
    <col min="2" max="4" width="20.109375" style="5" customWidth="1"/>
    <col min="5" max="24" width="20.109375" customWidth="1"/>
  </cols>
  <sheetData>
    <row r="1" spans="1:33" ht="41.4" x14ac:dyDescent="0.3">
      <c r="A1" s="1" t="s">
        <v>0</v>
      </c>
      <c r="B1" s="4" t="s">
        <v>286</v>
      </c>
      <c r="C1" s="4" t="s">
        <v>287</v>
      </c>
      <c r="D1" s="4" t="s">
        <v>288</v>
      </c>
      <c r="E1" s="1" t="s">
        <v>289</v>
      </c>
      <c r="F1" s="1" t="s">
        <v>290</v>
      </c>
      <c r="G1" s="1" t="s">
        <v>291</v>
      </c>
      <c r="H1" s="1" t="s">
        <v>292</v>
      </c>
      <c r="I1" s="1" t="s">
        <v>293</v>
      </c>
      <c r="J1" s="1" t="s">
        <v>294</v>
      </c>
      <c r="K1" s="1" t="s">
        <v>295</v>
      </c>
      <c r="L1" s="1" t="s">
        <v>296</v>
      </c>
      <c r="M1" s="1" t="s">
        <v>297</v>
      </c>
      <c r="N1" s="1" t="s">
        <v>298</v>
      </c>
      <c r="O1" s="1" t="s">
        <v>299</v>
      </c>
      <c r="P1" s="1" t="s">
        <v>300</v>
      </c>
      <c r="Q1" s="1" t="s">
        <v>301</v>
      </c>
      <c r="R1" s="1" t="s">
        <v>302</v>
      </c>
      <c r="S1" s="1" t="s">
        <v>303</v>
      </c>
      <c r="T1" s="1" t="s">
        <v>304</v>
      </c>
      <c r="U1" s="1" t="s">
        <v>305</v>
      </c>
      <c r="V1" s="1" t="s">
        <v>306</v>
      </c>
      <c r="W1" s="1" t="s">
        <v>307</v>
      </c>
      <c r="X1" s="1" t="s">
        <v>308</v>
      </c>
      <c r="Y1" s="11"/>
      <c r="Z1" s="11"/>
      <c r="AA1" s="11"/>
      <c r="AB1" s="11"/>
      <c r="AC1" s="11"/>
      <c r="AD1" s="11"/>
      <c r="AE1" s="11"/>
      <c r="AF1" s="11"/>
      <c r="AG1" s="11"/>
    </row>
    <row r="2" spans="1:33" ht="34.950000000000003" customHeight="1" x14ac:dyDescent="0.3">
      <c r="A2" s="13" t="s">
        <v>138</v>
      </c>
      <c r="B2" s="6">
        <v>3</v>
      </c>
      <c r="C2" s="6">
        <v>0</v>
      </c>
      <c r="D2" s="6">
        <v>0</v>
      </c>
      <c r="E2" s="13" t="s">
        <v>142</v>
      </c>
      <c r="F2" s="13">
        <v>0</v>
      </c>
      <c r="G2" s="13" t="s">
        <v>142</v>
      </c>
      <c r="H2" s="13" t="s">
        <v>142</v>
      </c>
      <c r="I2" s="13">
        <v>0</v>
      </c>
      <c r="J2" s="13">
        <v>1</v>
      </c>
      <c r="K2" s="13" t="s">
        <v>142</v>
      </c>
      <c r="L2" s="13">
        <v>0</v>
      </c>
      <c r="M2" s="13">
        <v>1</v>
      </c>
      <c r="N2" s="13" t="s">
        <v>142</v>
      </c>
      <c r="O2" s="13">
        <v>0</v>
      </c>
      <c r="P2" s="13">
        <v>1</v>
      </c>
      <c r="Q2" s="13" t="s">
        <v>142</v>
      </c>
      <c r="R2" s="13">
        <v>0</v>
      </c>
      <c r="S2" s="13">
        <v>1</v>
      </c>
      <c r="T2" s="13" t="s">
        <v>138</v>
      </c>
      <c r="U2" s="13" t="s">
        <v>142</v>
      </c>
      <c r="V2" s="13">
        <v>0</v>
      </c>
      <c r="W2" s="13">
        <v>1</v>
      </c>
      <c r="X2" s="13" t="s">
        <v>138</v>
      </c>
    </row>
    <row r="3" spans="1:33" ht="34.950000000000003" customHeight="1" x14ac:dyDescent="0.3">
      <c r="A3" s="13" t="s">
        <v>309</v>
      </c>
      <c r="B3" s="6">
        <v>3</v>
      </c>
      <c r="C3" s="6">
        <v>0</v>
      </c>
      <c r="D3" s="6">
        <v>0</v>
      </c>
      <c r="E3" s="13" t="s">
        <v>142</v>
      </c>
      <c r="F3" s="13">
        <v>0</v>
      </c>
      <c r="G3" s="13" t="s">
        <v>142</v>
      </c>
      <c r="H3" s="13" t="s">
        <v>142</v>
      </c>
      <c r="I3" s="13">
        <v>0</v>
      </c>
      <c r="J3" s="13">
        <v>1</v>
      </c>
      <c r="K3" s="13" t="s">
        <v>142</v>
      </c>
      <c r="L3" s="13">
        <v>0</v>
      </c>
      <c r="M3" s="13">
        <v>1</v>
      </c>
      <c r="N3" s="13" t="s">
        <v>142</v>
      </c>
      <c r="O3" s="13">
        <v>0</v>
      </c>
      <c r="P3" s="13">
        <v>1</v>
      </c>
      <c r="Q3" s="13" t="s">
        <v>142</v>
      </c>
      <c r="R3" s="13">
        <v>0</v>
      </c>
      <c r="S3" s="13">
        <v>1</v>
      </c>
      <c r="T3" s="13" t="s">
        <v>138</v>
      </c>
      <c r="U3" s="13" t="s">
        <v>142</v>
      </c>
      <c r="V3" s="13">
        <v>0</v>
      </c>
      <c r="W3" s="13">
        <v>1</v>
      </c>
      <c r="X3" s="13" t="s">
        <v>138</v>
      </c>
    </row>
    <row r="4" spans="1:33" ht="34.950000000000003" customHeight="1" x14ac:dyDescent="0.3">
      <c r="A4" s="13" t="s">
        <v>245</v>
      </c>
      <c r="B4" s="6">
        <v>3</v>
      </c>
      <c r="C4" s="6">
        <v>0</v>
      </c>
      <c r="D4" s="6">
        <v>0</v>
      </c>
      <c r="E4" s="13" t="s">
        <v>142</v>
      </c>
      <c r="F4" s="13">
        <v>0</v>
      </c>
      <c r="G4" s="13" t="s">
        <v>142</v>
      </c>
      <c r="H4" s="13" t="s">
        <v>142</v>
      </c>
      <c r="I4" s="13">
        <v>0</v>
      </c>
      <c r="J4" s="13">
        <v>1</v>
      </c>
      <c r="K4" s="13" t="s">
        <v>142</v>
      </c>
      <c r="L4" s="13">
        <v>0</v>
      </c>
      <c r="M4" s="13">
        <v>1</v>
      </c>
      <c r="N4" s="13" t="s">
        <v>142</v>
      </c>
      <c r="O4" s="13">
        <v>0</v>
      </c>
      <c r="P4" s="13">
        <v>1</v>
      </c>
      <c r="Q4" s="13" t="s">
        <v>142</v>
      </c>
      <c r="R4" s="13">
        <v>0</v>
      </c>
      <c r="S4" s="13">
        <v>1</v>
      </c>
      <c r="T4" s="13" t="s">
        <v>138</v>
      </c>
      <c r="U4" s="13" t="s">
        <v>142</v>
      </c>
      <c r="V4" s="13">
        <v>0</v>
      </c>
      <c r="W4" s="13">
        <v>1</v>
      </c>
      <c r="X4" s="13" t="s">
        <v>138</v>
      </c>
    </row>
    <row r="5" spans="1:33" ht="34.950000000000003" customHeight="1" x14ac:dyDescent="0.3">
      <c r="A5" s="13" t="s">
        <v>211</v>
      </c>
      <c r="B5" s="6">
        <v>3</v>
      </c>
      <c r="C5" s="6">
        <v>0</v>
      </c>
      <c r="D5" s="6">
        <v>0</v>
      </c>
      <c r="E5" s="13" t="s">
        <v>142</v>
      </c>
      <c r="F5" s="13">
        <v>0</v>
      </c>
      <c r="G5" s="13" t="s">
        <v>142</v>
      </c>
      <c r="H5" s="13" t="s">
        <v>142</v>
      </c>
      <c r="I5" s="13">
        <v>0</v>
      </c>
      <c r="J5" s="13">
        <v>1</v>
      </c>
      <c r="K5" s="13" t="s">
        <v>142</v>
      </c>
      <c r="L5" s="13">
        <v>0</v>
      </c>
      <c r="M5" s="13">
        <v>1</v>
      </c>
      <c r="N5" s="13" t="s">
        <v>142</v>
      </c>
      <c r="O5" s="13">
        <v>0</v>
      </c>
      <c r="P5" s="13">
        <v>1</v>
      </c>
      <c r="Q5" s="13" t="s">
        <v>142</v>
      </c>
      <c r="R5" s="13">
        <v>0</v>
      </c>
      <c r="S5" s="13">
        <v>1</v>
      </c>
      <c r="T5" s="13" t="s">
        <v>138</v>
      </c>
      <c r="U5" s="13" t="s">
        <v>142</v>
      </c>
      <c r="V5" s="13">
        <v>0</v>
      </c>
      <c r="W5" s="13">
        <v>1</v>
      </c>
      <c r="X5" s="13" t="s">
        <v>138</v>
      </c>
    </row>
    <row r="6" spans="1:33" ht="34.950000000000003" customHeight="1" x14ac:dyDescent="0.3">
      <c r="A6" s="13" t="s">
        <v>122</v>
      </c>
      <c r="B6" s="6">
        <v>3</v>
      </c>
      <c r="C6" s="6">
        <v>0</v>
      </c>
      <c r="D6" s="6">
        <v>0</v>
      </c>
      <c r="E6" s="13" t="s">
        <v>142</v>
      </c>
      <c r="F6" s="13">
        <v>0</v>
      </c>
      <c r="G6" s="13" t="s">
        <v>142</v>
      </c>
      <c r="H6" s="13" t="s">
        <v>142</v>
      </c>
      <c r="I6" s="13">
        <v>0</v>
      </c>
      <c r="J6" s="13">
        <v>1</v>
      </c>
      <c r="K6" s="13" t="s">
        <v>141</v>
      </c>
      <c r="L6" s="13">
        <v>120000</v>
      </c>
      <c r="M6" s="13">
        <v>1</v>
      </c>
      <c r="N6" s="13" t="s">
        <v>142</v>
      </c>
      <c r="O6" s="13">
        <v>0</v>
      </c>
      <c r="P6" s="13">
        <v>1</v>
      </c>
      <c r="Q6" s="13" t="s">
        <v>142</v>
      </c>
      <c r="R6" s="13">
        <v>0</v>
      </c>
      <c r="S6" s="13">
        <v>1</v>
      </c>
      <c r="T6" s="13" t="s">
        <v>138</v>
      </c>
      <c r="U6" s="13" t="s">
        <v>142</v>
      </c>
      <c r="V6" s="13">
        <v>0</v>
      </c>
      <c r="W6" s="13">
        <v>1</v>
      </c>
      <c r="X6" s="13" t="s">
        <v>138</v>
      </c>
    </row>
    <row r="7" spans="1:33" ht="34.950000000000003" customHeight="1" x14ac:dyDescent="0.3">
      <c r="A7" s="13" t="s">
        <v>191</v>
      </c>
      <c r="B7" s="6">
        <v>1</v>
      </c>
      <c r="C7" s="6">
        <v>486140</v>
      </c>
      <c r="D7" s="6">
        <v>27602</v>
      </c>
      <c r="E7" s="13" t="s">
        <v>142</v>
      </c>
      <c r="F7" s="13">
        <v>0</v>
      </c>
      <c r="G7" s="13" t="s">
        <v>142</v>
      </c>
      <c r="H7" s="13" t="s">
        <v>142</v>
      </c>
      <c r="I7" s="13">
        <v>0</v>
      </c>
      <c r="J7" s="13">
        <v>1</v>
      </c>
      <c r="K7" s="13" t="s">
        <v>141</v>
      </c>
      <c r="L7" s="13">
        <v>40590</v>
      </c>
      <c r="M7" s="13">
        <v>1</v>
      </c>
      <c r="N7" s="13" t="s">
        <v>142</v>
      </c>
      <c r="O7" s="13">
        <v>0</v>
      </c>
      <c r="P7" s="13">
        <v>1</v>
      </c>
      <c r="Q7" s="13" t="s">
        <v>142</v>
      </c>
      <c r="R7" s="13">
        <v>0</v>
      </c>
      <c r="S7" s="13">
        <v>1</v>
      </c>
      <c r="T7" s="13" t="s">
        <v>138</v>
      </c>
      <c r="U7" s="13" t="s">
        <v>142</v>
      </c>
      <c r="V7" s="13">
        <v>0</v>
      </c>
      <c r="W7" s="13">
        <v>1</v>
      </c>
      <c r="X7" s="13" t="s">
        <v>138</v>
      </c>
    </row>
    <row r="8" spans="1:33" ht="34.950000000000003" customHeight="1" x14ac:dyDescent="0.3">
      <c r="A8" s="13" t="s">
        <v>22</v>
      </c>
      <c r="B8" s="6">
        <v>3</v>
      </c>
      <c r="C8" s="6">
        <v>0</v>
      </c>
      <c r="D8" s="6">
        <v>0</v>
      </c>
      <c r="E8" s="13" t="s">
        <v>142</v>
      </c>
      <c r="F8" s="13">
        <v>0</v>
      </c>
      <c r="G8" s="13" t="s">
        <v>142</v>
      </c>
      <c r="H8" s="13" t="s">
        <v>142</v>
      </c>
      <c r="I8" s="13">
        <v>0</v>
      </c>
      <c r="J8" s="13">
        <v>1</v>
      </c>
      <c r="K8" s="13" t="s">
        <v>142</v>
      </c>
      <c r="L8" s="13">
        <v>0</v>
      </c>
      <c r="M8" s="13">
        <v>1</v>
      </c>
      <c r="N8" s="13" t="s">
        <v>142</v>
      </c>
      <c r="O8" s="13">
        <v>0</v>
      </c>
      <c r="P8" s="13">
        <v>1</v>
      </c>
      <c r="Q8" s="13" t="s">
        <v>142</v>
      </c>
      <c r="R8" s="13">
        <v>0</v>
      </c>
      <c r="S8" s="13">
        <v>1</v>
      </c>
      <c r="T8" s="13" t="s">
        <v>138</v>
      </c>
      <c r="U8" s="13" t="s">
        <v>142</v>
      </c>
      <c r="V8" s="13">
        <v>0</v>
      </c>
      <c r="W8" s="13">
        <v>1</v>
      </c>
      <c r="X8" s="13" t="s">
        <v>138</v>
      </c>
    </row>
    <row r="9" spans="1:33" ht="34.950000000000003" customHeight="1" x14ac:dyDescent="0.3">
      <c r="A9" s="13" t="s">
        <v>188</v>
      </c>
      <c r="B9" s="6">
        <v>1</v>
      </c>
      <c r="C9" s="6">
        <v>648800</v>
      </c>
      <c r="D9" s="6">
        <v>33748</v>
      </c>
      <c r="E9" s="13" t="s">
        <v>142</v>
      </c>
      <c r="F9" s="13">
        <v>0</v>
      </c>
      <c r="G9" s="13" t="s">
        <v>142</v>
      </c>
      <c r="H9" s="13" t="s">
        <v>142</v>
      </c>
      <c r="I9" s="13">
        <v>0</v>
      </c>
      <c r="J9" s="13">
        <v>1</v>
      </c>
      <c r="K9" s="13" t="s">
        <v>141</v>
      </c>
      <c r="L9" s="13">
        <v>38800</v>
      </c>
      <c r="M9" s="13">
        <v>1</v>
      </c>
      <c r="N9" s="13" t="s">
        <v>142</v>
      </c>
      <c r="O9" s="13">
        <v>0</v>
      </c>
      <c r="P9" s="13">
        <v>1</v>
      </c>
      <c r="Q9" s="13" t="s">
        <v>142</v>
      </c>
      <c r="R9" s="13">
        <v>0</v>
      </c>
      <c r="S9" s="13">
        <v>1</v>
      </c>
      <c r="T9" s="13" t="s">
        <v>138</v>
      </c>
      <c r="U9" s="13" t="s">
        <v>142</v>
      </c>
      <c r="V9" s="13">
        <v>0</v>
      </c>
      <c r="W9" s="13">
        <v>1</v>
      </c>
      <c r="X9" s="13" t="s">
        <v>138</v>
      </c>
    </row>
    <row r="10" spans="1:33" ht="34.950000000000003" customHeight="1" x14ac:dyDescent="0.3">
      <c r="A10" s="13" t="s">
        <v>200</v>
      </c>
      <c r="B10" s="6">
        <v>3</v>
      </c>
      <c r="C10" s="6">
        <v>0</v>
      </c>
      <c r="D10" s="6">
        <v>0</v>
      </c>
      <c r="E10" s="13" t="s">
        <v>142</v>
      </c>
      <c r="F10" s="13">
        <v>0</v>
      </c>
      <c r="G10" s="13" t="s">
        <v>142</v>
      </c>
      <c r="H10" s="13" t="s">
        <v>142</v>
      </c>
      <c r="I10" s="13">
        <v>0</v>
      </c>
      <c r="J10" s="13">
        <v>1</v>
      </c>
      <c r="K10" s="13" t="s">
        <v>142</v>
      </c>
      <c r="L10" s="13">
        <v>0</v>
      </c>
      <c r="M10" s="13">
        <v>1</v>
      </c>
      <c r="N10" s="13" t="s">
        <v>142</v>
      </c>
      <c r="O10" s="13">
        <v>0</v>
      </c>
      <c r="P10" s="13">
        <v>1</v>
      </c>
      <c r="Q10" s="13" t="s">
        <v>142</v>
      </c>
      <c r="R10" s="13">
        <v>0</v>
      </c>
      <c r="S10" s="13">
        <v>1</v>
      </c>
      <c r="T10" s="13" t="s">
        <v>138</v>
      </c>
      <c r="U10" s="13" t="s">
        <v>142</v>
      </c>
      <c r="V10" s="13">
        <v>0</v>
      </c>
      <c r="W10" s="13">
        <v>1</v>
      </c>
      <c r="X10" s="13" t="s">
        <v>138</v>
      </c>
    </row>
    <row r="11" spans="1:33" ht="34.950000000000003" customHeight="1" x14ac:dyDescent="0.3">
      <c r="A11" s="13" t="s">
        <v>46</v>
      </c>
      <c r="B11" s="6">
        <v>3</v>
      </c>
      <c r="C11" s="6">
        <v>0</v>
      </c>
      <c r="D11" s="6">
        <v>0</v>
      </c>
      <c r="E11" s="13" t="s">
        <v>142</v>
      </c>
      <c r="F11" s="13">
        <v>0</v>
      </c>
      <c r="G11" s="13" t="s">
        <v>142</v>
      </c>
      <c r="H11" s="13" t="s">
        <v>142</v>
      </c>
      <c r="I11" s="13">
        <v>0</v>
      </c>
      <c r="J11" s="13">
        <v>1</v>
      </c>
      <c r="K11" s="13" t="s">
        <v>142</v>
      </c>
      <c r="L11" s="13">
        <v>0</v>
      </c>
      <c r="M11" s="13">
        <v>1</v>
      </c>
      <c r="N11" s="13" t="s">
        <v>142</v>
      </c>
      <c r="O11" s="13">
        <v>0</v>
      </c>
      <c r="P11" s="13">
        <v>1</v>
      </c>
      <c r="Q11" s="13" t="s">
        <v>142</v>
      </c>
      <c r="R11" s="13">
        <v>0</v>
      </c>
      <c r="S11" s="13">
        <v>1</v>
      </c>
      <c r="T11" s="13" t="s">
        <v>138</v>
      </c>
      <c r="U11" s="13" t="s">
        <v>142</v>
      </c>
      <c r="V11" s="13">
        <v>0</v>
      </c>
      <c r="W11" s="13">
        <v>1</v>
      </c>
      <c r="X11" s="13" t="s">
        <v>138</v>
      </c>
    </row>
    <row r="12" spans="1:33" ht="34.950000000000003" customHeight="1" x14ac:dyDescent="0.3">
      <c r="A12" s="13" t="s">
        <v>253</v>
      </c>
      <c r="B12" s="6">
        <v>1</v>
      </c>
      <c r="C12" s="6">
        <v>3484800</v>
      </c>
      <c r="D12" s="6">
        <v>258430000</v>
      </c>
      <c r="E12" s="13" t="s">
        <v>142</v>
      </c>
      <c r="F12" s="13">
        <v>0</v>
      </c>
      <c r="G12" s="13" t="s">
        <v>142</v>
      </c>
      <c r="H12" s="13" t="s">
        <v>142</v>
      </c>
      <c r="I12" s="13">
        <v>0</v>
      </c>
      <c r="J12" s="13">
        <v>1</v>
      </c>
      <c r="K12" s="13" t="s">
        <v>141</v>
      </c>
      <c r="L12" s="13">
        <v>430000</v>
      </c>
      <c r="M12" s="13">
        <v>1</v>
      </c>
      <c r="N12" s="13" t="s">
        <v>142</v>
      </c>
      <c r="O12" s="13">
        <v>0</v>
      </c>
      <c r="P12" s="13">
        <v>1</v>
      </c>
      <c r="Q12" s="13" t="s">
        <v>142</v>
      </c>
      <c r="R12" s="13">
        <v>0</v>
      </c>
      <c r="S12" s="13">
        <v>1</v>
      </c>
      <c r="T12" s="13" t="s">
        <v>138</v>
      </c>
      <c r="U12" s="13" t="s">
        <v>142</v>
      </c>
      <c r="V12" s="13">
        <v>0</v>
      </c>
      <c r="W12" s="13">
        <v>1</v>
      </c>
      <c r="X12" s="13" t="s">
        <v>138</v>
      </c>
    </row>
    <row r="13" spans="1:33" ht="34.950000000000003" customHeight="1" x14ac:dyDescent="0.3">
      <c r="A13" s="13" t="s">
        <v>68</v>
      </c>
      <c r="B13" s="6">
        <v>1</v>
      </c>
      <c r="C13" s="6">
        <v>152330</v>
      </c>
      <c r="D13" s="6">
        <v>67313880</v>
      </c>
      <c r="E13" s="13" t="s">
        <v>142</v>
      </c>
      <c r="F13" s="13">
        <v>0</v>
      </c>
      <c r="G13" s="13" t="s">
        <v>141</v>
      </c>
      <c r="H13" s="13" t="s">
        <v>142</v>
      </c>
      <c r="I13" s="13">
        <v>0</v>
      </c>
      <c r="J13" s="13">
        <v>1</v>
      </c>
      <c r="K13" s="13" t="s">
        <v>141</v>
      </c>
      <c r="L13" s="13">
        <v>87992</v>
      </c>
      <c r="M13" s="13">
        <v>1</v>
      </c>
      <c r="N13" s="13" t="s">
        <v>142</v>
      </c>
      <c r="O13" s="13">
        <v>0</v>
      </c>
      <c r="P13" s="13">
        <v>1</v>
      </c>
      <c r="Q13" s="13" t="s">
        <v>142</v>
      </c>
      <c r="R13" s="13">
        <v>0</v>
      </c>
      <c r="S13" s="13">
        <v>1</v>
      </c>
      <c r="T13" s="13" t="s">
        <v>138</v>
      </c>
      <c r="U13" s="13" t="s">
        <v>142</v>
      </c>
      <c r="V13" s="13">
        <v>0</v>
      </c>
      <c r="W13" s="13">
        <v>1</v>
      </c>
      <c r="X13" s="13" t="s">
        <v>138</v>
      </c>
    </row>
    <row r="14" spans="1:33" ht="34.950000000000003" customHeight="1" x14ac:dyDescent="0.3">
      <c r="A14" s="13" t="s">
        <v>110</v>
      </c>
      <c r="B14" s="6">
        <v>1</v>
      </c>
      <c r="C14" s="6">
        <v>370802497</v>
      </c>
      <c r="D14" s="6">
        <v>45370482</v>
      </c>
      <c r="E14" s="13" t="s">
        <v>142</v>
      </c>
      <c r="F14" s="13">
        <v>0</v>
      </c>
      <c r="G14" s="13" t="s">
        <v>142</v>
      </c>
      <c r="H14" s="13" t="s">
        <v>141</v>
      </c>
      <c r="I14" s="13">
        <v>32562054</v>
      </c>
      <c r="J14" s="13">
        <v>1</v>
      </c>
      <c r="K14" s="13" t="s">
        <v>141</v>
      </c>
      <c r="L14" s="13">
        <v>57743458</v>
      </c>
      <c r="M14" s="13">
        <v>1</v>
      </c>
      <c r="N14" s="13" t="s">
        <v>142</v>
      </c>
      <c r="O14" s="13">
        <v>0</v>
      </c>
      <c r="P14" s="13">
        <v>1</v>
      </c>
      <c r="Q14" s="13" t="s">
        <v>142</v>
      </c>
      <c r="R14" s="13">
        <v>0</v>
      </c>
      <c r="S14" s="13">
        <v>1</v>
      </c>
      <c r="T14" s="13" t="s">
        <v>138</v>
      </c>
      <c r="U14" s="13" t="s">
        <v>142</v>
      </c>
      <c r="V14" s="13">
        <v>0</v>
      </c>
      <c r="W14" s="13">
        <v>1</v>
      </c>
      <c r="X14" s="13" t="s">
        <v>138</v>
      </c>
    </row>
    <row r="15" spans="1:33" ht="34.950000000000003" customHeight="1" x14ac:dyDescent="0.3">
      <c r="A15" s="13" t="s">
        <v>95</v>
      </c>
      <c r="B15" s="6">
        <v>1</v>
      </c>
      <c r="C15" s="6">
        <v>5904000</v>
      </c>
      <c r="D15" s="6">
        <v>615981355</v>
      </c>
      <c r="E15" s="13" t="s">
        <v>142</v>
      </c>
      <c r="F15" s="13">
        <v>0</v>
      </c>
      <c r="G15" s="13" t="s">
        <v>142</v>
      </c>
      <c r="H15" s="13" t="s">
        <v>142</v>
      </c>
      <c r="I15" s="13">
        <v>0</v>
      </c>
      <c r="J15" s="13">
        <v>1</v>
      </c>
      <c r="K15" s="13" t="s">
        <v>141</v>
      </c>
      <c r="L15" s="13">
        <v>815870</v>
      </c>
      <c r="M15" s="13">
        <v>1</v>
      </c>
      <c r="N15" s="13" t="s">
        <v>142</v>
      </c>
      <c r="O15" s="13">
        <v>0</v>
      </c>
      <c r="P15" s="13">
        <v>1</v>
      </c>
      <c r="Q15" s="13" t="s">
        <v>142</v>
      </c>
      <c r="R15" s="13">
        <v>0</v>
      </c>
      <c r="S15" s="13">
        <v>1</v>
      </c>
      <c r="T15" s="13" t="s">
        <v>138</v>
      </c>
      <c r="U15" s="13" t="s">
        <v>142</v>
      </c>
      <c r="V15" s="13">
        <v>0</v>
      </c>
      <c r="W15" s="13">
        <v>1</v>
      </c>
      <c r="X15" s="13" t="s">
        <v>138</v>
      </c>
    </row>
    <row r="16" spans="1:33" ht="34.950000000000003" customHeight="1" x14ac:dyDescent="0.3">
      <c r="A16" s="13" t="s">
        <v>187</v>
      </c>
      <c r="B16" s="6">
        <v>1</v>
      </c>
      <c r="C16" s="6">
        <v>105520</v>
      </c>
      <c r="D16" s="6">
        <v>5835505</v>
      </c>
      <c r="E16" s="13" t="s">
        <v>142</v>
      </c>
      <c r="F16" s="13">
        <v>0</v>
      </c>
      <c r="G16" s="13" t="s">
        <v>142</v>
      </c>
      <c r="H16" s="13" t="s">
        <v>142</v>
      </c>
      <c r="I16" s="13">
        <v>0</v>
      </c>
      <c r="J16" s="13">
        <v>1</v>
      </c>
      <c r="K16" s="13" t="s">
        <v>141</v>
      </c>
      <c r="L16" s="13">
        <v>37780</v>
      </c>
      <c r="M16" s="13">
        <v>1</v>
      </c>
      <c r="N16" s="13" t="s">
        <v>142</v>
      </c>
      <c r="O16" s="13">
        <v>0</v>
      </c>
      <c r="P16" s="13">
        <v>1</v>
      </c>
      <c r="Q16" s="13" t="s">
        <v>142</v>
      </c>
      <c r="R16" s="13">
        <v>0</v>
      </c>
      <c r="S16" s="13">
        <v>1</v>
      </c>
      <c r="T16" s="13" t="s">
        <v>138</v>
      </c>
      <c r="U16" s="13" t="s">
        <v>142</v>
      </c>
      <c r="V16" s="13">
        <v>0</v>
      </c>
      <c r="W16" s="13">
        <v>1</v>
      </c>
      <c r="X16" s="13" t="s">
        <v>138</v>
      </c>
    </row>
    <row r="17" spans="1:24" ht="34.950000000000003" customHeight="1" x14ac:dyDescent="0.3">
      <c r="A17" s="13" t="s">
        <v>269</v>
      </c>
      <c r="B17" s="6">
        <v>1</v>
      </c>
      <c r="C17" s="6">
        <v>136235870</v>
      </c>
      <c r="D17" s="6">
        <v>19617965</v>
      </c>
      <c r="E17" s="13" t="s">
        <v>142</v>
      </c>
      <c r="F17" s="13">
        <v>0</v>
      </c>
      <c r="G17" s="13" t="s">
        <v>142</v>
      </c>
      <c r="H17" s="13" t="s">
        <v>142</v>
      </c>
      <c r="I17" s="13">
        <v>0</v>
      </c>
      <c r="J17" s="13">
        <v>1</v>
      </c>
      <c r="K17" s="13" t="s">
        <v>141</v>
      </c>
      <c r="L17" s="13">
        <v>2960244</v>
      </c>
      <c r="M17" s="13">
        <v>1</v>
      </c>
      <c r="N17" s="13" t="s">
        <v>141</v>
      </c>
      <c r="O17" s="13">
        <v>99190</v>
      </c>
      <c r="P17" s="13">
        <v>1</v>
      </c>
      <c r="Q17" s="13" t="s">
        <v>142</v>
      </c>
      <c r="R17" s="13">
        <v>0</v>
      </c>
      <c r="S17" s="13">
        <v>1</v>
      </c>
      <c r="T17" s="13" t="s">
        <v>138</v>
      </c>
      <c r="U17" s="13" t="s">
        <v>142</v>
      </c>
      <c r="V17" s="13">
        <v>0</v>
      </c>
      <c r="W17" s="13">
        <v>1</v>
      </c>
      <c r="X17" s="13" t="s">
        <v>138</v>
      </c>
    </row>
    <row r="18" spans="1:24" ht="34.950000000000003" customHeight="1" x14ac:dyDescent="0.3">
      <c r="A18" s="13" t="s">
        <v>262</v>
      </c>
      <c r="B18" s="6">
        <v>1</v>
      </c>
      <c r="C18" s="6">
        <v>0</v>
      </c>
      <c r="D18" s="6">
        <v>0</v>
      </c>
      <c r="E18" s="13" t="s">
        <v>142</v>
      </c>
      <c r="F18" s="13">
        <v>0</v>
      </c>
      <c r="G18" s="13" t="s">
        <v>142</v>
      </c>
      <c r="H18" s="13" t="s">
        <v>142</v>
      </c>
      <c r="I18" s="13">
        <v>0</v>
      </c>
      <c r="J18" s="13">
        <v>1</v>
      </c>
      <c r="K18" s="13" t="s">
        <v>141</v>
      </c>
      <c r="L18" s="13">
        <v>41062</v>
      </c>
      <c r="M18" s="13">
        <v>1</v>
      </c>
      <c r="N18" s="13" t="s">
        <v>142</v>
      </c>
      <c r="O18" s="13">
        <v>0</v>
      </c>
      <c r="P18" s="13">
        <v>1</v>
      </c>
      <c r="Q18" s="13" t="s">
        <v>142</v>
      </c>
      <c r="R18" s="13">
        <v>0</v>
      </c>
      <c r="S18" s="13">
        <v>1</v>
      </c>
      <c r="T18" s="13" t="s">
        <v>138</v>
      </c>
      <c r="U18" s="13" t="s">
        <v>142</v>
      </c>
      <c r="V18" s="13">
        <v>0</v>
      </c>
      <c r="W18" s="13">
        <v>1</v>
      </c>
      <c r="X18" s="13" t="s">
        <v>138</v>
      </c>
    </row>
    <row r="19" spans="1:24" ht="34.950000000000003" customHeight="1" x14ac:dyDescent="0.3">
      <c r="A19" s="13" t="s">
        <v>256</v>
      </c>
      <c r="B19" s="6">
        <v>1</v>
      </c>
      <c r="C19" s="6">
        <v>4619236</v>
      </c>
      <c r="D19" s="6">
        <v>438827420</v>
      </c>
      <c r="E19" s="13" t="s">
        <v>142</v>
      </c>
      <c r="F19" s="13">
        <v>0</v>
      </c>
      <c r="G19" s="13" t="s">
        <v>142</v>
      </c>
      <c r="H19" s="13" t="s">
        <v>142</v>
      </c>
      <c r="I19" s="13">
        <v>0</v>
      </c>
      <c r="J19" s="13">
        <v>1</v>
      </c>
      <c r="K19" s="13" t="s">
        <v>141</v>
      </c>
      <c r="L19" s="13">
        <v>1864100</v>
      </c>
      <c r="M19" s="13">
        <v>2</v>
      </c>
      <c r="N19" s="13" t="s">
        <v>142</v>
      </c>
      <c r="O19" s="13">
        <v>0</v>
      </c>
      <c r="P19" s="13">
        <v>1</v>
      </c>
      <c r="Q19" s="13" t="s">
        <v>142</v>
      </c>
      <c r="R19" s="13">
        <v>0</v>
      </c>
      <c r="S19" s="13">
        <v>1</v>
      </c>
      <c r="T19" s="13" t="s">
        <v>138</v>
      </c>
      <c r="U19" s="13" t="s">
        <v>142</v>
      </c>
      <c r="V19" s="13">
        <v>0</v>
      </c>
      <c r="W19" s="13">
        <v>1</v>
      </c>
      <c r="X19" s="13" t="s">
        <v>138</v>
      </c>
    </row>
    <row r="20" spans="1:24" ht="34.950000000000003" customHeight="1" x14ac:dyDescent="0.3">
      <c r="A20" s="13" t="s">
        <v>310</v>
      </c>
      <c r="B20" s="6">
        <v>3</v>
      </c>
      <c r="C20" s="6">
        <v>0</v>
      </c>
      <c r="D20" s="6">
        <v>0</v>
      </c>
      <c r="E20" s="13" t="s">
        <v>142</v>
      </c>
      <c r="F20" s="13">
        <v>0</v>
      </c>
      <c r="G20" s="13" t="s">
        <v>142</v>
      </c>
      <c r="H20" s="13" t="s">
        <v>142</v>
      </c>
      <c r="I20" s="13">
        <v>0</v>
      </c>
      <c r="J20" s="13">
        <v>1</v>
      </c>
      <c r="K20" s="13" t="s">
        <v>142</v>
      </c>
      <c r="L20" s="13">
        <v>0</v>
      </c>
      <c r="M20" s="13">
        <v>1</v>
      </c>
      <c r="N20" s="13" t="s">
        <v>142</v>
      </c>
      <c r="O20" s="13">
        <v>0</v>
      </c>
      <c r="P20" s="13">
        <v>1</v>
      </c>
      <c r="Q20" s="13" t="s">
        <v>142</v>
      </c>
      <c r="R20" s="13">
        <v>0</v>
      </c>
      <c r="S20" s="13">
        <v>1</v>
      </c>
      <c r="T20" s="13" t="s">
        <v>138</v>
      </c>
      <c r="U20" s="13" t="s">
        <v>142</v>
      </c>
      <c r="V20" s="13">
        <v>0</v>
      </c>
      <c r="W20" s="13">
        <v>1</v>
      </c>
      <c r="X20" s="13" t="s">
        <v>138</v>
      </c>
    </row>
    <row r="21" spans="1:24" ht="34.950000000000003" customHeight="1" x14ac:dyDescent="0.3">
      <c r="A21" s="13" t="s">
        <v>127</v>
      </c>
      <c r="B21" s="6">
        <v>1</v>
      </c>
      <c r="C21" s="6">
        <v>134553</v>
      </c>
      <c r="D21" s="6">
        <v>11469242</v>
      </c>
      <c r="E21" s="13" t="s">
        <v>142</v>
      </c>
      <c r="F21" s="13">
        <v>0</v>
      </c>
      <c r="G21" s="13" t="s">
        <v>142</v>
      </c>
      <c r="H21" s="13" t="s">
        <v>141</v>
      </c>
      <c r="I21" s="13">
        <v>29169</v>
      </c>
      <c r="J21" s="13">
        <v>2</v>
      </c>
      <c r="K21" s="13" t="s">
        <v>141</v>
      </c>
      <c r="L21" s="13">
        <v>190</v>
      </c>
      <c r="M21" s="13">
        <v>2</v>
      </c>
      <c r="N21" s="13" t="s">
        <v>142</v>
      </c>
      <c r="O21" s="13">
        <v>0</v>
      </c>
      <c r="P21" s="13">
        <v>1</v>
      </c>
      <c r="Q21" s="13" t="s">
        <v>142</v>
      </c>
      <c r="R21" s="13">
        <v>0</v>
      </c>
      <c r="S21" s="13">
        <v>1</v>
      </c>
      <c r="T21" s="13" t="s">
        <v>138</v>
      </c>
      <c r="U21" s="13" t="s">
        <v>142</v>
      </c>
      <c r="V21" s="13">
        <v>0</v>
      </c>
      <c r="W21" s="13">
        <v>1</v>
      </c>
      <c r="X21" s="13" t="s">
        <v>138</v>
      </c>
    </row>
    <row r="22" spans="1:24" ht="34.950000000000003" customHeight="1" x14ac:dyDescent="0.3">
      <c r="A22" s="13" t="s">
        <v>117</v>
      </c>
      <c r="B22" s="6">
        <v>1</v>
      </c>
      <c r="C22" s="6">
        <v>302164972</v>
      </c>
      <c r="D22" s="6">
        <v>5469886</v>
      </c>
      <c r="E22" s="13" t="s">
        <v>141</v>
      </c>
      <c r="F22" s="13">
        <v>9435026</v>
      </c>
      <c r="G22" s="13" t="s">
        <v>142</v>
      </c>
      <c r="H22" s="13" t="s">
        <v>142</v>
      </c>
      <c r="I22" s="13">
        <v>0</v>
      </c>
      <c r="J22" s="13">
        <v>1</v>
      </c>
      <c r="K22" s="13" t="s">
        <v>142</v>
      </c>
      <c r="L22" s="13">
        <v>0</v>
      </c>
      <c r="M22" s="13">
        <v>1</v>
      </c>
      <c r="N22" s="13" t="s">
        <v>142</v>
      </c>
      <c r="O22" s="13">
        <v>0</v>
      </c>
      <c r="P22" s="13">
        <v>1</v>
      </c>
      <c r="Q22" s="13" t="s">
        <v>142</v>
      </c>
      <c r="R22" s="13">
        <v>0</v>
      </c>
      <c r="S22" s="13">
        <v>1</v>
      </c>
      <c r="T22" s="13" t="s">
        <v>138</v>
      </c>
      <c r="U22" s="13" t="s">
        <v>142</v>
      </c>
      <c r="V22" s="13">
        <v>0</v>
      </c>
      <c r="W22" s="13">
        <v>1</v>
      </c>
      <c r="X22" s="13" t="s">
        <v>138</v>
      </c>
    </row>
    <row r="23" spans="1:24" ht="34.950000000000003" customHeight="1" x14ac:dyDescent="0.3">
      <c r="A23" s="13" t="s">
        <v>184</v>
      </c>
      <c r="B23" s="6">
        <v>1</v>
      </c>
      <c r="C23" s="6">
        <v>0</v>
      </c>
      <c r="D23" s="6">
        <v>127567</v>
      </c>
      <c r="E23" s="13" t="s">
        <v>142</v>
      </c>
      <c r="F23" s="13">
        <v>0</v>
      </c>
      <c r="G23" s="13" t="s">
        <v>142</v>
      </c>
      <c r="H23" s="13" t="s">
        <v>142</v>
      </c>
      <c r="I23" s="13">
        <v>0</v>
      </c>
      <c r="J23" s="13">
        <v>1</v>
      </c>
      <c r="K23" s="13" t="s">
        <v>141</v>
      </c>
      <c r="L23" s="13">
        <v>196257</v>
      </c>
      <c r="M23" s="13">
        <v>1</v>
      </c>
      <c r="N23" s="13" t="s">
        <v>142</v>
      </c>
      <c r="O23" s="13">
        <v>0</v>
      </c>
      <c r="P23" s="13">
        <v>1</v>
      </c>
      <c r="Q23" s="13" t="s">
        <v>142</v>
      </c>
      <c r="R23" s="13">
        <v>0</v>
      </c>
      <c r="S23" s="13">
        <v>1</v>
      </c>
      <c r="T23" s="13" t="s">
        <v>138</v>
      </c>
      <c r="U23" s="13" t="s">
        <v>142</v>
      </c>
      <c r="V23" s="13">
        <v>0</v>
      </c>
      <c r="W23" s="13">
        <v>1</v>
      </c>
      <c r="X23" s="13" t="s">
        <v>138</v>
      </c>
    </row>
    <row r="24" spans="1:24" ht="34.950000000000003" customHeight="1" x14ac:dyDescent="0.3">
      <c r="A24" s="13" t="s">
        <v>33</v>
      </c>
      <c r="B24" s="6">
        <v>1</v>
      </c>
      <c r="C24" s="6">
        <v>85386035</v>
      </c>
      <c r="D24" s="6">
        <v>14170816</v>
      </c>
      <c r="E24" s="13" t="s">
        <v>142</v>
      </c>
      <c r="F24" s="13">
        <v>0</v>
      </c>
      <c r="G24" s="13" t="s">
        <v>142</v>
      </c>
      <c r="H24" s="13" t="s">
        <v>142</v>
      </c>
      <c r="I24" s="13">
        <v>0</v>
      </c>
      <c r="J24" s="13">
        <v>1</v>
      </c>
      <c r="K24" s="13" t="s">
        <v>141</v>
      </c>
      <c r="L24" s="13">
        <v>22328147</v>
      </c>
      <c r="M24" s="13">
        <v>1</v>
      </c>
      <c r="N24" s="13" t="s">
        <v>142</v>
      </c>
      <c r="O24" s="13">
        <v>0</v>
      </c>
      <c r="P24" s="13">
        <v>1</v>
      </c>
      <c r="Q24" s="13" t="s">
        <v>142</v>
      </c>
      <c r="R24" s="13">
        <v>0</v>
      </c>
      <c r="S24" s="13">
        <v>1</v>
      </c>
      <c r="T24" s="13" t="s">
        <v>138</v>
      </c>
      <c r="U24" s="13" t="s">
        <v>142</v>
      </c>
      <c r="V24" s="13">
        <v>0</v>
      </c>
      <c r="W24" s="13">
        <v>1</v>
      </c>
      <c r="X24" s="13" t="s">
        <v>138</v>
      </c>
    </row>
    <row r="25" spans="1:24" ht="34.950000000000003" customHeight="1" x14ac:dyDescent="0.3">
      <c r="A25" s="13" t="s">
        <v>255</v>
      </c>
      <c r="B25" s="6">
        <v>3</v>
      </c>
      <c r="C25" s="6">
        <v>0</v>
      </c>
      <c r="D25" s="6">
        <v>0</v>
      </c>
      <c r="E25" s="13" t="s">
        <v>142</v>
      </c>
      <c r="F25" s="13">
        <v>0</v>
      </c>
      <c r="G25" s="13" t="s">
        <v>142</v>
      </c>
      <c r="H25" s="13" t="s">
        <v>142</v>
      </c>
      <c r="I25" s="13">
        <v>0</v>
      </c>
      <c r="J25" s="13">
        <v>1</v>
      </c>
      <c r="K25" s="13" t="s">
        <v>142</v>
      </c>
      <c r="L25" s="13">
        <v>0</v>
      </c>
      <c r="M25" s="13">
        <v>1</v>
      </c>
      <c r="N25" s="13" t="s">
        <v>142</v>
      </c>
      <c r="O25" s="13">
        <v>0</v>
      </c>
      <c r="P25" s="13">
        <v>1</v>
      </c>
      <c r="Q25" s="13" t="s">
        <v>142</v>
      </c>
      <c r="R25" s="13">
        <v>0</v>
      </c>
      <c r="S25" s="13">
        <v>1</v>
      </c>
      <c r="T25" s="13" t="s">
        <v>138</v>
      </c>
      <c r="U25" s="13" t="s">
        <v>142</v>
      </c>
      <c r="V25" s="13">
        <v>0</v>
      </c>
      <c r="W25" s="13">
        <v>1</v>
      </c>
      <c r="X25" s="13" t="s">
        <v>138</v>
      </c>
    </row>
    <row r="26" spans="1:24" ht="34.950000000000003" customHeight="1" x14ac:dyDescent="0.3">
      <c r="A26" s="13" t="s">
        <v>60</v>
      </c>
      <c r="B26" s="6">
        <v>1</v>
      </c>
      <c r="C26" s="6">
        <v>118664</v>
      </c>
      <c r="D26" s="6">
        <v>12969952</v>
      </c>
      <c r="E26" s="13" t="s">
        <v>142</v>
      </c>
      <c r="F26" s="13">
        <v>0</v>
      </c>
      <c r="G26" s="13" t="s">
        <v>142</v>
      </c>
      <c r="H26" s="13" t="s">
        <v>142</v>
      </c>
      <c r="I26" s="13">
        <v>0</v>
      </c>
      <c r="J26" s="13">
        <v>1</v>
      </c>
      <c r="K26" s="13" t="s">
        <v>142</v>
      </c>
      <c r="L26" s="13">
        <v>0</v>
      </c>
      <c r="M26" s="13">
        <v>1</v>
      </c>
      <c r="N26" s="13" t="s">
        <v>142</v>
      </c>
      <c r="O26" s="13">
        <v>0</v>
      </c>
      <c r="P26" s="13">
        <v>1</v>
      </c>
      <c r="Q26" s="13" t="s">
        <v>142</v>
      </c>
      <c r="R26" s="13">
        <v>0</v>
      </c>
      <c r="S26" s="13">
        <v>1</v>
      </c>
      <c r="T26" s="13" t="s">
        <v>138</v>
      </c>
      <c r="U26" s="13" t="s">
        <v>142</v>
      </c>
      <c r="V26" s="13">
        <v>0</v>
      </c>
      <c r="W26" s="13">
        <v>1</v>
      </c>
      <c r="X26" s="13" t="s">
        <v>138</v>
      </c>
    </row>
    <row r="27" spans="1:24" ht="34.950000000000003" customHeight="1" x14ac:dyDescent="0.3">
      <c r="A27" s="13" t="s">
        <v>71</v>
      </c>
      <c r="B27" s="6">
        <v>1</v>
      </c>
      <c r="C27" s="6">
        <v>0</v>
      </c>
      <c r="D27" s="6">
        <v>0</v>
      </c>
      <c r="E27" s="13" t="s">
        <v>142</v>
      </c>
      <c r="F27" s="13">
        <v>0</v>
      </c>
      <c r="G27" s="13" t="s">
        <v>142</v>
      </c>
      <c r="H27" s="13" t="s">
        <v>142</v>
      </c>
      <c r="I27" s="13">
        <v>0</v>
      </c>
      <c r="J27" s="13">
        <v>1</v>
      </c>
      <c r="K27" s="13" t="s">
        <v>141</v>
      </c>
      <c r="L27" s="13">
        <v>270000</v>
      </c>
      <c r="M27" s="13">
        <v>1</v>
      </c>
      <c r="N27" s="13" t="s">
        <v>142</v>
      </c>
      <c r="O27" s="13">
        <v>0</v>
      </c>
      <c r="P27" s="13">
        <v>1</v>
      </c>
      <c r="Q27" s="13" t="s">
        <v>142</v>
      </c>
      <c r="R27" s="13">
        <v>0</v>
      </c>
      <c r="S27" s="13">
        <v>1</v>
      </c>
      <c r="T27" s="13" t="s">
        <v>138</v>
      </c>
      <c r="U27" s="13" t="s">
        <v>142</v>
      </c>
      <c r="V27" s="13">
        <v>0</v>
      </c>
      <c r="W27" s="13">
        <v>1</v>
      </c>
      <c r="X27" s="13" t="s">
        <v>138</v>
      </c>
    </row>
    <row r="28" spans="1:24" ht="34.950000000000003" customHeight="1" x14ac:dyDescent="0.3">
      <c r="A28" s="13" t="s">
        <v>114</v>
      </c>
      <c r="B28" s="6">
        <v>3</v>
      </c>
      <c r="C28" s="6">
        <v>0</v>
      </c>
      <c r="D28" s="6">
        <v>0</v>
      </c>
      <c r="E28" s="13" t="s">
        <v>142</v>
      </c>
      <c r="F28" s="13">
        <v>0</v>
      </c>
      <c r="G28" s="13" t="s">
        <v>142</v>
      </c>
      <c r="H28" s="13" t="s">
        <v>142</v>
      </c>
      <c r="I28" s="13">
        <v>0</v>
      </c>
      <c r="J28" s="13">
        <v>1</v>
      </c>
      <c r="K28" s="13" t="s">
        <v>142</v>
      </c>
      <c r="L28" s="13">
        <v>0</v>
      </c>
      <c r="M28" s="13">
        <v>1</v>
      </c>
      <c r="N28" s="13" t="s">
        <v>142</v>
      </c>
      <c r="O28" s="13">
        <v>0</v>
      </c>
      <c r="P28" s="13">
        <v>1</v>
      </c>
      <c r="Q28" s="13" t="s">
        <v>142</v>
      </c>
      <c r="R28" s="13">
        <v>0</v>
      </c>
      <c r="S28" s="13">
        <v>1</v>
      </c>
      <c r="T28" s="13" t="s">
        <v>138</v>
      </c>
      <c r="U28" s="13" t="s">
        <v>142</v>
      </c>
      <c r="V28" s="13">
        <v>0</v>
      </c>
      <c r="W28" s="13">
        <v>1</v>
      </c>
      <c r="X28" s="13" t="s">
        <v>138</v>
      </c>
    </row>
    <row r="29" spans="1:24" ht="34.950000000000003" customHeight="1" x14ac:dyDescent="0.3">
      <c r="A29" s="13" t="s">
        <v>65</v>
      </c>
      <c r="B29" s="6">
        <v>2</v>
      </c>
      <c r="C29" s="6">
        <v>0</v>
      </c>
      <c r="D29" s="6">
        <v>0</v>
      </c>
      <c r="E29" s="13" t="s">
        <v>142</v>
      </c>
      <c r="F29" s="13">
        <v>0</v>
      </c>
      <c r="G29" s="13" t="s">
        <v>142</v>
      </c>
      <c r="H29" s="13" t="s">
        <v>142</v>
      </c>
      <c r="I29" s="13">
        <v>0</v>
      </c>
      <c r="J29" s="13">
        <v>1</v>
      </c>
      <c r="K29" s="13" t="s">
        <v>141</v>
      </c>
      <c r="L29" s="13">
        <v>165600</v>
      </c>
      <c r="M29" s="13">
        <v>1</v>
      </c>
      <c r="N29" s="13" t="s">
        <v>142</v>
      </c>
      <c r="O29" s="13">
        <v>0</v>
      </c>
      <c r="P29" s="13">
        <v>1</v>
      </c>
      <c r="Q29" s="13" t="s">
        <v>142</v>
      </c>
      <c r="R29" s="13">
        <v>0</v>
      </c>
      <c r="S29" s="13">
        <v>1</v>
      </c>
      <c r="T29" s="13" t="s">
        <v>138</v>
      </c>
      <c r="U29" s="13" t="s">
        <v>142</v>
      </c>
      <c r="V29" s="13">
        <v>0</v>
      </c>
      <c r="W29" s="13">
        <v>1</v>
      </c>
      <c r="X29" s="13" t="s">
        <v>138</v>
      </c>
    </row>
    <row r="30" spans="1:24" ht="34.950000000000003" customHeight="1" x14ac:dyDescent="0.3">
      <c r="A30" s="13" t="s">
        <v>270</v>
      </c>
      <c r="B30" s="6">
        <v>1</v>
      </c>
      <c r="C30" s="6">
        <v>293513968</v>
      </c>
      <c r="D30" s="6">
        <v>26690943</v>
      </c>
      <c r="E30" s="13" t="s">
        <v>142</v>
      </c>
      <c r="F30" s="13">
        <v>0</v>
      </c>
      <c r="G30" s="13" t="s">
        <v>141</v>
      </c>
      <c r="H30" s="13" t="s">
        <v>141</v>
      </c>
      <c r="I30" s="13">
        <v>26670</v>
      </c>
      <c r="J30" s="13">
        <v>2</v>
      </c>
      <c r="K30" s="13" t="s">
        <v>141</v>
      </c>
      <c r="L30" s="13">
        <v>965</v>
      </c>
      <c r="M30" s="13">
        <v>2</v>
      </c>
      <c r="N30" s="13" t="s">
        <v>142</v>
      </c>
      <c r="O30" s="13">
        <v>0</v>
      </c>
      <c r="P30" s="13">
        <v>1</v>
      </c>
      <c r="Q30" s="13" t="s">
        <v>141</v>
      </c>
      <c r="R30" s="13">
        <v>3742838</v>
      </c>
      <c r="S30" s="13">
        <v>1</v>
      </c>
      <c r="T30" s="13" t="s">
        <v>138</v>
      </c>
      <c r="U30" s="13" t="s">
        <v>142</v>
      </c>
      <c r="V30" s="13">
        <v>0</v>
      </c>
      <c r="W30" s="13">
        <v>1</v>
      </c>
      <c r="X30" s="13" t="s">
        <v>138</v>
      </c>
    </row>
    <row r="31" spans="1:24" ht="34.950000000000003" customHeight="1" x14ac:dyDescent="0.3">
      <c r="A31" s="13" t="s">
        <v>249</v>
      </c>
      <c r="B31" s="6">
        <v>1</v>
      </c>
      <c r="C31" s="6">
        <v>0</v>
      </c>
      <c r="D31" s="6">
        <v>1012371</v>
      </c>
      <c r="E31" s="13" t="s">
        <v>142</v>
      </c>
      <c r="F31" s="13">
        <v>0</v>
      </c>
      <c r="G31" s="13" t="s">
        <v>142</v>
      </c>
      <c r="H31" s="13" t="s">
        <v>142</v>
      </c>
      <c r="I31" s="13">
        <v>0</v>
      </c>
      <c r="J31" s="13">
        <v>1</v>
      </c>
      <c r="K31" s="13" t="s">
        <v>141</v>
      </c>
      <c r="L31" s="13">
        <v>1483371</v>
      </c>
      <c r="M31" s="13">
        <v>1</v>
      </c>
      <c r="N31" s="13" t="s">
        <v>142</v>
      </c>
      <c r="O31" s="13">
        <v>0</v>
      </c>
      <c r="P31" s="13">
        <v>1</v>
      </c>
      <c r="Q31" s="13" t="s">
        <v>142</v>
      </c>
      <c r="R31" s="13">
        <v>0</v>
      </c>
      <c r="S31" s="13">
        <v>1</v>
      </c>
      <c r="T31" s="13" t="s">
        <v>138</v>
      </c>
      <c r="U31" s="13" t="s">
        <v>142</v>
      </c>
      <c r="V31" s="13">
        <v>0</v>
      </c>
      <c r="W31" s="13">
        <v>1</v>
      </c>
      <c r="X31" s="13" t="s">
        <v>138</v>
      </c>
    </row>
    <row r="32" spans="1:24" ht="34.950000000000003" customHeight="1" x14ac:dyDescent="0.3">
      <c r="A32" s="13" t="s">
        <v>112</v>
      </c>
      <c r="B32" s="6">
        <v>3</v>
      </c>
      <c r="C32" s="6">
        <v>0</v>
      </c>
      <c r="D32" s="6">
        <v>0</v>
      </c>
      <c r="E32" s="13" t="s">
        <v>142</v>
      </c>
      <c r="F32" s="13">
        <v>0</v>
      </c>
      <c r="G32" s="13" t="s">
        <v>142</v>
      </c>
      <c r="H32" s="13" t="s">
        <v>141</v>
      </c>
      <c r="I32" s="13">
        <v>350</v>
      </c>
      <c r="J32" s="13">
        <v>2</v>
      </c>
      <c r="K32" s="13" t="s">
        <v>141</v>
      </c>
      <c r="L32" s="13">
        <v>139368</v>
      </c>
      <c r="M32" s="13">
        <v>1</v>
      </c>
      <c r="N32" s="13" t="s">
        <v>142</v>
      </c>
      <c r="O32" s="13">
        <v>0</v>
      </c>
      <c r="P32" s="13">
        <v>1</v>
      </c>
      <c r="Q32" s="13" t="s">
        <v>142</v>
      </c>
      <c r="R32" s="13">
        <v>0</v>
      </c>
      <c r="S32" s="13">
        <v>1</v>
      </c>
      <c r="T32" s="13" t="s">
        <v>138</v>
      </c>
      <c r="U32" s="13" t="s">
        <v>142</v>
      </c>
      <c r="V32" s="13">
        <v>0</v>
      </c>
      <c r="W32" s="13">
        <v>1</v>
      </c>
      <c r="X32" s="13" t="s">
        <v>138</v>
      </c>
    </row>
    <row r="33" spans="1:24" ht="34.950000000000003" customHeight="1" x14ac:dyDescent="0.3">
      <c r="A33" s="13" t="s">
        <v>220</v>
      </c>
      <c r="B33" s="6">
        <v>3</v>
      </c>
      <c r="C33" s="6">
        <v>0</v>
      </c>
      <c r="D33" s="6">
        <v>0</v>
      </c>
      <c r="E33" s="13" t="s">
        <v>142</v>
      </c>
      <c r="F33" s="13">
        <v>0</v>
      </c>
      <c r="G33" s="13" t="s">
        <v>142</v>
      </c>
      <c r="H33" s="13" t="s">
        <v>142</v>
      </c>
      <c r="I33" s="13">
        <v>0</v>
      </c>
      <c r="J33" s="13">
        <v>1</v>
      </c>
      <c r="K33" s="13" t="s">
        <v>142</v>
      </c>
      <c r="L33" s="13">
        <v>0</v>
      </c>
      <c r="M33" s="13">
        <v>1</v>
      </c>
      <c r="N33" s="13" t="s">
        <v>142</v>
      </c>
      <c r="O33" s="13">
        <v>0</v>
      </c>
      <c r="P33" s="13">
        <v>1</v>
      </c>
      <c r="Q33" s="13" t="s">
        <v>142</v>
      </c>
      <c r="R33" s="13">
        <v>0</v>
      </c>
      <c r="S33" s="13">
        <v>1</v>
      </c>
      <c r="T33" s="13" t="s">
        <v>138</v>
      </c>
      <c r="U33" s="13" t="s">
        <v>142</v>
      </c>
      <c r="V33" s="13">
        <v>0</v>
      </c>
      <c r="W33" s="13">
        <v>1</v>
      </c>
      <c r="X33" s="13" t="s">
        <v>138</v>
      </c>
    </row>
    <row r="34" spans="1:24" ht="34.950000000000003" customHeight="1" x14ac:dyDescent="0.3">
      <c r="A34" s="13" t="s">
        <v>260</v>
      </c>
      <c r="B34" s="6">
        <v>2</v>
      </c>
      <c r="C34" s="6">
        <v>0</v>
      </c>
      <c r="D34" s="6">
        <v>0</v>
      </c>
      <c r="E34" s="13" t="s">
        <v>142</v>
      </c>
      <c r="F34" s="13">
        <v>0</v>
      </c>
      <c r="G34" s="13" t="s">
        <v>142</v>
      </c>
      <c r="H34" s="13" t="s">
        <v>142</v>
      </c>
      <c r="I34" s="13">
        <v>0</v>
      </c>
      <c r="J34" s="13">
        <v>1</v>
      </c>
      <c r="K34" s="13" t="s">
        <v>141</v>
      </c>
      <c r="L34" s="13">
        <v>672872</v>
      </c>
      <c r="M34" s="13">
        <v>1</v>
      </c>
      <c r="N34" s="13" t="s">
        <v>142</v>
      </c>
      <c r="O34" s="13">
        <v>0</v>
      </c>
      <c r="P34" s="13">
        <v>1</v>
      </c>
      <c r="Q34" s="13" t="s">
        <v>142</v>
      </c>
      <c r="R34" s="13">
        <v>0</v>
      </c>
      <c r="S34" s="13">
        <v>1</v>
      </c>
      <c r="T34" s="13" t="s">
        <v>138</v>
      </c>
      <c r="U34" s="13" t="s">
        <v>142</v>
      </c>
      <c r="V34" s="13">
        <v>0</v>
      </c>
      <c r="W34" s="13">
        <v>1</v>
      </c>
      <c r="X34" s="13" t="s">
        <v>138</v>
      </c>
    </row>
  </sheetData>
  <autoFilter ref="A1:X34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G55"/>
  <sheetViews>
    <sheetView zoomScale="90" zoomScaleNormal="90" workbookViewId="0">
      <pane ySplit="1" topLeftCell="A2" activePane="bottomLeft" state="frozen"/>
      <selection pane="bottomLeft" activeCell="F28" sqref="F28"/>
    </sheetView>
  </sheetViews>
  <sheetFormatPr baseColWidth="10" defaultRowHeight="14.4" x14ac:dyDescent="0.3"/>
  <cols>
    <col min="1" max="2" width="38.5546875" style="9" customWidth="1"/>
    <col min="3" max="3" width="18.6640625" style="9" hidden="1" customWidth="1"/>
    <col min="4" max="4" width="18.6640625" style="9" customWidth="1"/>
    <col min="5" max="5" width="24.33203125" style="49" customWidth="1"/>
    <col min="6" max="6" width="28.6640625" style="49" customWidth="1"/>
    <col min="7" max="8" width="18.6640625" style="9" hidden="1" customWidth="1"/>
    <col min="9" max="9" width="27.88671875" customWidth="1"/>
    <col min="10" max="10" width="13.33203125" bestFit="1" customWidth="1"/>
    <col min="11" max="11" width="16" bestFit="1" customWidth="1"/>
  </cols>
  <sheetData>
    <row r="1" spans="1:33" ht="35.4" customHeight="1" x14ac:dyDescent="0.3">
      <c r="A1" s="1" t="s">
        <v>0</v>
      </c>
      <c r="B1" s="47" t="s">
        <v>953</v>
      </c>
      <c r="C1" s="1" t="s">
        <v>311</v>
      </c>
      <c r="D1" s="47" t="s">
        <v>954</v>
      </c>
      <c r="E1" s="4" t="s">
        <v>312</v>
      </c>
      <c r="F1" s="4" t="s">
        <v>313</v>
      </c>
      <c r="G1" s="1" t="s">
        <v>273</v>
      </c>
      <c r="H1" s="1" t="s">
        <v>234</v>
      </c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</row>
    <row r="2" spans="1:33" ht="29.4" hidden="1" customHeight="1" x14ac:dyDescent="0.3">
      <c r="A2" s="14" t="s">
        <v>22</v>
      </c>
      <c r="B2" s="14" t="s">
        <v>248</v>
      </c>
      <c r="C2" s="14">
        <v>81</v>
      </c>
      <c r="D2" s="14" t="s">
        <v>1061</v>
      </c>
      <c r="E2" s="48">
        <v>120731</v>
      </c>
      <c r="F2" s="20">
        <v>7012000</v>
      </c>
      <c r="G2" s="14" t="s">
        <v>277</v>
      </c>
      <c r="H2" s="14" t="s">
        <v>248</v>
      </c>
    </row>
    <row r="3" spans="1:33" ht="29.4" hidden="1" customHeight="1" x14ac:dyDescent="0.3">
      <c r="A3" s="50" t="s">
        <v>110</v>
      </c>
      <c r="B3" s="14" t="s">
        <v>268</v>
      </c>
      <c r="C3" s="14">
        <v>68</v>
      </c>
      <c r="D3" s="14" t="s">
        <v>1062</v>
      </c>
      <c r="E3" s="48">
        <v>619499</v>
      </c>
      <c r="F3" s="48">
        <v>30125945</v>
      </c>
      <c r="G3" s="14" t="s">
        <v>285</v>
      </c>
      <c r="H3" s="14" t="s">
        <v>268</v>
      </c>
    </row>
    <row r="4" spans="1:33" ht="29.4" hidden="1" customHeight="1" x14ac:dyDescent="0.3">
      <c r="A4" s="51" t="s">
        <v>110</v>
      </c>
      <c r="B4" s="14" t="s">
        <v>268</v>
      </c>
      <c r="C4" s="14">
        <v>75</v>
      </c>
      <c r="D4" s="14" t="s">
        <v>1063</v>
      </c>
      <c r="E4" s="48">
        <v>1883</v>
      </c>
      <c r="F4" s="48">
        <v>91770</v>
      </c>
      <c r="G4" s="14" t="s">
        <v>285</v>
      </c>
      <c r="H4" s="14" t="s">
        <v>268</v>
      </c>
    </row>
    <row r="5" spans="1:33" ht="29.4" hidden="1" customHeight="1" x14ac:dyDescent="0.3">
      <c r="A5" s="51" t="s">
        <v>110</v>
      </c>
      <c r="B5" s="14" t="s">
        <v>268</v>
      </c>
      <c r="C5" s="14">
        <v>111</v>
      </c>
      <c r="D5" s="14" t="s">
        <v>1064</v>
      </c>
      <c r="E5" s="48">
        <v>867211</v>
      </c>
      <c r="F5" s="48">
        <v>42392388</v>
      </c>
      <c r="G5" s="14" t="s">
        <v>285</v>
      </c>
      <c r="H5" s="14" t="s">
        <v>268</v>
      </c>
    </row>
    <row r="6" spans="1:33" ht="29.4" hidden="1" customHeight="1" x14ac:dyDescent="0.3">
      <c r="A6" s="51" t="s">
        <v>110</v>
      </c>
      <c r="B6" s="14" t="s">
        <v>268</v>
      </c>
      <c r="C6" s="14">
        <v>116</v>
      </c>
      <c r="D6" s="14" t="s">
        <v>1065</v>
      </c>
      <c r="E6" s="48">
        <v>23769</v>
      </c>
      <c r="F6" s="48">
        <v>1138912</v>
      </c>
      <c r="G6" s="14" t="s">
        <v>285</v>
      </c>
      <c r="H6" s="14" t="s">
        <v>268</v>
      </c>
    </row>
    <row r="7" spans="1:33" ht="29.4" hidden="1" customHeight="1" x14ac:dyDescent="0.3">
      <c r="A7" s="51" t="s">
        <v>257</v>
      </c>
      <c r="B7" s="14" t="s">
        <v>757</v>
      </c>
      <c r="C7" s="14">
        <v>68</v>
      </c>
      <c r="D7" s="14" t="s">
        <v>1062</v>
      </c>
      <c r="E7" s="48">
        <v>22058</v>
      </c>
      <c r="F7" s="48">
        <v>46887</v>
      </c>
      <c r="G7" s="14" t="s">
        <v>283</v>
      </c>
      <c r="H7" s="14" t="s">
        <v>258</v>
      </c>
    </row>
    <row r="8" spans="1:33" ht="29.4" hidden="1" customHeight="1" x14ac:dyDescent="0.3">
      <c r="A8" s="51" t="s">
        <v>95</v>
      </c>
      <c r="B8" s="14" t="s">
        <v>757</v>
      </c>
      <c r="C8" s="14">
        <v>68</v>
      </c>
      <c r="D8" s="14" t="s">
        <v>1062</v>
      </c>
      <c r="E8" s="48">
        <v>71753</v>
      </c>
      <c r="F8" s="52">
        <v>647468.01500000001</v>
      </c>
      <c r="G8" s="14" t="s">
        <v>283</v>
      </c>
      <c r="H8" s="14" t="s">
        <v>258</v>
      </c>
      <c r="I8" s="60"/>
    </row>
    <row r="9" spans="1:33" ht="29.4" hidden="1" customHeight="1" x14ac:dyDescent="0.3">
      <c r="A9" s="51" t="s">
        <v>269</v>
      </c>
      <c r="B9" s="14" t="s">
        <v>268</v>
      </c>
      <c r="C9" s="14">
        <v>111</v>
      </c>
      <c r="D9" s="14" t="s">
        <v>1064</v>
      </c>
      <c r="E9" s="48">
        <v>240860</v>
      </c>
      <c r="F9" s="48">
        <v>11879649</v>
      </c>
      <c r="G9" s="14" t="s">
        <v>285</v>
      </c>
      <c r="H9" s="14" t="s">
        <v>268</v>
      </c>
      <c r="L9" s="74"/>
    </row>
    <row r="10" spans="1:33" ht="29.4" hidden="1" customHeight="1" x14ac:dyDescent="0.3">
      <c r="A10" s="51" t="s">
        <v>269</v>
      </c>
      <c r="B10" s="14" t="s">
        <v>268</v>
      </c>
      <c r="C10" s="14">
        <v>75</v>
      </c>
      <c r="D10" s="14" t="s">
        <v>1063</v>
      </c>
      <c r="E10" s="48">
        <v>7597</v>
      </c>
      <c r="F10" s="48">
        <v>361075</v>
      </c>
      <c r="G10" s="14" t="s">
        <v>285</v>
      </c>
      <c r="H10" s="14" t="s">
        <v>268</v>
      </c>
    </row>
    <row r="11" spans="1:33" ht="29.4" hidden="1" customHeight="1" x14ac:dyDescent="0.3">
      <c r="A11" s="51" t="s">
        <v>269</v>
      </c>
      <c r="B11" s="14" t="s">
        <v>268</v>
      </c>
      <c r="C11" s="14">
        <v>68</v>
      </c>
      <c r="D11" s="14" t="s">
        <v>1062</v>
      </c>
      <c r="E11" s="48">
        <v>41410</v>
      </c>
      <c r="F11" s="48">
        <v>1982066</v>
      </c>
      <c r="G11" s="14" t="s">
        <v>285</v>
      </c>
      <c r="H11" s="14" t="s">
        <v>268</v>
      </c>
    </row>
    <row r="12" spans="1:33" ht="29.4" hidden="1" customHeight="1" x14ac:dyDescent="0.3">
      <c r="A12" s="51" t="s">
        <v>127</v>
      </c>
      <c r="B12" s="14" t="s">
        <v>247</v>
      </c>
      <c r="C12" s="14">
        <v>66</v>
      </c>
      <c r="D12" s="14" t="s">
        <v>1066</v>
      </c>
      <c r="E12" s="48">
        <v>24987</v>
      </c>
      <c r="F12" s="48">
        <v>3442000</v>
      </c>
      <c r="G12" s="14" t="s">
        <v>276</v>
      </c>
      <c r="H12" s="14" t="s">
        <v>247</v>
      </c>
      <c r="I12" s="60">
        <f t="shared" ref="I12:I16" si="0">+F12/E12</f>
        <v>137.75163084804097</v>
      </c>
    </row>
    <row r="13" spans="1:33" ht="29.4" hidden="1" customHeight="1" x14ac:dyDescent="0.3">
      <c r="A13" s="51" t="s">
        <v>127</v>
      </c>
      <c r="B13" s="14" t="s">
        <v>758</v>
      </c>
      <c r="C13" s="14">
        <v>66</v>
      </c>
      <c r="D13" s="14" t="s">
        <v>1066</v>
      </c>
      <c r="E13" s="48">
        <v>47556</v>
      </c>
      <c r="F13" s="48">
        <v>54997000</v>
      </c>
      <c r="G13" s="14" t="s">
        <v>280</v>
      </c>
      <c r="H13" s="14" t="s">
        <v>251</v>
      </c>
      <c r="I13" s="60">
        <f t="shared" si="0"/>
        <v>1156.468163848936</v>
      </c>
    </row>
    <row r="14" spans="1:33" ht="29.4" hidden="1" customHeight="1" x14ac:dyDescent="0.3">
      <c r="A14" s="51" t="s">
        <v>127</v>
      </c>
      <c r="B14" s="14" t="s">
        <v>120</v>
      </c>
      <c r="C14" s="14">
        <v>66</v>
      </c>
      <c r="D14" s="14" t="s">
        <v>1066</v>
      </c>
      <c r="E14" s="48">
        <v>421624</v>
      </c>
      <c r="F14" s="48">
        <v>77725000</v>
      </c>
      <c r="G14" s="14" t="s">
        <v>281</v>
      </c>
      <c r="H14" s="14" t="s">
        <v>120</v>
      </c>
      <c r="I14" s="60">
        <f t="shared" si="0"/>
        <v>184.34671650570175</v>
      </c>
    </row>
    <row r="15" spans="1:33" ht="29.4" hidden="1" customHeight="1" x14ac:dyDescent="0.3">
      <c r="A15" s="51" t="s">
        <v>127</v>
      </c>
      <c r="B15" s="14" t="s">
        <v>121</v>
      </c>
      <c r="C15" s="14">
        <v>66</v>
      </c>
      <c r="D15" s="14" t="s">
        <v>1066</v>
      </c>
      <c r="E15" s="48">
        <v>4820</v>
      </c>
      <c r="F15" s="48">
        <v>3949000</v>
      </c>
      <c r="G15" s="14" t="s">
        <v>282</v>
      </c>
      <c r="H15" s="14" t="s">
        <v>121</v>
      </c>
      <c r="I15" s="60">
        <f t="shared" si="0"/>
        <v>819.2946058091286</v>
      </c>
    </row>
    <row r="16" spans="1:33" ht="29.4" hidden="1" customHeight="1" x14ac:dyDescent="0.3">
      <c r="A16" s="51" t="s">
        <v>127</v>
      </c>
      <c r="B16" s="14" t="s">
        <v>266</v>
      </c>
      <c r="C16" s="14">
        <v>66</v>
      </c>
      <c r="D16" s="14" t="s">
        <v>1066</v>
      </c>
      <c r="E16" s="48">
        <v>3062</v>
      </c>
      <c r="F16" s="48">
        <v>3676000</v>
      </c>
      <c r="G16" s="14" t="s">
        <v>284</v>
      </c>
      <c r="H16" s="14" t="s">
        <v>266</v>
      </c>
      <c r="I16" s="60">
        <f t="shared" si="0"/>
        <v>1200.5225342913129</v>
      </c>
    </row>
    <row r="17" spans="1:9" ht="29.4" hidden="1" customHeight="1" x14ac:dyDescent="0.3">
      <c r="A17" s="51" t="s">
        <v>117</v>
      </c>
      <c r="B17" s="14" t="s">
        <v>271</v>
      </c>
      <c r="C17" s="14">
        <v>68</v>
      </c>
      <c r="D17" s="14" t="s">
        <v>1062</v>
      </c>
      <c r="E17" s="48">
        <v>17143</v>
      </c>
      <c r="F17" s="48">
        <v>6081251</v>
      </c>
      <c r="G17" s="14" t="s">
        <v>277</v>
      </c>
      <c r="H17" s="14" t="s">
        <v>248</v>
      </c>
    </row>
    <row r="18" spans="1:9" ht="29.4" hidden="1" customHeight="1" x14ac:dyDescent="0.3">
      <c r="A18" s="51" t="s">
        <v>117</v>
      </c>
      <c r="B18" s="14" t="s">
        <v>271</v>
      </c>
      <c r="C18" s="14">
        <v>111</v>
      </c>
      <c r="D18" s="14" t="s">
        <v>1064</v>
      </c>
      <c r="E18" s="48">
        <v>34381</v>
      </c>
      <c r="F18" s="48">
        <v>13857539</v>
      </c>
      <c r="G18" s="14" t="s">
        <v>277</v>
      </c>
      <c r="H18" s="14" t="s">
        <v>248</v>
      </c>
    </row>
    <row r="19" spans="1:9" ht="29.4" customHeight="1" x14ac:dyDescent="0.3">
      <c r="A19" s="51" t="s">
        <v>117</v>
      </c>
      <c r="B19" s="14" t="s">
        <v>267</v>
      </c>
      <c r="C19" s="14">
        <v>81</v>
      </c>
      <c r="D19" s="14" t="s">
        <v>1061</v>
      </c>
      <c r="E19" s="48">
        <v>484798</v>
      </c>
      <c r="F19" s="48">
        <v>286195770</v>
      </c>
      <c r="G19" s="14" t="s">
        <v>277</v>
      </c>
      <c r="H19" s="14" t="s">
        <v>248</v>
      </c>
    </row>
    <row r="20" spans="1:9" ht="29.4" customHeight="1" x14ac:dyDescent="0.3">
      <c r="A20" s="51" t="s">
        <v>117</v>
      </c>
      <c r="B20" s="14" t="s">
        <v>267</v>
      </c>
      <c r="C20" s="14">
        <v>172</v>
      </c>
      <c r="D20" s="14" t="s">
        <v>1067</v>
      </c>
      <c r="E20" s="48">
        <v>9504</v>
      </c>
      <c r="F20" s="48">
        <v>5852242</v>
      </c>
      <c r="G20" s="14" t="s">
        <v>277</v>
      </c>
      <c r="H20" s="14" t="s">
        <v>248</v>
      </c>
    </row>
    <row r="21" spans="1:9" ht="29.4" customHeight="1" x14ac:dyDescent="0.3">
      <c r="A21" s="51" t="s">
        <v>117</v>
      </c>
      <c r="B21" s="14" t="s">
        <v>267</v>
      </c>
      <c r="C21" s="14">
        <v>147</v>
      </c>
      <c r="D21" s="14" t="s">
        <v>1068</v>
      </c>
      <c r="E21" s="48">
        <v>14376</v>
      </c>
      <c r="F21" s="48">
        <v>8684770</v>
      </c>
      <c r="G21" s="14" t="s">
        <v>277</v>
      </c>
      <c r="H21" s="14" t="s">
        <v>248</v>
      </c>
    </row>
    <row r="22" spans="1:9" ht="29.4" customHeight="1" x14ac:dyDescent="0.3">
      <c r="A22" s="51" t="s">
        <v>33</v>
      </c>
      <c r="B22" s="14" t="s">
        <v>38</v>
      </c>
      <c r="C22" s="14">
        <v>12</v>
      </c>
      <c r="D22" s="14" t="s">
        <v>1069</v>
      </c>
      <c r="E22" s="91">
        <v>3.7309999999999999</v>
      </c>
      <c r="F22" s="48">
        <v>137107656</v>
      </c>
      <c r="G22" s="14" t="s">
        <v>274</v>
      </c>
      <c r="H22" s="14" t="s">
        <v>38</v>
      </c>
    </row>
    <row r="23" spans="1:9" ht="29.4" hidden="1" customHeight="1" x14ac:dyDescent="0.3">
      <c r="A23" s="51" t="s">
        <v>33</v>
      </c>
      <c r="B23" s="14" t="s">
        <v>246</v>
      </c>
      <c r="C23" s="14">
        <v>12</v>
      </c>
      <c r="D23" s="14" t="s">
        <v>1069</v>
      </c>
      <c r="E23" s="48">
        <v>0.27600000000000002</v>
      </c>
      <c r="F23" s="48">
        <v>122376</v>
      </c>
      <c r="G23" s="14" t="s">
        <v>275</v>
      </c>
      <c r="H23" s="14" t="s">
        <v>246</v>
      </c>
    </row>
    <row r="24" spans="1:9" ht="29.4" hidden="1" customHeight="1" x14ac:dyDescent="0.3">
      <c r="A24" s="51" t="s">
        <v>105</v>
      </c>
      <c r="B24" s="14" t="s">
        <v>99</v>
      </c>
      <c r="C24" s="14">
        <v>49</v>
      </c>
      <c r="D24" s="14" t="s">
        <v>1070</v>
      </c>
      <c r="E24" s="48">
        <v>64</v>
      </c>
      <c r="F24" s="48">
        <v>11072</v>
      </c>
      <c r="G24" s="14" t="s">
        <v>279</v>
      </c>
      <c r="H24" s="14" t="s">
        <v>99</v>
      </c>
      <c r="I24" s="60">
        <f t="shared" ref="I24:I26" si="1">+F24/E24</f>
        <v>173</v>
      </c>
    </row>
    <row r="25" spans="1:9" ht="29.4" hidden="1" customHeight="1" x14ac:dyDescent="0.3">
      <c r="A25" s="51" t="s">
        <v>105</v>
      </c>
      <c r="B25" s="14" t="s">
        <v>99</v>
      </c>
      <c r="C25" s="14">
        <v>35</v>
      </c>
      <c r="D25" s="14" t="s">
        <v>1071</v>
      </c>
      <c r="E25" s="48">
        <v>20</v>
      </c>
      <c r="F25" s="48">
        <v>3752</v>
      </c>
      <c r="G25" s="14" t="s">
        <v>279</v>
      </c>
      <c r="H25" s="14" t="s">
        <v>99</v>
      </c>
      <c r="I25" s="60">
        <f t="shared" si="1"/>
        <v>187.6</v>
      </c>
    </row>
    <row r="26" spans="1:9" ht="29.4" hidden="1" customHeight="1" x14ac:dyDescent="0.3">
      <c r="A26" s="51" t="s">
        <v>105</v>
      </c>
      <c r="B26" s="14" t="s">
        <v>99</v>
      </c>
      <c r="C26" s="14">
        <v>66</v>
      </c>
      <c r="D26" s="14" t="s">
        <v>1066</v>
      </c>
      <c r="E26" s="48">
        <v>4247</v>
      </c>
      <c r="F26" s="48">
        <v>349559</v>
      </c>
      <c r="G26" s="14" t="s">
        <v>94</v>
      </c>
      <c r="H26" s="14" t="s">
        <v>94</v>
      </c>
      <c r="I26" s="60">
        <f t="shared" si="1"/>
        <v>82.307275724040494</v>
      </c>
    </row>
    <row r="27" spans="1:9" ht="29.4" customHeight="1" x14ac:dyDescent="0.3">
      <c r="A27" s="51" t="s">
        <v>60</v>
      </c>
      <c r="B27" s="14" t="s">
        <v>38</v>
      </c>
      <c r="C27" s="14">
        <v>57</v>
      </c>
      <c r="D27" s="14" t="s">
        <v>1072</v>
      </c>
      <c r="E27" s="91">
        <v>6.45</v>
      </c>
      <c r="F27" s="48">
        <v>245462268</v>
      </c>
      <c r="G27" s="14" t="s">
        <v>274</v>
      </c>
      <c r="H27" s="14" t="s">
        <v>38</v>
      </c>
    </row>
    <row r="28" spans="1:9" ht="29.4" customHeight="1" x14ac:dyDescent="0.3">
      <c r="A28" s="51" t="s">
        <v>60</v>
      </c>
      <c r="B28" s="14" t="s">
        <v>38</v>
      </c>
      <c r="C28" s="14">
        <v>172</v>
      </c>
      <c r="D28" s="14" t="s">
        <v>1067</v>
      </c>
      <c r="E28" s="91">
        <v>2.5299999999999998</v>
      </c>
      <c r="F28" s="48">
        <v>95551189</v>
      </c>
      <c r="G28" s="14" t="s">
        <v>274</v>
      </c>
      <c r="H28" s="14" t="s">
        <v>38</v>
      </c>
    </row>
    <row r="29" spans="1:9" ht="29.4" hidden="1" customHeight="1" x14ac:dyDescent="0.3">
      <c r="A29" s="51" t="s">
        <v>60</v>
      </c>
      <c r="B29" s="14" t="s">
        <v>246</v>
      </c>
      <c r="C29" s="14">
        <v>57</v>
      </c>
      <c r="D29" s="14" t="s">
        <v>1072</v>
      </c>
      <c r="E29" s="48">
        <v>0.54</v>
      </c>
      <c r="F29" s="48">
        <v>244639</v>
      </c>
      <c r="G29" s="14" t="s">
        <v>275</v>
      </c>
      <c r="H29" s="14" t="s">
        <v>246</v>
      </c>
    </row>
    <row r="30" spans="1:9" ht="29.4" hidden="1" customHeight="1" x14ac:dyDescent="0.3">
      <c r="A30" s="51" t="s">
        <v>60</v>
      </c>
      <c r="B30" s="14" t="s">
        <v>246</v>
      </c>
      <c r="C30" s="14">
        <v>172</v>
      </c>
      <c r="D30" s="14" t="s">
        <v>1067</v>
      </c>
      <c r="E30" s="48">
        <v>0.14000000000000001</v>
      </c>
      <c r="F30" s="48">
        <v>63299</v>
      </c>
      <c r="G30" s="14" t="s">
        <v>275</v>
      </c>
      <c r="H30" s="14" t="s">
        <v>246</v>
      </c>
    </row>
    <row r="31" spans="1:9" ht="29.4" hidden="1" customHeight="1" x14ac:dyDescent="0.3">
      <c r="A31" s="51" t="s">
        <v>104</v>
      </c>
      <c r="B31" s="14" t="s">
        <v>99</v>
      </c>
      <c r="C31" s="14">
        <v>142</v>
      </c>
      <c r="D31" s="14" t="s">
        <v>1073</v>
      </c>
      <c r="E31" s="48">
        <v>15544.287</v>
      </c>
      <c r="F31" s="48">
        <v>596480</v>
      </c>
      <c r="G31" s="14" t="s">
        <v>279</v>
      </c>
      <c r="H31" s="14" t="s">
        <v>99</v>
      </c>
    </row>
    <row r="32" spans="1:9" ht="29.4" hidden="1" customHeight="1" x14ac:dyDescent="0.3">
      <c r="A32" s="51" t="s">
        <v>104</v>
      </c>
      <c r="B32" s="14" t="s">
        <v>99</v>
      </c>
      <c r="C32" s="14">
        <v>160</v>
      </c>
      <c r="D32" s="14" t="s">
        <v>955</v>
      </c>
      <c r="E32" s="48">
        <v>3620.6460000000002</v>
      </c>
      <c r="F32" s="48">
        <v>137749</v>
      </c>
      <c r="G32" s="14" t="s">
        <v>279</v>
      </c>
      <c r="H32" s="14" t="s">
        <v>99</v>
      </c>
    </row>
    <row r="33" spans="1:10" ht="29.4" hidden="1" customHeight="1" x14ac:dyDescent="0.3">
      <c r="A33" s="51" t="s">
        <v>104</v>
      </c>
      <c r="B33" s="14" t="s">
        <v>99</v>
      </c>
      <c r="C33" s="14">
        <v>19</v>
      </c>
      <c r="D33" s="14" t="s">
        <v>1074</v>
      </c>
      <c r="E33" s="48">
        <v>7664.6989999999996</v>
      </c>
      <c r="F33" s="48">
        <v>291603</v>
      </c>
      <c r="G33" s="14" t="s">
        <v>279</v>
      </c>
      <c r="H33" s="14" t="s">
        <v>99</v>
      </c>
    </row>
    <row r="34" spans="1:10" ht="29.4" hidden="1" customHeight="1" x14ac:dyDescent="0.3">
      <c r="A34" s="51" t="s">
        <v>104</v>
      </c>
      <c r="B34" s="14" t="s">
        <v>956</v>
      </c>
      <c r="C34" s="14">
        <v>19</v>
      </c>
      <c r="D34" s="14" t="s">
        <v>1074</v>
      </c>
      <c r="E34" s="48">
        <v>17749.954000000002</v>
      </c>
      <c r="F34" s="48">
        <v>1164326</v>
      </c>
      <c r="G34" s="14" t="s">
        <v>94</v>
      </c>
      <c r="H34" s="14" t="s">
        <v>94</v>
      </c>
      <c r="I34" s="60">
        <f>+F34/E34</f>
        <v>65.596000981185639</v>
      </c>
      <c r="J34" s="60"/>
    </row>
    <row r="35" spans="1:10" ht="29.4" hidden="1" customHeight="1" x14ac:dyDescent="0.3">
      <c r="A35" s="51" t="s">
        <v>114</v>
      </c>
      <c r="B35" s="14" t="s">
        <v>248</v>
      </c>
      <c r="C35" s="14">
        <v>81</v>
      </c>
      <c r="D35" s="14" t="s">
        <v>1061</v>
      </c>
      <c r="E35" s="48">
        <v>107973</v>
      </c>
      <c r="F35" s="48">
        <v>8991699</v>
      </c>
      <c r="G35" s="14" t="s">
        <v>278</v>
      </c>
      <c r="H35" s="14" t="s">
        <v>250</v>
      </c>
    </row>
    <row r="36" spans="1:10" ht="29.4" hidden="1" customHeight="1" x14ac:dyDescent="0.3">
      <c r="A36" s="51" t="s">
        <v>114</v>
      </c>
      <c r="B36" s="14" t="s">
        <v>248</v>
      </c>
      <c r="C36" s="14">
        <v>157</v>
      </c>
      <c r="D36" s="14" t="s">
        <v>1075</v>
      </c>
      <c r="E36" s="48">
        <v>500</v>
      </c>
      <c r="F36" s="48">
        <v>82322</v>
      </c>
      <c r="G36" s="14" t="s">
        <v>278</v>
      </c>
      <c r="H36" s="14" t="s">
        <v>250</v>
      </c>
    </row>
    <row r="37" spans="1:10" ht="29.4" hidden="1" customHeight="1" x14ac:dyDescent="0.3">
      <c r="A37" s="51" t="s">
        <v>114</v>
      </c>
      <c r="B37" s="14" t="s">
        <v>248</v>
      </c>
      <c r="C37" s="14">
        <v>70</v>
      </c>
      <c r="D37" s="14" t="s">
        <v>1076</v>
      </c>
      <c r="E37" s="48">
        <v>1600</v>
      </c>
      <c r="F37" s="48">
        <f>224598+4</f>
        <v>224602</v>
      </c>
      <c r="G37" s="14"/>
      <c r="H37" s="14"/>
      <c r="I37" s="60"/>
    </row>
    <row r="38" spans="1:10" ht="29.4" hidden="1" customHeight="1" x14ac:dyDescent="0.3">
      <c r="A38" s="51" t="s">
        <v>270</v>
      </c>
      <c r="B38" s="14" t="s">
        <v>268</v>
      </c>
      <c r="C38" s="14">
        <v>111</v>
      </c>
      <c r="D38" s="14" t="s">
        <v>1064</v>
      </c>
      <c r="E38" s="52">
        <v>135297</v>
      </c>
      <c r="F38" s="52">
        <v>6709784.8289999999</v>
      </c>
      <c r="G38" s="14" t="s">
        <v>285</v>
      </c>
      <c r="H38" s="14" t="s">
        <v>268</v>
      </c>
      <c r="I38" s="60"/>
    </row>
    <row r="39" spans="1:10" ht="29.4" hidden="1" customHeight="1" x14ac:dyDescent="0.3">
      <c r="A39" s="51" t="s">
        <v>270</v>
      </c>
      <c r="B39" s="14" t="s">
        <v>268</v>
      </c>
      <c r="C39" s="14">
        <v>74</v>
      </c>
      <c r="D39" s="14" t="s">
        <v>1077</v>
      </c>
      <c r="E39" s="48">
        <v>1232</v>
      </c>
      <c r="F39" s="48">
        <v>65626</v>
      </c>
      <c r="G39" s="14" t="s">
        <v>285</v>
      </c>
      <c r="H39" s="14" t="s">
        <v>268</v>
      </c>
    </row>
    <row r="40" spans="1:10" ht="29.4" hidden="1" customHeight="1" x14ac:dyDescent="0.3">
      <c r="A40" s="51" t="s">
        <v>270</v>
      </c>
      <c r="B40" s="14" t="s">
        <v>268</v>
      </c>
      <c r="C40" s="14">
        <v>68</v>
      </c>
      <c r="D40" s="14" t="s">
        <v>1062</v>
      </c>
      <c r="E40" s="48">
        <v>36362</v>
      </c>
      <c r="F40" s="48">
        <v>1749967</v>
      </c>
      <c r="G40" s="14" t="s">
        <v>285</v>
      </c>
      <c r="H40" s="14" t="s">
        <v>268</v>
      </c>
    </row>
    <row r="41" spans="1:10" ht="29.4" hidden="1" customHeight="1" x14ac:dyDescent="0.3">
      <c r="A41" s="51" t="s">
        <v>270</v>
      </c>
      <c r="B41" s="14" t="s">
        <v>268</v>
      </c>
      <c r="C41" s="14">
        <v>116</v>
      </c>
      <c r="D41" s="14" t="s">
        <v>1065</v>
      </c>
      <c r="E41" s="48">
        <v>2818</v>
      </c>
      <c r="F41" s="48">
        <v>163145</v>
      </c>
      <c r="G41" s="14" t="s">
        <v>285</v>
      </c>
      <c r="H41" s="14" t="s">
        <v>268</v>
      </c>
    </row>
    <row r="42" spans="1:10" ht="29.4" hidden="1" customHeight="1" x14ac:dyDescent="0.3">
      <c r="A42" s="51" t="s">
        <v>270</v>
      </c>
      <c r="B42" s="14" t="s">
        <v>268</v>
      </c>
      <c r="C42" s="14">
        <v>75</v>
      </c>
      <c r="D42" s="14" t="s">
        <v>1063</v>
      </c>
      <c r="E42" s="48">
        <v>615</v>
      </c>
      <c r="F42" s="48">
        <v>36028</v>
      </c>
      <c r="G42" s="14" t="s">
        <v>285</v>
      </c>
      <c r="H42" s="14" t="s">
        <v>268</v>
      </c>
    </row>
    <row r="43" spans="1:10" ht="29.4" hidden="1" customHeight="1" x14ac:dyDescent="0.3">
      <c r="A43" s="51" t="s">
        <v>270</v>
      </c>
      <c r="B43" s="14" t="s">
        <v>761</v>
      </c>
      <c r="C43" s="14">
        <v>111</v>
      </c>
      <c r="D43" s="14" t="s">
        <v>1064</v>
      </c>
      <c r="E43" s="48">
        <v>3599</v>
      </c>
      <c r="F43" s="48">
        <v>134974</v>
      </c>
      <c r="G43" s="14" t="s">
        <v>94</v>
      </c>
      <c r="H43" s="14" t="s">
        <v>94</v>
      </c>
    </row>
    <row r="44" spans="1:10" ht="29.4" hidden="1" customHeight="1" x14ac:dyDescent="0.3">
      <c r="A44" s="51" t="s">
        <v>249</v>
      </c>
      <c r="B44" s="14" t="s">
        <v>248</v>
      </c>
      <c r="C44" s="14">
        <v>104</v>
      </c>
      <c r="D44" s="14" t="s">
        <v>1078</v>
      </c>
      <c r="E44" s="48">
        <v>19359</v>
      </c>
      <c r="F44" s="48">
        <v>2288489</v>
      </c>
      <c r="G44" s="14" t="s">
        <v>277</v>
      </c>
      <c r="H44" s="14" t="s">
        <v>248</v>
      </c>
    </row>
    <row r="45" spans="1:10" ht="29.4" hidden="1" customHeight="1" x14ac:dyDescent="0.3">
      <c r="A45" s="51" t="s">
        <v>249</v>
      </c>
      <c r="B45" s="14" t="s">
        <v>248</v>
      </c>
      <c r="C45" s="14">
        <v>111</v>
      </c>
      <c r="D45" s="14" t="s">
        <v>1064</v>
      </c>
      <c r="E45" s="48">
        <v>8000</v>
      </c>
      <c r="F45" s="48">
        <v>487790</v>
      </c>
      <c r="G45" s="14" t="s">
        <v>277</v>
      </c>
      <c r="H45" s="14" t="s">
        <v>248</v>
      </c>
    </row>
    <row r="46" spans="1:10" ht="29.4" hidden="1" customHeight="1" x14ac:dyDescent="0.3">
      <c r="A46" s="51" t="s">
        <v>249</v>
      </c>
      <c r="B46" s="14" t="s">
        <v>248</v>
      </c>
      <c r="C46" s="14">
        <v>19</v>
      </c>
      <c r="D46" s="14" t="s">
        <v>1074</v>
      </c>
      <c r="E46" s="48">
        <v>137653</v>
      </c>
      <c r="F46" s="48">
        <v>13479732</v>
      </c>
      <c r="G46" s="14" t="s">
        <v>277</v>
      </c>
      <c r="H46" s="14" t="s">
        <v>248</v>
      </c>
    </row>
    <row r="47" spans="1:10" ht="29.4" hidden="1" customHeight="1" x14ac:dyDescent="0.3">
      <c r="A47" s="51" t="s">
        <v>249</v>
      </c>
      <c r="B47" s="14" t="s">
        <v>248</v>
      </c>
      <c r="C47" s="14">
        <v>117</v>
      </c>
      <c r="D47" s="14" t="s">
        <v>1079</v>
      </c>
      <c r="E47" s="48">
        <v>131198</v>
      </c>
      <c r="F47" s="48">
        <v>12802137</v>
      </c>
      <c r="G47" s="14" t="s">
        <v>277</v>
      </c>
      <c r="H47" s="14" t="s">
        <v>248</v>
      </c>
      <c r="I47" s="60" t="e">
        <f>+F53-#REF!</f>
        <v>#REF!</v>
      </c>
    </row>
    <row r="48" spans="1:10" ht="29.4" hidden="1" customHeight="1" x14ac:dyDescent="0.3">
      <c r="A48" s="51" t="s">
        <v>249</v>
      </c>
      <c r="B48" s="14" t="s">
        <v>248</v>
      </c>
      <c r="C48" s="14">
        <v>145</v>
      </c>
      <c r="D48" s="14" t="s">
        <v>1080</v>
      </c>
      <c r="E48" s="48">
        <v>16725</v>
      </c>
      <c r="F48" s="48">
        <v>1577856</v>
      </c>
      <c r="G48" s="14" t="s">
        <v>277</v>
      </c>
      <c r="H48" s="14" t="s">
        <v>248</v>
      </c>
    </row>
    <row r="49" spans="1:8" ht="29.4" hidden="1" customHeight="1" x14ac:dyDescent="0.3">
      <c r="A49" s="51" t="s">
        <v>112</v>
      </c>
      <c r="B49" s="14" t="s">
        <v>99</v>
      </c>
      <c r="C49" s="14">
        <v>66</v>
      </c>
      <c r="D49" s="14" t="s">
        <v>1066</v>
      </c>
      <c r="E49" s="48">
        <v>63715.3</v>
      </c>
      <c r="F49" s="48">
        <v>1713441</v>
      </c>
      <c r="G49" s="14" t="s">
        <v>279</v>
      </c>
      <c r="H49" s="14" t="s">
        <v>99</v>
      </c>
    </row>
    <row r="50" spans="1:8" ht="29.4" hidden="1" customHeight="1" x14ac:dyDescent="0.3">
      <c r="A50" s="51" t="s">
        <v>112</v>
      </c>
      <c r="B50" s="14" t="s">
        <v>99</v>
      </c>
      <c r="C50" s="14">
        <v>160</v>
      </c>
      <c r="D50" s="14" t="s">
        <v>955</v>
      </c>
      <c r="E50" s="48">
        <v>70974.679999999993</v>
      </c>
      <c r="F50" s="48">
        <v>1667183</v>
      </c>
      <c r="G50" s="14" t="s">
        <v>279</v>
      </c>
      <c r="H50" s="14" t="s">
        <v>99</v>
      </c>
    </row>
    <row r="51" spans="1:8" ht="29.4" hidden="1" customHeight="1" x14ac:dyDescent="0.3">
      <c r="A51" s="51" t="s">
        <v>112</v>
      </c>
      <c r="B51" s="14" t="s">
        <v>99</v>
      </c>
      <c r="C51" s="14">
        <v>142</v>
      </c>
      <c r="D51" s="14" t="s">
        <v>1073</v>
      </c>
      <c r="E51" s="48">
        <v>41485.300000000003</v>
      </c>
      <c r="F51" s="48">
        <v>1096624</v>
      </c>
      <c r="G51" s="14" t="s">
        <v>279</v>
      </c>
      <c r="H51" s="14" t="s">
        <v>99</v>
      </c>
    </row>
    <row r="52" spans="1:8" hidden="1" x14ac:dyDescent="0.3">
      <c r="F52" s="49">
        <f>SUM(F2:F51)</f>
        <v>1094516099.8439999</v>
      </c>
    </row>
    <row r="53" spans="1:8" x14ac:dyDescent="0.3">
      <c r="E53" s="49">
        <f>SUBTOTAL(9,E2:E52)</f>
        <v>508690.71100000007</v>
      </c>
      <c r="F53" s="49">
        <f>SUBTOTAL(9,F2:F52)</f>
        <v>778853895</v>
      </c>
    </row>
    <row r="55" spans="1:8" ht="24.6" customHeight="1" x14ac:dyDescent="0.3"/>
  </sheetData>
  <autoFilter ref="A1:I52">
    <filterColumn colId="1">
      <filters>
        <filter val="Acide phosphorique"/>
        <filter val="Or"/>
      </filters>
    </filterColumn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BR61"/>
  <sheetViews>
    <sheetView workbookViewId="0">
      <pane xSplit="1" ySplit="1" topLeftCell="BL2" activePane="bottomRight" state="frozen"/>
      <selection pane="topRight" activeCell="B1" sqref="B1"/>
      <selection pane="bottomLeft" activeCell="A2" sqref="A2"/>
      <selection pane="bottomRight" activeCell="BQ9" sqref="BQ9"/>
    </sheetView>
  </sheetViews>
  <sheetFormatPr baseColWidth="10" defaultRowHeight="14.4" x14ac:dyDescent="0.3"/>
  <cols>
    <col min="1" max="1" width="33.5546875" customWidth="1"/>
    <col min="2" max="2" width="23.44140625" style="5" hidden="1" customWidth="1"/>
    <col min="3" max="30" width="23.44140625" style="5" customWidth="1"/>
    <col min="31" max="32" width="23.5546875" style="5" customWidth="1"/>
    <col min="33" max="69" width="23.44140625" style="5" customWidth="1"/>
  </cols>
  <sheetData>
    <row r="1" spans="1:69" s="15" customFormat="1" ht="41.4" x14ac:dyDescent="0.3">
      <c r="A1" s="31" t="s">
        <v>0</v>
      </c>
      <c r="B1" s="32" t="s">
        <v>314</v>
      </c>
      <c r="C1" s="32" t="s">
        <v>315</v>
      </c>
      <c r="D1" s="32" t="s">
        <v>316</v>
      </c>
      <c r="E1" s="32" t="s">
        <v>317</v>
      </c>
      <c r="F1" s="32" t="s">
        <v>318</v>
      </c>
      <c r="G1" s="32" t="s">
        <v>319</v>
      </c>
      <c r="H1" s="32" t="s">
        <v>320</v>
      </c>
      <c r="I1" s="32" t="s">
        <v>321</v>
      </c>
      <c r="J1" s="32" t="s">
        <v>322</v>
      </c>
      <c r="K1" s="32" t="s">
        <v>323</v>
      </c>
      <c r="L1" s="32" t="s">
        <v>324</v>
      </c>
      <c r="M1" s="32" t="s">
        <v>325</v>
      </c>
      <c r="N1" s="32" t="s">
        <v>326</v>
      </c>
      <c r="O1" s="32" t="s">
        <v>327</v>
      </c>
      <c r="P1" s="32" t="s">
        <v>328</v>
      </c>
      <c r="Q1" s="32" t="s">
        <v>329</v>
      </c>
      <c r="R1" s="32" t="s">
        <v>330</v>
      </c>
      <c r="S1" s="32" t="s">
        <v>331</v>
      </c>
      <c r="T1" s="32" t="s">
        <v>332</v>
      </c>
      <c r="U1" s="32" t="s">
        <v>333</v>
      </c>
      <c r="V1" s="32" t="s">
        <v>334</v>
      </c>
      <c r="W1" s="32" t="s">
        <v>335</v>
      </c>
      <c r="X1" s="32" t="s">
        <v>336</v>
      </c>
      <c r="Y1" s="32" t="s">
        <v>337</v>
      </c>
      <c r="Z1" s="32" t="s">
        <v>338</v>
      </c>
      <c r="AA1" s="32" t="s">
        <v>339</v>
      </c>
      <c r="AB1" s="32" t="s">
        <v>340</v>
      </c>
      <c r="AC1" s="32" t="s">
        <v>341</v>
      </c>
      <c r="AD1" s="32" t="s">
        <v>342</v>
      </c>
      <c r="AE1" s="32" t="s">
        <v>343</v>
      </c>
      <c r="AF1" s="32" t="s">
        <v>957</v>
      </c>
      <c r="AG1" s="32" t="s">
        <v>344</v>
      </c>
      <c r="AH1" s="32" t="s">
        <v>345</v>
      </c>
      <c r="AI1" s="32" t="s">
        <v>346</v>
      </c>
      <c r="AJ1" s="32" t="s">
        <v>347</v>
      </c>
      <c r="AK1" s="32" t="s">
        <v>348</v>
      </c>
      <c r="AL1" s="32" t="s">
        <v>349</v>
      </c>
      <c r="AM1" s="32" t="s">
        <v>350</v>
      </c>
      <c r="AN1" s="32" t="s">
        <v>351</v>
      </c>
      <c r="AO1" s="32" t="s">
        <v>352</v>
      </c>
      <c r="AP1" s="32" t="s">
        <v>353</v>
      </c>
      <c r="AQ1" s="32" t="s">
        <v>354</v>
      </c>
      <c r="AR1" s="32" t="s">
        <v>355</v>
      </c>
      <c r="AS1" s="32" t="s">
        <v>356</v>
      </c>
      <c r="AT1" s="32" t="s">
        <v>357</v>
      </c>
      <c r="AU1" s="32" t="s">
        <v>358</v>
      </c>
      <c r="AV1" s="32" t="s">
        <v>359</v>
      </c>
      <c r="AW1" s="32" t="s">
        <v>360</v>
      </c>
      <c r="AX1" s="32" t="s">
        <v>361</v>
      </c>
      <c r="AY1" s="32" t="s">
        <v>362</v>
      </c>
      <c r="AZ1" s="32" t="s">
        <v>363</v>
      </c>
      <c r="BA1" s="32" t="s">
        <v>364</v>
      </c>
      <c r="BB1" s="32" t="s">
        <v>365</v>
      </c>
      <c r="BC1" s="32" t="s">
        <v>366</v>
      </c>
      <c r="BD1" s="32" t="s">
        <v>367</v>
      </c>
      <c r="BE1" s="32" t="s">
        <v>368</v>
      </c>
      <c r="BF1" s="32" t="s">
        <v>369</v>
      </c>
      <c r="BG1" s="32" t="s">
        <v>370</v>
      </c>
      <c r="BH1" s="32" t="s">
        <v>371</v>
      </c>
      <c r="BI1" s="32" t="s">
        <v>372</v>
      </c>
      <c r="BJ1" s="32" t="s">
        <v>373</v>
      </c>
      <c r="BK1" s="32" t="s">
        <v>374</v>
      </c>
      <c r="BL1" s="32" t="s">
        <v>375</v>
      </c>
      <c r="BM1" s="32" t="s">
        <v>376</v>
      </c>
      <c r="BN1" s="19" t="s">
        <v>377</v>
      </c>
      <c r="BO1" s="19" t="s">
        <v>378</v>
      </c>
      <c r="BP1" s="19" t="s">
        <v>379</v>
      </c>
      <c r="BQ1" s="19" t="s">
        <v>380</v>
      </c>
    </row>
    <row r="2" spans="1:69" ht="53.4" customHeight="1" x14ac:dyDescent="0.3">
      <c r="A2" s="54" t="s">
        <v>309</v>
      </c>
      <c r="B2" s="20">
        <v>661</v>
      </c>
      <c r="C2" s="20">
        <v>12</v>
      </c>
      <c r="D2" s="20">
        <v>406974</v>
      </c>
      <c r="E2" s="35">
        <v>0</v>
      </c>
      <c r="F2" s="20">
        <v>2</v>
      </c>
      <c r="G2" s="20">
        <v>51956</v>
      </c>
      <c r="H2" s="20">
        <v>0</v>
      </c>
      <c r="I2" s="20">
        <v>0</v>
      </c>
      <c r="J2" s="20">
        <v>0</v>
      </c>
      <c r="K2" s="20">
        <v>0</v>
      </c>
      <c r="L2" s="20">
        <v>0</v>
      </c>
      <c r="M2" s="20">
        <v>0</v>
      </c>
      <c r="N2" s="20">
        <v>0</v>
      </c>
      <c r="O2" s="20">
        <v>0</v>
      </c>
      <c r="P2" s="20">
        <v>0</v>
      </c>
      <c r="Q2" s="20">
        <v>0</v>
      </c>
      <c r="R2" s="20">
        <v>0</v>
      </c>
      <c r="S2" s="20">
        <v>0</v>
      </c>
      <c r="T2" s="20" t="s">
        <v>381</v>
      </c>
      <c r="U2" s="20">
        <v>0</v>
      </c>
      <c r="V2" s="20">
        <v>111140</v>
      </c>
      <c r="W2" s="20">
        <v>6173434</v>
      </c>
      <c r="X2" s="20">
        <v>0</v>
      </c>
      <c r="Y2" s="20">
        <v>0</v>
      </c>
      <c r="Z2" s="20">
        <v>0</v>
      </c>
      <c r="AA2" s="20">
        <v>43690750</v>
      </c>
      <c r="AB2" s="20">
        <v>0</v>
      </c>
      <c r="AC2" s="20">
        <v>0</v>
      </c>
      <c r="AD2" s="20">
        <v>0</v>
      </c>
      <c r="AE2" s="20">
        <v>0</v>
      </c>
      <c r="AF2" s="20"/>
      <c r="AG2" s="20">
        <v>0</v>
      </c>
      <c r="AH2" s="20">
        <v>0</v>
      </c>
      <c r="AI2" s="20">
        <v>43200000</v>
      </c>
      <c r="AJ2" s="20">
        <v>0</v>
      </c>
      <c r="AK2" s="20">
        <v>273219773</v>
      </c>
      <c r="AL2" s="20">
        <v>0</v>
      </c>
      <c r="AM2" s="20">
        <v>0</v>
      </c>
      <c r="AN2" s="20">
        <v>0</v>
      </c>
      <c r="AO2" s="20">
        <v>292200</v>
      </c>
      <c r="AP2" s="20">
        <v>699893</v>
      </c>
      <c r="AQ2" s="20">
        <v>0</v>
      </c>
      <c r="AR2" s="20">
        <v>0</v>
      </c>
      <c r="AS2" s="20">
        <v>0</v>
      </c>
      <c r="AT2" s="20">
        <v>0</v>
      </c>
      <c r="AU2" s="20">
        <v>0</v>
      </c>
      <c r="AV2" s="20">
        <v>0</v>
      </c>
      <c r="AW2" s="20">
        <v>0</v>
      </c>
      <c r="AX2" s="20">
        <v>0</v>
      </c>
      <c r="AY2" s="20">
        <v>0</v>
      </c>
      <c r="AZ2" s="20">
        <v>0</v>
      </c>
      <c r="BA2" s="20">
        <v>0</v>
      </c>
      <c r="BB2" s="20">
        <v>0</v>
      </c>
      <c r="BC2" s="20">
        <v>0</v>
      </c>
      <c r="BD2" s="20">
        <v>0</v>
      </c>
      <c r="BE2" s="20">
        <v>0</v>
      </c>
      <c r="BF2" s="20" t="s">
        <v>381</v>
      </c>
      <c r="BG2" s="20">
        <v>0</v>
      </c>
      <c r="BH2" s="53">
        <v>117607000</v>
      </c>
      <c r="BI2" s="20">
        <v>0</v>
      </c>
      <c r="BJ2" s="20">
        <v>2496000</v>
      </c>
      <c r="BK2" s="20">
        <v>0</v>
      </c>
      <c r="BL2" s="20">
        <v>2663000</v>
      </c>
      <c r="BM2" s="20">
        <v>3168000</v>
      </c>
      <c r="BN2" s="20">
        <v>2269711</v>
      </c>
      <c r="BO2" s="20">
        <v>0</v>
      </c>
      <c r="BP2" s="20">
        <v>5000000</v>
      </c>
      <c r="BQ2" s="20">
        <v>500590901</v>
      </c>
    </row>
    <row r="3" spans="1:69" ht="53.4" customHeight="1" x14ac:dyDescent="0.3">
      <c r="A3" s="54" t="s">
        <v>245</v>
      </c>
      <c r="B3" s="20">
        <v>658</v>
      </c>
      <c r="C3" s="53">
        <v>98</v>
      </c>
      <c r="D3" s="20">
        <v>0</v>
      </c>
      <c r="E3" s="53">
        <v>98</v>
      </c>
      <c r="F3" s="53">
        <v>2</v>
      </c>
      <c r="G3" s="20">
        <v>0</v>
      </c>
      <c r="H3" s="53">
        <v>2</v>
      </c>
      <c r="I3" s="20">
        <v>0</v>
      </c>
      <c r="J3" s="20">
        <v>8707454</v>
      </c>
      <c r="K3" s="20">
        <v>0</v>
      </c>
      <c r="L3" s="20">
        <v>0</v>
      </c>
      <c r="M3" s="20">
        <v>0</v>
      </c>
      <c r="N3" s="20">
        <v>0</v>
      </c>
      <c r="O3" s="20">
        <v>0</v>
      </c>
      <c r="P3" s="20">
        <v>0</v>
      </c>
      <c r="Q3" s="20">
        <v>0</v>
      </c>
      <c r="R3" s="20">
        <v>0</v>
      </c>
      <c r="S3" s="20">
        <v>0</v>
      </c>
      <c r="T3" s="20" t="s">
        <v>381</v>
      </c>
      <c r="U3" s="20">
        <v>0</v>
      </c>
      <c r="V3" s="20">
        <v>296702</v>
      </c>
      <c r="W3" s="20">
        <v>1665000</v>
      </c>
      <c r="X3" s="20">
        <v>680549329</v>
      </c>
      <c r="Y3" s="20">
        <v>2439400</v>
      </c>
      <c r="Z3" s="20">
        <v>96596</v>
      </c>
      <c r="AA3" s="20">
        <v>597333517</v>
      </c>
      <c r="AB3" s="20">
        <v>0</v>
      </c>
      <c r="AC3" s="20">
        <v>362500</v>
      </c>
      <c r="AD3" s="20"/>
      <c r="AE3" s="20">
        <v>0</v>
      </c>
      <c r="AF3" s="53">
        <v>51035867</v>
      </c>
      <c r="AG3" s="20">
        <v>0</v>
      </c>
      <c r="AH3" s="20">
        <v>0</v>
      </c>
      <c r="AI3" s="20">
        <v>8615500</v>
      </c>
      <c r="AJ3" s="20">
        <v>0</v>
      </c>
      <c r="AK3" s="20">
        <v>184807598</v>
      </c>
      <c r="AL3" s="20">
        <v>2198994</v>
      </c>
      <c r="AM3" s="20">
        <v>0</v>
      </c>
      <c r="AN3" s="20">
        <v>20000</v>
      </c>
      <c r="AO3" s="20">
        <v>2505100</v>
      </c>
      <c r="AP3" s="20">
        <v>1275692</v>
      </c>
      <c r="AQ3" s="20">
        <v>154596612</v>
      </c>
      <c r="AR3" s="20">
        <v>21654573</v>
      </c>
      <c r="AS3" s="21"/>
      <c r="AT3" s="20">
        <v>210134363</v>
      </c>
      <c r="AU3" s="20">
        <v>1638000</v>
      </c>
      <c r="AV3" s="20">
        <v>108872341</v>
      </c>
      <c r="AW3" s="20">
        <v>0</v>
      </c>
      <c r="AX3" s="20">
        <v>74127</v>
      </c>
      <c r="AY3" s="20">
        <v>0</v>
      </c>
      <c r="AZ3" s="20">
        <v>0</v>
      </c>
      <c r="BA3" s="20">
        <v>0</v>
      </c>
      <c r="BB3" s="20">
        <v>0</v>
      </c>
      <c r="BC3" s="20">
        <v>0</v>
      </c>
      <c r="BD3" s="20">
        <v>0</v>
      </c>
      <c r="BE3" s="20">
        <v>0</v>
      </c>
      <c r="BF3" s="20" t="s">
        <v>381</v>
      </c>
      <c r="BG3" s="20">
        <v>0</v>
      </c>
      <c r="BH3" s="20">
        <v>0</v>
      </c>
      <c r="BI3" s="20">
        <v>228383565</v>
      </c>
      <c r="BJ3" s="20">
        <v>7238400</v>
      </c>
      <c r="BK3" s="20">
        <v>7396675</v>
      </c>
      <c r="BL3" s="20"/>
      <c r="BM3" s="20">
        <v>1368360</v>
      </c>
      <c r="BN3" s="20">
        <v>32154653</v>
      </c>
      <c r="BO3" s="20">
        <v>0</v>
      </c>
      <c r="BP3" s="20">
        <v>5000000</v>
      </c>
      <c r="BQ3" s="20">
        <v>2320420918</v>
      </c>
    </row>
    <row r="4" spans="1:69" ht="53.4" customHeight="1" x14ac:dyDescent="0.3">
      <c r="A4" s="54" t="s">
        <v>57</v>
      </c>
      <c r="B4" s="20">
        <v>681</v>
      </c>
      <c r="C4" s="20">
        <v>89</v>
      </c>
      <c r="D4" s="20">
        <v>674094</v>
      </c>
      <c r="E4" s="20">
        <v>90</v>
      </c>
      <c r="F4" s="20">
        <v>7</v>
      </c>
      <c r="G4" s="20">
        <v>72383</v>
      </c>
      <c r="H4" s="20">
        <v>10</v>
      </c>
      <c r="I4" s="20">
        <v>268301</v>
      </c>
      <c r="J4" s="20">
        <v>58308</v>
      </c>
      <c r="K4" s="20">
        <v>0</v>
      </c>
      <c r="L4" s="20">
        <v>0</v>
      </c>
      <c r="M4" s="20">
        <v>0</v>
      </c>
      <c r="N4" s="20">
        <v>0</v>
      </c>
      <c r="O4" s="20">
        <v>0</v>
      </c>
      <c r="P4" s="20">
        <v>0</v>
      </c>
      <c r="Q4" s="20">
        <v>0</v>
      </c>
      <c r="R4" s="20">
        <v>0</v>
      </c>
      <c r="S4" s="20">
        <v>0</v>
      </c>
      <c r="T4" s="20" t="s">
        <v>381</v>
      </c>
      <c r="U4" s="20">
        <v>0</v>
      </c>
      <c r="V4" s="20">
        <v>-195</v>
      </c>
      <c r="W4" s="20">
        <v>5643</v>
      </c>
      <c r="X4" s="20">
        <v>121235</v>
      </c>
      <c r="Y4" s="20">
        <v>8979</v>
      </c>
      <c r="Z4" s="20">
        <v>41286</v>
      </c>
      <c r="AA4" s="20">
        <v>0</v>
      </c>
      <c r="AB4" s="20">
        <v>0</v>
      </c>
      <c r="AC4" s="20">
        <v>33045</v>
      </c>
      <c r="AD4" s="20">
        <v>22525</v>
      </c>
      <c r="AE4" s="20">
        <v>527</v>
      </c>
      <c r="AF4" s="20">
        <v>21999</v>
      </c>
      <c r="AG4" s="20">
        <v>361109</v>
      </c>
      <c r="AH4" s="20">
        <v>150152</v>
      </c>
      <c r="AI4" s="20">
        <v>22802</v>
      </c>
      <c r="AJ4" s="20">
        <v>12229</v>
      </c>
      <c r="AK4" s="20">
        <v>9618</v>
      </c>
      <c r="AL4" s="20">
        <v>26190</v>
      </c>
      <c r="AM4" s="20">
        <v>0</v>
      </c>
      <c r="AN4" s="20">
        <v>0</v>
      </c>
      <c r="AO4" s="20">
        <v>49048</v>
      </c>
      <c r="AP4" s="20">
        <v>5440</v>
      </c>
      <c r="AQ4" s="55">
        <v>59485</v>
      </c>
      <c r="AR4" s="20">
        <v>-13516</v>
      </c>
      <c r="AS4" s="20">
        <v>6435</v>
      </c>
      <c r="AT4" s="20">
        <v>11839</v>
      </c>
      <c r="AU4" s="20">
        <v>3837</v>
      </c>
      <c r="AV4" s="20">
        <v>29423</v>
      </c>
      <c r="AW4" s="20">
        <v>3602</v>
      </c>
      <c r="AX4" s="20">
        <v>3602</v>
      </c>
      <c r="AY4" s="20">
        <v>0</v>
      </c>
      <c r="AZ4" s="20">
        <v>0</v>
      </c>
      <c r="BA4" s="20">
        <v>805</v>
      </c>
      <c r="BB4" s="20">
        <v>0</v>
      </c>
      <c r="BC4" s="20">
        <v>0</v>
      </c>
      <c r="BD4" s="20">
        <v>0</v>
      </c>
      <c r="BE4" s="20">
        <v>0</v>
      </c>
      <c r="BF4" s="20" t="s">
        <v>381</v>
      </c>
      <c r="BG4" s="20">
        <v>962452</v>
      </c>
      <c r="BH4" s="20">
        <v>558003</v>
      </c>
      <c r="BI4" s="20">
        <v>272795</v>
      </c>
      <c r="BJ4" s="20">
        <v>19763</v>
      </c>
      <c r="BK4" s="20">
        <v>0</v>
      </c>
      <c r="BL4" s="20">
        <v>28987</v>
      </c>
      <c r="BM4" s="20">
        <v>82932</v>
      </c>
      <c r="BN4" s="20">
        <v>8</v>
      </c>
      <c r="BO4" s="20">
        <v>220526</v>
      </c>
      <c r="BP4" s="20">
        <v>0</v>
      </c>
      <c r="BQ4" s="20">
        <v>1838523</v>
      </c>
    </row>
    <row r="5" spans="1:69" ht="53.4" customHeight="1" x14ac:dyDescent="0.3">
      <c r="A5" s="54" t="s">
        <v>211</v>
      </c>
      <c r="B5" s="20">
        <v>616</v>
      </c>
      <c r="C5" s="20">
        <v>0</v>
      </c>
      <c r="D5" s="20">
        <v>0</v>
      </c>
      <c r="E5" s="20">
        <v>0</v>
      </c>
      <c r="F5" s="20">
        <v>0</v>
      </c>
      <c r="G5" s="20">
        <v>0</v>
      </c>
      <c r="H5" s="20">
        <v>0</v>
      </c>
      <c r="I5" s="20">
        <v>0</v>
      </c>
      <c r="J5" s="20">
        <v>0</v>
      </c>
      <c r="K5" s="20">
        <v>0</v>
      </c>
      <c r="L5" s="20">
        <v>0</v>
      </c>
      <c r="M5" s="20">
        <v>0</v>
      </c>
      <c r="N5" s="20">
        <v>0</v>
      </c>
      <c r="O5" s="20">
        <v>0</v>
      </c>
      <c r="P5" s="20">
        <v>0</v>
      </c>
      <c r="Q5" s="20">
        <v>0</v>
      </c>
      <c r="R5" s="20">
        <v>0</v>
      </c>
      <c r="S5" s="20">
        <v>0</v>
      </c>
      <c r="T5" s="20" t="s">
        <v>381</v>
      </c>
      <c r="U5" s="20">
        <v>0</v>
      </c>
      <c r="V5" s="20">
        <v>0</v>
      </c>
      <c r="W5" s="20">
        <v>0</v>
      </c>
      <c r="X5" s="20">
        <v>0</v>
      </c>
      <c r="Y5" s="20">
        <v>0</v>
      </c>
      <c r="Z5" s="20">
        <v>0</v>
      </c>
      <c r="AA5" s="20">
        <v>0</v>
      </c>
      <c r="AB5" s="20">
        <v>0</v>
      </c>
      <c r="AC5" s="20">
        <v>0</v>
      </c>
      <c r="AD5" s="20">
        <v>0</v>
      </c>
      <c r="AE5" s="20">
        <v>0</v>
      </c>
      <c r="AF5" s="20"/>
      <c r="AG5" s="53"/>
      <c r="AH5" s="20">
        <v>0</v>
      </c>
      <c r="AI5" s="20">
        <v>1680</v>
      </c>
      <c r="AJ5" s="20">
        <v>0</v>
      </c>
      <c r="AK5" s="20">
        <v>0</v>
      </c>
      <c r="AL5" s="20">
        <v>0</v>
      </c>
      <c r="AM5" s="20">
        <v>0</v>
      </c>
      <c r="AN5" s="20">
        <v>0</v>
      </c>
      <c r="AO5" s="20">
        <v>0</v>
      </c>
      <c r="AP5" s="20">
        <v>0</v>
      </c>
      <c r="AQ5" s="20">
        <v>0</v>
      </c>
      <c r="AR5" s="20">
        <v>0</v>
      </c>
      <c r="AS5" s="20">
        <v>0</v>
      </c>
      <c r="AT5" s="20">
        <v>0</v>
      </c>
      <c r="AU5" s="20">
        <v>6526</v>
      </c>
      <c r="AV5" s="20">
        <v>0</v>
      </c>
      <c r="AW5" s="53"/>
      <c r="AX5" s="20">
        <v>0</v>
      </c>
      <c r="AY5" s="20">
        <v>0</v>
      </c>
      <c r="AZ5" s="20">
        <v>0</v>
      </c>
      <c r="BA5" s="20">
        <v>7751</v>
      </c>
      <c r="BB5" s="20">
        <v>0</v>
      </c>
      <c r="BC5" s="20">
        <v>0</v>
      </c>
      <c r="BD5" s="20">
        <v>0</v>
      </c>
      <c r="BE5" s="20">
        <v>0</v>
      </c>
      <c r="BF5" s="20" t="s">
        <v>381</v>
      </c>
      <c r="BG5" s="53"/>
      <c r="BH5" s="20">
        <v>37755</v>
      </c>
      <c r="BI5" s="20">
        <v>0</v>
      </c>
      <c r="BJ5" s="20">
        <v>0</v>
      </c>
      <c r="BK5" s="20">
        <v>0</v>
      </c>
      <c r="BL5" s="20">
        <v>1555</v>
      </c>
      <c r="BM5" s="20">
        <v>0</v>
      </c>
      <c r="BN5" s="20">
        <v>0</v>
      </c>
      <c r="BO5" s="20">
        <v>0</v>
      </c>
      <c r="BP5" s="20">
        <v>0</v>
      </c>
      <c r="BQ5" s="53"/>
    </row>
    <row r="6" spans="1:69" ht="53.4" customHeight="1" x14ac:dyDescent="0.3">
      <c r="A6" s="54" t="s">
        <v>40</v>
      </c>
      <c r="B6" s="20">
        <v>692</v>
      </c>
      <c r="C6" s="20">
        <v>8</v>
      </c>
      <c r="D6" s="20">
        <v>524449</v>
      </c>
      <c r="E6" s="20">
        <v>100</v>
      </c>
      <c r="F6" s="20">
        <v>0</v>
      </c>
      <c r="G6" s="20">
        <v>0</v>
      </c>
      <c r="H6" s="20">
        <v>0</v>
      </c>
      <c r="I6" s="20">
        <v>41453</v>
      </c>
      <c r="J6" s="20">
        <v>0</v>
      </c>
      <c r="K6" s="20">
        <v>0</v>
      </c>
      <c r="L6" s="20">
        <v>0</v>
      </c>
      <c r="M6" s="20">
        <v>0</v>
      </c>
      <c r="N6" s="20">
        <v>0</v>
      </c>
      <c r="O6" s="20">
        <v>31212</v>
      </c>
      <c r="P6" s="20">
        <v>0</v>
      </c>
      <c r="Q6" s="20">
        <v>0</v>
      </c>
      <c r="R6" s="20">
        <v>0</v>
      </c>
      <c r="S6" s="20">
        <v>0</v>
      </c>
      <c r="T6" s="20" t="s">
        <v>381</v>
      </c>
      <c r="U6" s="20">
        <v>105</v>
      </c>
      <c r="V6" s="20">
        <v>227</v>
      </c>
      <c r="W6" s="20">
        <v>0</v>
      </c>
      <c r="X6" s="20">
        <v>0</v>
      </c>
      <c r="Y6" s="20">
        <v>0</v>
      </c>
      <c r="Z6" s="20">
        <v>7511</v>
      </c>
      <c r="AA6" s="20">
        <v>1702</v>
      </c>
      <c r="AB6" s="20">
        <v>0</v>
      </c>
      <c r="AC6" s="20">
        <v>696</v>
      </c>
      <c r="AD6" s="20">
        <v>230</v>
      </c>
      <c r="AE6" s="20">
        <v>0</v>
      </c>
      <c r="AF6" s="53">
        <v>230</v>
      </c>
      <c r="AG6" s="20">
        <v>525627</v>
      </c>
      <c r="AH6" s="20">
        <v>520503</v>
      </c>
      <c r="AI6" s="20">
        <v>1380</v>
      </c>
      <c r="AJ6" s="20">
        <v>0</v>
      </c>
      <c r="AK6" s="20">
        <v>106</v>
      </c>
      <c r="AL6" s="20">
        <v>0</v>
      </c>
      <c r="AM6" s="20">
        <v>0</v>
      </c>
      <c r="AN6" s="20">
        <v>0</v>
      </c>
      <c r="AO6" s="20">
        <v>0</v>
      </c>
      <c r="AP6" s="20">
        <v>0</v>
      </c>
      <c r="AQ6" s="20">
        <v>0</v>
      </c>
      <c r="AR6" s="20">
        <v>0</v>
      </c>
      <c r="AS6" s="20">
        <v>1009</v>
      </c>
      <c r="AT6" s="20">
        <v>0</v>
      </c>
      <c r="AU6" s="20">
        <v>0</v>
      </c>
      <c r="AV6" s="20">
        <v>23239</v>
      </c>
      <c r="AW6" s="20">
        <v>0</v>
      </c>
      <c r="AX6" s="20">
        <v>0</v>
      </c>
      <c r="AY6" s="20">
        <v>0</v>
      </c>
      <c r="AZ6" s="20">
        <v>0</v>
      </c>
      <c r="BA6" s="20">
        <v>2629</v>
      </c>
      <c r="BB6" s="20">
        <v>0</v>
      </c>
      <c r="BC6" s="20">
        <v>0</v>
      </c>
      <c r="BD6" s="20">
        <v>0</v>
      </c>
      <c r="BE6" s="20">
        <v>0</v>
      </c>
      <c r="BF6" s="20" t="s">
        <v>381</v>
      </c>
      <c r="BG6" s="20">
        <v>33868</v>
      </c>
      <c r="BH6" s="20">
        <v>0</v>
      </c>
      <c r="BI6" s="20">
        <v>0</v>
      </c>
      <c r="BJ6" s="20">
        <v>0</v>
      </c>
      <c r="BK6" s="20">
        <v>0</v>
      </c>
      <c r="BL6" s="20">
        <v>0</v>
      </c>
      <c r="BM6" s="20">
        <v>0</v>
      </c>
      <c r="BN6" s="20">
        <v>0</v>
      </c>
      <c r="BO6" s="20">
        <v>0</v>
      </c>
      <c r="BP6" s="20">
        <v>0</v>
      </c>
      <c r="BQ6" s="53">
        <v>624417</v>
      </c>
    </row>
    <row r="7" spans="1:69" ht="53.4" customHeight="1" x14ac:dyDescent="0.3">
      <c r="A7" s="54" t="s">
        <v>122</v>
      </c>
      <c r="B7" s="20">
        <v>707</v>
      </c>
      <c r="C7" s="20">
        <v>2</v>
      </c>
      <c r="D7" s="20">
        <v>120000</v>
      </c>
      <c r="E7" s="20"/>
      <c r="F7" s="20">
        <v>2</v>
      </c>
      <c r="G7" s="20">
        <v>156000</v>
      </c>
      <c r="H7" s="20">
        <v>0</v>
      </c>
      <c r="I7" s="20">
        <v>0</v>
      </c>
      <c r="J7" s="20">
        <v>0</v>
      </c>
      <c r="K7" s="20">
        <v>0</v>
      </c>
      <c r="L7" s="20">
        <v>0</v>
      </c>
      <c r="M7" s="20">
        <v>0</v>
      </c>
      <c r="N7" s="20">
        <v>0</v>
      </c>
      <c r="O7" s="20">
        <v>100000</v>
      </c>
      <c r="P7" s="20">
        <v>0</v>
      </c>
      <c r="Q7" s="20">
        <v>30000</v>
      </c>
      <c r="R7" s="20">
        <v>0</v>
      </c>
      <c r="S7" s="20">
        <v>0</v>
      </c>
      <c r="T7" s="20" t="s">
        <v>381</v>
      </c>
      <c r="U7" s="20">
        <v>2000</v>
      </c>
      <c r="V7" s="20">
        <v>10000</v>
      </c>
      <c r="W7" s="20">
        <v>0</v>
      </c>
      <c r="X7" s="20">
        <v>0</v>
      </c>
      <c r="Y7" s="20">
        <v>5000</v>
      </c>
      <c r="Z7" s="20">
        <v>2000</v>
      </c>
      <c r="AA7" s="20">
        <v>0</v>
      </c>
      <c r="AB7" s="20">
        <v>6000</v>
      </c>
      <c r="AC7" s="20">
        <v>0</v>
      </c>
      <c r="AD7" s="20">
        <v>120000</v>
      </c>
      <c r="AE7" s="20">
        <v>10000</v>
      </c>
      <c r="AF7" s="20"/>
      <c r="AG7" s="20">
        <v>0</v>
      </c>
      <c r="AH7" s="20">
        <v>0</v>
      </c>
      <c r="AI7" s="20">
        <v>0</v>
      </c>
      <c r="AJ7" s="20">
        <v>0</v>
      </c>
      <c r="AK7" s="20">
        <v>0</v>
      </c>
      <c r="AL7" s="20">
        <v>0</v>
      </c>
      <c r="AM7" s="20">
        <v>0</v>
      </c>
      <c r="AN7" s="20">
        <v>0</v>
      </c>
      <c r="AO7" s="20">
        <v>0</v>
      </c>
      <c r="AP7" s="20">
        <v>0</v>
      </c>
      <c r="AQ7" s="20">
        <v>0</v>
      </c>
      <c r="AR7" s="20">
        <v>0</v>
      </c>
      <c r="AS7" s="20">
        <v>0</v>
      </c>
      <c r="AT7" s="20">
        <v>0</v>
      </c>
      <c r="AU7" s="20">
        <v>0</v>
      </c>
      <c r="AV7" s="20">
        <v>0</v>
      </c>
      <c r="AW7" s="20">
        <v>0</v>
      </c>
      <c r="AX7" s="20">
        <v>0</v>
      </c>
      <c r="AY7" s="20">
        <v>0</v>
      </c>
      <c r="AZ7" s="20">
        <v>2500</v>
      </c>
      <c r="BA7" s="20">
        <v>24000</v>
      </c>
      <c r="BB7" s="20">
        <v>2510</v>
      </c>
      <c r="BC7" s="20">
        <v>0</v>
      </c>
      <c r="BD7" s="20">
        <v>0</v>
      </c>
      <c r="BE7" s="20">
        <v>0</v>
      </c>
      <c r="BF7" s="20" t="s">
        <v>381</v>
      </c>
      <c r="BG7" s="20">
        <v>0</v>
      </c>
      <c r="BH7" s="20">
        <v>112440</v>
      </c>
      <c r="BI7" s="20">
        <v>146400</v>
      </c>
      <c r="BJ7" s="20">
        <v>10000</v>
      </c>
      <c r="BK7" s="20">
        <v>0</v>
      </c>
      <c r="BL7" s="20">
        <v>0</v>
      </c>
      <c r="BM7" s="20">
        <v>0</v>
      </c>
      <c r="BN7" s="20">
        <v>0</v>
      </c>
      <c r="BO7" s="20">
        <v>0</v>
      </c>
      <c r="BP7" s="20">
        <v>0</v>
      </c>
      <c r="BQ7" s="20">
        <v>0</v>
      </c>
    </row>
    <row r="8" spans="1:69" ht="53.4" customHeight="1" x14ac:dyDescent="0.3">
      <c r="A8" s="54" t="s">
        <v>191</v>
      </c>
      <c r="B8" s="20">
        <v>637</v>
      </c>
      <c r="C8" s="20">
        <v>0</v>
      </c>
      <c r="D8" s="20">
        <v>453644</v>
      </c>
      <c r="E8" s="20">
        <v>65</v>
      </c>
      <c r="F8" s="20">
        <v>1</v>
      </c>
      <c r="G8" s="20">
        <v>239333</v>
      </c>
      <c r="H8" s="20">
        <v>35</v>
      </c>
      <c r="I8" s="20">
        <v>260679</v>
      </c>
      <c r="J8" s="20">
        <v>30599</v>
      </c>
      <c r="K8" s="20">
        <v>0</v>
      </c>
      <c r="L8" s="20">
        <v>0</v>
      </c>
      <c r="M8" s="20">
        <v>0</v>
      </c>
      <c r="N8" s="20">
        <v>0</v>
      </c>
      <c r="O8" s="20">
        <v>94351</v>
      </c>
      <c r="P8" s="20">
        <v>0</v>
      </c>
      <c r="Q8" s="20">
        <v>0</v>
      </c>
      <c r="R8" s="20">
        <v>0</v>
      </c>
      <c r="S8" s="20">
        <v>0</v>
      </c>
      <c r="T8" s="20" t="s">
        <v>381</v>
      </c>
      <c r="U8" s="20">
        <v>0</v>
      </c>
      <c r="V8" s="20">
        <v>6991</v>
      </c>
      <c r="W8" s="20">
        <v>0</v>
      </c>
      <c r="X8" s="20">
        <v>0</v>
      </c>
      <c r="Y8" s="20">
        <v>5728</v>
      </c>
      <c r="Z8" s="20">
        <v>0</v>
      </c>
      <c r="AA8" s="20">
        <v>0</v>
      </c>
      <c r="AB8" s="20">
        <v>123010</v>
      </c>
      <c r="AC8" s="20">
        <v>0</v>
      </c>
      <c r="AD8" s="20">
        <v>18462</v>
      </c>
      <c r="AE8" s="20">
        <v>0</v>
      </c>
      <c r="AF8" s="53">
        <v>18462</v>
      </c>
      <c r="AG8" s="20">
        <v>254220</v>
      </c>
      <c r="AH8" s="20">
        <v>0</v>
      </c>
      <c r="AI8" s="20">
        <v>29656</v>
      </c>
      <c r="AJ8" s="20">
        <v>0</v>
      </c>
      <c r="AK8" s="20">
        <v>36909</v>
      </c>
      <c r="AL8" s="20">
        <v>72489</v>
      </c>
      <c r="AM8" s="20">
        <v>1650</v>
      </c>
      <c r="AN8" s="20">
        <v>0</v>
      </c>
      <c r="AO8" s="20">
        <v>60953</v>
      </c>
      <c r="AP8" s="20">
        <v>1555</v>
      </c>
      <c r="AQ8" s="20">
        <v>0</v>
      </c>
      <c r="AR8" s="20">
        <v>51008</v>
      </c>
      <c r="AS8" s="20">
        <v>0</v>
      </c>
      <c r="AT8" s="20">
        <v>0</v>
      </c>
      <c r="AU8" s="20">
        <v>0</v>
      </c>
      <c r="AV8" s="20">
        <v>0</v>
      </c>
      <c r="AW8" s="20">
        <v>0</v>
      </c>
      <c r="AX8" s="20">
        <v>0</v>
      </c>
      <c r="AY8" s="20">
        <v>0</v>
      </c>
      <c r="AZ8" s="20">
        <v>0</v>
      </c>
      <c r="BA8" s="20">
        <v>0</v>
      </c>
      <c r="BB8" s="20">
        <v>0</v>
      </c>
      <c r="BC8" s="20">
        <v>0</v>
      </c>
      <c r="BD8" s="20">
        <v>0</v>
      </c>
      <c r="BE8" s="20">
        <v>0</v>
      </c>
      <c r="BF8" s="20" t="s">
        <v>381</v>
      </c>
      <c r="BG8" s="20">
        <v>667113</v>
      </c>
      <c r="BH8" s="20">
        <v>507298</v>
      </c>
      <c r="BI8" s="20">
        <v>0</v>
      </c>
      <c r="BJ8" s="20">
        <v>0</v>
      </c>
      <c r="BK8" s="20">
        <v>0</v>
      </c>
      <c r="BL8" s="20">
        <v>144507</v>
      </c>
      <c r="BM8" s="20">
        <v>15308</v>
      </c>
      <c r="BN8" s="20">
        <v>0</v>
      </c>
      <c r="BO8" s="20">
        <v>0</v>
      </c>
      <c r="BP8" s="20">
        <v>0</v>
      </c>
      <c r="BQ8" s="20">
        <v>0</v>
      </c>
    </row>
    <row r="9" spans="1:69" ht="53.4" customHeight="1" x14ac:dyDescent="0.3">
      <c r="A9" s="56" t="s">
        <v>22</v>
      </c>
      <c r="B9" s="20">
        <v>608</v>
      </c>
      <c r="C9" s="20">
        <v>149</v>
      </c>
      <c r="D9" s="20">
        <v>9402</v>
      </c>
      <c r="E9" s="20">
        <v>73</v>
      </c>
      <c r="F9" s="20">
        <v>19</v>
      </c>
      <c r="G9" s="20">
        <v>3469</v>
      </c>
      <c r="H9" s="20">
        <v>27</v>
      </c>
      <c r="I9" s="20">
        <v>1414</v>
      </c>
      <c r="J9" s="20">
        <v>0</v>
      </c>
      <c r="K9" s="20">
        <v>0</v>
      </c>
      <c r="L9" s="20">
        <v>0</v>
      </c>
      <c r="M9" s="20">
        <v>0</v>
      </c>
      <c r="N9" s="20">
        <v>0</v>
      </c>
      <c r="O9" s="20">
        <v>0</v>
      </c>
      <c r="P9" s="20">
        <v>0</v>
      </c>
      <c r="Q9" s="20">
        <v>0</v>
      </c>
      <c r="R9" s="20">
        <v>0</v>
      </c>
      <c r="S9" s="20">
        <v>0</v>
      </c>
      <c r="T9" s="20" t="s">
        <v>381</v>
      </c>
      <c r="U9" s="20">
        <v>0</v>
      </c>
      <c r="V9" s="20">
        <v>0</v>
      </c>
      <c r="W9" s="20">
        <v>0</v>
      </c>
      <c r="X9" s="20">
        <v>0</v>
      </c>
      <c r="Y9" s="20">
        <v>0</v>
      </c>
      <c r="Z9" s="20">
        <v>0</v>
      </c>
      <c r="AA9" s="20">
        <v>0</v>
      </c>
      <c r="AB9" s="20">
        <v>0</v>
      </c>
      <c r="AC9" s="20">
        <v>0</v>
      </c>
      <c r="AD9" s="20">
        <v>995</v>
      </c>
      <c r="AE9" s="20">
        <v>0</v>
      </c>
      <c r="AF9" s="20"/>
      <c r="AG9" s="20">
        <v>2469</v>
      </c>
      <c r="AH9" s="20">
        <v>0</v>
      </c>
      <c r="AI9" s="20">
        <v>0</v>
      </c>
      <c r="AJ9" s="20">
        <v>0</v>
      </c>
      <c r="AK9" s="20">
        <v>0</v>
      </c>
      <c r="AL9" s="20">
        <v>0</v>
      </c>
      <c r="AM9" s="20">
        <v>0</v>
      </c>
      <c r="AN9" s="20">
        <v>0</v>
      </c>
      <c r="AO9" s="20">
        <v>0</v>
      </c>
      <c r="AP9" s="20">
        <v>0</v>
      </c>
      <c r="AQ9" s="20">
        <v>0</v>
      </c>
      <c r="AR9" s="20">
        <v>0</v>
      </c>
      <c r="AS9" s="20">
        <v>0</v>
      </c>
      <c r="AT9" s="20">
        <v>0</v>
      </c>
      <c r="AU9" s="20">
        <v>0</v>
      </c>
      <c r="AV9" s="20">
        <v>0</v>
      </c>
      <c r="AW9" s="20">
        <v>769</v>
      </c>
      <c r="AX9" s="20">
        <v>0</v>
      </c>
      <c r="AY9" s="20">
        <v>0</v>
      </c>
      <c r="AZ9" s="20">
        <v>0</v>
      </c>
      <c r="BA9" s="20">
        <v>0</v>
      </c>
      <c r="BB9" s="20">
        <v>0</v>
      </c>
      <c r="BC9" s="20">
        <v>0</v>
      </c>
      <c r="BD9" s="20">
        <v>0</v>
      </c>
      <c r="BE9" s="20">
        <v>0</v>
      </c>
      <c r="BF9" s="20" t="s">
        <v>381</v>
      </c>
      <c r="BG9" s="20">
        <v>1428</v>
      </c>
      <c r="BH9" s="20">
        <v>0</v>
      </c>
      <c r="BI9" s="20">
        <v>0</v>
      </c>
      <c r="BJ9" s="20">
        <v>0</v>
      </c>
      <c r="BK9" s="20">
        <v>0</v>
      </c>
      <c r="BL9" s="20">
        <v>0</v>
      </c>
      <c r="BM9" s="20">
        <v>0</v>
      </c>
      <c r="BN9" s="20">
        <v>488</v>
      </c>
      <c r="BO9" s="20">
        <v>4191</v>
      </c>
      <c r="BP9" s="20">
        <v>0</v>
      </c>
      <c r="BQ9" s="20">
        <v>19429</v>
      </c>
    </row>
    <row r="10" spans="1:69" ht="53.4" customHeight="1" x14ac:dyDescent="0.3">
      <c r="A10" s="54" t="s">
        <v>188</v>
      </c>
      <c r="B10" s="20">
        <v>638</v>
      </c>
      <c r="C10" s="20">
        <v>0</v>
      </c>
      <c r="D10" s="20">
        <v>418113</v>
      </c>
      <c r="E10" s="20">
        <v>57</v>
      </c>
      <c r="F10" s="20">
        <v>0</v>
      </c>
      <c r="G10" s="20">
        <v>99565</v>
      </c>
      <c r="H10" s="20">
        <v>43</v>
      </c>
      <c r="I10" s="20">
        <v>57065</v>
      </c>
      <c r="J10" s="20">
        <v>0</v>
      </c>
      <c r="K10" s="20">
        <v>0</v>
      </c>
      <c r="L10" s="20">
        <v>0</v>
      </c>
      <c r="M10" s="20">
        <v>0</v>
      </c>
      <c r="N10" s="20">
        <v>0</v>
      </c>
      <c r="O10" s="20">
        <v>17241</v>
      </c>
      <c r="P10" s="20">
        <v>0</v>
      </c>
      <c r="Q10" s="20">
        <v>0</v>
      </c>
      <c r="R10" s="20">
        <v>0</v>
      </c>
      <c r="S10" s="20">
        <v>0</v>
      </c>
      <c r="T10" s="20" t="s">
        <v>381</v>
      </c>
      <c r="U10" s="20">
        <v>0</v>
      </c>
      <c r="V10" s="20">
        <v>0</v>
      </c>
      <c r="W10" s="20">
        <v>0</v>
      </c>
      <c r="X10" s="20">
        <v>0</v>
      </c>
      <c r="Y10" s="20">
        <v>0</v>
      </c>
      <c r="Z10" s="20">
        <v>0</v>
      </c>
      <c r="AA10" s="20">
        <v>0</v>
      </c>
      <c r="AB10" s="20">
        <v>39824</v>
      </c>
      <c r="AC10" s="20">
        <v>0</v>
      </c>
      <c r="AD10" s="20">
        <v>800</v>
      </c>
      <c r="AE10" s="20">
        <v>0</v>
      </c>
      <c r="AF10" s="53">
        <v>800</v>
      </c>
      <c r="AG10" s="20">
        <v>3473</v>
      </c>
      <c r="AH10" s="20">
        <v>0</v>
      </c>
      <c r="AI10" s="20">
        <v>600</v>
      </c>
      <c r="AJ10" s="20">
        <v>0</v>
      </c>
      <c r="AK10" s="20">
        <v>2873</v>
      </c>
      <c r="AL10" s="20">
        <v>0</v>
      </c>
      <c r="AM10" s="20">
        <v>0</v>
      </c>
      <c r="AN10" s="20">
        <v>0</v>
      </c>
      <c r="AO10" s="20">
        <v>0</v>
      </c>
      <c r="AP10" s="20">
        <v>0</v>
      </c>
      <c r="AQ10" s="20">
        <v>0</v>
      </c>
      <c r="AR10" s="20">
        <v>0</v>
      </c>
      <c r="AS10" s="20">
        <v>0</v>
      </c>
      <c r="AT10" s="20">
        <v>0</v>
      </c>
      <c r="AU10" s="20">
        <v>0</v>
      </c>
      <c r="AV10" s="20">
        <v>0</v>
      </c>
      <c r="AW10" s="20">
        <v>0</v>
      </c>
      <c r="AX10" s="20">
        <v>0</v>
      </c>
      <c r="AY10" s="20">
        <v>0</v>
      </c>
      <c r="AZ10" s="20">
        <v>0</v>
      </c>
      <c r="BA10" s="20">
        <v>0</v>
      </c>
      <c r="BB10" s="20">
        <v>0</v>
      </c>
      <c r="BC10" s="20">
        <v>0</v>
      </c>
      <c r="BD10" s="20">
        <v>0</v>
      </c>
      <c r="BE10" s="20">
        <v>0</v>
      </c>
      <c r="BF10" s="20" t="s">
        <v>381</v>
      </c>
      <c r="BG10" s="20">
        <v>165008</v>
      </c>
      <c r="BH10" s="20">
        <v>108509</v>
      </c>
      <c r="BI10" s="20">
        <v>0</v>
      </c>
      <c r="BJ10" s="20">
        <v>0</v>
      </c>
      <c r="BK10" s="20">
        <v>0</v>
      </c>
      <c r="BL10" s="20">
        <v>56499</v>
      </c>
      <c r="BM10" s="20">
        <v>0</v>
      </c>
      <c r="BN10" s="20">
        <v>0</v>
      </c>
      <c r="BO10" s="20">
        <v>0</v>
      </c>
      <c r="BP10" s="20">
        <v>0</v>
      </c>
      <c r="BQ10" s="20">
        <v>0</v>
      </c>
    </row>
    <row r="11" spans="1:69" ht="53.4" customHeight="1" x14ac:dyDescent="0.3">
      <c r="A11" s="33" t="s">
        <v>200</v>
      </c>
      <c r="B11" s="20">
        <v>680</v>
      </c>
      <c r="C11" s="20">
        <v>0</v>
      </c>
      <c r="D11" s="20">
        <v>0</v>
      </c>
      <c r="E11" s="20">
        <v>0</v>
      </c>
      <c r="F11" s="20">
        <v>0</v>
      </c>
      <c r="G11" s="20">
        <v>0</v>
      </c>
      <c r="H11" s="20">
        <v>0</v>
      </c>
      <c r="I11" s="20">
        <v>0</v>
      </c>
      <c r="J11" s="20">
        <v>0</v>
      </c>
      <c r="K11" s="20">
        <v>0</v>
      </c>
      <c r="L11" s="20">
        <v>0</v>
      </c>
      <c r="M11" s="20">
        <v>0</v>
      </c>
      <c r="N11" s="20">
        <v>0</v>
      </c>
      <c r="O11" s="20">
        <v>0</v>
      </c>
      <c r="P11" s="20">
        <v>0</v>
      </c>
      <c r="Q11" s="20">
        <v>0</v>
      </c>
      <c r="R11" s="20">
        <v>0</v>
      </c>
      <c r="S11" s="20">
        <v>0</v>
      </c>
      <c r="T11" s="20" t="s">
        <v>381</v>
      </c>
      <c r="U11" s="20">
        <v>0</v>
      </c>
      <c r="V11" s="20">
        <v>0</v>
      </c>
      <c r="W11" s="20">
        <v>0</v>
      </c>
      <c r="X11" s="20">
        <v>0</v>
      </c>
      <c r="Y11" s="20">
        <v>0</v>
      </c>
      <c r="Z11" s="20">
        <v>0</v>
      </c>
      <c r="AA11" s="20">
        <v>0</v>
      </c>
      <c r="AB11" s="20">
        <v>0</v>
      </c>
      <c r="AC11" s="20">
        <v>0</v>
      </c>
      <c r="AD11" s="20">
        <v>0</v>
      </c>
      <c r="AE11" s="20">
        <v>0</v>
      </c>
      <c r="AF11" s="20"/>
      <c r="AG11" s="20">
        <v>0</v>
      </c>
      <c r="AH11" s="20">
        <v>0</v>
      </c>
      <c r="AI11" s="20">
        <v>0</v>
      </c>
      <c r="AJ11" s="20">
        <v>0</v>
      </c>
      <c r="AK11" s="20">
        <v>0</v>
      </c>
      <c r="AL11" s="20">
        <v>0</v>
      </c>
      <c r="AM11" s="20">
        <v>0</v>
      </c>
      <c r="AN11" s="20">
        <v>0</v>
      </c>
      <c r="AO11" s="20">
        <v>0</v>
      </c>
      <c r="AP11" s="20">
        <v>0</v>
      </c>
      <c r="AQ11" s="20">
        <v>0</v>
      </c>
      <c r="AR11" s="20">
        <v>0</v>
      </c>
      <c r="AS11" s="20">
        <v>0</v>
      </c>
      <c r="AT11" s="20">
        <v>0</v>
      </c>
      <c r="AU11" s="20">
        <v>0</v>
      </c>
      <c r="AV11" s="20">
        <v>0</v>
      </c>
      <c r="AW11" s="20">
        <v>0</v>
      </c>
      <c r="AX11" s="20">
        <v>0</v>
      </c>
      <c r="AY11" s="20">
        <v>0</v>
      </c>
      <c r="AZ11" s="20">
        <v>0</v>
      </c>
      <c r="BA11" s="20">
        <v>0</v>
      </c>
      <c r="BB11" s="20">
        <v>0</v>
      </c>
      <c r="BC11" s="20">
        <v>0</v>
      </c>
      <c r="BD11" s="20">
        <v>0</v>
      </c>
      <c r="BE11" s="20">
        <v>0</v>
      </c>
      <c r="BF11" s="20" t="s">
        <v>381</v>
      </c>
      <c r="BG11" s="20">
        <v>0</v>
      </c>
      <c r="BH11" s="20">
        <v>0</v>
      </c>
      <c r="BI11" s="20">
        <v>0</v>
      </c>
      <c r="BJ11" s="20">
        <v>0</v>
      </c>
      <c r="BK11" s="20">
        <v>0</v>
      </c>
      <c r="BL11" s="20">
        <v>0</v>
      </c>
      <c r="BM11" s="20">
        <v>0</v>
      </c>
      <c r="BN11" s="20">
        <v>0</v>
      </c>
      <c r="BO11" s="20">
        <v>0</v>
      </c>
      <c r="BP11" s="20">
        <v>0</v>
      </c>
      <c r="BQ11" s="20">
        <v>0</v>
      </c>
    </row>
    <row r="12" spans="1:69" ht="53.4" customHeight="1" x14ac:dyDescent="0.3">
      <c r="A12" s="54" t="s">
        <v>46</v>
      </c>
      <c r="B12" s="20">
        <v>623</v>
      </c>
      <c r="C12" s="20">
        <v>4</v>
      </c>
      <c r="D12" s="20">
        <v>0</v>
      </c>
      <c r="E12" s="20">
        <v>0</v>
      </c>
      <c r="F12" s="20">
        <v>0</v>
      </c>
      <c r="G12" s="20">
        <v>0</v>
      </c>
      <c r="H12" s="20">
        <v>0</v>
      </c>
      <c r="I12" s="20">
        <v>0</v>
      </c>
      <c r="J12" s="20">
        <v>0</v>
      </c>
      <c r="K12" s="20">
        <v>0</v>
      </c>
      <c r="L12" s="20">
        <v>0</v>
      </c>
      <c r="M12" s="20">
        <v>0</v>
      </c>
      <c r="N12" s="20">
        <v>0</v>
      </c>
      <c r="O12" s="20">
        <v>0</v>
      </c>
      <c r="P12" s="20">
        <v>0</v>
      </c>
      <c r="Q12" s="20">
        <v>0</v>
      </c>
      <c r="R12" s="20">
        <v>0</v>
      </c>
      <c r="S12" s="20">
        <v>0</v>
      </c>
      <c r="T12" s="20" t="s">
        <v>381</v>
      </c>
      <c r="U12" s="20">
        <v>0</v>
      </c>
      <c r="V12" s="20">
        <v>0</v>
      </c>
      <c r="W12" s="20">
        <v>0</v>
      </c>
      <c r="X12" s="20">
        <v>0</v>
      </c>
      <c r="Y12" s="20">
        <v>0</v>
      </c>
      <c r="Z12" s="20">
        <v>0</v>
      </c>
      <c r="AA12" s="20">
        <v>0</v>
      </c>
      <c r="AB12" s="20">
        <v>0</v>
      </c>
      <c r="AC12" s="20">
        <v>0</v>
      </c>
      <c r="AD12" s="20">
        <v>2200</v>
      </c>
      <c r="AE12" s="20">
        <v>0</v>
      </c>
      <c r="AF12" s="20"/>
      <c r="AG12" s="20">
        <v>7040</v>
      </c>
      <c r="AH12" s="20">
        <v>0</v>
      </c>
      <c r="AI12" s="20">
        <v>0</v>
      </c>
      <c r="AJ12" s="20">
        <v>0</v>
      </c>
      <c r="AK12" s="20">
        <v>0</v>
      </c>
      <c r="AL12" s="20">
        <v>0</v>
      </c>
      <c r="AM12" s="20">
        <v>0</v>
      </c>
      <c r="AN12" s="20">
        <v>0</v>
      </c>
      <c r="AO12" s="20">
        <v>0</v>
      </c>
      <c r="AP12" s="20">
        <v>0</v>
      </c>
      <c r="AQ12" s="20">
        <v>0</v>
      </c>
      <c r="AR12" s="20">
        <v>0</v>
      </c>
      <c r="AS12" s="20">
        <v>0</v>
      </c>
      <c r="AT12" s="20">
        <v>0</v>
      </c>
      <c r="AU12" s="20">
        <v>0</v>
      </c>
      <c r="AV12" s="20">
        <v>0</v>
      </c>
      <c r="AW12" s="20">
        <v>720</v>
      </c>
      <c r="AX12" s="20">
        <v>0</v>
      </c>
      <c r="AY12" s="20">
        <v>0</v>
      </c>
      <c r="AZ12" s="20">
        <v>0</v>
      </c>
      <c r="BA12" s="20">
        <v>720</v>
      </c>
      <c r="BB12" s="20">
        <v>0</v>
      </c>
      <c r="BC12" s="20">
        <v>0</v>
      </c>
      <c r="BD12" s="20">
        <v>0</v>
      </c>
      <c r="BE12" s="20">
        <v>0</v>
      </c>
      <c r="BF12" s="20" t="s">
        <v>381</v>
      </c>
      <c r="BG12" s="20">
        <v>15490</v>
      </c>
      <c r="BH12" s="20">
        <v>0</v>
      </c>
      <c r="BI12" s="20">
        <v>0</v>
      </c>
      <c r="BJ12" s="20">
        <v>0</v>
      </c>
      <c r="BK12" s="20">
        <v>0</v>
      </c>
      <c r="BL12" s="20">
        <v>0</v>
      </c>
      <c r="BM12" s="20">
        <v>0</v>
      </c>
      <c r="BN12" s="20">
        <v>4280</v>
      </c>
      <c r="BO12" s="20">
        <v>0</v>
      </c>
      <c r="BP12" s="20">
        <v>0</v>
      </c>
      <c r="BQ12" s="20">
        <v>19770</v>
      </c>
    </row>
    <row r="13" spans="1:69" ht="53.4" customHeight="1" x14ac:dyDescent="0.3">
      <c r="A13" s="54" t="s">
        <v>253</v>
      </c>
      <c r="B13" s="20">
        <v>631</v>
      </c>
      <c r="C13" s="20">
        <v>12</v>
      </c>
      <c r="D13" s="20">
        <v>856180</v>
      </c>
      <c r="E13" s="20">
        <v>69</v>
      </c>
      <c r="F13" s="20">
        <v>1</v>
      </c>
      <c r="G13" s="20">
        <v>379143</v>
      </c>
      <c r="H13" s="20">
        <v>31</v>
      </c>
      <c r="I13" s="20">
        <v>0</v>
      </c>
      <c r="J13" s="20">
        <v>98513</v>
      </c>
      <c r="K13" s="20">
        <v>0</v>
      </c>
      <c r="L13" s="20">
        <v>0</v>
      </c>
      <c r="M13" s="20">
        <v>0</v>
      </c>
      <c r="N13" s="20">
        <v>0</v>
      </c>
      <c r="O13" s="20">
        <v>703640</v>
      </c>
      <c r="P13" s="20">
        <v>0</v>
      </c>
      <c r="Q13" s="20">
        <v>0</v>
      </c>
      <c r="R13" s="20">
        <v>0</v>
      </c>
      <c r="S13" s="20">
        <v>0</v>
      </c>
      <c r="T13" s="20" t="s">
        <v>381</v>
      </c>
      <c r="U13" s="20">
        <v>0</v>
      </c>
      <c r="V13" s="20">
        <v>0</v>
      </c>
      <c r="W13" s="20">
        <v>0</v>
      </c>
      <c r="X13" s="20">
        <v>0</v>
      </c>
      <c r="Y13" s="20">
        <v>0</v>
      </c>
      <c r="Z13" s="20">
        <v>72</v>
      </c>
      <c r="AA13" s="20">
        <v>162800</v>
      </c>
      <c r="AB13" s="20">
        <v>0</v>
      </c>
      <c r="AC13" s="20">
        <v>0</v>
      </c>
      <c r="AD13" s="20">
        <v>0</v>
      </c>
      <c r="AE13" s="20">
        <v>0</v>
      </c>
      <c r="AF13" s="20"/>
      <c r="AG13" s="20">
        <v>0</v>
      </c>
      <c r="AH13" s="20">
        <v>0</v>
      </c>
      <c r="AI13" s="20">
        <v>1623</v>
      </c>
      <c r="AJ13" s="20">
        <v>0</v>
      </c>
      <c r="AK13" s="20">
        <v>0</v>
      </c>
      <c r="AL13" s="20">
        <v>0</v>
      </c>
      <c r="AM13" s="20">
        <v>0</v>
      </c>
      <c r="AN13" s="20">
        <v>0</v>
      </c>
      <c r="AO13" s="20">
        <v>0</v>
      </c>
      <c r="AP13" s="20">
        <v>11914</v>
      </c>
      <c r="AQ13" s="20">
        <v>0</v>
      </c>
      <c r="AR13" s="20">
        <v>85850</v>
      </c>
      <c r="AS13" s="20">
        <v>0</v>
      </c>
      <c r="AT13" s="20">
        <v>38488</v>
      </c>
      <c r="AU13" s="20">
        <v>42642</v>
      </c>
      <c r="AV13" s="20">
        <v>0</v>
      </c>
      <c r="AW13" s="20">
        <v>0</v>
      </c>
      <c r="AX13" s="20">
        <v>7083</v>
      </c>
      <c r="AY13" s="20">
        <v>0</v>
      </c>
      <c r="AZ13" s="20">
        <v>0</v>
      </c>
      <c r="BA13" s="20">
        <v>0</v>
      </c>
      <c r="BB13" s="20">
        <v>0</v>
      </c>
      <c r="BC13" s="20">
        <v>3246</v>
      </c>
      <c r="BD13" s="20">
        <v>0</v>
      </c>
      <c r="BE13" s="20">
        <v>200</v>
      </c>
      <c r="BF13" s="20" t="s">
        <v>381</v>
      </c>
      <c r="BG13" s="20">
        <v>0</v>
      </c>
      <c r="BH13" s="20">
        <v>163061</v>
      </c>
      <c r="BI13" s="20">
        <v>73855</v>
      </c>
      <c r="BJ13" s="20">
        <v>13183</v>
      </c>
      <c r="BK13" s="20">
        <v>0</v>
      </c>
      <c r="BL13" s="20">
        <v>26695</v>
      </c>
      <c r="BM13" s="20">
        <v>0</v>
      </c>
      <c r="BN13" s="20">
        <v>15097</v>
      </c>
      <c r="BO13" s="20">
        <v>0</v>
      </c>
      <c r="BP13" s="20">
        <v>5000</v>
      </c>
      <c r="BQ13" s="20">
        <v>1457822</v>
      </c>
    </row>
    <row r="14" spans="1:69" ht="53.4" customHeight="1" x14ac:dyDescent="0.3">
      <c r="A14" s="54" t="s">
        <v>194</v>
      </c>
      <c r="B14" s="20">
        <v>682</v>
      </c>
      <c r="C14" s="20">
        <v>167</v>
      </c>
      <c r="D14" s="20">
        <v>4857</v>
      </c>
      <c r="E14" s="20">
        <v>62</v>
      </c>
      <c r="F14" s="20">
        <v>19</v>
      </c>
      <c r="G14" s="20">
        <v>3015</v>
      </c>
      <c r="H14" s="20">
        <v>38</v>
      </c>
      <c r="I14" s="53">
        <v>558137</v>
      </c>
      <c r="J14" s="20">
        <v>0</v>
      </c>
      <c r="K14" s="55">
        <v>388145</v>
      </c>
      <c r="L14" s="20">
        <v>0</v>
      </c>
      <c r="M14" s="20">
        <v>0</v>
      </c>
      <c r="N14" s="53">
        <v>6573</v>
      </c>
      <c r="O14" s="53">
        <v>381572</v>
      </c>
      <c r="P14" s="20">
        <v>0</v>
      </c>
      <c r="Q14" s="20">
        <v>0</v>
      </c>
      <c r="R14" s="20">
        <v>0</v>
      </c>
      <c r="S14" s="20">
        <v>0</v>
      </c>
      <c r="T14" s="20" t="s">
        <v>381</v>
      </c>
      <c r="U14" s="53">
        <v>5839</v>
      </c>
      <c r="V14" s="53">
        <v>564</v>
      </c>
      <c r="W14" s="53">
        <v>14602</v>
      </c>
      <c r="X14" s="53">
        <v>3677</v>
      </c>
      <c r="Y14" s="20">
        <v>0</v>
      </c>
      <c r="Z14" s="53">
        <v>96057</v>
      </c>
      <c r="AA14" s="53">
        <v>9253</v>
      </c>
      <c r="AB14" s="20">
        <v>0</v>
      </c>
      <c r="AC14" s="20">
        <v>0</v>
      </c>
      <c r="AD14" s="53">
        <v>149603</v>
      </c>
      <c r="AE14" s="53">
        <v>221</v>
      </c>
      <c r="AF14" s="53">
        <v>149381</v>
      </c>
      <c r="AG14" s="53">
        <v>4369822</v>
      </c>
      <c r="AH14" s="53">
        <v>875278</v>
      </c>
      <c r="AI14" s="53">
        <v>107871</v>
      </c>
      <c r="AJ14" s="20">
        <v>0</v>
      </c>
      <c r="AK14" s="53">
        <v>9745</v>
      </c>
      <c r="AL14" s="53">
        <v>61152</v>
      </c>
      <c r="AM14" s="53">
        <v>77</v>
      </c>
      <c r="AN14" s="53">
        <v>15923</v>
      </c>
      <c r="AO14" s="53">
        <v>36367</v>
      </c>
      <c r="AP14" s="53">
        <v>48413</v>
      </c>
      <c r="AQ14" s="20">
        <v>0</v>
      </c>
      <c r="AR14" s="53">
        <v>3076991</v>
      </c>
      <c r="AS14" s="53">
        <v>2847</v>
      </c>
      <c r="AT14" s="53">
        <v>48002</v>
      </c>
      <c r="AU14" s="20">
        <v>0</v>
      </c>
      <c r="AV14" s="53">
        <v>87155</v>
      </c>
      <c r="AW14" s="53">
        <v>10336</v>
      </c>
      <c r="AX14" s="53">
        <v>10336</v>
      </c>
      <c r="AY14" s="20">
        <v>0</v>
      </c>
      <c r="AZ14" s="20">
        <v>0</v>
      </c>
      <c r="BA14" s="20">
        <v>0</v>
      </c>
      <c r="BB14" s="20">
        <v>0</v>
      </c>
      <c r="BC14" s="20">
        <v>0</v>
      </c>
      <c r="BD14" s="20">
        <v>0</v>
      </c>
      <c r="BE14" s="20">
        <v>0</v>
      </c>
      <c r="BF14" s="20" t="s">
        <v>381</v>
      </c>
      <c r="BG14" s="20">
        <v>1537</v>
      </c>
      <c r="BH14" s="53">
        <v>954506</v>
      </c>
      <c r="BI14" s="53">
        <v>239094</v>
      </c>
      <c r="BJ14" s="53">
        <v>89187</v>
      </c>
      <c r="BK14" s="53">
        <v>7555</v>
      </c>
      <c r="BL14" s="57">
        <v>30981</v>
      </c>
      <c r="BM14" s="53">
        <v>216071</v>
      </c>
      <c r="BN14" s="20">
        <v>4713</v>
      </c>
      <c r="BO14" s="20">
        <v>1405</v>
      </c>
      <c r="BP14" s="20">
        <v>0</v>
      </c>
      <c r="BQ14" s="20">
        <v>12473</v>
      </c>
    </row>
    <row r="15" spans="1:69" ht="53.4" customHeight="1" x14ac:dyDescent="0.3">
      <c r="A15" s="56" t="s">
        <v>68</v>
      </c>
      <c r="B15" s="20">
        <v>622</v>
      </c>
      <c r="C15" s="20">
        <v>240</v>
      </c>
      <c r="D15" s="20">
        <v>2676709</v>
      </c>
      <c r="E15" s="20">
        <v>94</v>
      </c>
      <c r="F15" s="20">
        <v>13</v>
      </c>
      <c r="G15" s="20">
        <v>145360</v>
      </c>
      <c r="H15" s="20">
        <v>6</v>
      </c>
      <c r="I15" s="20">
        <v>1981321</v>
      </c>
      <c r="J15" s="20">
        <v>0</v>
      </c>
      <c r="K15" s="20">
        <v>123441</v>
      </c>
      <c r="L15" s="20">
        <v>0</v>
      </c>
      <c r="M15" s="20">
        <v>0</v>
      </c>
      <c r="N15" s="20">
        <v>0</v>
      </c>
      <c r="O15" s="20">
        <v>123441</v>
      </c>
      <c r="P15" s="20">
        <v>0</v>
      </c>
      <c r="Q15" s="20">
        <v>0</v>
      </c>
      <c r="R15" s="20">
        <v>0</v>
      </c>
      <c r="S15" s="20">
        <v>0</v>
      </c>
      <c r="T15" s="20" t="s">
        <v>381</v>
      </c>
      <c r="U15" s="20">
        <v>5691</v>
      </c>
      <c r="V15" s="20">
        <v>950</v>
      </c>
      <c r="W15" s="20">
        <v>6503</v>
      </c>
      <c r="X15" s="20">
        <v>0</v>
      </c>
      <c r="Y15" s="20">
        <v>0</v>
      </c>
      <c r="Z15" s="20">
        <v>62969</v>
      </c>
      <c r="AA15" s="20">
        <v>1759468</v>
      </c>
      <c r="AB15" s="20">
        <v>15035</v>
      </c>
      <c r="AC15" s="20">
        <v>7264</v>
      </c>
      <c r="AD15" s="20">
        <v>86897</v>
      </c>
      <c r="AE15" s="20">
        <v>275</v>
      </c>
      <c r="AF15" s="20"/>
      <c r="AG15" s="20">
        <v>696263</v>
      </c>
      <c r="AH15" s="20">
        <v>242349</v>
      </c>
      <c r="AI15" s="20">
        <v>48738</v>
      </c>
      <c r="AJ15" s="20">
        <v>0</v>
      </c>
      <c r="AK15" s="20">
        <v>51990</v>
      </c>
      <c r="AL15" s="20">
        <v>29836</v>
      </c>
      <c r="AM15" s="20">
        <v>0</v>
      </c>
      <c r="AN15" s="20">
        <v>15769</v>
      </c>
      <c r="AO15" s="20">
        <v>27762</v>
      </c>
      <c r="AP15" s="20">
        <v>12794</v>
      </c>
      <c r="AQ15" s="20">
        <v>8079</v>
      </c>
      <c r="AR15" s="20">
        <v>46032</v>
      </c>
      <c r="AS15" s="20">
        <v>0</v>
      </c>
      <c r="AT15" s="20">
        <v>0</v>
      </c>
      <c r="AU15" s="20">
        <v>0</v>
      </c>
      <c r="AV15" s="20">
        <v>212915</v>
      </c>
      <c r="AW15" s="20">
        <v>84343</v>
      </c>
      <c r="AX15" s="20">
        <v>44976</v>
      </c>
      <c r="AY15" s="20">
        <v>0</v>
      </c>
      <c r="AZ15" s="20">
        <v>2500</v>
      </c>
      <c r="BA15" s="20">
        <v>855</v>
      </c>
      <c r="BB15" s="20">
        <v>0</v>
      </c>
      <c r="BC15" s="20">
        <v>3024</v>
      </c>
      <c r="BD15" s="20">
        <v>1200</v>
      </c>
      <c r="BE15" s="20">
        <v>31788</v>
      </c>
      <c r="BF15" s="20" t="s">
        <v>381</v>
      </c>
      <c r="BG15" s="20">
        <v>1149378</v>
      </c>
      <c r="BH15" s="20">
        <v>594435</v>
      </c>
      <c r="BI15" s="20">
        <v>518960</v>
      </c>
      <c r="BJ15" s="20">
        <v>0</v>
      </c>
      <c r="BK15" s="20">
        <v>0</v>
      </c>
      <c r="BL15" s="20">
        <v>35497</v>
      </c>
      <c r="BM15" s="20">
        <v>486</v>
      </c>
      <c r="BN15" s="20">
        <v>0</v>
      </c>
      <c r="BO15" s="20">
        <v>171620</v>
      </c>
      <c r="BP15" s="20">
        <v>0</v>
      </c>
      <c r="BQ15" s="20">
        <v>4166182</v>
      </c>
    </row>
    <row r="16" spans="1:69" ht="53.4" customHeight="1" x14ac:dyDescent="0.3">
      <c r="A16" s="56" t="s">
        <v>212</v>
      </c>
      <c r="B16" s="20">
        <v>627</v>
      </c>
      <c r="C16" s="20">
        <v>2</v>
      </c>
      <c r="D16" s="20">
        <v>39354</v>
      </c>
      <c r="E16" s="20">
        <v>0</v>
      </c>
      <c r="F16" s="20">
        <v>0</v>
      </c>
      <c r="G16" s="20">
        <v>0</v>
      </c>
      <c r="H16" s="20">
        <v>0</v>
      </c>
      <c r="I16" s="20">
        <v>12625</v>
      </c>
      <c r="J16" s="20">
        <v>0</v>
      </c>
      <c r="K16" s="20">
        <v>788</v>
      </c>
      <c r="L16" s="20">
        <v>0</v>
      </c>
      <c r="M16" s="20">
        <v>0</v>
      </c>
      <c r="N16" s="20">
        <v>0</v>
      </c>
      <c r="O16" s="20">
        <v>788</v>
      </c>
      <c r="P16" s="20">
        <v>0</v>
      </c>
      <c r="Q16" s="20">
        <v>0</v>
      </c>
      <c r="R16" s="20">
        <v>0</v>
      </c>
      <c r="S16" s="20">
        <v>0</v>
      </c>
      <c r="T16" s="20" t="s">
        <v>381</v>
      </c>
      <c r="U16" s="20">
        <v>0</v>
      </c>
      <c r="V16" s="20">
        <v>0</v>
      </c>
      <c r="W16" s="20">
        <v>0</v>
      </c>
      <c r="X16" s="20">
        <v>0</v>
      </c>
      <c r="Y16" s="20">
        <v>0</v>
      </c>
      <c r="Z16" s="20">
        <v>402</v>
      </c>
      <c r="AA16" s="20">
        <v>11232</v>
      </c>
      <c r="AB16" s="20">
        <v>0</v>
      </c>
      <c r="AC16" s="20">
        <v>203</v>
      </c>
      <c r="AD16" s="20">
        <v>644</v>
      </c>
      <c r="AE16" s="20">
        <v>0</v>
      </c>
      <c r="AF16" s="20"/>
      <c r="AG16" s="20">
        <v>27968</v>
      </c>
      <c r="AH16" s="20">
        <v>9734</v>
      </c>
      <c r="AI16" s="20">
        <v>1958</v>
      </c>
      <c r="AJ16" s="20">
        <v>0</v>
      </c>
      <c r="AK16" s="20">
        <v>2088</v>
      </c>
      <c r="AL16" s="20">
        <v>1198</v>
      </c>
      <c r="AM16" s="20">
        <v>0</v>
      </c>
      <c r="AN16" s="20">
        <v>0</v>
      </c>
      <c r="AO16" s="20">
        <v>1115</v>
      </c>
      <c r="AP16" s="20">
        <v>69</v>
      </c>
      <c r="AQ16" s="20">
        <v>325</v>
      </c>
      <c r="AR16" s="20">
        <v>849</v>
      </c>
      <c r="AS16" s="20">
        <v>0</v>
      </c>
      <c r="AT16" s="20">
        <v>0</v>
      </c>
      <c r="AU16" s="20">
        <v>0</v>
      </c>
      <c r="AV16" s="20">
        <v>9630</v>
      </c>
      <c r="AW16" s="20">
        <v>1688</v>
      </c>
      <c r="AX16" s="20">
        <v>363</v>
      </c>
      <c r="AY16" s="20">
        <v>0</v>
      </c>
      <c r="AZ16" s="20">
        <v>36</v>
      </c>
      <c r="BA16" s="20">
        <v>0</v>
      </c>
      <c r="BB16" s="20">
        <v>0</v>
      </c>
      <c r="BC16" s="20">
        <v>289</v>
      </c>
      <c r="BD16" s="20">
        <v>0</v>
      </c>
      <c r="BE16" s="20">
        <v>0</v>
      </c>
      <c r="BF16" s="20" t="s">
        <v>381</v>
      </c>
      <c r="BG16" s="20">
        <v>24836</v>
      </c>
      <c r="BH16" s="20">
        <v>5310</v>
      </c>
      <c r="BI16" s="20">
        <v>8749</v>
      </c>
      <c r="BJ16" s="20">
        <v>0</v>
      </c>
      <c r="BK16" s="20">
        <v>0</v>
      </c>
      <c r="BL16" s="20">
        <v>0</v>
      </c>
      <c r="BM16" s="20">
        <v>777</v>
      </c>
      <c r="BN16" s="20">
        <v>0</v>
      </c>
      <c r="BO16" s="20">
        <v>611</v>
      </c>
      <c r="BP16" s="20">
        <v>0</v>
      </c>
      <c r="BQ16" s="20">
        <v>68372</v>
      </c>
    </row>
    <row r="17" spans="1:70" ht="53.4" customHeight="1" x14ac:dyDescent="0.3">
      <c r="A17" s="54" t="s">
        <v>383</v>
      </c>
      <c r="B17" s="20">
        <v>676</v>
      </c>
      <c r="C17" s="20">
        <v>1</v>
      </c>
      <c r="D17" s="20">
        <v>771517</v>
      </c>
      <c r="E17" s="20">
        <v>0</v>
      </c>
      <c r="F17" s="20">
        <v>0</v>
      </c>
      <c r="G17" s="20">
        <v>0</v>
      </c>
      <c r="H17" s="20">
        <v>0</v>
      </c>
      <c r="I17" s="20">
        <v>781597</v>
      </c>
      <c r="J17" s="20">
        <v>0</v>
      </c>
      <c r="K17" s="20">
        <v>0</v>
      </c>
      <c r="L17" s="20">
        <v>0</v>
      </c>
      <c r="M17" s="20">
        <v>0</v>
      </c>
      <c r="N17" s="20">
        <v>771517</v>
      </c>
      <c r="O17" s="20">
        <v>0</v>
      </c>
      <c r="P17" s="20">
        <v>0</v>
      </c>
      <c r="Q17" s="20">
        <v>0</v>
      </c>
      <c r="R17" s="20">
        <v>0</v>
      </c>
      <c r="S17" s="20">
        <v>0</v>
      </c>
      <c r="T17" s="20" t="s">
        <v>381</v>
      </c>
      <c r="U17" s="20">
        <v>0</v>
      </c>
      <c r="V17" s="20">
        <v>700</v>
      </c>
      <c r="W17" s="20">
        <v>3200</v>
      </c>
      <c r="X17" s="20">
        <v>0</v>
      </c>
      <c r="Y17" s="20">
        <v>618</v>
      </c>
      <c r="Z17" s="20">
        <v>0</v>
      </c>
      <c r="AA17" s="20">
        <v>0</v>
      </c>
      <c r="AB17" s="20">
        <v>0</v>
      </c>
      <c r="AC17" s="20">
        <v>0</v>
      </c>
      <c r="AD17" s="20">
        <v>0</v>
      </c>
      <c r="AE17" s="20">
        <v>0</v>
      </c>
      <c r="AF17" s="20"/>
      <c r="AG17" s="20">
        <v>0</v>
      </c>
      <c r="AH17" s="20">
        <v>0</v>
      </c>
      <c r="AI17" s="20">
        <v>0</v>
      </c>
      <c r="AJ17" s="20">
        <v>0</v>
      </c>
      <c r="AK17" s="20">
        <v>0</v>
      </c>
      <c r="AL17" s="20">
        <v>0</v>
      </c>
      <c r="AM17" s="20">
        <v>0</v>
      </c>
      <c r="AN17" s="20">
        <v>0</v>
      </c>
      <c r="AO17" s="20">
        <v>0</v>
      </c>
      <c r="AP17" s="20">
        <v>0</v>
      </c>
      <c r="AQ17" s="20">
        <v>0</v>
      </c>
      <c r="AR17" s="20">
        <v>0</v>
      </c>
      <c r="AS17" s="20">
        <v>0</v>
      </c>
      <c r="AT17" s="20">
        <v>0</v>
      </c>
      <c r="AU17" s="20">
        <v>0</v>
      </c>
      <c r="AV17" s="20">
        <v>0</v>
      </c>
      <c r="AW17" s="20">
        <v>119443</v>
      </c>
      <c r="AX17" s="20">
        <v>0</v>
      </c>
      <c r="AY17" s="20">
        <v>0</v>
      </c>
      <c r="AZ17" s="20">
        <v>6000</v>
      </c>
      <c r="BA17" s="20">
        <v>2500</v>
      </c>
      <c r="BB17" s="20">
        <v>110943</v>
      </c>
      <c r="BC17" s="20">
        <v>0</v>
      </c>
      <c r="BD17" s="20">
        <v>0</v>
      </c>
      <c r="BE17" s="20">
        <v>0</v>
      </c>
      <c r="BF17" s="20" t="s">
        <v>381</v>
      </c>
      <c r="BG17" s="20">
        <v>325296</v>
      </c>
      <c r="BH17" s="20">
        <v>5820</v>
      </c>
      <c r="BI17" s="20">
        <v>210600</v>
      </c>
      <c r="BJ17" s="20">
        <v>0</v>
      </c>
      <c r="BK17" s="20">
        <v>0</v>
      </c>
      <c r="BL17" s="20">
        <v>57036</v>
      </c>
      <c r="BM17" s="20">
        <v>0</v>
      </c>
      <c r="BN17" s="20">
        <v>0</v>
      </c>
      <c r="BO17" s="20">
        <v>0</v>
      </c>
      <c r="BP17" s="20">
        <v>0</v>
      </c>
      <c r="BQ17" s="20">
        <v>1226336</v>
      </c>
    </row>
    <row r="18" spans="1:70" ht="53.4" customHeight="1" x14ac:dyDescent="0.3">
      <c r="A18" s="54" t="s">
        <v>206</v>
      </c>
      <c r="B18" s="20">
        <v>756</v>
      </c>
      <c r="C18" s="20">
        <v>0</v>
      </c>
      <c r="D18" s="20">
        <v>0</v>
      </c>
      <c r="E18" s="20">
        <v>0</v>
      </c>
      <c r="F18" s="20">
        <v>0</v>
      </c>
      <c r="G18" s="20">
        <v>0</v>
      </c>
      <c r="H18" s="20">
        <v>0</v>
      </c>
      <c r="I18" s="20">
        <v>1769047</v>
      </c>
      <c r="J18" s="20">
        <v>0</v>
      </c>
      <c r="K18" s="20">
        <v>0</v>
      </c>
      <c r="L18" s="20">
        <v>0</v>
      </c>
      <c r="M18" s="20">
        <v>0</v>
      </c>
      <c r="N18" s="20">
        <v>0</v>
      </c>
      <c r="O18" s="20">
        <v>0</v>
      </c>
      <c r="P18" s="20">
        <v>0</v>
      </c>
      <c r="Q18" s="20">
        <v>0</v>
      </c>
      <c r="R18" s="20">
        <v>0</v>
      </c>
      <c r="S18" s="20">
        <v>14215</v>
      </c>
      <c r="T18" s="20" t="s">
        <v>381</v>
      </c>
      <c r="U18" s="20">
        <v>7694</v>
      </c>
      <c r="V18" s="20">
        <v>0</v>
      </c>
      <c r="W18" s="20">
        <v>1560</v>
      </c>
      <c r="X18" s="20">
        <v>19023</v>
      </c>
      <c r="Y18" s="20">
        <v>0</v>
      </c>
      <c r="Z18" s="20">
        <v>932</v>
      </c>
      <c r="AA18" s="20">
        <v>1725624</v>
      </c>
      <c r="AB18" s="20">
        <v>0</v>
      </c>
      <c r="AC18" s="20">
        <v>0</v>
      </c>
      <c r="AD18" s="20">
        <v>1830</v>
      </c>
      <c r="AE18" s="20">
        <v>0</v>
      </c>
      <c r="AF18" s="20"/>
      <c r="AG18" s="20">
        <v>1190510</v>
      </c>
      <c r="AH18" s="20">
        <v>0</v>
      </c>
      <c r="AI18" s="20">
        <v>92913</v>
      </c>
      <c r="AJ18" s="20">
        <v>0</v>
      </c>
      <c r="AK18" s="20">
        <v>818</v>
      </c>
      <c r="AL18" s="20">
        <v>3954</v>
      </c>
      <c r="AM18" s="20">
        <v>8086</v>
      </c>
      <c r="AN18" s="20">
        <v>0</v>
      </c>
      <c r="AO18" s="20">
        <v>7035</v>
      </c>
      <c r="AP18" s="20">
        <v>741874</v>
      </c>
      <c r="AQ18" s="20">
        <v>0</v>
      </c>
      <c r="AR18" s="20">
        <v>228204</v>
      </c>
      <c r="AS18" s="20">
        <v>0</v>
      </c>
      <c r="AT18" s="20">
        <v>71850</v>
      </c>
      <c r="AU18" s="20">
        <v>0</v>
      </c>
      <c r="AV18" s="20">
        <v>35777</v>
      </c>
      <c r="AW18" s="20">
        <v>418562</v>
      </c>
      <c r="AX18" s="20">
        <v>2126</v>
      </c>
      <c r="AY18" s="20">
        <v>10</v>
      </c>
      <c r="AZ18" s="20">
        <v>0</v>
      </c>
      <c r="BA18" s="20">
        <v>0</v>
      </c>
      <c r="BB18" s="20">
        <v>0</v>
      </c>
      <c r="BC18" s="20">
        <v>413683</v>
      </c>
      <c r="BD18" s="20">
        <v>0</v>
      </c>
      <c r="BE18" s="20">
        <v>2744</v>
      </c>
      <c r="BF18" s="20" t="s">
        <v>381</v>
      </c>
      <c r="BG18" s="20">
        <v>309777</v>
      </c>
      <c r="BH18" s="53">
        <v>298676</v>
      </c>
      <c r="BI18" s="20">
        <v>0</v>
      </c>
      <c r="BJ18" s="20">
        <v>9971</v>
      </c>
      <c r="BK18" s="20">
        <v>0</v>
      </c>
      <c r="BL18" s="20">
        <v>1130</v>
      </c>
      <c r="BM18" s="20">
        <v>0</v>
      </c>
      <c r="BN18" s="20">
        <v>7794514</v>
      </c>
      <c r="BO18" s="20">
        <v>19040</v>
      </c>
      <c r="BP18" s="20">
        <v>0</v>
      </c>
      <c r="BQ18" s="20">
        <v>0</v>
      </c>
    </row>
    <row r="19" spans="1:70" ht="53.4" customHeight="1" x14ac:dyDescent="0.3">
      <c r="A19" s="54" t="s">
        <v>110</v>
      </c>
      <c r="B19" s="20">
        <v>609</v>
      </c>
      <c r="C19" s="20">
        <v>254</v>
      </c>
      <c r="D19" s="20">
        <v>71140398</v>
      </c>
      <c r="E19" s="20">
        <v>0</v>
      </c>
      <c r="F19" s="20">
        <v>144</v>
      </c>
      <c r="G19" s="20">
        <v>94649129</v>
      </c>
      <c r="H19" s="20">
        <v>0</v>
      </c>
      <c r="I19" s="20">
        <v>104518233</v>
      </c>
      <c r="J19" s="20">
        <v>6170522</v>
      </c>
      <c r="K19" s="20">
        <v>97431689</v>
      </c>
      <c r="L19" s="20">
        <v>0</v>
      </c>
      <c r="M19" s="20">
        <v>0</v>
      </c>
      <c r="N19" s="20">
        <v>0</v>
      </c>
      <c r="O19" s="20">
        <v>27631844</v>
      </c>
      <c r="P19" s="20">
        <v>12705060</v>
      </c>
      <c r="Q19" s="20">
        <v>479650</v>
      </c>
      <c r="R19" s="20">
        <v>56492725</v>
      </c>
      <c r="S19" s="20">
        <v>122409</v>
      </c>
      <c r="T19" s="20" t="s">
        <v>381</v>
      </c>
      <c r="U19" s="20">
        <v>123424</v>
      </c>
      <c r="V19" s="53">
        <v>1551</v>
      </c>
      <c r="W19" s="20">
        <v>16195</v>
      </c>
      <c r="X19" s="20">
        <v>207711</v>
      </c>
      <c r="Y19" s="20">
        <v>15391</v>
      </c>
      <c r="Z19" s="20">
        <v>282752</v>
      </c>
      <c r="AA19" s="53">
        <v>248873</v>
      </c>
      <c r="AB19" s="20">
        <v>20124</v>
      </c>
      <c r="AC19" s="20">
        <v>0</v>
      </c>
      <c r="AD19" s="20">
        <v>18798</v>
      </c>
      <c r="AE19" s="20">
        <v>0</v>
      </c>
      <c r="AF19" s="53">
        <v>18797</v>
      </c>
      <c r="AG19" s="20">
        <v>10333</v>
      </c>
      <c r="AH19" s="20">
        <v>0</v>
      </c>
      <c r="AI19" s="20">
        <v>4988683</v>
      </c>
      <c r="AJ19" s="20">
        <v>0</v>
      </c>
      <c r="AK19" s="20">
        <v>3291194</v>
      </c>
      <c r="AL19" s="20">
        <v>1208891</v>
      </c>
      <c r="AM19" s="20">
        <v>5192</v>
      </c>
      <c r="AN19" s="20">
        <v>52683</v>
      </c>
      <c r="AO19" s="20">
        <v>56009</v>
      </c>
      <c r="AP19" s="53">
        <v>78859</v>
      </c>
      <c r="AQ19" s="20">
        <v>0</v>
      </c>
      <c r="AR19" s="20">
        <v>459954</v>
      </c>
      <c r="AS19" s="20">
        <v>853</v>
      </c>
      <c r="AT19" s="20">
        <v>11406</v>
      </c>
      <c r="AU19" s="20">
        <v>0</v>
      </c>
      <c r="AV19" s="20">
        <v>179020</v>
      </c>
      <c r="AW19" s="20">
        <v>1353529</v>
      </c>
      <c r="AX19" s="20">
        <v>0</v>
      </c>
      <c r="AY19" s="20">
        <v>0</v>
      </c>
      <c r="AZ19" s="20">
        <v>0</v>
      </c>
      <c r="BA19" s="20">
        <v>0</v>
      </c>
      <c r="BB19" s="20">
        <v>340584</v>
      </c>
      <c r="BC19" s="20">
        <v>12863</v>
      </c>
      <c r="BD19" s="20">
        <v>1000083</v>
      </c>
      <c r="BE19" s="20">
        <v>0</v>
      </c>
      <c r="BF19" s="20" t="s">
        <v>381</v>
      </c>
      <c r="BG19" s="20">
        <v>10286902</v>
      </c>
      <c r="BH19" s="20">
        <v>9381371</v>
      </c>
      <c r="BI19" s="20">
        <v>169926</v>
      </c>
      <c r="BJ19" s="20">
        <v>37624</v>
      </c>
      <c r="BK19" s="53">
        <v>581742</v>
      </c>
      <c r="BL19" s="20">
        <v>116238</v>
      </c>
      <c r="BM19" s="20">
        <v>19437299</v>
      </c>
      <c r="BN19" s="20">
        <v>1460059</v>
      </c>
      <c r="BO19" s="20">
        <v>0</v>
      </c>
      <c r="BP19" s="20">
        <v>147407564</v>
      </c>
      <c r="BQ19" s="20">
        <v>0</v>
      </c>
    </row>
    <row r="20" spans="1:70" ht="53.4" customHeight="1" x14ac:dyDescent="0.3">
      <c r="A20" s="54" t="s">
        <v>257</v>
      </c>
      <c r="B20" s="20">
        <v>693</v>
      </c>
      <c r="C20" s="20">
        <v>179</v>
      </c>
      <c r="D20" s="20">
        <v>24011434</v>
      </c>
      <c r="E20" s="20">
        <v>91</v>
      </c>
      <c r="F20" s="20">
        <v>18</v>
      </c>
      <c r="G20" s="20">
        <v>2244245</v>
      </c>
      <c r="H20" s="20">
        <v>9</v>
      </c>
      <c r="I20" s="20">
        <v>13979804</v>
      </c>
      <c r="J20" s="20">
        <v>5207139</v>
      </c>
      <c r="K20" s="20">
        <v>0</v>
      </c>
      <c r="L20" s="20">
        <v>11950</v>
      </c>
      <c r="M20" s="20">
        <v>0</v>
      </c>
      <c r="N20" s="20">
        <v>0</v>
      </c>
      <c r="O20" s="20">
        <v>3113487</v>
      </c>
      <c r="P20" s="20">
        <v>0</v>
      </c>
      <c r="Q20" s="20">
        <v>82132</v>
      </c>
      <c r="R20" s="20">
        <v>0</v>
      </c>
      <c r="S20" s="20">
        <v>1941843</v>
      </c>
      <c r="T20" s="20" t="s">
        <v>381</v>
      </c>
      <c r="U20" s="20">
        <v>0</v>
      </c>
      <c r="V20" s="20">
        <v>0</v>
      </c>
      <c r="W20" s="53">
        <v>875531</v>
      </c>
      <c r="X20" s="20">
        <v>0</v>
      </c>
      <c r="Y20" s="20">
        <v>0</v>
      </c>
      <c r="Z20" s="20">
        <v>21829</v>
      </c>
      <c r="AA20" s="20">
        <v>2588958</v>
      </c>
      <c r="AB20" s="20">
        <v>136935</v>
      </c>
      <c r="AC20" s="20">
        <v>0</v>
      </c>
      <c r="AD20" s="20">
        <v>4813652</v>
      </c>
      <c r="AE20" s="20">
        <v>4788504</v>
      </c>
      <c r="AF20" s="53">
        <v>25148</v>
      </c>
      <c r="AG20" s="20">
        <v>2148677</v>
      </c>
      <c r="AH20" s="20">
        <v>0</v>
      </c>
      <c r="AI20" s="20">
        <v>9966</v>
      </c>
      <c r="AJ20" s="20">
        <v>0</v>
      </c>
      <c r="AK20" s="20">
        <v>1268976</v>
      </c>
      <c r="AL20" s="20">
        <v>255475</v>
      </c>
      <c r="AM20" s="20">
        <v>355</v>
      </c>
      <c r="AN20" s="20">
        <v>8791</v>
      </c>
      <c r="AO20" s="20">
        <v>65847</v>
      </c>
      <c r="AP20" s="53">
        <v>23656</v>
      </c>
      <c r="AQ20" s="20">
        <v>323251</v>
      </c>
      <c r="AR20" s="20">
        <v>180870</v>
      </c>
      <c r="AS20" s="20">
        <v>1400</v>
      </c>
      <c r="AT20" s="20">
        <v>0</v>
      </c>
      <c r="AU20" s="20">
        <v>0</v>
      </c>
      <c r="AV20" s="20">
        <v>10090</v>
      </c>
      <c r="AW20" s="20">
        <v>945501</v>
      </c>
      <c r="AX20" s="20">
        <v>852951</v>
      </c>
      <c r="AY20" s="20">
        <v>56307</v>
      </c>
      <c r="AZ20" s="20">
        <v>0</v>
      </c>
      <c r="BA20" s="20">
        <v>12185</v>
      </c>
      <c r="BB20" s="20">
        <v>0</v>
      </c>
      <c r="BC20" s="20">
        <v>0</v>
      </c>
      <c r="BD20" s="20">
        <v>11058</v>
      </c>
      <c r="BE20" s="20">
        <v>13000</v>
      </c>
      <c r="BF20" s="20" t="s">
        <v>381</v>
      </c>
      <c r="BG20" s="20">
        <v>2711575</v>
      </c>
      <c r="BH20" s="20">
        <v>2181762</v>
      </c>
      <c r="BI20" s="20">
        <v>87002</v>
      </c>
      <c r="BJ20" s="20">
        <v>184669</v>
      </c>
      <c r="BK20" s="20">
        <v>0</v>
      </c>
      <c r="BL20" s="20">
        <v>229773</v>
      </c>
      <c r="BM20" s="20">
        <v>28367</v>
      </c>
      <c r="BN20" s="20">
        <v>157112</v>
      </c>
      <c r="BO20" s="20">
        <v>98352</v>
      </c>
      <c r="BP20" s="53">
        <v>144686</v>
      </c>
      <c r="BQ20" s="20">
        <v>24999358</v>
      </c>
    </row>
    <row r="21" spans="1:70" ht="53.4" customHeight="1" x14ac:dyDescent="0.3">
      <c r="A21" s="54" t="s">
        <v>95</v>
      </c>
      <c r="B21" s="20">
        <v>683</v>
      </c>
      <c r="C21" s="20">
        <v>0</v>
      </c>
      <c r="D21" s="20">
        <v>0</v>
      </c>
      <c r="E21" s="20">
        <v>0</v>
      </c>
      <c r="F21" s="20">
        <v>0</v>
      </c>
      <c r="G21" s="20">
        <v>0</v>
      </c>
      <c r="H21" s="20">
        <v>0</v>
      </c>
      <c r="I21" s="20">
        <v>11095634</v>
      </c>
      <c r="J21" s="20">
        <v>3745896</v>
      </c>
      <c r="K21" s="20">
        <v>0</v>
      </c>
      <c r="L21" s="20">
        <v>0</v>
      </c>
      <c r="M21" s="20">
        <v>0</v>
      </c>
      <c r="N21" s="20">
        <v>7414</v>
      </c>
      <c r="O21" s="20">
        <v>3719329</v>
      </c>
      <c r="P21" s="20">
        <v>0</v>
      </c>
      <c r="Q21" s="20">
        <v>282910</v>
      </c>
      <c r="R21" s="20">
        <v>0</v>
      </c>
      <c r="S21" s="20">
        <v>0</v>
      </c>
      <c r="T21" s="20" t="s">
        <v>381</v>
      </c>
      <c r="U21" s="20">
        <v>15270</v>
      </c>
      <c r="V21" s="20">
        <v>337</v>
      </c>
      <c r="W21" s="20">
        <v>208091</v>
      </c>
      <c r="X21" s="20">
        <v>0</v>
      </c>
      <c r="Y21" s="20">
        <v>0</v>
      </c>
      <c r="Z21" s="20">
        <v>53080</v>
      </c>
      <c r="AA21" s="20">
        <v>3063308</v>
      </c>
      <c r="AB21" s="20">
        <v>0</v>
      </c>
      <c r="AC21" s="20">
        <v>0</v>
      </c>
      <c r="AD21" s="20">
        <v>182825</v>
      </c>
      <c r="AE21" s="20">
        <v>157472</v>
      </c>
      <c r="AF21" s="53">
        <v>25226</v>
      </c>
      <c r="AG21" s="20">
        <v>2315707</v>
      </c>
      <c r="AH21" s="20">
        <v>0</v>
      </c>
      <c r="AI21" s="20">
        <v>1241210</v>
      </c>
      <c r="AJ21" s="20">
        <v>203707</v>
      </c>
      <c r="AK21" s="20">
        <v>234316</v>
      </c>
      <c r="AL21" s="20">
        <v>130445</v>
      </c>
      <c r="AM21" s="20">
        <v>592000</v>
      </c>
      <c r="AN21" s="20">
        <v>450000</v>
      </c>
      <c r="AO21" s="20">
        <v>40630067</v>
      </c>
      <c r="AP21" s="20">
        <v>83976</v>
      </c>
      <c r="AQ21" s="20">
        <v>0</v>
      </c>
      <c r="AR21" s="20">
        <v>8018</v>
      </c>
      <c r="AS21" s="20">
        <v>5605</v>
      </c>
      <c r="AT21" s="20">
        <v>0</v>
      </c>
      <c r="AU21" s="20">
        <v>0</v>
      </c>
      <c r="AV21" s="20">
        <v>366756</v>
      </c>
      <c r="AW21" s="20">
        <v>733754</v>
      </c>
      <c r="AX21" s="20">
        <v>99492</v>
      </c>
      <c r="AY21" s="20">
        <v>62550</v>
      </c>
      <c r="AZ21" s="20">
        <v>1000</v>
      </c>
      <c r="BA21" s="20">
        <v>5880</v>
      </c>
      <c r="BB21" s="20">
        <v>554828</v>
      </c>
      <c r="BC21" s="20">
        <v>5479</v>
      </c>
      <c r="BD21" s="20">
        <v>0</v>
      </c>
      <c r="BE21" s="20">
        <v>0</v>
      </c>
      <c r="BF21" s="20" t="s">
        <v>381</v>
      </c>
      <c r="BG21" s="20">
        <v>1858093</v>
      </c>
      <c r="BH21" s="20">
        <v>1482816</v>
      </c>
      <c r="BI21" s="20">
        <v>0</v>
      </c>
      <c r="BJ21" s="20">
        <v>212844</v>
      </c>
      <c r="BK21" s="20">
        <v>0</v>
      </c>
      <c r="BL21" s="20">
        <v>161460</v>
      </c>
      <c r="BM21" s="53">
        <v>979</v>
      </c>
      <c r="BN21" s="20">
        <v>41478</v>
      </c>
      <c r="BO21" s="20">
        <v>107618</v>
      </c>
      <c r="BP21" s="20">
        <v>460039</v>
      </c>
      <c r="BQ21" s="20">
        <v>16795147</v>
      </c>
    </row>
    <row r="22" spans="1:70" ht="53.4" customHeight="1" x14ac:dyDescent="0.3">
      <c r="A22" s="54" t="s">
        <v>187</v>
      </c>
      <c r="B22" s="20">
        <v>636</v>
      </c>
      <c r="C22" s="20">
        <v>0</v>
      </c>
      <c r="D22" s="20">
        <v>749578</v>
      </c>
      <c r="E22" s="20">
        <v>85</v>
      </c>
      <c r="F22" s="20">
        <v>1</v>
      </c>
      <c r="G22" s="20">
        <v>65134</v>
      </c>
      <c r="H22" s="20">
        <v>15</v>
      </c>
      <c r="I22" s="20">
        <v>0</v>
      </c>
      <c r="J22" s="20">
        <v>738</v>
      </c>
      <c r="K22" s="20">
        <v>0</v>
      </c>
      <c r="L22" s="20">
        <v>0</v>
      </c>
      <c r="M22" s="20">
        <v>0</v>
      </c>
      <c r="N22" s="20">
        <v>0</v>
      </c>
      <c r="O22" s="20">
        <v>26710</v>
      </c>
      <c r="P22" s="20">
        <v>0</v>
      </c>
      <c r="Q22" s="20">
        <v>0</v>
      </c>
      <c r="R22" s="20">
        <v>0</v>
      </c>
      <c r="S22" s="20">
        <v>0</v>
      </c>
      <c r="T22" s="20" t="s">
        <v>381</v>
      </c>
      <c r="U22" s="20">
        <v>0</v>
      </c>
      <c r="V22" s="20">
        <v>0</v>
      </c>
      <c r="W22" s="20">
        <v>0</v>
      </c>
      <c r="X22" s="20">
        <v>0</v>
      </c>
      <c r="Y22" s="20">
        <v>0</v>
      </c>
      <c r="Z22" s="20">
        <v>0</v>
      </c>
      <c r="AA22" s="20">
        <v>0</v>
      </c>
      <c r="AB22" s="20">
        <v>24643</v>
      </c>
      <c r="AC22" s="20">
        <v>0</v>
      </c>
      <c r="AD22" s="20">
        <v>4099</v>
      </c>
      <c r="AE22" s="20">
        <v>0</v>
      </c>
      <c r="AF22" s="53">
        <v>4099</v>
      </c>
      <c r="AG22" s="20">
        <v>5718</v>
      </c>
      <c r="AH22" s="20">
        <v>0</v>
      </c>
      <c r="AI22" s="20">
        <v>0</v>
      </c>
      <c r="AJ22" s="20">
        <v>0</v>
      </c>
      <c r="AK22" s="20">
        <v>5717500</v>
      </c>
      <c r="AL22" s="20">
        <v>0</v>
      </c>
      <c r="AM22" s="20">
        <v>0</v>
      </c>
      <c r="AN22" s="20">
        <v>0</v>
      </c>
      <c r="AO22" s="20">
        <v>0</v>
      </c>
      <c r="AP22" s="20">
        <v>0</v>
      </c>
      <c r="AQ22" s="20">
        <v>0</v>
      </c>
      <c r="AR22" s="20">
        <v>0</v>
      </c>
      <c r="AS22" s="20">
        <v>0</v>
      </c>
      <c r="AT22" s="20">
        <v>0</v>
      </c>
      <c r="AU22" s="20">
        <v>0</v>
      </c>
      <c r="AV22" s="20">
        <v>0</v>
      </c>
      <c r="AW22" s="20">
        <v>0</v>
      </c>
      <c r="AX22" s="20">
        <v>0</v>
      </c>
      <c r="AY22" s="20">
        <v>0</v>
      </c>
      <c r="AZ22" s="20">
        <v>0</v>
      </c>
      <c r="BA22" s="20">
        <v>0</v>
      </c>
      <c r="BB22" s="20">
        <v>0</v>
      </c>
      <c r="BC22" s="20">
        <v>0</v>
      </c>
      <c r="BD22" s="20">
        <v>0</v>
      </c>
      <c r="BE22" s="20">
        <v>0</v>
      </c>
      <c r="BF22" s="20" t="s">
        <v>381</v>
      </c>
      <c r="BG22" s="20">
        <v>272247509</v>
      </c>
      <c r="BH22" s="20">
        <v>202247</v>
      </c>
      <c r="BI22" s="20">
        <v>0</v>
      </c>
      <c r="BJ22" s="20">
        <v>0</v>
      </c>
      <c r="BK22" s="20">
        <v>0</v>
      </c>
      <c r="BL22" s="20">
        <v>70000</v>
      </c>
      <c r="BM22" s="20">
        <v>0</v>
      </c>
      <c r="BN22" s="20">
        <v>0</v>
      </c>
      <c r="BO22" s="20">
        <v>0</v>
      </c>
      <c r="BP22" s="20">
        <v>0</v>
      </c>
      <c r="BQ22" s="20">
        <v>0</v>
      </c>
    </row>
    <row r="23" spans="1:70" ht="60" customHeight="1" x14ac:dyDescent="0.3">
      <c r="A23" s="54" t="s">
        <v>78</v>
      </c>
      <c r="B23" s="20">
        <v>624</v>
      </c>
      <c r="C23" s="20">
        <v>5</v>
      </c>
      <c r="D23" s="20">
        <v>19003841</v>
      </c>
      <c r="E23" s="20">
        <v>0</v>
      </c>
      <c r="F23" s="20">
        <v>0</v>
      </c>
      <c r="G23" s="20">
        <v>0</v>
      </c>
      <c r="H23" s="20">
        <v>0</v>
      </c>
      <c r="I23" s="20">
        <v>0</v>
      </c>
      <c r="J23" s="20">
        <v>9109741</v>
      </c>
      <c r="K23" s="20">
        <v>0</v>
      </c>
      <c r="L23" s="20">
        <v>0</v>
      </c>
      <c r="M23" s="20">
        <v>0</v>
      </c>
      <c r="N23" s="20">
        <v>0</v>
      </c>
      <c r="O23" s="20">
        <v>3521000</v>
      </c>
      <c r="P23" s="20">
        <v>0</v>
      </c>
      <c r="Q23" s="20">
        <v>0</v>
      </c>
      <c r="R23" s="20">
        <v>0</v>
      </c>
      <c r="S23" s="20">
        <v>0</v>
      </c>
      <c r="T23" s="20" t="s">
        <v>381</v>
      </c>
      <c r="U23" s="20">
        <v>0</v>
      </c>
      <c r="V23" s="20">
        <v>0</v>
      </c>
      <c r="W23" s="20">
        <v>0</v>
      </c>
      <c r="X23" s="20">
        <v>0</v>
      </c>
      <c r="Y23" s="20">
        <v>0</v>
      </c>
      <c r="Z23" s="20">
        <v>0</v>
      </c>
      <c r="AA23" s="20">
        <v>58025700</v>
      </c>
      <c r="AB23" s="20">
        <v>0</v>
      </c>
      <c r="AC23" s="20">
        <v>0</v>
      </c>
      <c r="AD23" s="20">
        <v>0</v>
      </c>
      <c r="AE23" s="20">
        <v>0</v>
      </c>
      <c r="AF23" s="20"/>
      <c r="AG23" s="20">
        <v>0</v>
      </c>
      <c r="AH23" s="20">
        <v>0</v>
      </c>
      <c r="AI23" s="20">
        <v>7000120</v>
      </c>
      <c r="AJ23" s="20">
        <v>0</v>
      </c>
      <c r="AK23" s="20">
        <v>0</v>
      </c>
      <c r="AL23" s="20">
        <v>0</v>
      </c>
      <c r="AM23" s="20">
        <v>0</v>
      </c>
      <c r="AN23" s="20">
        <v>0</v>
      </c>
      <c r="AO23" s="20">
        <v>0</v>
      </c>
      <c r="AP23" s="20">
        <v>0</v>
      </c>
      <c r="AQ23" s="20">
        <v>0</v>
      </c>
      <c r="AR23" s="20">
        <v>0</v>
      </c>
      <c r="AS23" s="20">
        <v>0</v>
      </c>
      <c r="AT23" s="20">
        <v>0</v>
      </c>
      <c r="AU23" s="20">
        <v>0</v>
      </c>
      <c r="AV23" s="20">
        <v>0</v>
      </c>
      <c r="AW23" s="20">
        <v>0</v>
      </c>
      <c r="AX23" s="20">
        <v>0</v>
      </c>
      <c r="AY23" s="20">
        <v>0</v>
      </c>
      <c r="AZ23" s="20">
        <v>0</v>
      </c>
      <c r="BA23" s="20">
        <v>1000000</v>
      </c>
      <c r="BB23" s="20">
        <v>0</v>
      </c>
      <c r="BC23" s="20">
        <v>0</v>
      </c>
      <c r="BD23" s="20">
        <v>0</v>
      </c>
      <c r="BE23" s="20">
        <v>0</v>
      </c>
      <c r="BF23" s="20" t="s">
        <v>381</v>
      </c>
      <c r="BG23" s="20">
        <v>0</v>
      </c>
      <c r="BH23" s="20">
        <v>7440000</v>
      </c>
      <c r="BI23" s="20">
        <v>540000</v>
      </c>
      <c r="BJ23" s="20">
        <v>0</v>
      </c>
      <c r="BK23" s="20">
        <v>0</v>
      </c>
      <c r="BL23" s="20">
        <v>0</v>
      </c>
      <c r="BM23" s="20">
        <v>0</v>
      </c>
      <c r="BN23" s="20">
        <v>0</v>
      </c>
      <c r="BO23" s="20">
        <v>0</v>
      </c>
      <c r="BP23" s="20">
        <v>0</v>
      </c>
      <c r="BQ23" s="20">
        <v>0</v>
      </c>
    </row>
    <row r="24" spans="1:70" ht="53.4" customHeight="1" x14ac:dyDescent="0.3">
      <c r="A24" s="54" t="s">
        <v>269</v>
      </c>
      <c r="B24" s="20">
        <v>757</v>
      </c>
      <c r="C24" s="20">
        <v>549</v>
      </c>
      <c r="D24" s="20">
        <v>2549812</v>
      </c>
      <c r="E24" s="20">
        <v>0</v>
      </c>
      <c r="F24" s="20">
        <v>136</v>
      </c>
      <c r="G24" s="20">
        <v>33113129</v>
      </c>
      <c r="H24" s="20">
        <v>0</v>
      </c>
      <c r="I24" s="20">
        <v>23522521</v>
      </c>
      <c r="J24" s="20">
        <v>9035359</v>
      </c>
      <c r="K24" s="20">
        <v>2669340</v>
      </c>
      <c r="L24" s="20">
        <v>0</v>
      </c>
      <c r="M24" s="20">
        <v>0</v>
      </c>
      <c r="N24" s="20">
        <v>0</v>
      </c>
      <c r="O24" s="20">
        <v>2669340</v>
      </c>
      <c r="P24" s="20">
        <v>0</v>
      </c>
      <c r="Q24" s="20">
        <v>0</v>
      </c>
      <c r="R24" s="20">
        <v>0</v>
      </c>
      <c r="S24" s="20">
        <v>0</v>
      </c>
      <c r="T24" s="20" t="s">
        <v>381</v>
      </c>
      <c r="U24" s="20">
        <v>5639059</v>
      </c>
      <c r="V24" s="20">
        <v>41201</v>
      </c>
      <c r="W24" s="20">
        <v>8573</v>
      </c>
      <c r="X24" s="20">
        <v>66373</v>
      </c>
      <c r="Y24" s="20">
        <v>24351</v>
      </c>
      <c r="Z24" s="20">
        <v>27204</v>
      </c>
      <c r="AA24" s="20">
        <v>94248</v>
      </c>
      <c r="AB24" s="20">
        <v>0</v>
      </c>
      <c r="AC24" s="20">
        <v>0</v>
      </c>
      <c r="AD24" s="20">
        <v>5073</v>
      </c>
      <c r="AE24" s="20">
        <v>0</v>
      </c>
      <c r="AF24" s="53">
        <v>119780</v>
      </c>
      <c r="AG24" s="20">
        <v>0</v>
      </c>
      <c r="AH24" s="20">
        <v>0</v>
      </c>
      <c r="AI24" s="20">
        <v>148484</v>
      </c>
      <c r="AJ24" s="20">
        <v>0</v>
      </c>
      <c r="AK24" s="20">
        <v>261336</v>
      </c>
      <c r="AL24" s="20">
        <v>409054</v>
      </c>
      <c r="AM24" s="20">
        <v>1722</v>
      </c>
      <c r="AN24" s="20">
        <v>93440</v>
      </c>
      <c r="AO24" s="20">
        <v>123449</v>
      </c>
      <c r="AP24" s="20">
        <v>0</v>
      </c>
      <c r="AQ24" s="20">
        <v>2399740</v>
      </c>
      <c r="AR24" s="20">
        <v>41396</v>
      </c>
      <c r="AS24" s="20">
        <v>15041</v>
      </c>
      <c r="AT24" s="20">
        <v>1637201</v>
      </c>
      <c r="AU24" s="20">
        <v>0</v>
      </c>
      <c r="AV24" s="20">
        <v>19197</v>
      </c>
      <c r="AW24" s="20">
        <v>0</v>
      </c>
      <c r="AX24" s="20">
        <v>45267</v>
      </c>
      <c r="AY24" s="20">
        <v>0</v>
      </c>
      <c r="AZ24" s="20">
        <v>0</v>
      </c>
      <c r="BA24" s="20">
        <v>0</v>
      </c>
      <c r="BB24" s="20">
        <v>0</v>
      </c>
      <c r="BC24" s="53">
        <v>19000</v>
      </c>
      <c r="BD24" s="20">
        <v>4500</v>
      </c>
      <c r="BE24" s="20">
        <v>153632</v>
      </c>
      <c r="BF24" s="20" t="s">
        <v>381</v>
      </c>
      <c r="BG24" s="20">
        <v>0</v>
      </c>
      <c r="BH24" s="20">
        <v>5376206</v>
      </c>
      <c r="BI24" s="20">
        <v>787568</v>
      </c>
      <c r="BJ24" s="20">
        <v>0</v>
      </c>
      <c r="BK24" s="20">
        <v>0</v>
      </c>
      <c r="BL24" s="20">
        <v>371647</v>
      </c>
      <c r="BM24" s="20">
        <v>69729</v>
      </c>
      <c r="BN24" s="20">
        <v>9886587</v>
      </c>
      <c r="BO24" s="20">
        <v>253582</v>
      </c>
      <c r="BP24" s="20">
        <v>0</v>
      </c>
      <c r="BQ24" s="20">
        <v>0</v>
      </c>
    </row>
    <row r="25" spans="1:70" ht="53.4" customHeight="1" x14ac:dyDescent="0.3">
      <c r="A25" s="54" t="s">
        <v>262</v>
      </c>
      <c r="B25" s="20">
        <v>672</v>
      </c>
      <c r="C25" s="20">
        <v>22</v>
      </c>
      <c r="D25" s="20">
        <v>16012289</v>
      </c>
      <c r="E25" s="20">
        <v>0</v>
      </c>
      <c r="F25" s="20">
        <v>0</v>
      </c>
      <c r="G25" s="20">
        <v>0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>
        <v>0</v>
      </c>
      <c r="N25" s="20">
        <v>0</v>
      </c>
      <c r="O25" s="20">
        <v>26289067</v>
      </c>
      <c r="P25" s="20">
        <v>0</v>
      </c>
      <c r="Q25" s="20">
        <v>0</v>
      </c>
      <c r="R25" s="20">
        <v>0</v>
      </c>
      <c r="S25" s="20">
        <v>0</v>
      </c>
      <c r="T25" s="20" t="s">
        <v>381</v>
      </c>
      <c r="U25" s="20">
        <v>0</v>
      </c>
      <c r="V25" s="20">
        <v>0</v>
      </c>
      <c r="W25" s="20">
        <v>307600</v>
      </c>
      <c r="X25" s="20">
        <v>0</v>
      </c>
      <c r="Y25" s="20">
        <v>0</v>
      </c>
      <c r="Z25" s="20">
        <v>2300000</v>
      </c>
      <c r="AA25" s="20">
        <v>0</v>
      </c>
      <c r="AB25" s="20">
        <v>0</v>
      </c>
      <c r="AC25" s="20">
        <v>0</v>
      </c>
      <c r="AD25" s="20">
        <v>0</v>
      </c>
      <c r="AE25" s="20">
        <v>0</v>
      </c>
      <c r="AF25" s="53">
        <v>208000</v>
      </c>
      <c r="AG25" s="20">
        <v>0</v>
      </c>
      <c r="AH25" s="20">
        <v>0</v>
      </c>
      <c r="AI25" s="20">
        <v>0</v>
      </c>
      <c r="AJ25" s="20">
        <v>0</v>
      </c>
      <c r="AK25" s="20">
        <v>1200000</v>
      </c>
      <c r="AL25" s="20">
        <v>1750000</v>
      </c>
      <c r="AM25" s="20">
        <v>0</v>
      </c>
      <c r="AN25" s="20">
        <v>0</v>
      </c>
      <c r="AO25" s="20">
        <v>0</v>
      </c>
      <c r="AP25" s="20">
        <v>488475</v>
      </c>
      <c r="AQ25" s="20">
        <v>0</v>
      </c>
      <c r="AR25" s="20">
        <v>0</v>
      </c>
      <c r="AS25" s="20">
        <v>0</v>
      </c>
      <c r="AT25" s="20">
        <v>0</v>
      </c>
      <c r="AU25" s="20">
        <v>0</v>
      </c>
      <c r="AV25" s="20">
        <v>0</v>
      </c>
      <c r="AW25" s="20">
        <v>0</v>
      </c>
      <c r="AX25" s="20">
        <v>3724173</v>
      </c>
      <c r="AY25" s="20">
        <v>558354</v>
      </c>
      <c r="AZ25" s="20">
        <v>0</v>
      </c>
      <c r="BA25" s="20">
        <v>0</v>
      </c>
      <c r="BB25" s="20">
        <v>1260720</v>
      </c>
      <c r="BC25" s="20">
        <v>0</v>
      </c>
      <c r="BD25" s="20">
        <v>0</v>
      </c>
      <c r="BE25" s="20">
        <v>0</v>
      </c>
      <c r="BF25" s="20" t="s">
        <v>381</v>
      </c>
      <c r="BG25" s="20">
        <v>0</v>
      </c>
      <c r="BH25" s="20">
        <v>5627892</v>
      </c>
      <c r="BI25" s="20">
        <v>0</v>
      </c>
      <c r="BJ25" s="20">
        <v>249600</v>
      </c>
      <c r="BK25" s="20">
        <v>0</v>
      </c>
      <c r="BL25" s="20">
        <v>1199884</v>
      </c>
      <c r="BM25" s="20">
        <v>657204</v>
      </c>
      <c r="BN25" s="20">
        <v>0</v>
      </c>
      <c r="BO25" s="20">
        <v>140700</v>
      </c>
      <c r="BP25" s="20">
        <v>92549</v>
      </c>
      <c r="BQ25" s="20">
        <v>0</v>
      </c>
    </row>
    <row r="26" spans="1:70" s="59" customFormat="1" ht="53.4" customHeight="1" x14ac:dyDescent="0.3">
      <c r="A26" s="58" t="s">
        <v>256</v>
      </c>
      <c r="B26" s="53"/>
      <c r="C26" s="53">
        <v>245</v>
      </c>
      <c r="D26" s="53">
        <v>19024434</v>
      </c>
      <c r="E26" s="53">
        <v>81</v>
      </c>
      <c r="F26" s="53">
        <v>65</v>
      </c>
      <c r="G26" s="53">
        <v>4544713</v>
      </c>
      <c r="H26" s="53">
        <v>19</v>
      </c>
      <c r="I26" s="53">
        <v>8088472</v>
      </c>
      <c r="J26" s="53">
        <v>4292303</v>
      </c>
      <c r="K26" s="53">
        <v>0</v>
      </c>
      <c r="L26" s="53">
        <v>0</v>
      </c>
      <c r="M26" s="53">
        <v>0</v>
      </c>
      <c r="N26" s="53">
        <v>0</v>
      </c>
      <c r="O26" s="53">
        <v>0</v>
      </c>
      <c r="P26" s="53">
        <v>0</v>
      </c>
      <c r="Q26" s="53">
        <v>0</v>
      </c>
      <c r="R26" s="53">
        <v>0</v>
      </c>
      <c r="S26" s="53">
        <v>0</v>
      </c>
      <c r="T26" s="53" t="s">
        <v>381</v>
      </c>
      <c r="U26" s="53">
        <v>39236</v>
      </c>
      <c r="V26" s="53">
        <v>4203637</v>
      </c>
      <c r="W26" s="53">
        <v>205029</v>
      </c>
      <c r="X26" s="53">
        <v>67278</v>
      </c>
      <c r="Y26" s="53">
        <v>13296.5</v>
      </c>
      <c r="Z26" s="53">
        <v>234722.5</v>
      </c>
      <c r="AA26" s="53">
        <v>17497</v>
      </c>
      <c r="AB26" s="53">
        <v>195446.5</v>
      </c>
      <c r="AC26" s="53">
        <v>3019459</v>
      </c>
      <c r="AD26" s="53">
        <v>7286548</v>
      </c>
      <c r="AE26" s="53">
        <v>7200923</v>
      </c>
      <c r="AF26" s="53">
        <v>85625</v>
      </c>
      <c r="AG26" s="53">
        <v>3258153.5</v>
      </c>
      <c r="AH26" s="53">
        <v>0</v>
      </c>
      <c r="AI26" s="53">
        <v>1093649.5</v>
      </c>
      <c r="AJ26" s="53">
        <v>0</v>
      </c>
      <c r="AK26" s="53">
        <v>148949</v>
      </c>
      <c r="AL26" s="53">
        <v>64968</v>
      </c>
      <c r="AM26" s="53">
        <v>26435.5</v>
      </c>
      <c r="AN26" s="53">
        <v>5508</v>
      </c>
      <c r="AO26" s="53">
        <v>108427</v>
      </c>
      <c r="AP26" s="53">
        <v>96064.5</v>
      </c>
      <c r="AQ26" s="53">
        <v>2182.5</v>
      </c>
      <c r="AR26" s="53">
        <v>1342501.5</v>
      </c>
      <c r="AS26" s="53">
        <v>14837.5</v>
      </c>
      <c r="AT26" s="53">
        <v>29264.5</v>
      </c>
      <c r="AU26" s="53">
        <v>10383</v>
      </c>
      <c r="AV26" s="53">
        <v>314983</v>
      </c>
      <c r="AW26" s="53">
        <v>1491632</v>
      </c>
      <c r="AX26" s="53">
        <v>1016593.5</v>
      </c>
      <c r="AY26" s="53">
        <v>177401.5</v>
      </c>
      <c r="AZ26" s="53">
        <v>0</v>
      </c>
      <c r="BA26" s="53">
        <v>0</v>
      </c>
      <c r="BB26" s="53">
        <v>0</v>
      </c>
      <c r="BC26" s="53">
        <v>9011.5</v>
      </c>
      <c r="BD26" s="53">
        <v>247913.5</v>
      </c>
      <c r="BE26" s="53">
        <v>40712</v>
      </c>
      <c r="BF26" s="53" t="s">
        <v>381</v>
      </c>
      <c r="BG26" s="53">
        <v>2634994</v>
      </c>
      <c r="BH26" s="53">
        <v>1561048.5</v>
      </c>
      <c r="BI26" s="53">
        <v>344400.5</v>
      </c>
      <c r="BJ26" s="53">
        <v>501027</v>
      </c>
      <c r="BK26" s="53">
        <v>0</v>
      </c>
      <c r="BL26" s="53">
        <v>192973.5</v>
      </c>
      <c r="BM26" s="53">
        <v>35544</v>
      </c>
      <c r="BN26" s="53">
        <v>652866.5</v>
      </c>
      <c r="BO26" s="53">
        <v>1040111</v>
      </c>
      <c r="BP26" s="53">
        <v>1051884</v>
      </c>
      <c r="BQ26" s="53">
        <v>25504662</v>
      </c>
      <c r="BR26" s="53"/>
    </row>
    <row r="27" spans="1:70" ht="53.4" customHeight="1" x14ac:dyDescent="0.3">
      <c r="A27" s="54" t="s">
        <v>263</v>
      </c>
      <c r="B27" s="20">
        <v>647</v>
      </c>
      <c r="C27" s="20">
        <v>111</v>
      </c>
      <c r="D27" s="20">
        <v>1103520</v>
      </c>
      <c r="E27" s="20">
        <v>66</v>
      </c>
      <c r="F27" s="20">
        <v>14</v>
      </c>
      <c r="G27" s="20">
        <v>576115</v>
      </c>
      <c r="H27" s="20">
        <v>34</v>
      </c>
      <c r="I27" s="20">
        <v>518598</v>
      </c>
      <c r="J27" s="20">
        <v>0</v>
      </c>
      <c r="K27" s="20">
        <v>0</v>
      </c>
      <c r="L27" s="20">
        <v>331478</v>
      </c>
      <c r="M27" s="20">
        <v>0</v>
      </c>
      <c r="N27" s="20">
        <v>0</v>
      </c>
      <c r="O27" s="20">
        <v>331478</v>
      </c>
      <c r="P27" s="20">
        <v>0</v>
      </c>
      <c r="Q27" s="20">
        <v>0</v>
      </c>
      <c r="R27" s="20">
        <v>0</v>
      </c>
      <c r="S27" s="20">
        <v>107440</v>
      </c>
      <c r="T27" s="20" t="s">
        <v>381</v>
      </c>
      <c r="U27" s="20">
        <v>0</v>
      </c>
      <c r="V27" s="20">
        <v>773</v>
      </c>
      <c r="W27" s="20">
        <v>775</v>
      </c>
      <c r="X27" s="53">
        <v>1676</v>
      </c>
      <c r="Y27" s="20">
        <v>2588</v>
      </c>
      <c r="Z27" s="20">
        <v>33716</v>
      </c>
      <c r="AA27" s="20">
        <v>15042</v>
      </c>
      <c r="AB27" s="20">
        <v>15856</v>
      </c>
      <c r="AC27" s="20">
        <v>9253</v>
      </c>
      <c r="AD27" s="20">
        <v>19482</v>
      </c>
      <c r="AE27" s="20">
        <v>0</v>
      </c>
      <c r="AF27" s="53">
        <v>19482</v>
      </c>
      <c r="AG27" s="20">
        <v>925826</v>
      </c>
      <c r="AH27" s="20">
        <v>0</v>
      </c>
      <c r="AI27" s="20">
        <v>0</v>
      </c>
      <c r="AJ27" s="20">
        <v>0</v>
      </c>
      <c r="AK27" s="20">
        <v>889173</v>
      </c>
      <c r="AL27" s="53">
        <v>3404</v>
      </c>
      <c r="AM27" s="20">
        <v>0</v>
      </c>
      <c r="AN27" s="20">
        <v>1778</v>
      </c>
      <c r="AO27" s="20">
        <v>1961</v>
      </c>
      <c r="AP27" s="20">
        <v>11278</v>
      </c>
      <c r="AQ27" s="20">
        <v>0</v>
      </c>
      <c r="AR27" s="20">
        <v>4844</v>
      </c>
      <c r="AS27" s="20">
        <v>0</v>
      </c>
      <c r="AT27" s="20">
        <v>0</v>
      </c>
      <c r="AU27" s="20">
        <v>0</v>
      </c>
      <c r="AV27" s="20">
        <v>13387</v>
      </c>
      <c r="AW27" s="53">
        <v>89845</v>
      </c>
      <c r="AX27" s="20">
        <v>9785</v>
      </c>
      <c r="AY27" s="20">
        <v>0</v>
      </c>
      <c r="AZ27" s="20">
        <v>0</v>
      </c>
      <c r="BA27" s="20">
        <v>0</v>
      </c>
      <c r="BB27" s="20">
        <v>69516</v>
      </c>
      <c r="BC27" s="20">
        <v>2850</v>
      </c>
      <c r="BD27" s="20">
        <v>814</v>
      </c>
      <c r="BE27" s="20">
        <v>6880</v>
      </c>
      <c r="BF27" s="20" t="s">
        <v>381</v>
      </c>
      <c r="BG27" s="20">
        <v>396515</v>
      </c>
      <c r="BH27" s="20">
        <v>324632</v>
      </c>
      <c r="BI27" s="20">
        <v>0</v>
      </c>
      <c r="BJ27" s="20">
        <v>14052</v>
      </c>
      <c r="BK27" s="20">
        <v>9788</v>
      </c>
      <c r="BL27" s="20">
        <v>27771</v>
      </c>
      <c r="BM27" s="20">
        <v>20271</v>
      </c>
      <c r="BN27" s="20">
        <v>8800</v>
      </c>
      <c r="BO27" s="20">
        <v>1286</v>
      </c>
      <c r="BP27" s="20">
        <v>63338</v>
      </c>
      <c r="BQ27" s="20">
        <v>0</v>
      </c>
    </row>
    <row r="28" spans="1:70" ht="53.4" customHeight="1" x14ac:dyDescent="0.3">
      <c r="A28" s="54" t="s">
        <v>310</v>
      </c>
      <c r="B28" s="20">
        <v>723</v>
      </c>
      <c r="C28" s="20">
        <v>11</v>
      </c>
      <c r="D28" s="20">
        <v>71755</v>
      </c>
      <c r="E28" s="20">
        <v>0</v>
      </c>
      <c r="F28" s="20">
        <v>0</v>
      </c>
      <c r="G28" s="20">
        <v>0</v>
      </c>
      <c r="H28" s="20">
        <v>0</v>
      </c>
      <c r="I28" s="20">
        <v>0</v>
      </c>
      <c r="J28" s="20">
        <v>0</v>
      </c>
      <c r="K28" s="20">
        <v>0</v>
      </c>
      <c r="L28" s="20">
        <v>0</v>
      </c>
      <c r="M28" s="20">
        <v>0</v>
      </c>
      <c r="N28" s="20">
        <v>0</v>
      </c>
      <c r="O28" s="20">
        <v>0</v>
      </c>
      <c r="P28" s="20">
        <v>0</v>
      </c>
      <c r="Q28" s="20">
        <v>0</v>
      </c>
      <c r="R28" s="20">
        <v>0</v>
      </c>
      <c r="S28" s="20">
        <v>0</v>
      </c>
      <c r="T28" s="20" t="s">
        <v>381</v>
      </c>
      <c r="U28" s="20">
        <v>95</v>
      </c>
      <c r="V28" s="20">
        <v>185</v>
      </c>
      <c r="W28" s="20">
        <v>2160</v>
      </c>
      <c r="X28" s="20">
        <v>0</v>
      </c>
      <c r="Y28" s="20">
        <v>115</v>
      </c>
      <c r="Z28" s="20">
        <v>0</v>
      </c>
      <c r="AA28" s="20">
        <v>29755</v>
      </c>
      <c r="AB28" s="20">
        <v>0</v>
      </c>
      <c r="AC28" s="20">
        <v>0</v>
      </c>
      <c r="AD28" s="20">
        <v>0</v>
      </c>
      <c r="AE28" s="20">
        <v>0</v>
      </c>
      <c r="AF28" s="53">
        <v>2445</v>
      </c>
      <c r="AG28" s="20">
        <v>0</v>
      </c>
      <c r="AH28" s="20">
        <v>0</v>
      </c>
      <c r="AI28" s="20">
        <v>4200</v>
      </c>
      <c r="AJ28" s="20">
        <v>0</v>
      </c>
      <c r="AK28" s="20">
        <v>27562</v>
      </c>
      <c r="AL28" s="20">
        <v>0</v>
      </c>
      <c r="AM28" s="20">
        <v>0</v>
      </c>
      <c r="AN28" s="20">
        <v>0</v>
      </c>
      <c r="AO28" s="20">
        <v>352</v>
      </c>
      <c r="AP28" s="20">
        <v>196</v>
      </c>
      <c r="AQ28" s="20">
        <v>0</v>
      </c>
      <c r="AR28" s="20">
        <v>0</v>
      </c>
      <c r="AS28" s="20">
        <v>0</v>
      </c>
      <c r="AT28" s="20">
        <v>0</v>
      </c>
      <c r="AU28" s="20">
        <v>0</v>
      </c>
      <c r="AV28" s="20">
        <v>2245</v>
      </c>
      <c r="AW28" s="20">
        <v>0</v>
      </c>
      <c r="AX28" s="20">
        <v>3251</v>
      </c>
      <c r="AY28" s="20">
        <v>0</v>
      </c>
      <c r="AZ28" s="20">
        <v>0</v>
      </c>
      <c r="BA28" s="20">
        <v>0</v>
      </c>
      <c r="BB28" s="20">
        <v>0</v>
      </c>
      <c r="BC28" s="20">
        <v>0</v>
      </c>
      <c r="BD28" s="20">
        <v>0</v>
      </c>
      <c r="BE28" s="20">
        <v>0</v>
      </c>
      <c r="BF28" s="20" t="s">
        <v>381</v>
      </c>
      <c r="BG28" s="20">
        <v>0</v>
      </c>
      <c r="BH28" s="20">
        <v>46798</v>
      </c>
      <c r="BI28" s="20">
        <v>0</v>
      </c>
      <c r="BJ28" s="20">
        <v>1997</v>
      </c>
      <c r="BK28" s="20">
        <v>0</v>
      </c>
      <c r="BL28" s="20">
        <v>1962</v>
      </c>
      <c r="BM28" s="20">
        <v>726</v>
      </c>
      <c r="BN28" s="20">
        <v>1192</v>
      </c>
      <c r="BO28" s="20">
        <v>211</v>
      </c>
      <c r="BP28" s="20">
        <v>0</v>
      </c>
      <c r="BQ28" s="20">
        <v>129809</v>
      </c>
    </row>
    <row r="29" spans="1:70" ht="53.4" customHeight="1" x14ac:dyDescent="0.3">
      <c r="A29" s="54" t="s">
        <v>201</v>
      </c>
      <c r="B29" s="20">
        <v>697</v>
      </c>
      <c r="C29" s="20">
        <v>65</v>
      </c>
      <c r="D29" s="20">
        <v>901846</v>
      </c>
      <c r="E29" s="20">
        <v>0</v>
      </c>
      <c r="F29" s="20">
        <v>7</v>
      </c>
      <c r="G29" s="20">
        <v>1068360</v>
      </c>
      <c r="H29" s="20">
        <v>0</v>
      </c>
      <c r="I29" s="20">
        <v>98550</v>
      </c>
      <c r="J29" s="20">
        <v>0</v>
      </c>
      <c r="K29" s="20">
        <v>20620</v>
      </c>
      <c r="L29" s="20">
        <v>0</v>
      </c>
      <c r="M29" s="20">
        <v>0</v>
      </c>
      <c r="N29" s="20">
        <v>0</v>
      </c>
      <c r="O29" s="20">
        <v>25910</v>
      </c>
      <c r="P29" s="20">
        <v>0</v>
      </c>
      <c r="Q29" s="20">
        <v>0</v>
      </c>
      <c r="R29" s="20">
        <v>0</v>
      </c>
      <c r="S29" s="20">
        <v>0</v>
      </c>
      <c r="T29" s="20" t="s">
        <v>381</v>
      </c>
      <c r="U29" s="20">
        <v>0</v>
      </c>
      <c r="V29" s="20">
        <v>507</v>
      </c>
      <c r="W29" s="20">
        <v>861</v>
      </c>
      <c r="X29" s="20">
        <v>0</v>
      </c>
      <c r="Y29" s="20">
        <v>218</v>
      </c>
      <c r="Z29" s="20">
        <v>5714</v>
      </c>
      <c r="AA29" s="20">
        <v>1120</v>
      </c>
      <c r="AB29" s="20">
        <v>15462</v>
      </c>
      <c r="AC29" s="20">
        <v>90</v>
      </c>
      <c r="AD29" s="20">
        <v>97402</v>
      </c>
      <c r="AE29" s="20">
        <v>95820</v>
      </c>
      <c r="AF29" s="53">
        <v>1581</v>
      </c>
      <c r="AG29" s="20">
        <v>410734</v>
      </c>
      <c r="AH29" s="20">
        <v>0</v>
      </c>
      <c r="AI29" s="20">
        <v>74572</v>
      </c>
      <c r="AJ29" s="20">
        <v>0</v>
      </c>
      <c r="AK29" s="20">
        <v>215</v>
      </c>
      <c r="AL29" s="20">
        <v>0</v>
      </c>
      <c r="AM29" s="20">
        <v>13712</v>
      </c>
      <c r="AN29" s="20">
        <v>20</v>
      </c>
      <c r="AO29" s="20">
        <v>801</v>
      </c>
      <c r="AP29" s="20">
        <v>52250</v>
      </c>
      <c r="AQ29" s="20">
        <v>0</v>
      </c>
      <c r="AR29" s="20">
        <v>143724</v>
      </c>
      <c r="AS29" s="20">
        <v>0</v>
      </c>
      <c r="AT29" s="20">
        <v>21462</v>
      </c>
      <c r="AU29" s="20">
        <v>68546</v>
      </c>
      <c r="AV29" s="20">
        <v>35419</v>
      </c>
      <c r="AW29" s="20">
        <v>6328</v>
      </c>
      <c r="AX29" s="20">
        <v>0</v>
      </c>
      <c r="AY29" s="20">
        <v>0</v>
      </c>
      <c r="AZ29" s="20">
        <v>0</v>
      </c>
      <c r="BA29" s="20">
        <v>0</v>
      </c>
      <c r="BB29" s="20">
        <v>0</v>
      </c>
      <c r="BC29" s="20">
        <v>526</v>
      </c>
      <c r="BD29" s="20">
        <v>102</v>
      </c>
      <c r="BE29" s="20">
        <v>5700</v>
      </c>
      <c r="BF29" s="20" t="s">
        <v>381</v>
      </c>
      <c r="BG29" s="20">
        <v>0</v>
      </c>
      <c r="BH29" s="20">
        <v>0</v>
      </c>
      <c r="BI29" s="20">
        <v>0</v>
      </c>
      <c r="BJ29" s="20">
        <v>0</v>
      </c>
      <c r="BK29" s="20">
        <v>0</v>
      </c>
      <c r="BL29" s="20">
        <v>0</v>
      </c>
      <c r="BM29" s="20">
        <v>0</v>
      </c>
      <c r="BN29" s="20">
        <v>196799</v>
      </c>
      <c r="BO29" s="20">
        <v>557875</v>
      </c>
      <c r="BP29" s="20">
        <v>0</v>
      </c>
      <c r="BQ29" s="20">
        <v>2135035</v>
      </c>
    </row>
    <row r="30" spans="1:70" ht="53.4" customHeight="1" x14ac:dyDescent="0.3">
      <c r="A30" s="54" t="s">
        <v>127</v>
      </c>
      <c r="B30" s="20">
        <v>607</v>
      </c>
      <c r="C30" s="20">
        <v>0</v>
      </c>
      <c r="D30" s="20">
        <v>0</v>
      </c>
      <c r="E30" s="20">
        <v>0</v>
      </c>
      <c r="F30" s="20">
        <v>0</v>
      </c>
      <c r="G30" s="20">
        <v>0</v>
      </c>
      <c r="H30" s="20">
        <v>0</v>
      </c>
      <c r="I30" s="20">
        <v>35978</v>
      </c>
      <c r="J30" s="20">
        <v>1488</v>
      </c>
      <c r="K30" s="20">
        <v>15537</v>
      </c>
      <c r="L30" s="20">
        <v>0</v>
      </c>
      <c r="M30" s="20">
        <v>0</v>
      </c>
      <c r="N30" s="53">
        <v>2053</v>
      </c>
      <c r="O30" s="20">
        <v>14915</v>
      </c>
      <c r="P30" s="20">
        <v>0</v>
      </c>
      <c r="Q30" s="20">
        <v>619</v>
      </c>
      <c r="R30" s="20">
        <v>0</v>
      </c>
      <c r="S30" s="20">
        <v>0</v>
      </c>
      <c r="T30" s="20" t="s">
        <v>381</v>
      </c>
      <c r="U30" s="20">
        <v>82</v>
      </c>
      <c r="V30" s="20">
        <v>2423</v>
      </c>
      <c r="W30" s="20">
        <v>0</v>
      </c>
      <c r="X30" s="20">
        <v>0</v>
      </c>
      <c r="Y30" s="53">
        <v>1578</v>
      </c>
      <c r="Z30" s="20">
        <v>1778</v>
      </c>
      <c r="AA30" s="20">
        <v>7370</v>
      </c>
      <c r="AB30" s="20">
        <v>5962</v>
      </c>
      <c r="AC30" s="20">
        <v>1338</v>
      </c>
      <c r="AD30" s="20">
        <v>3484</v>
      </c>
      <c r="AE30" s="20">
        <v>1760</v>
      </c>
      <c r="AF30" s="53">
        <v>1724</v>
      </c>
      <c r="AG30" s="20">
        <v>23514</v>
      </c>
      <c r="AH30" s="20">
        <v>1240</v>
      </c>
      <c r="AI30" s="20">
        <v>5709</v>
      </c>
      <c r="AJ30" s="20">
        <v>0</v>
      </c>
      <c r="AK30" s="20">
        <v>584</v>
      </c>
      <c r="AL30" s="20">
        <v>2629</v>
      </c>
      <c r="AM30" s="20">
        <v>0</v>
      </c>
      <c r="AN30" s="20">
        <v>93</v>
      </c>
      <c r="AO30" s="20">
        <v>680</v>
      </c>
      <c r="AP30" s="20">
        <v>89</v>
      </c>
      <c r="AQ30" s="20">
        <v>0</v>
      </c>
      <c r="AR30" s="20">
        <v>8779</v>
      </c>
      <c r="AS30" s="20">
        <v>126</v>
      </c>
      <c r="AT30" s="20">
        <v>682</v>
      </c>
      <c r="AU30" s="20">
        <v>12</v>
      </c>
      <c r="AV30" s="20">
        <v>2893</v>
      </c>
      <c r="AW30" s="20">
        <v>9091</v>
      </c>
      <c r="AX30" s="20">
        <v>1411216</v>
      </c>
      <c r="AY30" s="20">
        <v>0</v>
      </c>
      <c r="AZ30" s="20">
        <v>0</v>
      </c>
      <c r="BA30" s="20">
        <v>0</v>
      </c>
      <c r="BB30" s="20">
        <v>7240</v>
      </c>
      <c r="BC30" s="20">
        <v>0</v>
      </c>
      <c r="BD30" s="20">
        <v>-34</v>
      </c>
      <c r="BE30" s="20">
        <v>474</v>
      </c>
      <c r="BF30" s="20" t="s">
        <v>381</v>
      </c>
      <c r="BG30" s="20">
        <v>21602</v>
      </c>
      <c r="BH30" s="20">
        <v>9907</v>
      </c>
      <c r="BI30" s="20">
        <v>8235</v>
      </c>
      <c r="BJ30" s="20">
        <v>2923</v>
      </c>
      <c r="BK30" s="20">
        <v>0</v>
      </c>
      <c r="BL30" s="20">
        <v>537</v>
      </c>
      <c r="BM30" s="20">
        <v>0</v>
      </c>
      <c r="BN30" s="20">
        <v>49140</v>
      </c>
      <c r="BO30" s="20">
        <v>46727</v>
      </c>
      <c r="BP30" s="20">
        <v>0</v>
      </c>
      <c r="BQ30" s="20">
        <v>189537</v>
      </c>
    </row>
    <row r="31" spans="1:70" ht="53.4" customHeight="1" x14ac:dyDescent="0.3">
      <c r="A31" s="54" t="s">
        <v>384</v>
      </c>
      <c r="B31" s="20">
        <v>774</v>
      </c>
      <c r="C31" s="20">
        <v>40</v>
      </c>
      <c r="D31" s="20">
        <v>0</v>
      </c>
      <c r="E31" s="20">
        <v>0</v>
      </c>
      <c r="F31" s="20">
        <v>6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0">
        <v>0</v>
      </c>
      <c r="N31" s="20">
        <v>0</v>
      </c>
      <c r="O31" s="20">
        <v>0</v>
      </c>
      <c r="P31" s="20">
        <v>0</v>
      </c>
      <c r="Q31" s="20">
        <v>0</v>
      </c>
      <c r="R31" s="20">
        <v>0</v>
      </c>
      <c r="S31" s="20">
        <v>0</v>
      </c>
      <c r="T31" s="20" t="s">
        <v>381</v>
      </c>
      <c r="U31" s="20">
        <v>10716</v>
      </c>
      <c r="V31" s="20">
        <v>0</v>
      </c>
      <c r="W31" s="20">
        <v>0</v>
      </c>
      <c r="X31" s="20">
        <v>0</v>
      </c>
      <c r="Y31" s="20">
        <v>0</v>
      </c>
      <c r="Z31" s="20">
        <v>860000</v>
      </c>
      <c r="AA31" s="20">
        <v>41310335</v>
      </c>
      <c r="AB31" s="20">
        <v>0</v>
      </c>
      <c r="AC31" s="20">
        <v>0</v>
      </c>
      <c r="AD31" s="20">
        <v>0</v>
      </c>
      <c r="AE31" s="20">
        <v>0</v>
      </c>
      <c r="AF31" s="20"/>
      <c r="AG31" s="20">
        <v>0</v>
      </c>
      <c r="AH31" s="20">
        <v>0</v>
      </c>
      <c r="AI31" s="20">
        <v>40000</v>
      </c>
      <c r="AJ31" s="20">
        <v>0</v>
      </c>
      <c r="AK31" s="20">
        <v>0</v>
      </c>
      <c r="AL31" s="20">
        <v>0</v>
      </c>
      <c r="AM31" s="20">
        <v>0</v>
      </c>
      <c r="AN31" s="20">
        <v>0</v>
      </c>
      <c r="AO31" s="20">
        <v>0</v>
      </c>
      <c r="AP31" s="20">
        <v>376424</v>
      </c>
      <c r="AQ31" s="20">
        <v>0</v>
      </c>
      <c r="AR31" s="20">
        <v>6000000</v>
      </c>
      <c r="AS31" s="20">
        <v>0</v>
      </c>
      <c r="AT31" s="20">
        <v>0</v>
      </c>
      <c r="AU31" s="20">
        <v>0</v>
      </c>
      <c r="AV31" s="20">
        <v>1301400</v>
      </c>
      <c r="AW31" s="20">
        <v>0</v>
      </c>
      <c r="AX31" s="20">
        <v>0</v>
      </c>
      <c r="AY31" s="20">
        <v>1003500</v>
      </c>
      <c r="AZ31" s="20">
        <v>0</v>
      </c>
      <c r="BA31" s="20">
        <v>1822500</v>
      </c>
      <c r="BB31" s="20">
        <v>0</v>
      </c>
      <c r="BC31" s="20">
        <v>0</v>
      </c>
      <c r="BD31" s="20">
        <v>0</v>
      </c>
      <c r="BE31" s="20">
        <v>0</v>
      </c>
      <c r="BF31" s="20" t="s">
        <v>381</v>
      </c>
      <c r="BG31" s="20">
        <v>0</v>
      </c>
      <c r="BH31" s="20">
        <v>0</v>
      </c>
      <c r="BI31" s="20">
        <v>0</v>
      </c>
      <c r="BJ31" s="20">
        <v>0</v>
      </c>
      <c r="BK31" s="20">
        <v>0</v>
      </c>
      <c r="BL31" s="20">
        <v>0</v>
      </c>
      <c r="BM31" s="20">
        <v>0</v>
      </c>
      <c r="BN31" s="20">
        <v>0</v>
      </c>
      <c r="BO31" s="20">
        <v>0</v>
      </c>
      <c r="BP31" s="20">
        <v>0</v>
      </c>
      <c r="BQ31" s="20">
        <v>52724875</v>
      </c>
    </row>
    <row r="32" spans="1:70" ht="53.4" customHeight="1" x14ac:dyDescent="0.3">
      <c r="A32" s="56" t="s">
        <v>199</v>
      </c>
      <c r="B32" s="20">
        <v>735</v>
      </c>
      <c r="C32" s="20">
        <v>0</v>
      </c>
      <c r="D32" s="20">
        <v>0</v>
      </c>
      <c r="E32" s="20">
        <v>0</v>
      </c>
      <c r="F32" s="20">
        <v>0</v>
      </c>
      <c r="G32" s="20">
        <v>0</v>
      </c>
      <c r="H32" s="20">
        <v>0</v>
      </c>
      <c r="I32" s="20">
        <v>16613</v>
      </c>
      <c r="J32" s="20">
        <v>0</v>
      </c>
      <c r="K32" s="20">
        <v>0</v>
      </c>
      <c r="L32" s="20">
        <v>0</v>
      </c>
      <c r="M32" s="20">
        <v>0</v>
      </c>
      <c r="N32" s="20">
        <v>0</v>
      </c>
      <c r="O32" s="20">
        <v>0</v>
      </c>
      <c r="P32" s="20">
        <v>0</v>
      </c>
      <c r="Q32" s="20">
        <v>0</v>
      </c>
      <c r="R32" s="20">
        <v>0</v>
      </c>
      <c r="S32" s="20">
        <v>0</v>
      </c>
      <c r="T32" s="20" t="s">
        <v>381</v>
      </c>
      <c r="U32" s="20">
        <v>0</v>
      </c>
      <c r="V32" s="20">
        <v>0</v>
      </c>
      <c r="W32" s="20">
        <v>0</v>
      </c>
      <c r="X32" s="20">
        <v>0</v>
      </c>
      <c r="Y32" s="20">
        <v>0</v>
      </c>
      <c r="Z32" s="20">
        <v>0</v>
      </c>
      <c r="AA32" s="20">
        <v>0</v>
      </c>
      <c r="AB32" s="20">
        <v>0</v>
      </c>
      <c r="AC32" s="20">
        <v>0</v>
      </c>
      <c r="AD32" s="20">
        <v>18578</v>
      </c>
      <c r="AE32" s="20">
        <v>0</v>
      </c>
      <c r="AF32" s="20"/>
      <c r="AG32" s="20">
        <v>57583</v>
      </c>
      <c r="AH32" s="20">
        <v>0</v>
      </c>
      <c r="AI32" s="20">
        <v>0</v>
      </c>
      <c r="AJ32" s="20">
        <v>0</v>
      </c>
      <c r="AK32" s="20">
        <v>0</v>
      </c>
      <c r="AL32" s="20">
        <v>0</v>
      </c>
      <c r="AM32" s="20">
        <v>0</v>
      </c>
      <c r="AN32" s="20">
        <v>0</v>
      </c>
      <c r="AO32" s="20">
        <v>0</v>
      </c>
      <c r="AP32" s="20">
        <v>0</v>
      </c>
      <c r="AQ32" s="20">
        <v>0</v>
      </c>
      <c r="AR32" s="20">
        <v>0</v>
      </c>
      <c r="AS32" s="20">
        <v>0</v>
      </c>
      <c r="AT32" s="20">
        <v>0</v>
      </c>
      <c r="AU32" s="20">
        <v>62372</v>
      </c>
      <c r="AV32" s="20">
        <v>0</v>
      </c>
      <c r="AW32" s="20">
        <v>4433</v>
      </c>
      <c r="AX32" s="20">
        <v>0</v>
      </c>
      <c r="AY32" s="20">
        <v>0</v>
      </c>
      <c r="AZ32" s="20">
        <v>0</v>
      </c>
      <c r="BA32" s="20">
        <v>0</v>
      </c>
      <c r="BB32" s="20">
        <v>0</v>
      </c>
      <c r="BC32" s="20">
        <v>0</v>
      </c>
      <c r="BD32" s="20">
        <v>0</v>
      </c>
      <c r="BE32" s="20">
        <v>0</v>
      </c>
      <c r="BF32" s="20" t="s">
        <v>381</v>
      </c>
      <c r="BG32" s="20">
        <v>95670</v>
      </c>
      <c r="BH32" s="20">
        <v>0</v>
      </c>
      <c r="BI32" s="20">
        <v>0</v>
      </c>
      <c r="BJ32" s="20">
        <v>0</v>
      </c>
      <c r="BK32" s="20">
        <v>0</v>
      </c>
      <c r="BL32" s="20">
        <v>0</v>
      </c>
      <c r="BM32" s="20">
        <v>0</v>
      </c>
      <c r="BN32" s="20">
        <v>0</v>
      </c>
      <c r="BO32" s="20">
        <v>0</v>
      </c>
      <c r="BP32" s="20">
        <v>0</v>
      </c>
      <c r="BQ32" s="20">
        <v>255249</v>
      </c>
    </row>
    <row r="33" spans="1:69" ht="53.4" customHeight="1" x14ac:dyDescent="0.3">
      <c r="A33" s="54" t="s">
        <v>117</v>
      </c>
      <c r="B33" s="20">
        <v>625</v>
      </c>
      <c r="C33" s="20">
        <v>695</v>
      </c>
      <c r="D33" s="20">
        <v>0</v>
      </c>
      <c r="E33" s="53">
        <v>18</v>
      </c>
      <c r="F33" s="20">
        <v>468</v>
      </c>
      <c r="G33" s="20">
        <v>0</v>
      </c>
      <c r="H33" s="53">
        <v>82</v>
      </c>
      <c r="I33" s="20">
        <v>153164437</v>
      </c>
      <c r="J33" s="20">
        <v>70780155</v>
      </c>
      <c r="K33" s="53">
        <v>63705260</v>
      </c>
      <c r="L33" s="20">
        <v>0</v>
      </c>
      <c r="M33" s="20">
        <v>0</v>
      </c>
      <c r="N33" s="20">
        <v>0</v>
      </c>
      <c r="O33" s="20">
        <v>10643146</v>
      </c>
      <c r="P33" s="20">
        <v>0</v>
      </c>
      <c r="Q33" s="20">
        <v>0</v>
      </c>
      <c r="R33" s="20">
        <v>12633899</v>
      </c>
      <c r="S33" s="20">
        <v>40428215</v>
      </c>
      <c r="T33" s="20" t="s">
        <v>381</v>
      </c>
      <c r="U33" s="20">
        <v>420318</v>
      </c>
      <c r="V33" s="20">
        <v>5529697</v>
      </c>
      <c r="W33" s="20">
        <v>-618051</v>
      </c>
      <c r="X33" s="20">
        <v>123191</v>
      </c>
      <c r="Y33" s="20">
        <v>0</v>
      </c>
      <c r="Z33" s="20">
        <v>0</v>
      </c>
      <c r="AA33" s="20">
        <v>13223867</v>
      </c>
      <c r="AB33" s="20">
        <v>0</v>
      </c>
      <c r="AC33" s="20">
        <v>0</v>
      </c>
      <c r="AD33" s="20">
        <v>39016949</v>
      </c>
      <c r="AE33" s="20">
        <v>39016949</v>
      </c>
      <c r="AF33" s="20"/>
      <c r="AG33" s="20">
        <v>36365852</v>
      </c>
      <c r="AH33" s="20">
        <v>0</v>
      </c>
      <c r="AI33" s="20">
        <v>5278036</v>
      </c>
      <c r="AJ33" s="20">
        <v>0</v>
      </c>
      <c r="AK33" s="20">
        <v>16907013</v>
      </c>
      <c r="AL33" s="20">
        <v>4052454</v>
      </c>
      <c r="AM33" s="20">
        <v>0</v>
      </c>
      <c r="AN33" s="20">
        <v>31958</v>
      </c>
      <c r="AO33" s="20">
        <v>374390</v>
      </c>
      <c r="AP33" s="20">
        <v>423934</v>
      </c>
      <c r="AQ33" s="20">
        <v>0</v>
      </c>
      <c r="AR33" s="20">
        <v>7814292</v>
      </c>
      <c r="AS33" s="20">
        <v>10425</v>
      </c>
      <c r="AT33" s="20">
        <v>0</v>
      </c>
      <c r="AU33" s="20">
        <v>0</v>
      </c>
      <c r="AV33" s="20">
        <v>1473349</v>
      </c>
      <c r="AW33" s="20">
        <v>250283</v>
      </c>
      <c r="AX33" s="20">
        <v>0</v>
      </c>
      <c r="AY33" s="20">
        <v>0</v>
      </c>
      <c r="AZ33" s="20">
        <v>0</v>
      </c>
      <c r="BA33" s="20">
        <v>0</v>
      </c>
      <c r="BB33" s="20">
        <v>0</v>
      </c>
      <c r="BC33" s="20">
        <v>1273</v>
      </c>
      <c r="BD33" s="20">
        <v>249010</v>
      </c>
      <c r="BE33" s="20">
        <v>0</v>
      </c>
      <c r="BF33" s="20" t="s">
        <v>381</v>
      </c>
      <c r="BG33" s="20">
        <v>26501303</v>
      </c>
      <c r="BH33" s="20">
        <v>14887086</v>
      </c>
      <c r="BI33" s="20">
        <v>3436006</v>
      </c>
      <c r="BJ33" s="20">
        <v>3298269</v>
      </c>
      <c r="BK33" s="20">
        <v>0</v>
      </c>
      <c r="BL33" s="20">
        <v>1025323</v>
      </c>
      <c r="BM33" s="20">
        <v>3854620</v>
      </c>
      <c r="BN33" s="20">
        <v>498081</v>
      </c>
      <c r="BO33" s="20">
        <v>31962489</v>
      </c>
      <c r="BP33" s="20">
        <v>0</v>
      </c>
      <c r="BQ33" s="20">
        <v>287759393</v>
      </c>
    </row>
    <row r="34" spans="1:69" ht="53.4" customHeight="1" x14ac:dyDescent="0.3">
      <c r="A34" s="54" t="s">
        <v>184</v>
      </c>
      <c r="B34" s="20">
        <v>660</v>
      </c>
      <c r="C34" s="20">
        <v>0</v>
      </c>
      <c r="D34" s="20">
        <v>2180444</v>
      </c>
      <c r="E34" s="20">
        <v>0</v>
      </c>
      <c r="F34" s="20">
        <v>0</v>
      </c>
      <c r="G34" s="20">
        <v>164088</v>
      </c>
      <c r="H34" s="20">
        <v>0</v>
      </c>
      <c r="I34" s="20">
        <v>382205</v>
      </c>
      <c r="J34" s="20">
        <v>0</v>
      </c>
      <c r="K34" s="20">
        <v>0</v>
      </c>
      <c r="L34" s="20">
        <v>0</v>
      </c>
      <c r="M34" s="20">
        <v>0</v>
      </c>
      <c r="N34" s="20">
        <v>0</v>
      </c>
      <c r="O34" s="20">
        <v>0</v>
      </c>
      <c r="P34" s="20">
        <v>0</v>
      </c>
      <c r="Q34" s="20">
        <v>0</v>
      </c>
      <c r="R34" s="20">
        <v>0</v>
      </c>
      <c r="S34" s="20">
        <v>0</v>
      </c>
      <c r="T34" s="20" t="s">
        <v>381</v>
      </c>
      <c r="U34" s="20">
        <v>0</v>
      </c>
      <c r="V34" s="20">
        <v>0</v>
      </c>
      <c r="W34" s="20">
        <v>0</v>
      </c>
      <c r="X34" s="20">
        <v>0</v>
      </c>
      <c r="Y34" s="20">
        <v>0</v>
      </c>
      <c r="Z34" s="20">
        <v>0</v>
      </c>
      <c r="AA34" s="20">
        <v>0</v>
      </c>
      <c r="AB34" s="20">
        <v>0</v>
      </c>
      <c r="AC34" s="20">
        <v>0</v>
      </c>
      <c r="AD34" s="20">
        <v>52177</v>
      </c>
      <c r="AE34" s="20">
        <v>0</v>
      </c>
      <c r="AF34" s="20"/>
      <c r="AG34" s="20">
        <v>1903358</v>
      </c>
      <c r="AH34" s="20">
        <v>0</v>
      </c>
      <c r="AI34" s="20">
        <v>0</v>
      </c>
      <c r="AJ34" s="20">
        <v>0</v>
      </c>
      <c r="AK34" s="20">
        <v>0</v>
      </c>
      <c r="AL34" s="20">
        <v>0</v>
      </c>
      <c r="AM34" s="20">
        <v>0</v>
      </c>
      <c r="AN34" s="20">
        <v>0</v>
      </c>
      <c r="AO34" s="20">
        <v>0</v>
      </c>
      <c r="AP34" s="20">
        <v>0</v>
      </c>
      <c r="AQ34" s="20">
        <v>0</v>
      </c>
      <c r="AR34" s="20">
        <v>0</v>
      </c>
      <c r="AS34" s="20">
        <v>0</v>
      </c>
      <c r="AT34" s="20">
        <v>0</v>
      </c>
      <c r="AU34" s="20">
        <v>0</v>
      </c>
      <c r="AV34" s="20">
        <v>0</v>
      </c>
      <c r="AW34" s="20">
        <v>32779</v>
      </c>
      <c r="AX34" s="20">
        <v>0</v>
      </c>
      <c r="AY34" s="20">
        <v>0</v>
      </c>
      <c r="AZ34" s="20">
        <v>0</v>
      </c>
      <c r="BA34" s="20">
        <v>0</v>
      </c>
      <c r="BB34" s="20">
        <v>0</v>
      </c>
      <c r="BC34" s="20">
        <v>0</v>
      </c>
      <c r="BD34" s="20">
        <v>0</v>
      </c>
      <c r="BE34" s="20">
        <v>0</v>
      </c>
      <c r="BF34" s="20" t="s">
        <v>381</v>
      </c>
      <c r="BG34" s="20">
        <v>593086</v>
      </c>
      <c r="BH34" s="20">
        <v>0</v>
      </c>
      <c r="BI34" s="20">
        <v>0</v>
      </c>
      <c r="BJ34" s="20">
        <v>0</v>
      </c>
      <c r="BK34" s="20">
        <v>0</v>
      </c>
      <c r="BL34" s="20">
        <v>0</v>
      </c>
      <c r="BM34" s="20">
        <v>0</v>
      </c>
      <c r="BN34" s="20">
        <v>0</v>
      </c>
      <c r="BO34" s="20">
        <v>8609</v>
      </c>
      <c r="BP34" s="20">
        <v>0</v>
      </c>
      <c r="BQ34" s="20">
        <v>2972213</v>
      </c>
    </row>
    <row r="35" spans="1:69" ht="53.4" customHeight="1" x14ac:dyDescent="0.3">
      <c r="A35" s="54" t="s">
        <v>259</v>
      </c>
      <c r="B35" s="20">
        <v>689</v>
      </c>
      <c r="C35" s="20">
        <v>687</v>
      </c>
      <c r="D35" s="20">
        <v>863089</v>
      </c>
      <c r="E35" s="20">
        <v>0</v>
      </c>
      <c r="F35" s="20">
        <v>0</v>
      </c>
      <c r="G35" s="20">
        <v>0</v>
      </c>
      <c r="H35" s="20">
        <v>0</v>
      </c>
      <c r="I35" s="20">
        <v>3110358</v>
      </c>
      <c r="J35" s="20">
        <v>2553</v>
      </c>
      <c r="K35" s="20">
        <v>130470</v>
      </c>
      <c r="L35" s="20">
        <v>0</v>
      </c>
      <c r="M35" s="20">
        <v>88</v>
      </c>
      <c r="N35" s="20">
        <v>50192</v>
      </c>
      <c r="O35" s="20">
        <v>72735</v>
      </c>
      <c r="P35" s="20">
        <v>0</v>
      </c>
      <c r="Q35" s="20">
        <v>7456</v>
      </c>
      <c r="R35" s="20">
        <v>0</v>
      </c>
      <c r="S35" s="20">
        <v>0</v>
      </c>
      <c r="T35" s="20" t="s">
        <v>381</v>
      </c>
      <c r="U35" s="20">
        <v>0</v>
      </c>
      <c r="V35" s="20">
        <v>160</v>
      </c>
      <c r="W35" s="20">
        <v>479</v>
      </c>
      <c r="X35" s="20">
        <v>2485</v>
      </c>
      <c r="Y35" s="20">
        <v>170251</v>
      </c>
      <c r="Z35" s="20">
        <v>25388</v>
      </c>
      <c r="AA35" s="20">
        <v>1907</v>
      </c>
      <c r="AB35" s="20">
        <v>53289</v>
      </c>
      <c r="AC35" s="20">
        <v>3781</v>
      </c>
      <c r="AD35" s="20">
        <v>7875</v>
      </c>
      <c r="AE35" s="20">
        <v>1432</v>
      </c>
      <c r="AF35" s="53">
        <v>6443</v>
      </c>
      <c r="AG35" s="20">
        <v>54419</v>
      </c>
      <c r="AH35" s="20">
        <v>0</v>
      </c>
      <c r="AI35" s="20">
        <v>29416</v>
      </c>
      <c r="AJ35" s="20">
        <v>0</v>
      </c>
      <c r="AK35" s="20">
        <v>5715</v>
      </c>
      <c r="AL35" s="20">
        <v>121</v>
      </c>
      <c r="AM35" s="20">
        <v>0</v>
      </c>
      <c r="AN35" s="20">
        <v>0</v>
      </c>
      <c r="AO35" s="20">
        <v>595</v>
      </c>
      <c r="AP35" s="20">
        <v>0</v>
      </c>
      <c r="AQ35" s="20">
        <v>54100</v>
      </c>
      <c r="AR35" s="20">
        <v>11557</v>
      </c>
      <c r="AS35" s="20">
        <v>0</v>
      </c>
      <c r="AT35" s="20">
        <v>0</v>
      </c>
      <c r="AU35" s="20">
        <v>0</v>
      </c>
      <c r="AV35" s="20">
        <v>1200</v>
      </c>
      <c r="AW35" s="20">
        <v>208540</v>
      </c>
      <c r="AX35" s="20">
        <v>173961</v>
      </c>
      <c r="AY35" s="20">
        <v>32051</v>
      </c>
      <c r="AZ35" s="20">
        <v>0</v>
      </c>
      <c r="BA35" s="20">
        <v>0</v>
      </c>
      <c r="BB35" s="20">
        <v>0</v>
      </c>
      <c r="BC35" s="20">
        <v>0</v>
      </c>
      <c r="BD35" s="20">
        <v>2528</v>
      </c>
      <c r="BE35" s="20">
        <v>0</v>
      </c>
      <c r="BF35" s="20" t="s">
        <v>381</v>
      </c>
      <c r="BG35" s="20">
        <v>167753</v>
      </c>
      <c r="BH35" s="20">
        <v>160207</v>
      </c>
      <c r="BI35" s="20">
        <v>0</v>
      </c>
      <c r="BJ35" s="20">
        <v>0</v>
      </c>
      <c r="BK35" s="20">
        <v>0</v>
      </c>
      <c r="BL35" s="20">
        <v>7493</v>
      </c>
      <c r="BM35" s="20">
        <v>0</v>
      </c>
      <c r="BN35" s="20">
        <v>2492</v>
      </c>
      <c r="BO35" s="20">
        <v>4366</v>
      </c>
      <c r="BP35" s="20">
        <v>4817</v>
      </c>
      <c r="BQ35" s="20">
        <v>809582</v>
      </c>
    </row>
    <row r="36" spans="1:69" ht="53.4" customHeight="1" x14ac:dyDescent="0.3">
      <c r="A36" s="54" t="s">
        <v>217</v>
      </c>
      <c r="B36" s="20">
        <v>675</v>
      </c>
      <c r="C36" s="20">
        <v>285</v>
      </c>
      <c r="D36" s="20">
        <v>677282</v>
      </c>
      <c r="E36" s="20">
        <v>0</v>
      </c>
      <c r="F36" s="20">
        <v>33</v>
      </c>
      <c r="G36" s="20">
        <v>0</v>
      </c>
      <c r="H36" s="20">
        <v>0</v>
      </c>
      <c r="I36" s="20">
        <v>677282</v>
      </c>
      <c r="J36" s="20">
        <v>0</v>
      </c>
      <c r="K36" s="20">
        <v>0</v>
      </c>
      <c r="L36" s="20">
        <v>0</v>
      </c>
      <c r="M36" s="20">
        <v>0</v>
      </c>
      <c r="N36" s="20">
        <v>62186</v>
      </c>
      <c r="O36" s="21"/>
      <c r="P36" s="20">
        <v>0</v>
      </c>
      <c r="Q36" s="20">
        <v>0</v>
      </c>
      <c r="R36" s="20">
        <v>0</v>
      </c>
      <c r="S36" s="20">
        <v>0</v>
      </c>
      <c r="T36" s="20" t="s">
        <v>381</v>
      </c>
      <c r="U36" s="20">
        <v>352160</v>
      </c>
      <c r="V36" s="20">
        <v>601813</v>
      </c>
      <c r="W36" s="20">
        <v>1352628</v>
      </c>
      <c r="X36" s="20">
        <v>0</v>
      </c>
      <c r="Y36" s="20">
        <v>0</v>
      </c>
      <c r="Z36" s="20">
        <v>0</v>
      </c>
      <c r="AA36" s="20">
        <v>0</v>
      </c>
      <c r="AB36" s="20">
        <v>0</v>
      </c>
      <c r="AC36" s="20">
        <v>969851</v>
      </c>
      <c r="AD36" s="20">
        <v>5272218</v>
      </c>
      <c r="AE36" s="20">
        <v>0</v>
      </c>
      <c r="AF36" s="20"/>
      <c r="AG36" s="20">
        <v>0</v>
      </c>
      <c r="AH36" s="20">
        <v>0</v>
      </c>
      <c r="AI36" s="20">
        <v>13071132</v>
      </c>
      <c r="AJ36" s="21"/>
      <c r="AK36" s="20">
        <v>0</v>
      </c>
      <c r="AL36" s="20">
        <v>378186</v>
      </c>
      <c r="AM36" s="21"/>
      <c r="AN36" s="20">
        <v>0</v>
      </c>
      <c r="AO36" s="53">
        <v>458100</v>
      </c>
      <c r="AP36" s="53">
        <v>3232618</v>
      </c>
      <c r="AQ36" s="20">
        <v>0</v>
      </c>
      <c r="AR36" s="20">
        <v>0</v>
      </c>
      <c r="AS36" s="20">
        <v>0</v>
      </c>
      <c r="AT36" s="20">
        <v>0</v>
      </c>
      <c r="AU36" s="20">
        <v>0</v>
      </c>
      <c r="AV36" s="20">
        <v>0</v>
      </c>
      <c r="AW36" s="20">
        <v>248822</v>
      </c>
      <c r="AX36" s="20">
        <v>0</v>
      </c>
      <c r="AY36" s="20">
        <v>0</v>
      </c>
      <c r="AZ36" s="20">
        <v>0</v>
      </c>
      <c r="BA36" s="20">
        <v>0</v>
      </c>
      <c r="BB36" s="20">
        <v>0</v>
      </c>
      <c r="BC36" s="20">
        <v>0</v>
      </c>
      <c r="BD36" s="20">
        <v>0</v>
      </c>
      <c r="BE36" s="20">
        <v>0</v>
      </c>
      <c r="BF36" s="20" t="s">
        <v>381</v>
      </c>
      <c r="BG36" s="20">
        <v>615365</v>
      </c>
      <c r="BH36" s="20">
        <v>0</v>
      </c>
      <c r="BI36" s="20">
        <v>0</v>
      </c>
      <c r="BJ36" s="20">
        <v>0</v>
      </c>
      <c r="BK36" s="20">
        <v>0</v>
      </c>
      <c r="BL36" s="20">
        <v>56478558</v>
      </c>
      <c r="BM36" s="20">
        <v>6562080</v>
      </c>
      <c r="BN36" s="20">
        <v>0</v>
      </c>
      <c r="BO36" s="20">
        <v>0</v>
      </c>
      <c r="BP36" s="20">
        <v>0</v>
      </c>
      <c r="BQ36" s="20">
        <v>1692385</v>
      </c>
    </row>
    <row r="37" spans="1:69" ht="53.4" customHeight="1" x14ac:dyDescent="0.3">
      <c r="A37" s="54" t="s">
        <v>75</v>
      </c>
      <c r="B37" s="20">
        <v>772</v>
      </c>
      <c r="C37" s="20">
        <v>30</v>
      </c>
      <c r="D37" s="20">
        <v>0</v>
      </c>
      <c r="E37" s="53">
        <v>88</v>
      </c>
      <c r="F37" s="20">
        <v>4</v>
      </c>
      <c r="G37" s="20">
        <v>0</v>
      </c>
      <c r="H37" s="53">
        <v>12</v>
      </c>
      <c r="I37" s="20">
        <v>0</v>
      </c>
      <c r="J37" s="20">
        <v>2508400</v>
      </c>
      <c r="K37" s="20">
        <v>0</v>
      </c>
      <c r="L37" s="20">
        <v>0</v>
      </c>
      <c r="M37" s="20">
        <v>0</v>
      </c>
      <c r="N37" s="20">
        <v>1153168</v>
      </c>
      <c r="O37" s="20">
        <v>14272089</v>
      </c>
      <c r="P37" s="20">
        <v>0</v>
      </c>
      <c r="Q37" s="20">
        <v>0</v>
      </c>
      <c r="R37" s="20">
        <v>0</v>
      </c>
      <c r="S37" s="20">
        <v>0</v>
      </c>
      <c r="T37" s="20" t="s">
        <v>381</v>
      </c>
      <c r="U37" s="20">
        <v>1426895</v>
      </c>
      <c r="V37" s="20">
        <v>0</v>
      </c>
      <c r="W37" s="20">
        <v>0</v>
      </c>
      <c r="X37" s="20">
        <v>0</v>
      </c>
      <c r="Y37" s="20">
        <v>0</v>
      </c>
      <c r="Z37" s="20">
        <v>4664697</v>
      </c>
      <c r="AA37" s="20">
        <v>41683630</v>
      </c>
      <c r="AB37" s="20">
        <v>0</v>
      </c>
      <c r="AC37" s="20">
        <v>1289697</v>
      </c>
      <c r="AD37" s="20">
        <v>0</v>
      </c>
      <c r="AE37" s="20">
        <v>0</v>
      </c>
      <c r="AF37" s="20"/>
      <c r="AG37" s="20">
        <v>0</v>
      </c>
      <c r="AH37" s="20">
        <v>22218417</v>
      </c>
      <c r="AI37" s="20">
        <v>17465948</v>
      </c>
      <c r="AJ37" s="20">
        <v>0</v>
      </c>
      <c r="AK37" s="20">
        <v>1678672</v>
      </c>
      <c r="AL37" s="20">
        <v>571384</v>
      </c>
      <c r="AM37" s="20">
        <v>0</v>
      </c>
      <c r="AN37" s="20">
        <v>0</v>
      </c>
      <c r="AO37" s="20">
        <v>107000</v>
      </c>
      <c r="AP37" s="20">
        <v>1920070</v>
      </c>
      <c r="AQ37" s="20">
        <v>0</v>
      </c>
      <c r="AR37" s="53">
        <v>14600791</v>
      </c>
      <c r="AS37" s="20">
        <v>0</v>
      </c>
      <c r="AT37" s="20">
        <v>0</v>
      </c>
      <c r="AU37" s="20">
        <v>88072536</v>
      </c>
      <c r="AV37" s="20">
        <v>0</v>
      </c>
      <c r="AW37" s="20">
        <v>0</v>
      </c>
      <c r="AX37" s="20">
        <v>0</v>
      </c>
      <c r="AY37" s="20">
        <v>25000</v>
      </c>
      <c r="AZ37" s="20">
        <v>0</v>
      </c>
      <c r="BA37" s="20">
        <v>22745914</v>
      </c>
      <c r="BB37" s="20">
        <v>0</v>
      </c>
      <c r="BC37" s="20">
        <v>0</v>
      </c>
      <c r="BD37" s="20">
        <v>0</v>
      </c>
      <c r="BE37" s="20">
        <v>0</v>
      </c>
      <c r="BF37" s="20" t="s">
        <v>381</v>
      </c>
      <c r="BG37" s="20">
        <v>0</v>
      </c>
      <c r="BH37" s="20">
        <v>0</v>
      </c>
      <c r="BI37" s="20">
        <v>0</v>
      </c>
      <c r="BJ37" s="20">
        <v>0</v>
      </c>
      <c r="BK37" s="20">
        <v>0</v>
      </c>
      <c r="BL37" s="20">
        <v>0</v>
      </c>
      <c r="BM37" s="20">
        <v>0</v>
      </c>
      <c r="BN37" s="20">
        <v>0</v>
      </c>
      <c r="BO37" s="20">
        <v>19553447</v>
      </c>
      <c r="BP37" s="20">
        <v>0</v>
      </c>
      <c r="BQ37" s="20">
        <v>255488655</v>
      </c>
    </row>
    <row r="38" spans="1:69" ht="53.4" customHeight="1" x14ac:dyDescent="0.3">
      <c r="A38" s="54" t="s">
        <v>53</v>
      </c>
      <c r="B38" s="20">
        <v>679</v>
      </c>
      <c r="C38" s="20">
        <v>1</v>
      </c>
      <c r="D38" s="20">
        <v>5501</v>
      </c>
      <c r="E38" s="20">
        <v>5</v>
      </c>
      <c r="F38" s="20">
        <v>2</v>
      </c>
      <c r="G38" s="20">
        <v>991064</v>
      </c>
      <c r="H38" s="20">
        <v>95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  <c r="T38" s="20" t="s">
        <v>381</v>
      </c>
      <c r="U38" s="20">
        <v>0</v>
      </c>
      <c r="V38" s="20">
        <v>0</v>
      </c>
      <c r="W38" s="20">
        <v>0</v>
      </c>
      <c r="X38" s="20">
        <v>0</v>
      </c>
      <c r="Y38" s="20">
        <v>0</v>
      </c>
      <c r="Z38" s="20">
        <v>0</v>
      </c>
      <c r="AA38" s="20">
        <v>0</v>
      </c>
      <c r="AB38" s="20">
        <v>0</v>
      </c>
      <c r="AC38" s="20">
        <v>0</v>
      </c>
      <c r="AD38" s="20">
        <v>0</v>
      </c>
      <c r="AE38" s="20">
        <v>0</v>
      </c>
      <c r="AF38" s="20"/>
      <c r="AG38" s="20">
        <v>0</v>
      </c>
      <c r="AH38" s="20">
        <v>0</v>
      </c>
      <c r="AI38" s="20">
        <v>0</v>
      </c>
      <c r="AJ38" s="20">
        <v>0</v>
      </c>
      <c r="AK38" s="20">
        <v>0</v>
      </c>
      <c r="AL38" s="20">
        <v>0</v>
      </c>
      <c r="AM38" s="20">
        <v>0</v>
      </c>
      <c r="AN38" s="20">
        <v>0</v>
      </c>
      <c r="AO38" s="20">
        <v>0</v>
      </c>
      <c r="AP38" s="20">
        <v>0</v>
      </c>
      <c r="AQ38" s="20">
        <v>0</v>
      </c>
      <c r="AR38" s="20">
        <v>0</v>
      </c>
      <c r="AS38" s="20">
        <v>0</v>
      </c>
      <c r="AT38" s="20">
        <v>0</v>
      </c>
      <c r="AU38" s="20">
        <v>0</v>
      </c>
      <c r="AV38" s="20">
        <v>0</v>
      </c>
      <c r="AW38" s="20">
        <v>0</v>
      </c>
      <c r="AX38" s="20">
        <v>0</v>
      </c>
      <c r="AY38" s="20">
        <v>0</v>
      </c>
      <c r="AZ38" s="20">
        <v>0</v>
      </c>
      <c r="BA38" s="20">
        <v>0</v>
      </c>
      <c r="BB38" s="20">
        <v>0</v>
      </c>
      <c r="BC38" s="20">
        <v>0</v>
      </c>
      <c r="BD38" s="20">
        <v>0</v>
      </c>
      <c r="BE38" s="20">
        <v>0</v>
      </c>
      <c r="BF38" s="20" t="s">
        <v>381</v>
      </c>
      <c r="BG38" s="20">
        <v>0</v>
      </c>
      <c r="BH38" s="20">
        <v>0</v>
      </c>
      <c r="BI38" s="20">
        <v>0</v>
      </c>
      <c r="BJ38" s="20">
        <v>0</v>
      </c>
      <c r="BK38" s="20">
        <v>0</v>
      </c>
      <c r="BL38" s="20">
        <v>0</v>
      </c>
      <c r="BM38" s="20">
        <v>0</v>
      </c>
      <c r="BN38" s="20">
        <v>0</v>
      </c>
      <c r="BO38" s="20">
        <v>0</v>
      </c>
      <c r="BP38" s="20">
        <v>0</v>
      </c>
      <c r="BQ38" s="20">
        <v>0</v>
      </c>
    </row>
    <row r="39" spans="1:69" ht="53.4" customHeight="1" x14ac:dyDescent="0.3">
      <c r="A39" s="54" t="s">
        <v>33</v>
      </c>
      <c r="B39" s="20">
        <v>712</v>
      </c>
      <c r="C39" s="20">
        <v>203</v>
      </c>
      <c r="D39" s="20">
        <v>97672545</v>
      </c>
      <c r="E39" s="20">
        <v>90</v>
      </c>
      <c r="F39" s="20">
        <v>109</v>
      </c>
      <c r="G39" s="20">
        <v>10447418</v>
      </c>
      <c r="H39" s="20">
        <v>10</v>
      </c>
      <c r="I39" s="20">
        <v>38514891</v>
      </c>
      <c r="J39" s="20">
        <v>12554821</v>
      </c>
      <c r="K39" s="20">
        <v>23759523</v>
      </c>
      <c r="L39" s="20">
        <v>0</v>
      </c>
      <c r="M39" s="20">
        <v>0</v>
      </c>
      <c r="N39" s="20">
        <v>0</v>
      </c>
      <c r="O39" s="20">
        <v>22888571</v>
      </c>
      <c r="P39" s="20">
        <v>0</v>
      </c>
      <c r="Q39" s="20">
        <v>870952</v>
      </c>
      <c r="R39" s="20">
        <v>0</v>
      </c>
      <c r="S39" s="20">
        <v>0</v>
      </c>
      <c r="T39" s="20" t="s">
        <v>381</v>
      </c>
      <c r="U39" s="20">
        <v>127793</v>
      </c>
      <c r="V39" s="20">
        <v>3968</v>
      </c>
      <c r="W39" s="20">
        <v>5749</v>
      </c>
      <c r="X39" s="20">
        <v>0</v>
      </c>
      <c r="Y39" s="20">
        <v>0</v>
      </c>
      <c r="Z39" s="20">
        <v>1312334</v>
      </c>
      <c r="AA39" s="20">
        <v>619941</v>
      </c>
      <c r="AB39" s="20">
        <v>13274</v>
      </c>
      <c r="AC39" s="20">
        <v>117486</v>
      </c>
      <c r="AD39" s="20">
        <v>1342385</v>
      </c>
      <c r="AE39" s="20">
        <v>437968</v>
      </c>
      <c r="AF39" s="53">
        <v>904417</v>
      </c>
      <c r="AG39" s="20">
        <v>59443916</v>
      </c>
      <c r="AH39" s="20">
        <v>53958338</v>
      </c>
      <c r="AI39" s="20">
        <v>230665</v>
      </c>
      <c r="AJ39" s="20">
        <v>0</v>
      </c>
      <c r="AK39" s="20">
        <v>9912</v>
      </c>
      <c r="AL39" s="20">
        <v>444032</v>
      </c>
      <c r="AM39" s="20">
        <v>0</v>
      </c>
      <c r="AN39" s="20">
        <v>73541</v>
      </c>
      <c r="AO39" s="20">
        <v>96765</v>
      </c>
      <c r="AP39" s="20">
        <v>157950</v>
      </c>
      <c r="AQ39" s="20">
        <v>0</v>
      </c>
      <c r="AR39" s="20">
        <v>1865798</v>
      </c>
      <c r="AS39" s="20">
        <v>32009</v>
      </c>
      <c r="AT39" s="20">
        <v>203501</v>
      </c>
      <c r="AU39" s="20">
        <v>1356127</v>
      </c>
      <c r="AV39" s="20">
        <v>1015279</v>
      </c>
      <c r="AW39" s="20">
        <v>12045232</v>
      </c>
      <c r="AX39" s="20">
        <v>3678058</v>
      </c>
      <c r="AY39" s="20">
        <v>868795</v>
      </c>
      <c r="AZ39" s="20">
        <v>0</v>
      </c>
      <c r="BA39" s="20">
        <v>0</v>
      </c>
      <c r="BB39" s="20">
        <v>7080042</v>
      </c>
      <c r="BC39" s="20">
        <v>9324</v>
      </c>
      <c r="BD39" s="20">
        <v>0</v>
      </c>
      <c r="BE39" s="20">
        <v>409013</v>
      </c>
      <c r="BF39" s="20" t="s">
        <v>381</v>
      </c>
      <c r="BG39" s="20">
        <v>7414530</v>
      </c>
      <c r="BH39" s="20">
        <v>3632245</v>
      </c>
      <c r="BI39" s="20">
        <v>3391564</v>
      </c>
      <c r="BJ39" s="20">
        <v>154043</v>
      </c>
      <c r="BK39" s="20">
        <v>67101</v>
      </c>
      <c r="BL39" s="20">
        <v>121923</v>
      </c>
      <c r="BM39" s="20">
        <v>47655</v>
      </c>
      <c r="BN39" s="20">
        <v>8615661</v>
      </c>
      <c r="BO39" s="20">
        <v>3212140</v>
      </c>
      <c r="BP39" s="20">
        <v>3261215</v>
      </c>
      <c r="BQ39" s="20">
        <v>133849970</v>
      </c>
    </row>
    <row r="40" spans="1:69" ht="53.4" customHeight="1" x14ac:dyDescent="0.3">
      <c r="A40" s="54" t="s">
        <v>105</v>
      </c>
      <c r="B40" s="20">
        <v>761</v>
      </c>
      <c r="C40" s="20">
        <v>0</v>
      </c>
      <c r="D40" s="20">
        <v>0</v>
      </c>
      <c r="E40" s="20">
        <v>0</v>
      </c>
      <c r="F40" s="20">
        <v>0</v>
      </c>
      <c r="G40" s="20">
        <v>0</v>
      </c>
      <c r="H40" s="20">
        <v>0</v>
      </c>
      <c r="I40" s="20">
        <v>171371</v>
      </c>
      <c r="J40" s="20">
        <v>134696</v>
      </c>
      <c r="K40" s="20">
        <v>0</v>
      </c>
      <c r="L40" s="20">
        <v>0</v>
      </c>
      <c r="M40" s="20">
        <v>0</v>
      </c>
      <c r="N40" s="20">
        <v>0</v>
      </c>
      <c r="O40" s="20">
        <v>0</v>
      </c>
      <c r="P40" s="20">
        <v>0</v>
      </c>
      <c r="Q40" s="20">
        <v>0</v>
      </c>
      <c r="R40" s="20">
        <v>0</v>
      </c>
      <c r="S40" s="20">
        <v>0</v>
      </c>
      <c r="T40" s="20" t="s">
        <v>381</v>
      </c>
      <c r="U40" s="20">
        <v>0</v>
      </c>
      <c r="V40" s="20">
        <v>265</v>
      </c>
      <c r="W40" s="20">
        <v>19200</v>
      </c>
      <c r="X40" s="20">
        <v>2998</v>
      </c>
      <c r="Y40" s="20">
        <v>1675</v>
      </c>
      <c r="Z40" s="20">
        <v>0</v>
      </c>
      <c r="AA40" s="20">
        <v>12452</v>
      </c>
      <c r="AB40" s="20">
        <v>0</v>
      </c>
      <c r="AC40" s="20">
        <v>0</v>
      </c>
      <c r="AD40" s="20">
        <v>6715</v>
      </c>
      <c r="AE40" s="20">
        <v>0</v>
      </c>
      <c r="AF40" s="20"/>
      <c r="AG40" s="20">
        <v>55482</v>
      </c>
      <c r="AH40" s="20">
        <v>0</v>
      </c>
      <c r="AI40" s="20">
        <v>0</v>
      </c>
      <c r="AJ40" s="20">
        <v>0</v>
      </c>
      <c r="AK40" s="20">
        <v>30138</v>
      </c>
      <c r="AL40" s="20">
        <v>1542</v>
      </c>
      <c r="AM40" s="20">
        <v>21</v>
      </c>
      <c r="AN40" s="20">
        <v>0</v>
      </c>
      <c r="AO40" s="20">
        <v>1946</v>
      </c>
      <c r="AP40" s="20">
        <v>1179</v>
      </c>
      <c r="AQ40" s="20">
        <v>0</v>
      </c>
      <c r="AR40" s="20">
        <v>12663</v>
      </c>
      <c r="AS40" s="20">
        <v>1693</v>
      </c>
      <c r="AT40" s="20">
        <v>0</v>
      </c>
      <c r="AU40" s="20">
        <v>0</v>
      </c>
      <c r="AV40" s="20">
        <v>6300</v>
      </c>
      <c r="AW40" s="20">
        <v>3021</v>
      </c>
      <c r="AX40" s="20">
        <v>0</v>
      </c>
      <c r="AY40" s="20">
        <v>0</v>
      </c>
      <c r="AZ40" s="20">
        <v>0</v>
      </c>
      <c r="BA40" s="20">
        <v>0</v>
      </c>
      <c r="BB40" s="20">
        <v>0</v>
      </c>
      <c r="BC40" s="20">
        <v>1113</v>
      </c>
      <c r="BD40" s="20">
        <v>800</v>
      </c>
      <c r="BE40" s="20">
        <v>1108</v>
      </c>
      <c r="BF40" s="20" t="s">
        <v>381</v>
      </c>
      <c r="BG40" s="20">
        <v>272027</v>
      </c>
      <c r="BH40" s="20">
        <v>239046</v>
      </c>
      <c r="BI40" s="20">
        <v>0</v>
      </c>
      <c r="BJ40" s="20">
        <v>11760</v>
      </c>
      <c r="BK40" s="20">
        <v>12309</v>
      </c>
      <c r="BL40" s="20">
        <v>8912</v>
      </c>
      <c r="BM40" s="20">
        <v>2862</v>
      </c>
      <c r="BN40" s="20">
        <v>127</v>
      </c>
      <c r="BO40" s="20">
        <v>21880</v>
      </c>
      <c r="BP40" s="20">
        <v>533485</v>
      </c>
      <c r="BQ40" s="20">
        <v>0</v>
      </c>
    </row>
    <row r="41" spans="1:69" ht="53.4" customHeight="1" x14ac:dyDescent="0.3">
      <c r="A41" s="54" t="s">
        <v>50</v>
      </c>
      <c r="B41" s="20">
        <v>688</v>
      </c>
      <c r="C41" s="20">
        <v>7</v>
      </c>
      <c r="D41" s="20">
        <v>476499488</v>
      </c>
      <c r="E41" s="20">
        <v>0</v>
      </c>
      <c r="F41" s="20">
        <v>1</v>
      </c>
      <c r="G41" s="20">
        <v>118287000</v>
      </c>
      <c r="H41" s="20">
        <v>0</v>
      </c>
      <c r="I41" s="20">
        <v>161851</v>
      </c>
      <c r="J41" s="20">
        <v>0</v>
      </c>
      <c r="K41" s="20">
        <v>0</v>
      </c>
      <c r="L41" s="20">
        <v>0</v>
      </c>
      <c r="M41" s="20">
        <v>0</v>
      </c>
      <c r="N41" s="20">
        <v>0</v>
      </c>
      <c r="O41" s="20">
        <v>75973</v>
      </c>
      <c r="P41" s="20">
        <v>0</v>
      </c>
      <c r="Q41" s="20">
        <v>0</v>
      </c>
      <c r="R41" s="20">
        <v>0</v>
      </c>
      <c r="S41" s="20">
        <v>0</v>
      </c>
      <c r="T41" s="20" t="s">
        <v>381</v>
      </c>
      <c r="U41" s="20">
        <v>73</v>
      </c>
      <c r="V41" s="20">
        <v>0</v>
      </c>
      <c r="W41" s="20">
        <v>0</v>
      </c>
      <c r="X41" s="20">
        <v>0</v>
      </c>
      <c r="Y41" s="20">
        <v>0</v>
      </c>
      <c r="Z41" s="20">
        <v>13204</v>
      </c>
      <c r="AA41" s="20">
        <v>63730</v>
      </c>
      <c r="AB41" s="20">
        <v>3672</v>
      </c>
      <c r="AC41" s="20">
        <v>5199</v>
      </c>
      <c r="AD41" s="20">
        <v>0</v>
      </c>
      <c r="AE41" s="20">
        <v>0</v>
      </c>
      <c r="AF41" s="20"/>
      <c r="AG41" s="20">
        <v>584152</v>
      </c>
      <c r="AH41" s="20">
        <v>583084</v>
      </c>
      <c r="AI41" s="20">
        <v>400</v>
      </c>
      <c r="AJ41" s="20">
        <v>0</v>
      </c>
      <c r="AK41" s="20">
        <v>468</v>
      </c>
      <c r="AL41" s="20">
        <v>0</v>
      </c>
      <c r="AM41" s="20">
        <v>0</v>
      </c>
      <c r="AN41" s="20">
        <v>0</v>
      </c>
      <c r="AO41" s="20">
        <v>0</v>
      </c>
      <c r="AP41" s="20">
        <v>0</v>
      </c>
      <c r="AQ41" s="20">
        <v>200</v>
      </c>
      <c r="AR41" s="20">
        <v>0</v>
      </c>
      <c r="AS41" s="20">
        <v>0</v>
      </c>
      <c r="AT41" s="20">
        <v>0</v>
      </c>
      <c r="AU41" s="20">
        <v>0</v>
      </c>
      <c r="AV41" s="20">
        <v>25265</v>
      </c>
      <c r="AW41" s="20">
        <v>0</v>
      </c>
      <c r="AX41" s="20">
        <v>0</v>
      </c>
      <c r="AY41" s="20">
        <v>0</v>
      </c>
      <c r="AZ41" s="20">
        <v>0</v>
      </c>
      <c r="BA41" s="20">
        <v>1600</v>
      </c>
      <c r="BB41" s="20">
        <v>0</v>
      </c>
      <c r="BC41" s="20">
        <v>0</v>
      </c>
      <c r="BD41" s="20">
        <v>0</v>
      </c>
      <c r="BE41" s="20">
        <v>0</v>
      </c>
      <c r="BF41" s="20" t="s">
        <v>381</v>
      </c>
      <c r="BG41" s="20">
        <v>109993</v>
      </c>
      <c r="BH41" s="20">
        <v>109562</v>
      </c>
      <c r="BI41" s="20">
        <v>0</v>
      </c>
      <c r="BJ41" s="20">
        <v>0</v>
      </c>
      <c r="BK41" s="20">
        <v>0</v>
      </c>
      <c r="BL41" s="20">
        <v>431</v>
      </c>
      <c r="BM41" s="20">
        <v>0</v>
      </c>
      <c r="BN41" s="20">
        <v>0</v>
      </c>
      <c r="BO41" s="20">
        <v>0</v>
      </c>
      <c r="BP41" s="20">
        <v>0</v>
      </c>
      <c r="BQ41" s="20">
        <v>883111</v>
      </c>
    </row>
    <row r="42" spans="1:69" ht="53.4" customHeight="1" x14ac:dyDescent="0.3">
      <c r="A42" s="33" t="s">
        <v>255</v>
      </c>
      <c r="B42" s="20">
        <v>663</v>
      </c>
      <c r="C42" s="20">
        <v>0</v>
      </c>
      <c r="D42" s="20">
        <v>0</v>
      </c>
      <c r="E42" s="20">
        <v>0</v>
      </c>
      <c r="F42" s="20">
        <v>0</v>
      </c>
      <c r="G42" s="20">
        <v>0</v>
      </c>
      <c r="H42" s="20">
        <v>0</v>
      </c>
      <c r="I42" s="20">
        <v>0</v>
      </c>
      <c r="J42" s="20">
        <v>0</v>
      </c>
      <c r="K42" s="20">
        <v>0</v>
      </c>
      <c r="L42" s="20">
        <v>0</v>
      </c>
      <c r="M42" s="20">
        <v>0</v>
      </c>
      <c r="N42" s="20">
        <v>0</v>
      </c>
      <c r="O42" s="20">
        <v>0</v>
      </c>
      <c r="P42" s="20">
        <v>0</v>
      </c>
      <c r="Q42" s="20">
        <v>0</v>
      </c>
      <c r="R42" s="20">
        <v>0</v>
      </c>
      <c r="S42" s="20">
        <v>0</v>
      </c>
      <c r="T42" s="20" t="s">
        <v>381</v>
      </c>
      <c r="U42" s="20">
        <v>0</v>
      </c>
      <c r="V42" s="20">
        <v>0</v>
      </c>
      <c r="W42" s="20">
        <v>0</v>
      </c>
      <c r="X42" s="20">
        <v>0</v>
      </c>
      <c r="Y42" s="20">
        <v>0</v>
      </c>
      <c r="Z42" s="20">
        <v>0</v>
      </c>
      <c r="AA42" s="20">
        <v>0</v>
      </c>
      <c r="AB42" s="20">
        <v>0</v>
      </c>
      <c r="AC42" s="20">
        <v>0</v>
      </c>
      <c r="AD42" s="20">
        <v>0</v>
      </c>
      <c r="AE42" s="20">
        <v>0</v>
      </c>
      <c r="AF42" s="20"/>
      <c r="AG42" s="20">
        <v>0</v>
      </c>
      <c r="AH42" s="20">
        <v>0</v>
      </c>
      <c r="AI42" s="20">
        <v>0</v>
      </c>
      <c r="AJ42" s="20">
        <v>0</v>
      </c>
      <c r="AK42" s="20">
        <v>0</v>
      </c>
      <c r="AL42" s="20">
        <v>0</v>
      </c>
      <c r="AM42" s="20">
        <v>0</v>
      </c>
      <c r="AN42" s="20">
        <v>0</v>
      </c>
      <c r="AO42" s="20">
        <v>0</v>
      </c>
      <c r="AP42" s="20">
        <v>0</v>
      </c>
      <c r="AQ42" s="20">
        <v>0</v>
      </c>
      <c r="AR42" s="20">
        <v>0</v>
      </c>
      <c r="AS42" s="20">
        <v>0</v>
      </c>
      <c r="AT42" s="20">
        <v>0</v>
      </c>
      <c r="AU42" s="20">
        <v>0</v>
      </c>
      <c r="AV42" s="20">
        <v>0</v>
      </c>
      <c r="AW42" s="20">
        <v>0</v>
      </c>
      <c r="AX42" s="20">
        <v>0</v>
      </c>
      <c r="AY42" s="20">
        <v>0</v>
      </c>
      <c r="AZ42" s="20">
        <v>0</v>
      </c>
      <c r="BA42" s="20">
        <v>0</v>
      </c>
      <c r="BB42" s="20">
        <v>0</v>
      </c>
      <c r="BC42" s="20">
        <v>0</v>
      </c>
      <c r="BD42" s="20">
        <v>0</v>
      </c>
      <c r="BE42" s="20">
        <v>0</v>
      </c>
      <c r="BF42" s="20" t="s">
        <v>381</v>
      </c>
      <c r="BG42" s="20">
        <v>0</v>
      </c>
      <c r="BH42" s="20">
        <v>0</v>
      </c>
      <c r="BI42" s="20">
        <v>0</v>
      </c>
      <c r="BJ42" s="20">
        <v>0</v>
      </c>
      <c r="BK42" s="20">
        <v>0</v>
      </c>
      <c r="BL42" s="20">
        <v>0</v>
      </c>
      <c r="BM42" s="20">
        <v>0</v>
      </c>
      <c r="BN42" s="20">
        <v>0</v>
      </c>
      <c r="BO42" s="20">
        <v>0</v>
      </c>
      <c r="BP42" s="20">
        <v>0</v>
      </c>
      <c r="BQ42" s="20">
        <v>0</v>
      </c>
    </row>
    <row r="43" spans="1:69" ht="53.4" customHeight="1" x14ac:dyDescent="0.3">
      <c r="A43" s="54" t="s">
        <v>60</v>
      </c>
      <c r="B43" s="20">
        <v>677</v>
      </c>
      <c r="C43" s="20">
        <v>266</v>
      </c>
      <c r="D43" s="20">
        <v>205386</v>
      </c>
      <c r="E43" s="20">
        <v>70</v>
      </c>
      <c r="F43" s="20">
        <v>273</v>
      </c>
      <c r="G43" s="20">
        <v>87075</v>
      </c>
      <c r="H43" s="20">
        <v>30</v>
      </c>
      <c r="I43" s="20">
        <v>69968</v>
      </c>
      <c r="J43" s="20">
        <v>31102</v>
      </c>
      <c r="K43" s="20">
        <v>0</v>
      </c>
      <c r="L43" s="20">
        <v>17</v>
      </c>
      <c r="M43" s="20">
        <v>0</v>
      </c>
      <c r="N43" s="20">
        <v>17817</v>
      </c>
      <c r="O43" s="20">
        <v>0</v>
      </c>
      <c r="P43" s="20">
        <v>12136</v>
      </c>
      <c r="Q43" s="20">
        <v>2644</v>
      </c>
      <c r="R43" s="20">
        <v>0</v>
      </c>
      <c r="S43" s="20">
        <v>0</v>
      </c>
      <c r="T43" s="20" t="s">
        <v>381</v>
      </c>
      <c r="U43" s="20">
        <v>98</v>
      </c>
      <c r="V43" s="20">
        <v>0</v>
      </c>
      <c r="W43" s="20">
        <v>19</v>
      </c>
      <c r="X43" s="20">
        <v>0</v>
      </c>
      <c r="Y43" s="20">
        <v>1379</v>
      </c>
      <c r="Z43" s="20">
        <v>713</v>
      </c>
      <c r="AA43" s="20">
        <v>569</v>
      </c>
      <c r="AB43" s="20">
        <v>992</v>
      </c>
      <c r="AC43" s="20">
        <v>2484</v>
      </c>
      <c r="AD43" s="20">
        <v>1889</v>
      </c>
      <c r="AE43" s="20">
        <v>33</v>
      </c>
      <c r="AF43" s="53">
        <v>1856</v>
      </c>
      <c r="AG43" s="20">
        <v>36727</v>
      </c>
      <c r="AH43" s="20">
        <v>16835</v>
      </c>
      <c r="AI43" s="20">
        <v>1212</v>
      </c>
      <c r="AJ43" s="20">
        <v>0</v>
      </c>
      <c r="AK43" s="20">
        <v>1862</v>
      </c>
      <c r="AL43" s="20">
        <v>1406</v>
      </c>
      <c r="AM43" s="20">
        <v>0</v>
      </c>
      <c r="AN43" s="20">
        <v>76</v>
      </c>
      <c r="AO43" s="20">
        <v>295</v>
      </c>
      <c r="AP43" s="20">
        <v>702</v>
      </c>
      <c r="AQ43" s="20">
        <v>0</v>
      </c>
      <c r="AR43" s="20">
        <v>2575</v>
      </c>
      <c r="AS43" s="20">
        <v>239</v>
      </c>
      <c r="AT43" s="20">
        <v>241</v>
      </c>
      <c r="AU43" s="20">
        <v>11198</v>
      </c>
      <c r="AV43" s="20">
        <v>88</v>
      </c>
      <c r="AW43" s="20">
        <v>45679</v>
      </c>
      <c r="AX43" s="20">
        <v>6516</v>
      </c>
      <c r="AY43" s="20">
        <v>18</v>
      </c>
      <c r="AZ43" s="20">
        <v>0</v>
      </c>
      <c r="BA43" s="20">
        <v>81</v>
      </c>
      <c r="BB43" s="20">
        <v>17531</v>
      </c>
      <c r="BC43" s="20">
        <v>0</v>
      </c>
      <c r="BD43" s="20">
        <v>16040</v>
      </c>
      <c r="BE43" s="20">
        <v>5492</v>
      </c>
      <c r="BF43" s="20" t="s">
        <v>381</v>
      </c>
      <c r="BG43" s="20">
        <v>25500</v>
      </c>
      <c r="BH43" s="20">
        <v>21531</v>
      </c>
      <c r="BI43" s="20">
        <v>0</v>
      </c>
      <c r="BJ43" s="20">
        <v>0</v>
      </c>
      <c r="BK43" s="20">
        <v>2516</v>
      </c>
      <c r="BL43" s="20">
        <v>1312</v>
      </c>
      <c r="BM43" s="53">
        <v>141</v>
      </c>
      <c r="BN43" s="20">
        <v>1556</v>
      </c>
      <c r="BO43" s="20">
        <v>11187</v>
      </c>
      <c r="BP43" s="20">
        <v>46107</v>
      </c>
      <c r="BQ43" s="20">
        <v>238613</v>
      </c>
    </row>
    <row r="44" spans="1:69" ht="53.4" customHeight="1" x14ac:dyDescent="0.3">
      <c r="A44" s="54" t="s">
        <v>272</v>
      </c>
      <c r="B44" s="20">
        <v>678</v>
      </c>
      <c r="C44" s="20">
        <v>14</v>
      </c>
      <c r="D44" s="20">
        <v>913</v>
      </c>
      <c r="E44" s="20">
        <v>99</v>
      </c>
      <c r="F44" s="20">
        <v>1</v>
      </c>
      <c r="G44" s="20">
        <v>4845</v>
      </c>
      <c r="H44" s="20">
        <v>1</v>
      </c>
      <c r="I44" s="53">
        <v>6544</v>
      </c>
      <c r="J44" s="20">
        <v>0</v>
      </c>
      <c r="K44" s="20">
        <v>0</v>
      </c>
      <c r="L44" s="20">
        <v>0</v>
      </c>
      <c r="M44" s="20">
        <v>0</v>
      </c>
      <c r="N44" s="20">
        <v>0</v>
      </c>
      <c r="O44" s="20">
        <v>0</v>
      </c>
      <c r="P44" s="20">
        <v>0</v>
      </c>
      <c r="Q44" s="20">
        <v>0</v>
      </c>
      <c r="R44" s="20">
        <v>0</v>
      </c>
      <c r="S44" s="20">
        <v>0</v>
      </c>
      <c r="T44" s="20" t="s">
        <v>381</v>
      </c>
      <c r="U44" s="20">
        <v>0</v>
      </c>
      <c r="V44" s="20">
        <v>0</v>
      </c>
      <c r="W44" s="20">
        <v>0</v>
      </c>
      <c r="X44" s="20">
        <v>0</v>
      </c>
      <c r="Y44" s="20">
        <v>0</v>
      </c>
      <c r="Z44" s="20">
        <v>0</v>
      </c>
      <c r="AA44" s="20">
        <v>0</v>
      </c>
      <c r="AB44" s="20">
        <v>0</v>
      </c>
      <c r="AC44" s="53">
        <v>6544</v>
      </c>
      <c r="AD44" s="53">
        <v>7807</v>
      </c>
      <c r="AE44" s="20">
        <v>0</v>
      </c>
      <c r="AF44" s="53">
        <v>7807</v>
      </c>
      <c r="AG44" s="20">
        <v>703</v>
      </c>
      <c r="AH44" s="20">
        <v>0</v>
      </c>
      <c r="AI44" s="20">
        <v>0</v>
      </c>
      <c r="AJ44" s="20">
        <v>0</v>
      </c>
      <c r="AK44" s="20">
        <v>0</v>
      </c>
      <c r="AL44" s="20">
        <v>46</v>
      </c>
      <c r="AM44" s="20">
        <v>0</v>
      </c>
      <c r="AN44" s="20">
        <v>0</v>
      </c>
      <c r="AO44" s="53">
        <v>1291</v>
      </c>
      <c r="AP44" s="53">
        <v>320</v>
      </c>
      <c r="AQ44" s="20">
        <v>0</v>
      </c>
      <c r="AR44" s="53">
        <v>2400</v>
      </c>
      <c r="AS44" s="53">
        <v>152</v>
      </c>
      <c r="AT44" s="20">
        <v>0</v>
      </c>
      <c r="AU44" s="20">
        <v>618</v>
      </c>
      <c r="AV44" s="53">
        <v>34</v>
      </c>
      <c r="AW44" s="53">
        <v>4350</v>
      </c>
      <c r="AX44" s="20">
        <v>0</v>
      </c>
      <c r="AY44" s="20">
        <v>0</v>
      </c>
      <c r="AZ44" s="20">
        <v>0</v>
      </c>
      <c r="BA44" s="53">
        <v>1644</v>
      </c>
      <c r="BB44" s="20">
        <v>0</v>
      </c>
      <c r="BC44" s="53">
        <v>806</v>
      </c>
      <c r="BD44" s="53">
        <v>1400</v>
      </c>
      <c r="BE44" s="53">
        <v>500</v>
      </c>
      <c r="BF44" s="20" t="s">
        <v>381</v>
      </c>
      <c r="BG44" s="20">
        <v>901</v>
      </c>
      <c r="BH44" s="20">
        <v>812</v>
      </c>
      <c r="BI44" s="20">
        <v>0</v>
      </c>
      <c r="BJ44" s="20">
        <v>0</v>
      </c>
      <c r="BK44" s="20">
        <v>89</v>
      </c>
      <c r="BL44" s="20">
        <v>0</v>
      </c>
      <c r="BM44" s="20">
        <v>0</v>
      </c>
      <c r="BN44" s="20">
        <v>0</v>
      </c>
      <c r="BO44" s="20">
        <v>813</v>
      </c>
      <c r="BP44" s="20">
        <v>0</v>
      </c>
      <c r="BQ44" s="20">
        <v>2435</v>
      </c>
    </row>
    <row r="45" spans="1:69" ht="53.4" customHeight="1" x14ac:dyDescent="0.3">
      <c r="A45" s="54" t="s">
        <v>71</v>
      </c>
      <c r="B45" s="20">
        <v>687</v>
      </c>
      <c r="C45" s="20">
        <v>6</v>
      </c>
      <c r="D45" s="20">
        <v>106200000</v>
      </c>
      <c r="E45" s="20">
        <v>74</v>
      </c>
      <c r="F45" s="20">
        <v>6</v>
      </c>
      <c r="G45" s="20">
        <v>36900000</v>
      </c>
      <c r="H45" s="20">
        <v>26</v>
      </c>
      <c r="I45" s="20">
        <v>0</v>
      </c>
      <c r="J45" s="20">
        <v>1800000</v>
      </c>
      <c r="K45" s="20">
        <v>0</v>
      </c>
      <c r="L45" s="20">
        <v>0</v>
      </c>
      <c r="M45" s="20">
        <v>0</v>
      </c>
      <c r="N45" s="20">
        <v>0</v>
      </c>
      <c r="O45" s="20">
        <v>105000000</v>
      </c>
      <c r="P45" s="20">
        <v>0</v>
      </c>
      <c r="Q45" s="20">
        <v>1800000</v>
      </c>
      <c r="R45" s="20">
        <v>0</v>
      </c>
      <c r="S45" s="20">
        <v>0</v>
      </c>
      <c r="T45" s="20" t="s">
        <v>381</v>
      </c>
      <c r="U45" s="20">
        <v>0</v>
      </c>
      <c r="V45" s="20">
        <v>0</v>
      </c>
      <c r="W45" s="20">
        <v>0</v>
      </c>
      <c r="X45" s="20">
        <v>0</v>
      </c>
      <c r="Y45" s="20">
        <v>0</v>
      </c>
      <c r="Z45" s="20">
        <v>0</v>
      </c>
      <c r="AA45" s="20">
        <v>2050000</v>
      </c>
      <c r="AB45" s="20">
        <v>0</v>
      </c>
      <c r="AC45" s="20">
        <v>0</v>
      </c>
      <c r="AD45" s="20">
        <v>0</v>
      </c>
      <c r="AE45" s="20">
        <v>0</v>
      </c>
      <c r="AF45" s="20"/>
      <c r="AG45" s="20">
        <v>0</v>
      </c>
      <c r="AH45" s="20">
        <v>0</v>
      </c>
      <c r="AI45" s="20">
        <v>33300000</v>
      </c>
      <c r="AJ45" s="20">
        <v>0</v>
      </c>
      <c r="AK45" s="20">
        <v>0</v>
      </c>
      <c r="AL45" s="20">
        <v>0</v>
      </c>
      <c r="AM45" s="20">
        <v>0</v>
      </c>
      <c r="AN45" s="20">
        <v>0</v>
      </c>
      <c r="AO45" s="20">
        <v>300000</v>
      </c>
      <c r="AP45" s="20">
        <v>0</v>
      </c>
      <c r="AQ45" s="20">
        <v>0</v>
      </c>
      <c r="AR45" s="20">
        <v>0</v>
      </c>
      <c r="AS45" s="20">
        <v>0</v>
      </c>
      <c r="AT45" s="20">
        <v>0</v>
      </c>
      <c r="AU45" s="20">
        <v>0</v>
      </c>
      <c r="AV45" s="20">
        <v>0</v>
      </c>
      <c r="AW45" s="20">
        <v>0</v>
      </c>
      <c r="AX45" s="20">
        <v>0</v>
      </c>
      <c r="AY45" s="20">
        <v>0</v>
      </c>
      <c r="AZ45" s="20">
        <v>3000000</v>
      </c>
      <c r="BA45" s="20">
        <v>4830410</v>
      </c>
      <c r="BB45" s="20">
        <v>11701165</v>
      </c>
      <c r="BC45" s="20">
        <v>0</v>
      </c>
      <c r="BD45" s="20">
        <v>0</v>
      </c>
      <c r="BE45" s="20">
        <v>0</v>
      </c>
      <c r="BF45" s="20" t="s">
        <v>381</v>
      </c>
      <c r="BG45" s="20">
        <v>0</v>
      </c>
      <c r="BH45" s="20">
        <v>8104000</v>
      </c>
      <c r="BI45" s="20">
        <v>30418000</v>
      </c>
      <c r="BJ45" s="20">
        <v>0</v>
      </c>
      <c r="BK45" s="20">
        <v>0</v>
      </c>
      <c r="BL45" s="20">
        <v>586050</v>
      </c>
      <c r="BM45" s="20">
        <v>0</v>
      </c>
      <c r="BN45" s="20">
        <v>0</v>
      </c>
      <c r="BO45" s="20">
        <v>0</v>
      </c>
      <c r="BP45" s="20">
        <v>0</v>
      </c>
      <c r="BQ45" s="20">
        <v>203289625</v>
      </c>
    </row>
    <row r="46" spans="1:69" ht="53.4" customHeight="1" x14ac:dyDescent="0.3">
      <c r="A46" s="54" t="s">
        <v>104</v>
      </c>
      <c r="B46" s="20">
        <v>755</v>
      </c>
      <c r="C46" s="20">
        <v>0</v>
      </c>
      <c r="D46" s="53">
        <v>1771756</v>
      </c>
      <c r="E46" s="20"/>
      <c r="F46" s="20">
        <v>0</v>
      </c>
      <c r="G46" s="53">
        <v>116861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0</v>
      </c>
      <c r="N46" s="20">
        <v>0</v>
      </c>
      <c r="O46" s="20">
        <v>250240</v>
      </c>
      <c r="P46" s="20">
        <v>0</v>
      </c>
      <c r="Q46" s="20">
        <v>0</v>
      </c>
      <c r="R46" s="20">
        <v>0</v>
      </c>
      <c r="S46" s="20">
        <v>0</v>
      </c>
      <c r="T46" s="20" t="s">
        <v>381</v>
      </c>
      <c r="U46" s="20">
        <v>15447</v>
      </c>
      <c r="V46" s="20">
        <v>5043</v>
      </c>
      <c r="W46" s="20">
        <v>154572</v>
      </c>
      <c r="X46" s="20">
        <v>24666</v>
      </c>
      <c r="Y46" s="20">
        <v>15447</v>
      </c>
      <c r="Z46" s="20">
        <v>10462</v>
      </c>
      <c r="AA46" s="20">
        <v>4242</v>
      </c>
      <c r="AB46" s="20">
        <v>380901</v>
      </c>
      <c r="AC46" s="20">
        <v>0</v>
      </c>
      <c r="AD46" s="20">
        <v>162194</v>
      </c>
      <c r="AE46" s="20">
        <v>0</v>
      </c>
      <c r="AF46" s="20"/>
      <c r="AG46" s="20">
        <v>0</v>
      </c>
      <c r="AH46" s="20">
        <v>25249</v>
      </c>
      <c r="AI46" s="20">
        <v>447019</v>
      </c>
      <c r="AJ46" s="20">
        <v>0</v>
      </c>
      <c r="AK46" s="53">
        <v>156482</v>
      </c>
      <c r="AL46" s="53">
        <v>30114</v>
      </c>
      <c r="AM46" s="20">
        <v>0</v>
      </c>
      <c r="AN46" s="20">
        <v>7124</v>
      </c>
      <c r="AO46" s="20">
        <v>5162</v>
      </c>
      <c r="AP46" s="20">
        <v>1683</v>
      </c>
      <c r="AQ46" s="20">
        <v>20682</v>
      </c>
      <c r="AR46" s="20">
        <v>124011</v>
      </c>
      <c r="AS46" s="20">
        <v>200</v>
      </c>
      <c r="AT46" s="20">
        <v>0</v>
      </c>
      <c r="AU46" s="20">
        <v>21839</v>
      </c>
      <c r="AV46" s="20">
        <v>20682</v>
      </c>
      <c r="AW46" s="20">
        <v>0</v>
      </c>
      <c r="AX46" s="20">
        <v>49467</v>
      </c>
      <c r="AY46" s="20">
        <v>868</v>
      </c>
      <c r="AZ46" s="20">
        <v>0</v>
      </c>
      <c r="BA46" s="20">
        <v>0</v>
      </c>
      <c r="BB46" s="20">
        <v>29468</v>
      </c>
      <c r="BC46" s="20">
        <v>183</v>
      </c>
      <c r="BD46" s="20">
        <v>266</v>
      </c>
      <c r="BE46" s="20">
        <v>0</v>
      </c>
      <c r="BF46" s="20" t="s">
        <v>381</v>
      </c>
      <c r="BG46" s="20">
        <v>0</v>
      </c>
      <c r="BH46" s="20">
        <v>450261</v>
      </c>
      <c r="BI46" s="53">
        <v>21158</v>
      </c>
      <c r="BJ46" s="20"/>
      <c r="BK46" s="20">
        <v>0</v>
      </c>
      <c r="BL46" s="20">
        <v>58891</v>
      </c>
      <c r="BM46" s="20">
        <v>25387</v>
      </c>
      <c r="BN46" s="20">
        <v>379099</v>
      </c>
      <c r="BO46" s="20">
        <v>25387</v>
      </c>
      <c r="BP46" s="20">
        <v>5000</v>
      </c>
      <c r="BQ46" s="20">
        <v>0</v>
      </c>
    </row>
    <row r="47" spans="1:69" ht="53.4" customHeight="1" x14ac:dyDescent="0.3">
      <c r="A47" s="54" t="s">
        <v>83</v>
      </c>
      <c r="B47" s="20">
        <v>632</v>
      </c>
      <c r="C47" s="20">
        <v>31</v>
      </c>
      <c r="D47" s="20">
        <v>194132</v>
      </c>
      <c r="E47" s="20">
        <v>0</v>
      </c>
      <c r="F47" s="20">
        <v>4</v>
      </c>
      <c r="G47" s="20">
        <v>10825</v>
      </c>
      <c r="H47" s="20">
        <v>0</v>
      </c>
      <c r="I47" s="20">
        <v>488562</v>
      </c>
      <c r="J47" s="20">
        <v>0</v>
      </c>
      <c r="K47" s="20">
        <v>0</v>
      </c>
      <c r="L47" s="20">
        <v>0</v>
      </c>
      <c r="M47" s="20">
        <v>0</v>
      </c>
      <c r="N47" s="20">
        <v>0</v>
      </c>
      <c r="O47" s="20">
        <v>392424</v>
      </c>
      <c r="P47" s="20">
        <v>0</v>
      </c>
      <c r="Q47" s="20">
        <v>0</v>
      </c>
      <c r="R47" s="20">
        <v>0</v>
      </c>
      <c r="S47" s="20">
        <v>0</v>
      </c>
      <c r="T47" s="20" t="s">
        <v>381</v>
      </c>
      <c r="U47" s="20">
        <v>0</v>
      </c>
      <c r="V47" s="20">
        <v>13875</v>
      </c>
      <c r="W47" s="20">
        <v>0</v>
      </c>
      <c r="X47" s="20">
        <v>8154</v>
      </c>
      <c r="Y47" s="20">
        <v>0</v>
      </c>
      <c r="Z47" s="20">
        <v>0</v>
      </c>
      <c r="AA47" s="20">
        <v>0</v>
      </c>
      <c r="AB47" s="20">
        <v>74045</v>
      </c>
      <c r="AC47" s="20">
        <v>64</v>
      </c>
      <c r="AD47" s="20">
        <v>24831</v>
      </c>
      <c r="AE47" s="20">
        <v>7359</v>
      </c>
      <c r="AF47" s="53">
        <v>17472</v>
      </c>
      <c r="AG47" s="20">
        <v>653293</v>
      </c>
      <c r="AH47" s="20">
        <v>503735</v>
      </c>
      <c r="AI47" s="20">
        <v>3014</v>
      </c>
      <c r="AJ47" s="20">
        <v>0</v>
      </c>
      <c r="AK47" s="20">
        <v>1470</v>
      </c>
      <c r="AL47" s="20">
        <v>4635</v>
      </c>
      <c r="AM47" s="20">
        <v>0</v>
      </c>
      <c r="AN47" s="20">
        <v>0</v>
      </c>
      <c r="AO47" s="20">
        <v>137</v>
      </c>
      <c r="AP47" s="20">
        <v>286</v>
      </c>
      <c r="AQ47" s="20">
        <v>86648</v>
      </c>
      <c r="AR47" s="20">
        <v>17536</v>
      </c>
      <c r="AS47" s="20">
        <v>226</v>
      </c>
      <c r="AT47" s="20">
        <v>0</v>
      </c>
      <c r="AU47" s="20">
        <v>33547</v>
      </c>
      <c r="AV47" s="20">
        <v>2059</v>
      </c>
      <c r="AW47" s="20">
        <v>160753</v>
      </c>
      <c r="AX47" s="20">
        <v>845</v>
      </c>
      <c r="AY47" s="20">
        <v>75</v>
      </c>
      <c r="AZ47" s="20">
        <v>0</v>
      </c>
      <c r="BA47" s="20">
        <v>22750</v>
      </c>
      <c r="BB47" s="20">
        <v>137083</v>
      </c>
      <c r="BC47" s="20">
        <v>0</v>
      </c>
      <c r="BD47" s="20">
        <v>0</v>
      </c>
      <c r="BE47" s="20">
        <v>0</v>
      </c>
      <c r="BF47" s="20" t="s">
        <v>381</v>
      </c>
      <c r="BG47" s="20">
        <v>207099</v>
      </c>
      <c r="BH47" s="20">
        <v>153235</v>
      </c>
      <c r="BI47" s="20">
        <v>0</v>
      </c>
      <c r="BJ47" s="20">
        <v>17653</v>
      </c>
      <c r="BK47" s="20">
        <v>14730</v>
      </c>
      <c r="BL47" s="20">
        <v>18563</v>
      </c>
      <c r="BM47" s="20">
        <v>2918</v>
      </c>
      <c r="BN47" s="20">
        <v>2</v>
      </c>
      <c r="BO47" s="20">
        <v>39062</v>
      </c>
      <c r="BP47" s="20">
        <v>48114</v>
      </c>
      <c r="BQ47" s="20">
        <v>121716</v>
      </c>
    </row>
    <row r="48" spans="1:69" ht="53.4" customHeight="1" x14ac:dyDescent="0.3">
      <c r="A48" s="54" t="s">
        <v>114</v>
      </c>
      <c r="B48" s="20">
        <v>610</v>
      </c>
      <c r="C48" s="20">
        <v>151</v>
      </c>
      <c r="D48" s="20">
        <v>4532055</v>
      </c>
      <c r="E48" s="20">
        <v>0</v>
      </c>
      <c r="F48" s="20">
        <v>15</v>
      </c>
      <c r="G48" s="20">
        <v>2700577</v>
      </c>
      <c r="H48" s="20">
        <v>0</v>
      </c>
      <c r="I48" s="20">
        <v>0</v>
      </c>
      <c r="J48" s="20">
        <v>1838776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0</v>
      </c>
      <c r="Q48" s="20">
        <v>0</v>
      </c>
      <c r="R48" s="20">
        <v>0</v>
      </c>
      <c r="S48" s="20">
        <v>0</v>
      </c>
      <c r="T48" s="20" t="s">
        <v>381</v>
      </c>
      <c r="U48" s="20">
        <v>0</v>
      </c>
      <c r="V48" s="20">
        <v>9367</v>
      </c>
      <c r="W48" s="20">
        <v>19071</v>
      </c>
      <c r="X48" s="20">
        <v>28953</v>
      </c>
      <c r="Y48" s="20">
        <v>11528</v>
      </c>
      <c r="Z48" s="20">
        <v>2597</v>
      </c>
      <c r="AA48" s="20">
        <v>20763</v>
      </c>
      <c r="AB48" s="20">
        <v>163762</v>
      </c>
      <c r="AC48" s="20">
        <v>30929</v>
      </c>
      <c r="AD48" s="20">
        <v>0</v>
      </c>
      <c r="AE48" s="20">
        <v>3206737</v>
      </c>
      <c r="AF48" s="53">
        <v>15392</v>
      </c>
      <c r="AG48" s="20">
        <v>0</v>
      </c>
      <c r="AH48" s="20">
        <v>0</v>
      </c>
      <c r="AI48" s="20">
        <v>755131</v>
      </c>
      <c r="AJ48" s="20">
        <v>0</v>
      </c>
      <c r="AK48" s="20">
        <v>14713</v>
      </c>
      <c r="AL48" s="20">
        <v>27146</v>
      </c>
      <c r="AM48" s="20">
        <v>6975</v>
      </c>
      <c r="AN48" s="20">
        <v>6140</v>
      </c>
      <c r="AO48" s="20">
        <v>10016</v>
      </c>
      <c r="AP48" s="20">
        <v>58770</v>
      </c>
      <c r="AQ48" s="20">
        <v>0</v>
      </c>
      <c r="AR48" s="20">
        <v>407674</v>
      </c>
      <c r="AS48" s="20">
        <v>0</v>
      </c>
      <c r="AT48" s="20">
        <v>455123</v>
      </c>
      <c r="AU48" s="20">
        <v>0</v>
      </c>
      <c r="AV48" s="20">
        <v>93633</v>
      </c>
      <c r="AW48" s="21"/>
      <c r="AX48" s="20">
        <v>193032</v>
      </c>
      <c r="AY48" s="20">
        <v>0</v>
      </c>
      <c r="AZ48" s="20">
        <v>0</v>
      </c>
      <c r="BA48" s="20">
        <v>0</v>
      </c>
      <c r="BB48" s="20">
        <v>0</v>
      </c>
      <c r="BC48" s="20">
        <v>0</v>
      </c>
      <c r="BD48" s="20">
        <v>0</v>
      </c>
      <c r="BE48" s="20">
        <v>0</v>
      </c>
      <c r="BF48" s="20" t="s">
        <v>381</v>
      </c>
      <c r="BG48" s="20">
        <v>0</v>
      </c>
      <c r="BH48" s="20">
        <v>1205438</v>
      </c>
      <c r="BI48" s="20">
        <v>0</v>
      </c>
      <c r="BJ48" s="20">
        <v>0</v>
      </c>
      <c r="BK48" s="20">
        <v>0</v>
      </c>
      <c r="BL48" s="20">
        <v>0</v>
      </c>
      <c r="BM48" s="20">
        <v>0</v>
      </c>
      <c r="BN48" s="20">
        <v>92694</v>
      </c>
      <c r="BO48" s="20">
        <v>346931</v>
      </c>
      <c r="BP48" s="20">
        <v>0</v>
      </c>
      <c r="BQ48" s="20">
        <v>9021301</v>
      </c>
    </row>
    <row r="49" spans="1:69" ht="53.4" customHeight="1" x14ac:dyDescent="0.3">
      <c r="A49" s="54" t="s">
        <v>65</v>
      </c>
      <c r="B49" s="20">
        <v>664</v>
      </c>
      <c r="C49" s="20">
        <v>7</v>
      </c>
      <c r="D49" s="20">
        <v>12000</v>
      </c>
      <c r="E49" s="20">
        <v>0</v>
      </c>
      <c r="F49" s="20">
        <v>1</v>
      </c>
      <c r="G49" s="20">
        <v>23200</v>
      </c>
      <c r="H49" s="20">
        <v>0</v>
      </c>
      <c r="I49" s="20">
        <v>0</v>
      </c>
      <c r="J49" s="20">
        <v>0</v>
      </c>
      <c r="K49" s="20">
        <v>0</v>
      </c>
      <c r="L49" s="20">
        <v>0</v>
      </c>
      <c r="M49" s="20">
        <v>0</v>
      </c>
      <c r="N49" s="20">
        <v>0</v>
      </c>
      <c r="O49" s="20">
        <v>0</v>
      </c>
      <c r="P49" s="20">
        <v>0</v>
      </c>
      <c r="Q49" s="20">
        <v>0</v>
      </c>
      <c r="R49" s="20">
        <v>0</v>
      </c>
      <c r="S49" s="20">
        <v>0</v>
      </c>
      <c r="T49" s="20" t="s">
        <v>381</v>
      </c>
      <c r="U49" s="20">
        <v>0</v>
      </c>
      <c r="V49" s="20">
        <v>0</v>
      </c>
      <c r="W49" s="20">
        <v>0</v>
      </c>
      <c r="X49" s="20">
        <v>0</v>
      </c>
      <c r="Y49" s="20">
        <v>0</v>
      </c>
      <c r="Z49" s="20">
        <v>0</v>
      </c>
      <c r="AA49" s="20">
        <v>0</v>
      </c>
      <c r="AB49" s="20">
        <v>0</v>
      </c>
      <c r="AC49" s="20">
        <v>0</v>
      </c>
      <c r="AD49" s="20">
        <v>0</v>
      </c>
      <c r="AE49" s="20">
        <v>0</v>
      </c>
      <c r="AF49" s="20"/>
      <c r="AG49" s="20">
        <v>0</v>
      </c>
      <c r="AH49" s="20">
        <v>0</v>
      </c>
      <c r="AI49" s="20">
        <v>0</v>
      </c>
      <c r="AJ49" s="20">
        <v>0</v>
      </c>
      <c r="AK49" s="20">
        <v>0</v>
      </c>
      <c r="AL49" s="20">
        <v>0</v>
      </c>
      <c r="AM49" s="20">
        <v>0</v>
      </c>
      <c r="AN49" s="20">
        <v>0</v>
      </c>
      <c r="AO49" s="20">
        <v>0</v>
      </c>
      <c r="AP49" s="20">
        <v>0</v>
      </c>
      <c r="AQ49" s="20">
        <v>0</v>
      </c>
      <c r="AR49" s="20">
        <v>0</v>
      </c>
      <c r="AS49" s="20">
        <v>0</v>
      </c>
      <c r="AT49" s="20">
        <v>0</v>
      </c>
      <c r="AU49" s="20">
        <v>0</v>
      </c>
      <c r="AV49" s="20">
        <v>0</v>
      </c>
      <c r="AW49" s="20">
        <v>0</v>
      </c>
      <c r="AX49" s="20">
        <v>0</v>
      </c>
      <c r="AY49" s="20">
        <v>0</v>
      </c>
      <c r="AZ49" s="20">
        <v>0</v>
      </c>
      <c r="BA49" s="20">
        <v>0</v>
      </c>
      <c r="BB49" s="20">
        <v>0</v>
      </c>
      <c r="BC49" s="20">
        <v>0</v>
      </c>
      <c r="BD49" s="20">
        <v>0</v>
      </c>
      <c r="BE49" s="20">
        <v>0</v>
      </c>
      <c r="BF49" s="20" t="s">
        <v>381</v>
      </c>
      <c r="BG49" s="20">
        <v>0</v>
      </c>
      <c r="BH49" s="20">
        <v>0</v>
      </c>
      <c r="BI49" s="20">
        <v>0</v>
      </c>
      <c r="BJ49" s="20">
        <v>0</v>
      </c>
      <c r="BK49" s="20">
        <v>0</v>
      </c>
      <c r="BL49" s="20">
        <v>0</v>
      </c>
      <c r="BM49" s="20">
        <v>0</v>
      </c>
      <c r="BN49" s="20">
        <v>0</v>
      </c>
      <c r="BO49" s="20">
        <v>0</v>
      </c>
      <c r="BP49" s="20">
        <v>0</v>
      </c>
      <c r="BQ49" s="20">
        <v>0</v>
      </c>
    </row>
    <row r="50" spans="1:69" ht="53.4" customHeight="1" x14ac:dyDescent="0.3">
      <c r="A50" s="54" t="s">
        <v>32</v>
      </c>
      <c r="B50" s="20">
        <v>606</v>
      </c>
      <c r="C50" s="20">
        <v>0</v>
      </c>
      <c r="D50" s="20">
        <v>0</v>
      </c>
      <c r="E50" s="20">
        <v>0</v>
      </c>
      <c r="F50" s="20">
        <v>0</v>
      </c>
      <c r="G50" s="20">
        <v>0</v>
      </c>
      <c r="H50" s="20">
        <v>0</v>
      </c>
      <c r="I50" s="20">
        <v>0</v>
      </c>
      <c r="J50" s="20">
        <v>0</v>
      </c>
      <c r="K50" s="20">
        <v>0</v>
      </c>
      <c r="L50" s="20">
        <v>0</v>
      </c>
      <c r="M50" s="20">
        <v>0</v>
      </c>
      <c r="N50" s="20">
        <v>0</v>
      </c>
      <c r="O50" s="20">
        <v>0</v>
      </c>
      <c r="P50" s="20">
        <v>0</v>
      </c>
      <c r="Q50" s="20">
        <v>0</v>
      </c>
      <c r="R50" s="20">
        <v>0</v>
      </c>
      <c r="S50" s="20">
        <v>0</v>
      </c>
      <c r="T50" s="20" t="s">
        <v>381</v>
      </c>
      <c r="U50" s="20">
        <v>0</v>
      </c>
      <c r="V50" s="20">
        <v>0</v>
      </c>
      <c r="W50" s="20">
        <v>0</v>
      </c>
      <c r="X50" s="20">
        <v>0</v>
      </c>
      <c r="Y50" s="20">
        <v>0</v>
      </c>
      <c r="Z50" s="20">
        <v>0</v>
      </c>
      <c r="AA50" s="20">
        <v>57643539</v>
      </c>
      <c r="AB50" s="20">
        <v>0</v>
      </c>
      <c r="AC50" s="20">
        <v>0</v>
      </c>
      <c r="AD50" s="20">
        <v>0</v>
      </c>
      <c r="AE50" s="20">
        <v>406336</v>
      </c>
      <c r="AF50" s="20"/>
      <c r="AG50" s="20">
        <v>0</v>
      </c>
      <c r="AH50" s="20">
        <v>0</v>
      </c>
      <c r="AI50" s="20">
        <v>1200000</v>
      </c>
      <c r="AJ50" s="20">
        <v>0</v>
      </c>
      <c r="AK50" s="20">
        <v>0</v>
      </c>
      <c r="AL50" s="53">
        <v>255262</v>
      </c>
      <c r="AM50" s="20">
        <v>0</v>
      </c>
      <c r="AN50" s="20">
        <v>0</v>
      </c>
      <c r="AO50" s="20">
        <v>0</v>
      </c>
      <c r="AP50" s="20">
        <v>134804</v>
      </c>
      <c r="AQ50" s="20">
        <v>0</v>
      </c>
      <c r="AR50" s="20">
        <v>1000000</v>
      </c>
      <c r="AS50" s="20">
        <v>0</v>
      </c>
      <c r="AT50" s="20">
        <v>0</v>
      </c>
      <c r="AU50" s="20">
        <v>0</v>
      </c>
      <c r="AV50" s="20">
        <v>0</v>
      </c>
      <c r="AW50" s="53">
        <v>4123200</v>
      </c>
      <c r="AX50" s="20">
        <v>0</v>
      </c>
      <c r="AY50" s="20">
        <v>0</v>
      </c>
      <c r="AZ50" s="20">
        <v>0</v>
      </c>
      <c r="BA50" s="20">
        <v>0</v>
      </c>
      <c r="BB50" s="20">
        <v>0</v>
      </c>
      <c r="BC50" s="20">
        <v>0</v>
      </c>
      <c r="BD50" s="20">
        <v>0</v>
      </c>
      <c r="BE50" s="20">
        <v>0</v>
      </c>
      <c r="BF50" s="20" t="s">
        <v>381</v>
      </c>
      <c r="BG50" s="20">
        <v>0</v>
      </c>
      <c r="BH50" s="20">
        <v>97224996</v>
      </c>
      <c r="BI50" s="20">
        <v>0</v>
      </c>
      <c r="BJ50" s="20">
        <v>0</v>
      </c>
      <c r="BK50" s="20">
        <v>0</v>
      </c>
      <c r="BL50" s="20">
        <v>0</v>
      </c>
      <c r="BM50" s="20">
        <v>0</v>
      </c>
      <c r="BN50" s="20">
        <v>337865</v>
      </c>
      <c r="BO50" s="20">
        <v>0</v>
      </c>
      <c r="BP50" s="20">
        <v>0</v>
      </c>
      <c r="BQ50" s="20">
        <v>162326002</v>
      </c>
    </row>
    <row r="51" spans="1:69" ht="53.4" customHeight="1" x14ac:dyDescent="0.3">
      <c r="A51" s="54" t="s">
        <v>270</v>
      </c>
      <c r="B51" s="20">
        <v>713</v>
      </c>
      <c r="C51" s="20">
        <v>613</v>
      </c>
      <c r="D51" s="20">
        <v>130888725</v>
      </c>
      <c r="E51" s="20">
        <v>61</v>
      </c>
      <c r="F51" s="20">
        <v>207</v>
      </c>
      <c r="G51" s="20">
        <v>83574259</v>
      </c>
      <c r="H51" s="20">
        <v>39</v>
      </c>
      <c r="I51" s="20">
        <v>105432167</v>
      </c>
      <c r="J51" s="20">
        <v>49571437</v>
      </c>
      <c r="K51" s="20">
        <v>41563018</v>
      </c>
      <c r="L51" s="20">
        <v>0</v>
      </c>
      <c r="M51" s="20">
        <v>617569</v>
      </c>
      <c r="N51" s="20">
        <v>0</v>
      </c>
      <c r="O51" s="20">
        <v>0</v>
      </c>
      <c r="P51" s="20">
        <v>10278304</v>
      </c>
      <c r="Q51" s="20">
        <v>689709</v>
      </c>
      <c r="R51" s="20">
        <v>22648029</v>
      </c>
      <c r="S51" s="20">
        <v>7329407</v>
      </c>
      <c r="T51" s="20" t="s">
        <v>381</v>
      </c>
      <c r="U51" s="20">
        <v>34284</v>
      </c>
      <c r="V51" s="20">
        <v>265362</v>
      </c>
      <c r="W51" s="20">
        <v>13998068</v>
      </c>
      <c r="X51" s="20">
        <v>0</v>
      </c>
      <c r="Y51" s="20">
        <v>0</v>
      </c>
      <c r="Z51" s="20">
        <v>0</v>
      </c>
      <c r="AA51" s="20">
        <v>0</v>
      </c>
      <c r="AB51" s="20">
        <v>0</v>
      </c>
      <c r="AC51" s="20">
        <v>0</v>
      </c>
      <c r="AD51" s="20">
        <v>1556487</v>
      </c>
      <c r="AE51" s="20">
        <v>1270309</v>
      </c>
      <c r="AF51" s="53">
        <v>286178</v>
      </c>
      <c r="AG51" s="20">
        <v>31241612</v>
      </c>
      <c r="AH51" s="20">
        <v>5283955</v>
      </c>
      <c r="AI51" s="20">
        <v>7905757</v>
      </c>
      <c r="AJ51" s="20">
        <v>0</v>
      </c>
      <c r="AK51" s="20">
        <v>7037673</v>
      </c>
      <c r="AL51" s="20">
        <v>433697</v>
      </c>
      <c r="AM51" s="20">
        <v>16716</v>
      </c>
      <c r="AN51" s="20">
        <v>541071</v>
      </c>
      <c r="AO51" s="20">
        <v>241929</v>
      </c>
      <c r="AP51" s="20">
        <v>855048</v>
      </c>
      <c r="AQ51" s="20">
        <v>0</v>
      </c>
      <c r="AR51" s="20">
        <v>4416479</v>
      </c>
      <c r="AS51" s="20">
        <v>179757</v>
      </c>
      <c r="AT51" s="20">
        <v>307459</v>
      </c>
      <c r="AU51" s="20">
        <v>2386887</v>
      </c>
      <c r="AV51" s="20">
        <v>1635184</v>
      </c>
      <c r="AW51" s="20">
        <v>1804804</v>
      </c>
      <c r="AX51" s="20">
        <v>1791705</v>
      </c>
      <c r="AY51" s="20">
        <v>0</v>
      </c>
      <c r="AZ51" s="20">
        <v>0</v>
      </c>
      <c r="BA51" s="20">
        <v>0</v>
      </c>
      <c r="BB51" s="20">
        <v>0</v>
      </c>
      <c r="BC51" s="20">
        <v>11421</v>
      </c>
      <c r="BD51" s="20">
        <v>1678</v>
      </c>
      <c r="BE51" s="20">
        <v>0</v>
      </c>
      <c r="BF51" s="20" t="s">
        <v>381</v>
      </c>
      <c r="BG51" s="20">
        <v>10846940</v>
      </c>
      <c r="BH51" s="20">
        <v>7231263</v>
      </c>
      <c r="BI51" s="20">
        <v>595004</v>
      </c>
      <c r="BJ51" s="20">
        <v>0</v>
      </c>
      <c r="BK51" s="20">
        <v>3020080</v>
      </c>
      <c r="BL51" s="20">
        <v>595</v>
      </c>
      <c r="BM51" s="20">
        <v>0</v>
      </c>
      <c r="BN51" s="20">
        <v>2071382</v>
      </c>
      <c r="BO51" s="20">
        <v>19500939</v>
      </c>
      <c r="BP51" s="20">
        <v>0</v>
      </c>
      <c r="BQ51" s="20">
        <v>172454333</v>
      </c>
    </row>
    <row r="52" spans="1:69" ht="53.4" customHeight="1" x14ac:dyDescent="0.3">
      <c r="A52" s="54" t="s">
        <v>218</v>
      </c>
      <c r="B52" s="20">
        <v>704</v>
      </c>
      <c r="C52" s="20">
        <v>0</v>
      </c>
      <c r="D52" s="20">
        <v>0</v>
      </c>
      <c r="E52" s="20">
        <v>0</v>
      </c>
      <c r="F52" s="20">
        <v>0</v>
      </c>
      <c r="G52" s="20">
        <v>0</v>
      </c>
      <c r="H52" s="20">
        <v>0</v>
      </c>
      <c r="I52" s="20">
        <v>0</v>
      </c>
      <c r="J52" s="20">
        <v>3796007</v>
      </c>
      <c r="K52" s="20">
        <v>319379250</v>
      </c>
      <c r="L52" s="20">
        <v>0</v>
      </c>
      <c r="M52" s="20">
        <v>0</v>
      </c>
      <c r="N52" s="20">
        <v>0</v>
      </c>
      <c r="O52" s="20">
        <v>319379250</v>
      </c>
      <c r="P52" s="20">
        <v>0</v>
      </c>
      <c r="Q52" s="20">
        <v>0</v>
      </c>
      <c r="R52" s="20">
        <v>0</v>
      </c>
      <c r="S52" s="20">
        <v>0</v>
      </c>
      <c r="T52" s="20" t="s">
        <v>381</v>
      </c>
      <c r="U52" s="20">
        <v>984020</v>
      </c>
      <c r="V52" s="20">
        <v>3833983</v>
      </c>
      <c r="W52" s="20">
        <v>167297996</v>
      </c>
      <c r="X52" s="20">
        <v>418985</v>
      </c>
      <c r="Y52" s="20">
        <v>0</v>
      </c>
      <c r="Z52" s="20">
        <v>82493262</v>
      </c>
      <c r="AA52" s="20">
        <v>212500</v>
      </c>
      <c r="AB52" s="20">
        <v>0</v>
      </c>
      <c r="AC52" s="20">
        <v>2639750</v>
      </c>
      <c r="AD52" s="53">
        <v>8228680</v>
      </c>
      <c r="AE52" s="20">
        <v>0</v>
      </c>
      <c r="AF52" s="20"/>
      <c r="AG52" s="53">
        <v>101618166</v>
      </c>
      <c r="AH52" s="20">
        <v>0</v>
      </c>
      <c r="AI52" s="20">
        <v>0</v>
      </c>
      <c r="AJ52" s="20">
        <v>0</v>
      </c>
      <c r="AK52" s="20">
        <v>30333337</v>
      </c>
      <c r="AL52" s="20">
        <v>165695</v>
      </c>
      <c r="AM52" s="20">
        <v>0</v>
      </c>
      <c r="AN52" s="20">
        <v>0</v>
      </c>
      <c r="AO52" s="20">
        <v>0</v>
      </c>
      <c r="AP52" s="53">
        <v>2037258</v>
      </c>
      <c r="AQ52" s="20">
        <v>0</v>
      </c>
      <c r="AR52" s="20">
        <v>7890000</v>
      </c>
      <c r="AS52" s="20">
        <v>0</v>
      </c>
      <c r="AT52" s="20">
        <v>0</v>
      </c>
      <c r="AU52" s="20">
        <v>3642551</v>
      </c>
      <c r="AV52" s="20">
        <v>16290300</v>
      </c>
      <c r="AW52" s="20">
        <v>8500373</v>
      </c>
      <c r="AX52" s="20">
        <v>0</v>
      </c>
      <c r="AY52" s="20">
        <v>0</v>
      </c>
      <c r="AZ52" s="20">
        <v>0</v>
      </c>
      <c r="BA52" s="20">
        <v>0</v>
      </c>
      <c r="BB52" s="20">
        <v>0</v>
      </c>
      <c r="BC52" s="20">
        <v>0</v>
      </c>
      <c r="BD52" s="20">
        <v>0</v>
      </c>
      <c r="BE52" s="20">
        <v>0</v>
      </c>
      <c r="BF52" s="20" t="s">
        <v>381</v>
      </c>
      <c r="BG52" s="20">
        <v>167774102</v>
      </c>
      <c r="BH52" s="20">
        <v>167774102</v>
      </c>
      <c r="BI52" s="20">
        <v>0</v>
      </c>
      <c r="BJ52" s="20">
        <v>0</v>
      </c>
      <c r="BK52" s="20">
        <v>0</v>
      </c>
      <c r="BL52" s="53">
        <v>19524424</v>
      </c>
      <c r="BM52" s="20">
        <v>14475955</v>
      </c>
      <c r="BN52" s="20">
        <v>0</v>
      </c>
      <c r="BO52" s="20">
        <v>0</v>
      </c>
      <c r="BP52" s="53">
        <v>2059390</v>
      </c>
      <c r="BQ52" s="20">
        <v>912093043</v>
      </c>
    </row>
    <row r="53" spans="1:69" ht="53.4" customHeight="1" x14ac:dyDescent="0.3">
      <c r="A53" s="54" t="s">
        <v>249</v>
      </c>
      <c r="B53" s="20">
        <v>698</v>
      </c>
      <c r="C53" s="20">
        <v>128</v>
      </c>
      <c r="D53" s="20">
        <v>30249837</v>
      </c>
      <c r="E53" s="21"/>
      <c r="F53" s="20">
        <v>36</v>
      </c>
      <c r="G53" s="20">
        <v>1323677</v>
      </c>
      <c r="H53" s="20">
        <v>0</v>
      </c>
      <c r="I53" s="20">
        <v>12081734</v>
      </c>
      <c r="J53" s="20">
        <v>1082590</v>
      </c>
      <c r="K53" s="20">
        <v>0</v>
      </c>
      <c r="L53" s="20">
        <v>0</v>
      </c>
      <c r="M53" s="20">
        <v>2647</v>
      </c>
      <c r="N53" s="20">
        <v>0</v>
      </c>
      <c r="O53" s="20">
        <v>9317505</v>
      </c>
      <c r="P53" s="20">
        <v>0</v>
      </c>
      <c r="Q53" s="20">
        <v>149833</v>
      </c>
      <c r="R53" s="20">
        <v>0</v>
      </c>
      <c r="S53" s="20">
        <v>0</v>
      </c>
      <c r="T53" s="20" t="s">
        <v>381</v>
      </c>
      <c r="U53" s="20">
        <v>0</v>
      </c>
      <c r="V53" s="20">
        <v>991</v>
      </c>
      <c r="W53" s="20">
        <v>228096</v>
      </c>
      <c r="X53" s="20">
        <v>0</v>
      </c>
      <c r="Y53" s="20">
        <v>90517</v>
      </c>
      <c r="Z53" s="20">
        <v>0</v>
      </c>
      <c r="AA53" s="20">
        <v>1209555</v>
      </c>
      <c r="AB53" s="20">
        <v>0</v>
      </c>
      <c r="AC53" s="20">
        <v>0</v>
      </c>
      <c r="AD53" s="20">
        <v>10189494</v>
      </c>
      <c r="AE53" s="20">
        <v>10104985</v>
      </c>
      <c r="AF53" s="53">
        <v>84509</v>
      </c>
      <c r="AG53" s="20">
        <v>5090929</v>
      </c>
      <c r="AH53" s="20">
        <v>1264279</v>
      </c>
      <c r="AI53" s="20">
        <v>760335</v>
      </c>
      <c r="AJ53" s="20">
        <v>0</v>
      </c>
      <c r="AK53" s="20">
        <v>1384228</v>
      </c>
      <c r="AL53" s="20">
        <v>204559</v>
      </c>
      <c r="AM53" s="20">
        <v>52667</v>
      </c>
      <c r="AN53" s="20">
        <v>48449</v>
      </c>
      <c r="AO53" s="20">
        <v>20891</v>
      </c>
      <c r="AP53" s="20">
        <v>186058</v>
      </c>
      <c r="AQ53" s="20">
        <v>8242</v>
      </c>
      <c r="AR53" s="20">
        <v>714152</v>
      </c>
      <c r="AS53" s="20">
        <v>0</v>
      </c>
      <c r="AT53" s="20">
        <v>0</v>
      </c>
      <c r="AU53" s="20">
        <v>190301</v>
      </c>
      <c r="AV53" s="20">
        <v>256768</v>
      </c>
      <c r="AW53" s="20">
        <v>2102015</v>
      </c>
      <c r="AX53" s="20">
        <v>513721</v>
      </c>
      <c r="AY53" s="20">
        <v>102927</v>
      </c>
      <c r="AZ53" s="20">
        <v>0</v>
      </c>
      <c r="BA53" s="20">
        <v>0</v>
      </c>
      <c r="BB53" s="20">
        <v>852531</v>
      </c>
      <c r="BC53" s="20">
        <v>2620</v>
      </c>
      <c r="BD53" s="20">
        <v>630216</v>
      </c>
      <c r="BE53" s="20">
        <v>0</v>
      </c>
      <c r="BF53" s="20" t="s">
        <v>381</v>
      </c>
      <c r="BG53" s="20">
        <v>2713611</v>
      </c>
      <c r="BH53" s="20">
        <v>1952323</v>
      </c>
      <c r="BI53" s="20">
        <v>554133</v>
      </c>
      <c r="BJ53" s="20">
        <v>58486</v>
      </c>
      <c r="BK53" s="20">
        <v>0</v>
      </c>
      <c r="BL53" s="20">
        <v>125345</v>
      </c>
      <c r="BM53" s="20">
        <v>23324</v>
      </c>
      <c r="BN53" s="20">
        <v>464074</v>
      </c>
      <c r="BO53" s="20">
        <v>520591</v>
      </c>
      <c r="BP53" s="53">
        <v>2998281</v>
      </c>
      <c r="BQ53" s="20">
        <v>36160728</v>
      </c>
    </row>
    <row r="54" spans="1:69" ht="53.4" customHeight="1" x14ac:dyDescent="0.3">
      <c r="A54" s="54" t="s">
        <v>42</v>
      </c>
      <c r="B54" s="20">
        <v>633</v>
      </c>
      <c r="C54" s="20">
        <v>9</v>
      </c>
      <c r="D54" s="20">
        <v>0</v>
      </c>
      <c r="E54" s="20">
        <v>99</v>
      </c>
      <c r="F54" s="20">
        <v>1</v>
      </c>
      <c r="G54" s="20">
        <v>0</v>
      </c>
      <c r="H54" s="20">
        <v>1</v>
      </c>
      <c r="I54" s="20">
        <v>1736</v>
      </c>
      <c r="J54" s="20">
        <v>0</v>
      </c>
      <c r="K54" s="20">
        <v>0</v>
      </c>
      <c r="L54" s="20">
        <v>0</v>
      </c>
      <c r="M54" s="20">
        <v>0</v>
      </c>
      <c r="N54" s="20">
        <v>0</v>
      </c>
      <c r="O54" s="20">
        <v>13377</v>
      </c>
      <c r="P54" s="20">
        <v>0</v>
      </c>
      <c r="Q54" s="20">
        <v>0</v>
      </c>
      <c r="R54" s="20">
        <v>0</v>
      </c>
      <c r="S54" s="20">
        <v>0</v>
      </c>
      <c r="T54" s="20" t="s">
        <v>381</v>
      </c>
      <c r="U54" s="20">
        <v>1194</v>
      </c>
      <c r="V54" s="20">
        <v>1026</v>
      </c>
      <c r="W54" s="20">
        <v>1440</v>
      </c>
      <c r="X54" s="20">
        <v>0</v>
      </c>
      <c r="Y54" s="20">
        <v>0</v>
      </c>
      <c r="Z54" s="20">
        <v>2931</v>
      </c>
      <c r="AA54" s="20">
        <v>0</v>
      </c>
      <c r="AB54" s="20">
        <v>36000</v>
      </c>
      <c r="AC54" s="20">
        <v>0</v>
      </c>
      <c r="AD54" s="20">
        <v>0</v>
      </c>
      <c r="AE54" s="20">
        <v>6818</v>
      </c>
      <c r="AF54" s="53">
        <v>2116</v>
      </c>
      <c r="AG54" s="20">
        <v>0</v>
      </c>
      <c r="AH54" s="20">
        <v>34009</v>
      </c>
      <c r="AI54" s="20">
        <v>5400</v>
      </c>
      <c r="AJ54" s="20">
        <v>0</v>
      </c>
      <c r="AK54" s="20">
        <v>915</v>
      </c>
      <c r="AL54" s="20">
        <v>1205</v>
      </c>
      <c r="AM54" s="20">
        <v>6348</v>
      </c>
      <c r="AN54" s="20">
        <v>878</v>
      </c>
      <c r="AO54" s="20">
        <v>0</v>
      </c>
      <c r="AP54" s="20">
        <v>1471</v>
      </c>
      <c r="AQ54" s="20">
        <v>0</v>
      </c>
      <c r="AR54" s="20">
        <v>0</v>
      </c>
      <c r="AS54" s="20">
        <v>0</v>
      </c>
      <c r="AT54" s="20">
        <v>0</v>
      </c>
      <c r="AU54" s="20">
        <v>0</v>
      </c>
      <c r="AV54" s="20">
        <v>0</v>
      </c>
      <c r="AW54" s="20">
        <v>0</v>
      </c>
      <c r="AX54" s="20">
        <v>5481</v>
      </c>
      <c r="AY54" s="20">
        <v>0</v>
      </c>
      <c r="AZ54" s="20">
        <v>0</v>
      </c>
      <c r="BA54" s="20">
        <v>552</v>
      </c>
      <c r="BB54" s="20">
        <v>0</v>
      </c>
      <c r="BC54" s="20">
        <v>0</v>
      </c>
      <c r="BD54" s="20">
        <v>0</v>
      </c>
      <c r="BE54" s="20">
        <v>0</v>
      </c>
      <c r="BF54" s="20" t="s">
        <v>381</v>
      </c>
      <c r="BG54" s="20">
        <v>0</v>
      </c>
      <c r="BH54" s="20">
        <v>52347</v>
      </c>
      <c r="BI54" s="20">
        <v>52852</v>
      </c>
      <c r="BJ54" s="20">
        <v>1700</v>
      </c>
      <c r="BK54" s="20">
        <v>2058</v>
      </c>
      <c r="BL54" s="20">
        <v>4572</v>
      </c>
      <c r="BM54" s="20">
        <v>499</v>
      </c>
      <c r="BN54" s="20">
        <v>591</v>
      </c>
      <c r="BO54" s="20">
        <v>0</v>
      </c>
      <c r="BP54" s="20">
        <v>0</v>
      </c>
      <c r="BQ54" s="20">
        <v>0</v>
      </c>
    </row>
    <row r="55" spans="1:69" ht="53.4" customHeight="1" x14ac:dyDescent="0.3">
      <c r="A55" s="54" t="s">
        <v>112</v>
      </c>
      <c r="B55" s="20">
        <v>708</v>
      </c>
      <c r="C55" s="20">
        <v>152</v>
      </c>
      <c r="D55" s="20">
        <v>3814270</v>
      </c>
      <c r="E55" s="20">
        <v>91</v>
      </c>
      <c r="F55" s="20">
        <v>16</v>
      </c>
      <c r="G55" s="20">
        <v>380867</v>
      </c>
      <c r="H55" s="20">
        <v>9</v>
      </c>
      <c r="I55" s="20">
        <v>0</v>
      </c>
      <c r="J55" s="20">
        <v>10755</v>
      </c>
      <c r="K55" s="20">
        <v>0</v>
      </c>
      <c r="L55" s="20">
        <v>0</v>
      </c>
      <c r="M55" s="20">
        <v>0</v>
      </c>
      <c r="N55" s="20">
        <v>0</v>
      </c>
      <c r="O55" s="20">
        <v>0</v>
      </c>
      <c r="P55" s="20">
        <v>0</v>
      </c>
      <c r="Q55" s="20">
        <v>0</v>
      </c>
      <c r="R55" s="20">
        <v>0</v>
      </c>
      <c r="S55" s="20">
        <v>0</v>
      </c>
      <c r="T55" s="20" t="s">
        <v>381</v>
      </c>
      <c r="U55" s="20">
        <v>103</v>
      </c>
      <c r="V55" s="20">
        <v>4628</v>
      </c>
      <c r="W55" s="20">
        <v>234359</v>
      </c>
      <c r="X55" s="20">
        <v>220612</v>
      </c>
      <c r="Y55" s="20">
        <v>103</v>
      </c>
      <c r="Z55" s="20">
        <v>0</v>
      </c>
      <c r="AA55" s="20">
        <v>260</v>
      </c>
      <c r="AB55" s="20">
        <v>0</v>
      </c>
      <c r="AC55" s="20">
        <v>194790</v>
      </c>
      <c r="AD55" s="20">
        <v>0</v>
      </c>
      <c r="AE55" s="20">
        <v>588836</v>
      </c>
      <c r="AF55" s="53">
        <v>65902</v>
      </c>
      <c r="AG55" s="20">
        <v>0</v>
      </c>
      <c r="AH55" s="20">
        <v>867633</v>
      </c>
      <c r="AI55" s="20">
        <v>190814</v>
      </c>
      <c r="AJ55" s="20">
        <v>0</v>
      </c>
      <c r="AK55" s="20">
        <v>21085</v>
      </c>
      <c r="AL55" s="20">
        <v>40102</v>
      </c>
      <c r="AM55" s="20">
        <v>0</v>
      </c>
      <c r="AN55" s="20">
        <v>9647</v>
      </c>
      <c r="AO55" s="20">
        <v>25626</v>
      </c>
      <c r="AP55" s="20">
        <v>12869</v>
      </c>
      <c r="AQ55" s="20">
        <v>4796</v>
      </c>
      <c r="AR55" s="20">
        <v>1567576</v>
      </c>
      <c r="AS55" s="20">
        <v>0</v>
      </c>
      <c r="AT55" s="20">
        <v>25402</v>
      </c>
      <c r="AU55" s="20">
        <v>0</v>
      </c>
      <c r="AV55" s="20">
        <v>48431</v>
      </c>
      <c r="AW55" s="20">
        <v>0</v>
      </c>
      <c r="AX55" s="20">
        <v>101581</v>
      </c>
      <c r="AY55" s="20">
        <v>0</v>
      </c>
      <c r="AZ55" s="20">
        <v>0</v>
      </c>
      <c r="BA55" s="20">
        <v>0</v>
      </c>
      <c r="BB55" s="20">
        <v>0</v>
      </c>
      <c r="BC55" s="20">
        <v>0</v>
      </c>
      <c r="BD55" s="20">
        <v>250100</v>
      </c>
      <c r="BE55" s="20">
        <v>4912</v>
      </c>
      <c r="BF55" s="20" t="s">
        <v>381</v>
      </c>
      <c r="BG55" s="20">
        <v>0</v>
      </c>
      <c r="BH55" s="20">
        <v>420547</v>
      </c>
      <c r="BI55" s="20">
        <v>196720</v>
      </c>
      <c r="BJ55" s="20">
        <v>21159</v>
      </c>
      <c r="BK55" s="20">
        <v>0</v>
      </c>
      <c r="BL55" s="20">
        <v>53854</v>
      </c>
      <c r="BM55" s="20">
        <v>324111</v>
      </c>
      <c r="BN55" s="20">
        <v>39625</v>
      </c>
      <c r="BO55" s="20">
        <v>1345</v>
      </c>
      <c r="BP55" s="20">
        <v>5000</v>
      </c>
      <c r="BQ55" s="20">
        <v>5543285</v>
      </c>
    </row>
    <row r="56" spans="1:69" ht="53.4" customHeight="1" x14ac:dyDescent="0.3">
      <c r="A56" s="54" t="s">
        <v>382</v>
      </c>
      <c r="B56" s="20">
        <v>629</v>
      </c>
      <c r="C56" s="20">
        <v>0</v>
      </c>
      <c r="D56" s="20">
        <v>0</v>
      </c>
      <c r="E56" s="20">
        <v>0</v>
      </c>
      <c r="F56" s="20">
        <v>0</v>
      </c>
      <c r="G56" s="20">
        <v>0</v>
      </c>
      <c r="H56" s="20">
        <v>0</v>
      </c>
      <c r="I56" s="20">
        <v>0</v>
      </c>
      <c r="J56" s="53">
        <v>24400000</v>
      </c>
      <c r="K56" s="20">
        <v>0</v>
      </c>
      <c r="L56" s="20">
        <v>0</v>
      </c>
      <c r="M56" s="20">
        <v>0</v>
      </c>
      <c r="N56" s="20">
        <v>0</v>
      </c>
      <c r="O56" s="20">
        <v>7570000</v>
      </c>
      <c r="P56" s="20">
        <v>0</v>
      </c>
      <c r="Q56" s="20">
        <v>2927000</v>
      </c>
      <c r="R56" s="20">
        <v>0</v>
      </c>
      <c r="S56" s="20">
        <v>0</v>
      </c>
      <c r="T56" s="20" t="s">
        <v>381</v>
      </c>
      <c r="U56" s="20">
        <v>6000000</v>
      </c>
      <c r="V56" s="20">
        <v>13735000</v>
      </c>
      <c r="W56" s="20">
        <v>2280000</v>
      </c>
      <c r="X56" s="20">
        <v>0</v>
      </c>
      <c r="Y56" s="20">
        <v>1600000</v>
      </c>
      <c r="Z56" s="20">
        <v>8130000</v>
      </c>
      <c r="AA56" s="20">
        <v>0</v>
      </c>
      <c r="AB56" s="20">
        <v>0</v>
      </c>
      <c r="AC56" s="20">
        <v>0</v>
      </c>
      <c r="AD56" s="20">
        <v>0</v>
      </c>
      <c r="AE56" s="20">
        <v>0</v>
      </c>
      <c r="AF56" s="53">
        <v>10000000</v>
      </c>
      <c r="AG56" s="20">
        <v>0</v>
      </c>
      <c r="AH56" s="20">
        <v>0</v>
      </c>
      <c r="AI56" s="20">
        <v>12000000</v>
      </c>
      <c r="AJ56" s="20">
        <v>0</v>
      </c>
      <c r="AK56" s="20">
        <v>9807000</v>
      </c>
      <c r="AL56" s="53"/>
      <c r="AM56" s="53">
        <v>19680000</v>
      </c>
      <c r="AN56" s="53"/>
      <c r="AO56" s="53">
        <v>6172000</v>
      </c>
      <c r="AP56" s="53"/>
      <c r="AQ56" s="53">
        <v>5900000</v>
      </c>
      <c r="AR56" s="53">
        <v>10000000</v>
      </c>
      <c r="AS56" s="20">
        <v>0</v>
      </c>
      <c r="AT56" s="20">
        <v>0</v>
      </c>
      <c r="AU56" s="20">
        <v>0</v>
      </c>
      <c r="AV56" s="20">
        <v>2737000</v>
      </c>
      <c r="AW56" s="20">
        <v>0</v>
      </c>
      <c r="AX56" s="20">
        <v>0</v>
      </c>
      <c r="AY56" s="20">
        <v>0</v>
      </c>
      <c r="AZ56" s="20">
        <v>12000000</v>
      </c>
      <c r="BA56" s="20">
        <v>6750000</v>
      </c>
      <c r="BB56" s="20">
        <v>0</v>
      </c>
      <c r="BC56" s="20">
        <v>0</v>
      </c>
      <c r="BD56" s="20">
        <v>0</v>
      </c>
      <c r="BE56" s="20">
        <v>0</v>
      </c>
      <c r="BF56" s="20" t="s">
        <v>381</v>
      </c>
      <c r="BG56" s="20">
        <v>0</v>
      </c>
      <c r="BH56" s="20">
        <v>159840000</v>
      </c>
      <c r="BI56" s="20">
        <v>0</v>
      </c>
      <c r="BJ56" s="20">
        <v>9480000</v>
      </c>
      <c r="BK56" s="20">
        <v>0</v>
      </c>
      <c r="BL56" s="20">
        <v>0</v>
      </c>
      <c r="BM56" s="20">
        <v>0</v>
      </c>
      <c r="BN56" s="20">
        <v>7632000</v>
      </c>
      <c r="BO56" s="20">
        <v>29476000</v>
      </c>
      <c r="BP56" s="20">
        <v>0</v>
      </c>
      <c r="BQ56" s="20">
        <v>379439000</v>
      </c>
    </row>
    <row r="57" spans="1:69" ht="53.4" customHeight="1" x14ac:dyDescent="0.3">
      <c r="A57" s="54" t="s">
        <v>220</v>
      </c>
      <c r="B57" s="20">
        <v>674</v>
      </c>
      <c r="C57" s="20">
        <v>0</v>
      </c>
      <c r="D57" s="20">
        <v>0</v>
      </c>
      <c r="E57" s="20">
        <v>0</v>
      </c>
      <c r="F57" s="20">
        <v>0</v>
      </c>
      <c r="G57" s="20">
        <v>0</v>
      </c>
      <c r="H57" s="20">
        <v>0</v>
      </c>
      <c r="I57" s="20">
        <v>1343</v>
      </c>
      <c r="J57" s="20">
        <v>0</v>
      </c>
      <c r="K57" s="20">
        <v>0</v>
      </c>
      <c r="L57" s="20">
        <v>0</v>
      </c>
      <c r="M57" s="20">
        <v>0</v>
      </c>
      <c r="N57" s="20">
        <v>0</v>
      </c>
      <c r="O57" s="20">
        <v>0</v>
      </c>
      <c r="P57" s="20">
        <v>0</v>
      </c>
      <c r="Q57" s="20">
        <v>0</v>
      </c>
      <c r="R57" s="20">
        <v>0</v>
      </c>
      <c r="S57" s="20">
        <v>0</v>
      </c>
      <c r="T57" s="20" t="s">
        <v>381</v>
      </c>
      <c r="U57" s="20">
        <v>0</v>
      </c>
      <c r="V57" s="20">
        <v>33</v>
      </c>
      <c r="W57" s="20">
        <v>410</v>
      </c>
      <c r="X57" s="20">
        <v>0</v>
      </c>
      <c r="Y57" s="20">
        <v>0</v>
      </c>
      <c r="Z57" s="20">
        <v>900</v>
      </c>
      <c r="AA57" s="20">
        <v>0</v>
      </c>
      <c r="AB57" s="20">
        <v>0</v>
      </c>
      <c r="AC57" s="20">
        <v>0</v>
      </c>
      <c r="AD57" s="20">
        <v>0</v>
      </c>
      <c r="AE57" s="20">
        <v>0</v>
      </c>
      <c r="AF57" s="20"/>
      <c r="AG57" s="20">
        <v>77482</v>
      </c>
      <c r="AH57" s="20">
        <v>0</v>
      </c>
      <c r="AI57" s="53">
        <v>1800</v>
      </c>
      <c r="AJ57" s="20">
        <v>0</v>
      </c>
      <c r="AK57" s="53">
        <v>200</v>
      </c>
      <c r="AL57" s="53"/>
      <c r="AM57" s="20">
        <v>0</v>
      </c>
      <c r="AN57" s="20">
        <v>0</v>
      </c>
      <c r="AO57" s="20">
        <v>0</v>
      </c>
      <c r="AP57" s="20">
        <v>0</v>
      </c>
      <c r="AQ57" s="20">
        <v>75794</v>
      </c>
      <c r="AR57" s="20">
        <v>0</v>
      </c>
      <c r="AS57" s="20">
        <v>0</v>
      </c>
      <c r="AT57" s="20">
        <v>0</v>
      </c>
      <c r="AU57" s="20">
        <v>0</v>
      </c>
      <c r="AV57" s="20">
        <v>0</v>
      </c>
      <c r="AW57" s="53">
        <v>2383</v>
      </c>
      <c r="AX57" s="20">
        <v>0</v>
      </c>
      <c r="AY57" s="20">
        <v>0</v>
      </c>
      <c r="AZ57" s="20">
        <v>0</v>
      </c>
      <c r="BA57" s="20">
        <v>2363</v>
      </c>
      <c r="BB57" s="20">
        <v>0</v>
      </c>
      <c r="BC57" s="20">
        <v>20</v>
      </c>
      <c r="BD57" s="20">
        <v>0</v>
      </c>
      <c r="BE57" s="20">
        <v>0</v>
      </c>
      <c r="BF57" s="20" t="s">
        <v>381</v>
      </c>
      <c r="BG57" s="20">
        <v>0</v>
      </c>
      <c r="BH57" s="20">
        <v>0</v>
      </c>
      <c r="BI57" s="20">
        <v>0</v>
      </c>
      <c r="BJ57" s="20">
        <v>0</v>
      </c>
      <c r="BK57" s="20">
        <v>0</v>
      </c>
      <c r="BL57" s="20">
        <v>0</v>
      </c>
      <c r="BM57" s="20">
        <v>0</v>
      </c>
      <c r="BN57" s="20">
        <v>0</v>
      </c>
      <c r="BO57" s="20">
        <v>76376</v>
      </c>
      <c r="BP57" s="20">
        <v>0</v>
      </c>
      <c r="BQ57" s="20">
        <v>157895</v>
      </c>
    </row>
    <row r="58" spans="1:69" ht="53.4" customHeight="1" x14ac:dyDescent="0.3">
      <c r="A58" s="54" t="s">
        <v>265</v>
      </c>
      <c r="B58" s="20">
        <v>626</v>
      </c>
      <c r="C58" s="20">
        <v>0</v>
      </c>
      <c r="D58" s="20">
        <v>0</v>
      </c>
      <c r="E58" s="20">
        <v>0</v>
      </c>
      <c r="F58" s="20">
        <v>0</v>
      </c>
      <c r="G58" s="20">
        <v>0</v>
      </c>
      <c r="H58" s="20">
        <v>0</v>
      </c>
      <c r="I58" s="20">
        <v>771121621</v>
      </c>
      <c r="J58" s="20">
        <v>1965282</v>
      </c>
      <c r="K58" s="20">
        <v>377862476</v>
      </c>
      <c r="L58" s="20">
        <v>0</v>
      </c>
      <c r="M58" s="20">
        <v>0</v>
      </c>
      <c r="N58" s="20">
        <v>0</v>
      </c>
      <c r="O58" s="20">
        <v>0</v>
      </c>
      <c r="P58" s="20">
        <v>0</v>
      </c>
      <c r="Q58" s="20">
        <v>0</v>
      </c>
      <c r="R58" s="20">
        <v>0</v>
      </c>
      <c r="S58" s="20">
        <v>0</v>
      </c>
      <c r="T58" s="20" t="s">
        <v>381</v>
      </c>
      <c r="U58" s="20">
        <v>99594335</v>
      </c>
      <c r="V58" s="20">
        <v>0</v>
      </c>
      <c r="W58" s="20">
        <v>219883016</v>
      </c>
      <c r="X58" s="20">
        <v>3090808</v>
      </c>
      <c r="Y58" s="20">
        <v>0</v>
      </c>
      <c r="Z58" s="20">
        <v>36861401</v>
      </c>
      <c r="AA58" s="20">
        <v>26112744</v>
      </c>
      <c r="AB58" s="20">
        <v>0</v>
      </c>
      <c r="AC58" s="20">
        <v>5751559</v>
      </c>
      <c r="AD58" s="20">
        <v>1591175</v>
      </c>
      <c r="AE58" s="20">
        <v>0</v>
      </c>
      <c r="AF58" s="20"/>
      <c r="AG58" s="20">
        <v>234773353</v>
      </c>
      <c r="AH58" s="20">
        <v>170198571</v>
      </c>
      <c r="AI58" s="20">
        <v>15661584</v>
      </c>
      <c r="AJ58" s="20">
        <v>0</v>
      </c>
      <c r="AK58" s="20">
        <v>30998667</v>
      </c>
      <c r="AL58" s="20">
        <v>4134404</v>
      </c>
      <c r="AM58" s="20">
        <v>23900</v>
      </c>
      <c r="AN58" s="20">
        <v>0</v>
      </c>
      <c r="AO58" s="20">
        <v>101400</v>
      </c>
      <c r="AP58" s="20">
        <v>8413071</v>
      </c>
      <c r="AQ58" s="20">
        <v>0</v>
      </c>
      <c r="AR58" s="20">
        <v>4847456</v>
      </c>
      <c r="AS58" s="20">
        <v>0</v>
      </c>
      <c r="AT58" s="20">
        <v>0</v>
      </c>
      <c r="AU58" s="20">
        <v>0</v>
      </c>
      <c r="AV58" s="20">
        <v>394300</v>
      </c>
      <c r="AW58" s="20">
        <v>77856682</v>
      </c>
      <c r="AX58" s="20">
        <v>5365646</v>
      </c>
      <c r="AY58" s="20">
        <v>0</v>
      </c>
      <c r="AZ58" s="20">
        <v>0</v>
      </c>
      <c r="BA58" s="20">
        <v>0</v>
      </c>
      <c r="BB58" s="20">
        <v>71499690</v>
      </c>
      <c r="BC58" s="20">
        <v>991346</v>
      </c>
      <c r="BD58" s="20">
        <v>0</v>
      </c>
      <c r="BE58" s="20">
        <v>0</v>
      </c>
      <c r="BF58" s="20" t="s">
        <v>381</v>
      </c>
      <c r="BG58" s="20">
        <v>86002953</v>
      </c>
      <c r="BH58" s="20">
        <v>18757872</v>
      </c>
      <c r="BI58" s="20">
        <v>64734782</v>
      </c>
      <c r="BJ58" s="20">
        <v>97250</v>
      </c>
      <c r="BK58" s="20">
        <v>0</v>
      </c>
      <c r="BL58" s="20">
        <v>1791032</v>
      </c>
      <c r="BM58" s="20">
        <v>622017</v>
      </c>
      <c r="BN58" s="20">
        <v>0</v>
      </c>
      <c r="BO58" s="20">
        <v>959367</v>
      </c>
      <c r="BP58" s="20">
        <v>0</v>
      </c>
      <c r="BQ58" s="20">
        <v>1172305151</v>
      </c>
    </row>
    <row r="59" spans="1:69" ht="53.4" customHeight="1" x14ac:dyDescent="0.3">
      <c r="A59" s="54" t="s">
        <v>260</v>
      </c>
      <c r="B59" s="20">
        <v>773</v>
      </c>
      <c r="C59" s="20">
        <v>130</v>
      </c>
      <c r="D59" s="20">
        <v>1651855</v>
      </c>
      <c r="E59" s="20">
        <v>46</v>
      </c>
      <c r="F59" s="20">
        <v>2</v>
      </c>
      <c r="G59" s="20">
        <v>1958563</v>
      </c>
      <c r="H59" s="20">
        <v>54</v>
      </c>
      <c r="I59" s="20">
        <v>0</v>
      </c>
      <c r="J59" s="20">
        <v>0</v>
      </c>
      <c r="K59" s="20">
        <v>0</v>
      </c>
      <c r="L59" s="20">
        <v>0</v>
      </c>
      <c r="M59" s="20">
        <v>0</v>
      </c>
      <c r="N59" s="20">
        <v>0</v>
      </c>
      <c r="O59" s="20">
        <v>438403</v>
      </c>
      <c r="P59" s="20">
        <v>0</v>
      </c>
      <c r="Q59" s="20">
        <v>36024</v>
      </c>
      <c r="R59" s="20">
        <v>0</v>
      </c>
      <c r="S59" s="20">
        <v>9785</v>
      </c>
      <c r="T59" s="20" t="s">
        <v>381</v>
      </c>
      <c r="U59" s="20">
        <v>1741</v>
      </c>
      <c r="V59" s="20">
        <v>609</v>
      </c>
      <c r="W59" s="20">
        <v>1334</v>
      </c>
      <c r="X59" s="20">
        <v>3710</v>
      </c>
      <c r="Y59" s="20">
        <v>3969</v>
      </c>
      <c r="Z59" s="20">
        <v>8885</v>
      </c>
      <c r="AA59" s="20">
        <v>6327</v>
      </c>
      <c r="AB59" s="20">
        <v>8546</v>
      </c>
      <c r="AC59" s="20">
        <v>252656</v>
      </c>
      <c r="AD59" s="20">
        <v>0</v>
      </c>
      <c r="AE59" s="20">
        <v>0</v>
      </c>
      <c r="AF59" s="20"/>
      <c r="AG59" s="20">
        <v>0</v>
      </c>
      <c r="AH59" s="20">
        <v>215818</v>
      </c>
      <c r="AI59" s="20">
        <v>28644</v>
      </c>
      <c r="AJ59" s="20">
        <v>0</v>
      </c>
      <c r="AK59" s="20">
        <v>50643</v>
      </c>
      <c r="AL59" s="20">
        <v>21405</v>
      </c>
      <c r="AM59" s="20">
        <v>320</v>
      </c>
      <c r="AN59" s="20">
        <v>0</v>
      </c>
      <c r="AO59" s="20">
        <v>938</v>
      </c>
      <c r="AP59" s="20">
        <v>19357</v>
      </c>
      <c r="AQ59" s="20">
        <v>0</v>
      </c>
      <c r="AR59" s="20">
        <v>108486</v>
      </c>
      <c r="AS59" s="20">
        <v>0</v>
      </c>
      <c r="AT59" s="20">
        <v>0</v>
      </c>
      <c r="AU59" s="20">
        <v>7799</v>
      </c>
      <c r="AV59" s="20">
        <v>1399</v>
      </c>
      <c r="AW59" s="20">
        <v>0</v>
      </c>
      <c r="AX59" s="20">
        <v>73149</v>
      </c>
      <c r="AY59" s="20">
        <v>4882</v>
      </c>
      <c r="AZ59" s="20">
        <v>1500</v>
      </c>
      <c r="BA59" s="20">
        <v>1000</v>
      </c>
      <c r="BB59" s="20">
        <v>89312</v>
      </c>
      <c r="BC59" s="20">
        <v>173</v>
      </c>
      <c r="BD59" s="20">
        <v>58</v>
      </c>
      <c r="BE59" s="20">
        <v>951</v>
      </c>
      <c r="BF59" s="20" t="s">
        <v>381</v>
      </c>
      <c r="BG59" s="20">
        <v>310981</v>
      </c>
      <c r="BH59" s="20">
        <v>0</v>
      </c>
      <c r="BI59" s="20">
        <v>0</v>
      </c>
      <c r="BJ59" s="20">
        <v>13234</v>
      </c>
      <c r="BK59" s="20">
        <v>16277</v>
      </c>
      <c r="BL59" s="20">
        <v>35806</v>
      </c>
      <c r="BM59" s="20">
        <v>8679</v>
      </c>
      <c r="BN59" s="20">
        <v>90690</v>
      </c>
      <c r="BO59" s="20">
        <v>11808</v>
      </c>
      <c r="BP59" s="20">
        <v>7857</v>
      </c>
      <c r="BQ59" s="21"/>
    </row>
    <row r="60" spans="1:69" ht="53.4" customHeight="1" x14ac:dyDescent="0.3">
      <c r="A60" s="54" t="s">
        <v>264</v>
      </c>
      <c r="B60" s="20">
        <v>665</v>
      </c>
      <c r="C60" s="53">
        <v>58</v>
      </c>
      <c r="D60" s="20">
        <v>0</v>
      </c>
      <c r="E60" s="53">
        <v>75</v>
      </c>
      <c r="F60" s="53">
        <v>6</v>
      </c>
      <c r="G60" s="20">
        <v>0</v>
      </c>
      <c r="H60" s="53">
        <v>25</v>
      </c>
      <c r="I60" s="20">
        <v>653273</v>
      </c>
      <c r="J60" s="20">
        <v>5242</v>
      </c>
      <c r="K60" s="20">
        <v>0</v>
      </c>
      <c r="L60" s="20">
        <v>0</v>
      </c>
      <c r="M60" s="20">
        <v>0</v>
      </c>
      <c r="N60" s="20">
        <v>13100</v>
      </c>
      <c r="O60" s="20">
        <v>281700</v>
      </c>
      <c r="P60" s="20">
        <v>0</v>
      </c>
      <c r="Q60" s="20">
        <v>18550</v>
      </c>
      <c r="R60" s="20">
        <v>0</v>
      </c>
      <c r="S60" s="20">
        <v>29220</v>
      </c>
      <c r="T60" s="20" t="s">
        <v>381</v>
      </c>
      <c r="U60" s="20">
        <v>0</v>
      </c>
      <c r="V60" s="53">
        <v>53</v>
      </c>
      <c r="W60" s="20">
        <v>180581</v>
      </c>
      <c r="X60" s="20">
        <v>0</v>
      </c>
      <c r="Y60" s="20">
        <v>3305</v>
      </c>
      <c r="Z60" s="20">
        <v>2318</v>
      </c>
      <c r="AA60" s="20">
        <v>0</v>
      </c>
      <c r="AB60" s="20">
        <v>2470</v>
      </c>
      <c r="AC60" s="53">
        <v>116735</v>
      </c>
      <c r="AD60" s="20">
        <v>8340</v>
      </c>
      <c r="AE60" s="20">
        <v>309</v>
      </c>
      <c r="AF60" s="53">
        <v>8031</v>
      </c>
      <c r="AG60" s="20">
        <v>490001</v>
      </c>
      <c r="AH60" s="20">
        <v>0</v>
      </c>
      <c r="AI60" s="20">
        <v>8296</v>
      </c>
      <c r="AJ60" s="20">
        <v>40287</v>
      </c>
      <c r="AK60" s="20">
        <v>344459</v>
      </c>
      <c r="AL60" s="20">
        <v>26211</v>
      </c>
      <c r="AM60" s="20">
        <v>858</v>
      </c>
      <c r="AN60" s="20">
        <v>551</v>
      </c>
      <c r="AO60" s="20">
        <v>4786</v>
      </c>
      <c r="AP60" s="20">
        <v>17250</v>
      </c>
      <c r="AQ60" s="20">
        <v>4205</v>
      </c>
      <c r="AR60" s="20">
        <v>28400</v>
      </c>
      <c r="AS60" s="20">
        <v>0</v>
      </c>
      <c r="AT60" s="20">
        <v>0</v>
      </c>
      <c r="AU60" s="20">
        <v>14699</v>
      </c>
      <c r="AV60" s="20">
        <v>0</v>
      </c>
      <c r="AW60" s="20">
        <v>53626</v>
      </c>
      <c r="AX60" s="20">
        <v>10205</v>
      </c>
      <c r="AY60" s="20">
        <v>0</v>
      </c>
      <c r="AZ60" s="20">
        <v>7500</v>
      </c>
      <c r="BA60" s="20">
        <v>2717</v>
      </c>
      <c r="BB60" s="20">
        <v>31378</v>
      </c>
      <c r="BC60" s="20">
        <v>840</v>
      </c>
      <c r="BD60" s="20">
        <v>985</v>
      </c>
      <c r="BE60" s="20">
        <v>0</v>
      </c>
      <c r="BF60" s="20" t="s">
        <v>381</v>
      </c>
      <c r="BG60" s="20">
        <v>236959</v>
      </c>
      <c r="BH60" s="20">
        <v>208731</v>
      </c>
      <c r="BI60" s="20">
        <v>2211</v>
      </c>
      <c r="BJ60" s="20">
        <v>4529</v>
      </c>
      <c r="BK60" s="20">
        <v>0</v>
      </c>
      <c r="BL60" s="20">
        <v>21487</v>
      </c>
      <c r="BM60" s="20">
        <v>0</v>
      </c>
      <c r="BN60" s="20">
        <v>17278</v>
      </c>
      <c r="BO60" s="20">
        <v>11187</v>
      </c>
      <c r="BP60" s="20">
        <v>3582</v>
      </c>
      <c r="BQ60" s="20">
        <v>1470664</v>
      </c>
    </row>
    <row r="61" spans="1:69" ht="53.4" customHeight="1" x14ac:dyDescent="0.3">
      <c r="A61" s="54" t="s">
        <v>254</v>
      </c>
      <c r="B61" s="20">
        <v>702</v>
      </c>
      <c r="C61" s="20">
        <v>0</v>
      </c>
      <c r="D61" s="20">
        <v>0</v>
      </c>
      <c r="E61" s="20">
        <v>0</v>
      </c>
      <c r="F61" s="20">
        <v>0</v>
      </c>
      <c r="G61" s="20">
        <v>0</v>
      </c>
      <c r="H61" s="20">
        <v>0</v>
      </c>
      <c r="I61" s="20">
        <v>96695</v>
      </c>
      <c r="J61" s="20">
        <v>0</v>
      </c>
      <c r="K61" s="20">
        <v>0</v>
      </c>
      <c r="L61" s="20">
        <v>0</v>
      </c>
      <c r="M61" s="20">
        <v>0</v>
      </c>
      <c r="N61" s="20">
        <v>0</v>
      </c>
      <c r="O61" s="20">
        <v>0</v>
      </c>
      <c r="P61" s="20">
        <v>0</v>
      </c>
      <c r="Q61" s="20">
        <v>0</v>
      </c>
      <c r="R61" s="20">
        <v>0</v>
      </c>
      <c r="S61" s="20">
        <v>0</v>
      </c>
      <c r="T61" s="20" t="s">
        <v>381</v>
      </c>
      <c r="U61" s="20">
        <v>0</v>
      </c>
      <c r="V61" s="20">
        <v>0</v>
      </c>
      <c r="W61" s="20">
        <v>0</v>
      </c>
      <c r="X61" s="20">
        <v>0</v>
      </c>
      <c r="Y61" s="20">
        <v>0</v>
      </c>
      <c r="Z61" s="20">
        <v>0</v>
      </c>
      <c r="AA61" s="20">
        <v>0</v>
      </c>
      <c r="AB61" s="20">
        <v>0</v>
      </c>
      <c r="AC61" s="20">
        <v>0</v>
      </c>
      <c r="AD61" s="20">
        <v>0</v>
      </c>
      <c r="AE61" s="20">
        <v>0</v>
      </c>
      <c r="AF61" s="20"/>
      <c r="AG61" s="20">
        <v>156241</v>
      </c>
      <c r="AH61" s="20">
        <v>0</v>
      </c>
      <c r="AI61" s="20">
        <v>0</v>
      </c>
      <c r="AJ61" s="20">
        <v>0</v>
      </c>
      <c r="AK61" s="20">
        <v>0</v>
      </c>
      <c r="AL61" s="20">
        <v>0</v>
      </c>
      <c r="AM61" s="20">
        <v>0</v>
      </c>
      <c r="AN61" s="20">
        <v>0</v>
      </c>
      <c r="AO61" s="20">
        <v>0</v>
      </c>
      <c r="AP61" s="20">
        <v>0</v>
      </c>
      <c r="AQ61" s="20">
        <v>0</v>
      </c>
      <c r="AR61" s="20">
        <v>0</v>
      </c>
      <c r="AS61" s="20">
        <v>0</v>
      </c>
      <c r="AT61" s="20">
        <v>0</v>
      </c>
      <c r="AU61" s="20">
        <v>0</v>
      </c>
      <c r="AV61" s="20">
        <v>0</v>
      </c>
      <c r="AW61" s="20">
        <v>7218</v>
      </c>
      <c r="AX61" s="20">
        <v>0</v>
      </c>
      <c r="AY61" s="20">
        <v>0</v>
      </c>
      <c r="AZ61" s="20">
        <v>0</v>
      </c>
      <c r="BA61" s="20">
        <v>0</v>
      </c>
      <c r="BB61" s="20">
        <v>0</v>
      </c>
      <c r="BC61" s="20">
        <v>0</v>
      </c>
      <c r="BD61" s="20">
        <v>0</v>
      </c>
      <c r="BE61" s="20">
        <v>0</v>
      </c>
      <c r="BF61" s="20" t="s">
        <v>381</v>
      </c>
      <c r="BG61" s="20">
        <v>87162</v>
      </c>
      <c r="BH61" s="20">
        <v>0</v>
      </c>
      <c r="BI61" s="20">
        <v>0</v>
      </c>
      <c r="BJ61" s="20">
        <v>0</v>
      </c>
      <c r="BK61" s="20">
        <v>0</v>
      </c>
      <c r="BL61" s="20">
        <v>0</v>
      </c>
      <c r="BM61" s="20">
        <v>0</v>
      </c>
      <c r="BN61" s="20">
        <v>31</v>
      </c>
      <c r="BO61" s="20">
        <v>0</v>
      </c>
      <c r="BP61" s="20">
        <v>2009</v>
      </c>
      <c r="BQ61" s="20">
        <v>0</v>
      </c>
    </row>
  </sheetData>
  <autoFilter ref="A1:BQ61">
    <sortState ref="A2:BQ61">
      <sortCondition ref="A1:A61"/>
    </sortState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7"/>
  <sheetViews>
    <sheetView workbookViewId="0">
      <pane xSplit="1" ySplit="1" topLeftCell="J2" activePane="bottomRight" state="frozen"/>
      <selection pane="topRight" activeCell="B1" sqref="B1"/>
      <selection pane="bottomLeft" activeCell="A2" sqref="A2"/>
      <selection pane="bottomRight" activeCell="N12" sqref="N12"/>
    </sheetView>
  </sheetViews>
  <sheetFormatPr baseColWidth="10" defaultRowHeight="14.4" x14ac:dyDescent="0.3"/>
  <cols>
    <col min="1" max="1" width="31.6640625" customWidth="1"/>
    <col min="2" max="2" width="21.6640625" customWidth="1"/>
    <col min="3" max="3" width="22.6640625" customWidth="1"/>
    <col min="4" max="4" width="27.33203125" style="5" customWidth="1"/>
    <col min="5" max="28" width="22.6640625" style="5" customWidth="1"/>
  </cols>
  <sheetData>
    <row r="1" spans="1:35" ht="41.4" x14ac:dyDescent="0.3">
      <c r="A1" s="1" t="s">
        <v>0</v>
      </c>
      <c r="B1" s="1" t="s">
        <v>1</v>
      </c>
      <c r="C1" s="1" t="s">
        <v>2</v>
      </c>
      <c r="D1" s="4" t="s">
        <v>385</v>
      </c>
      <c r="E1" s="4" t="s">
        <v>386</v>
      </c>
      <c r="F1" s="4" t="s">
        <v>387</v>
      </c>
      <c r="G1" s="4" t="s">
        <v>231</v>
      </c>
      <c r="H1" s="4" t="s">
        <v>388</v>
      </c>
      <c r="I1" s="4" t="s">
        <v>389</v>
      </c>
      <c r="J1" s="4" t="s">
        <v>390</v>
      </c>
      <c r="K1" s="4" t="s">
        <v>391</v>
      </c>
      <c r="L1" s="4" t="s">
        <v>392</v>
      </c>
      <c r="M1" s="4" t="s">
        <v>393</v>
      </c>
      <c r="N1" s="4" t="s">
        <v>394</v>
      </c>
      <c r="O1" s="4" t="s">
        <v>395</v>
      </c>
      <c r="P1" s="4" t="s">
        <v>396</v>
      </c>
      <c r="Q1" s="4" t="s">
        <v>397</v>
      </c>
      <c r="R1" s="4" t="s">
        <v>398</v>
      </c>
      <c r="S1" s="4" t="s">
        <v>399</v>
      </c>
      <c r="T1" s="4" t="s">
        <v>400</v>
      </c>
      <c r="U1" s="4" t="s">
        <v>401</v>
      </c>
      <c r="V1" s="4" t="s">
        <v>402</v>
      </c>
      <c r="W1" s="4" t="s">
        <v>403</v>
      </c>
      <c r="X1" s="4" t="s">
        <v>404</v>
      </c>
      <c r="Y1" s="4" t="s">
        <v>405</v>
      </c>
      <c r="Z1" s="4" t="s">
        <v>406</v>
      </c>
      <c r="AA1" s="4" t="s">
        <v>407</v>
      </c>
      <c r="AB1" s="4" t="s">
        <v>408</v>
      </c>
      <c r="AC1" s="11"/>
      <c r="AD1" s="11"/>
      <c r="AE1" s="11"/>
      <c r="AF1" s="11"/>
      <c r="AG1" s="11"/>
      <c r="AH1" s="11"/>
      <c r="AI1" s="11"/>
    </row>
    <row r="2" spans="1:35" ht="27.6" customHeight="1" x14ac:dyDescent="0.3">
      <c r="A2" s="16" t="s">
        <v>309</v>
      </c>
      <c r="B2" s="16" t="s">
        <v>18</v>
      </c>
      <c r="C2" s="16">
        <v>2023</v>
      </c>
      <c r="D2" s="6">
        <v>136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3919118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</row>
    <row r="3" spans="1:35" ht="27.6" customHeight="1" x14ac:dyDescent="0.3">
      <c r="A3" s="16" t="s">
        <v>245</v>
      </c>
      <c r="B3" s="16" t="s">
        <v>18</v>
      </c>
      <c r="C3" s="16">
        <v>2023</v>
      </c>
      <c r="D3" s="6">
        <v>134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</row>
    <row r="4" spans="1:35" ht="27.6" customHeight="1" x14ac:dyDescent="0.3">
      <c r="A4" s="16" t="s">
        <v>57</v>
      </c>
      <c r="B4" s="16" t="s">
        <v>18</v>
      </c>
      <c r="C4" s="16">
        <v>2023</v>
      </c>
      <c r="D4" s="6">
        <v>143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13818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</row>
    <row r="5" spans="1:35" ht="27.6" customHeight="1" x14ac:dyDescent="0.3">
      <c r="A5" s="16" t="s">
        <v>211</v>
      </c>
      <c r="B5" s="16" t="s">
        <v>18</v>
      </c>
      <c r="C5" s="16">
        <v>2023</v>
      </c>
      <c r="D5" s="6">
        <v>125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6526</v>
      </c>
      <c r="R5" s="6">
        <v>1680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</row>
    <row r="6" spans="1:35" ht="27.6" customHeight="1" x14ac:dyDescent="0.3">
      <c r="A6" s="16" t="s">
        <v>122</v>
      </c>
      <c r="B6" s="16" t="s">
        <v>18</v>
      </c>
      <c r="C6" s="16">
        <v>2023</v>
      </c>
      <c r="D6" s="6">
        <v>149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2000</v>
      </c>
      <c r="R6" s="6">
        <v>5000</v>
      </c>
      <c r="S6" s="6">
        <v>6000</v>
      </c>
      <c r="T6" s="6">
        <v>0</v>
      </c>
      <c r="U6" s="6">
        <v>7000</v>
      </c>
      <c r="V6" s="6">
        <v>6000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</row>
    <row r="7" spans="1:35" ht="27.6" customHeight="1" x14ac:dyDescent="0.3">
      <c r="A7" s="16" t="s">
        <v>191</v>
      </c>
      <c r="B7" s="16" t="s">
        <v>18</v>
      </c>
      <c r="C7" s="16">
        <v>2023</v>
      </c>
      <c r="D7" s="6">
        <v>132</v>
      </c>
      <c r="E7" s="6">
        <v>0</v>
      </c>
      <c r="F7" s="6">
        <v>0</v>
      </c>
      <c r="G7" s="6">
        <v>12527</v>
      </c>
      <c r="H7" s="6">
        <v>1366509</v>
      </c>
      <c r="I7" s="6">
        <v>0</v>
      </c>
      <c r="J7" s="6">
        <v>0</v>
      </c>
      <c r="K7" s="6">
        <v>239333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214662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63856</v>
      </c>
    </row>
    <row r="8" spans="1:35" ht="27.6" customHeight="1" x14ac:dyDescent="0.3">
      <c r="A8" s="16" t="s">
        <v>22</v>
      </c>
      <c r="B8" s="16" t="s">
        <v>18</v>
      </c>
      <c r="C8" s="16">
        <v>2023</v>
      </c>
      <c r="D8" s="6">
        <v>122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</row>
    <row r="9" spans="1:35" ht="27.6" customHeight="1" x14ac:dyDescent="0.3">
      <c r="A9" s="16" t="s">
        <v>188</v>
      </c>
      <c r="B9" s="16" t="s">
        <v>18</v>
      </c>
      <c r="C9" s="16">
        <v>2023</v>
      </c>
      <c r="D9" s="6">
        <v>133</v>
      </c>
      <c r="E9" s="6">
        <v>0</v>
      </c>
      <c r="F9" s="6">
        <v>0</v>
      </c>
      <c r="G9" s="6">
        <v>0</v>
      </c>
      <c r="H9" s="6">
        <v>252276</v>
      </c>
      <c r="I9" s="6">
        <v>0</v>
      </c>
      <c r="J9" s="6">
        <v>0</v>
      </c>
      <c r="K9" s="6">
        <v>99565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12600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35400</v>
      </c>
    </row>
    <row r="10" spans="1:35" ht="27.6" customHeight="1" x14ac:dyDescent="0.3">
      <c r="A10" s="16" t="s">
        <v>253</v>
      </c>
      <c r="B10" s="16" t="s">
        <v>18</v>
      </c>
      <c r="C10" s="16">
        <v>2023</v>
      </c>
      <c r="D10" s="6">
        <v>129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235366680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979968</v>
      </c>
      <c r="V10" s="6">
        <v>3893600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</row>
    <row r="11" spans="1:35" ht="27.6" customHeight="1" x14ac:dyDescent="0.3">
      <c r="A11" s="16" t="s">
        <v>194</v>
      </c>
      <c r="B11" s="16" t="s">
        <v>18</v>
      </c>
      <c r="C11" s="16">
        <v>2023</v>
      </c>
      <c r="D11" s="6">
        <v>144</v>
      </c>
      <c r="E11" s="6">
        <v>0</v>
      </c>
      <c r="F11" s="6">
        <v>0</v>
      </c>
      <c r="G11" s="6">
        <v>0</v>
      </c>
      <c r="H11" s="6">
        <v>685</v>
      </c>
      <c r="I11" s="6">
        <v>0</v>
      </c>
      <c r="J11" s="6">
        <v>0</v>
      </c>
      <c r="K11" s="6">
        <v>190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22</v>
      </c>
      <c r="W11" s="6">
        <v>0</v>
      </c>
      <c r="X11" s="6">
        <v>0</v>
      </c>
      <c r="Y11" s="6">
        <v>0</v>
      </c>
      <c r="Z11" s="6">
        <v>672</v>
      </c>
      <c r="AA11" s="6">
        <v>207</v>
      </c>
      <c r="AB11" s="6">
        <v>0</v>
      </c>
    </row>
    <row r="12" spans="1:35" ht="27.6" customHeight="1" x14ac:dyDescent="0.3">
      <c r="A12" s="16" t="s">
        <v>68</v>
      </c>
      <c r="B12" s="16" t="s">
        <v>18</v>
      </c>
      <c r="C12" s="16">
        <v>2023</v>
      </c>
      <c r="D12" s="6">
        <v>126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</row>
    <row r="13" spans="1:35" ht="27.6" customHeight="1" x14ac:dyDescent="0.3">
      <c r="A13" s="16" t="s">
        <v>383</v>
      </c>
      <c r="B13" s="16" t="s">
        <v>18</v>
      </c>
      <c r="C13" s="16">
        <v>2023</v>
      </c>
      <c r="D13" s="6">
        <v>141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</row>
    <row r="14" spans="1:35" ht="27.6" customHeight="1" x14ac:dyDescent="0.3">
      <c r="A14" s="16" t="s">
        <v>110</v>
      </c>
      <c r="B14" s="16" t="s">
        <v>18</v>
      </c>
      <c r="C14" s="16">
        <v>2023</v>
      </c>
      <c r="D14" s="6">
        <v>123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</row>
    <row r="15" spans="1:35" ht="27.6" customHeight="1" x14ac:dyDescent="0.3">
      <c r="A15" s="16" t="s">
        <v>257</v>
      </c>
      <c r="B15" s="16" t="s">
        <v>18</v>
      </c>
      <c r="C15" s="16">
        <v>2023</v>
      </c>
      <c r="D15" s="6">
        <v>147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1514531</v>
      </c>
      <c r="O15" s="6">
        <v>0</v>
      </c>
      <c r="P15" s="6">
        <v>0</v>
      </c>
      <c r="Q15" s="6">
        <v>0</v>
      </c>
      <c r="R15" s="6">
        <v>8895</v>
      </c>
      <c r="S15" s="6">
        <v>0</v>
      </c>
      <c r="T15" s="6">
        <v>0</v>
      </c>
      <c r="U15" s="6">
        <v>51689</v>
      </c>
      <c r="V15" s="6">
        <v>323251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</row>
    <row r="16" spans="1:35" ht="27.6" customHeight="1" x14ac:dyDescent="0.3">
      <c r="A16" s="16" t="s">
        <v>187</v>
      </c>
      <c r="B16" s="16" t="s">
        <v>18</v>
      </c>
      <c r="C16" s="16">
        <v>2023</v>
      </c>
      <c r="D16" s="6">
        <v>131</v>
      </c>
      <c r="E16" s="6">
        <v>0</v>
      </c>
      <c r="F16" s="6">
        <v>0</v>
      </c>
      <c r="G16" s="6">
        <v>0</v>
      </c>
      <c r="H16" s="6">
        <v>5000</v>
      </c>
      <c r="I16" s="6">
        <v>0</v>
      </c>
      <c r="J16" s="6">
        <v>0</v>
      </c>
      <c r="K16" s="6">
        <v>65134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102489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40182</v>
      </c>
    </row>
    <row r="17" spans="1:28" ht="27.6" customHeight="1" x14ac:dyDescent="0.3">
      <c r="A17" s="16" t="s">
        <v>78</v>
      </c>
      <c r="B17" s="16" t="s">
        <v>18</v>
      </c>
      <c r="C17" s="16">
        <v>2023</v>
      </c>
      <c r="D17" s="6">
        <v>127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</row>
    <row r="18" spans="1:28" ht="27.6" customHeight="1" x14ac:dyDescent="0.3">
      <c r="A18" s="16" t="s">
        <v>310</v>
      </c>
      <c r="B18" s="16" t="s">
        <v>18</v>
      </c>
      <c r="C18" s="16">
        <v>2023</v>
      </c>
      <c r="D18" s="6">
        <v>152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29755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</row>
    <row r="19" spans="1:28" ht="27.6" customHeight="1" x14ac:dyDescent="0.3">
      <c r="A19" s="16" t="s">
        <v>127</v>
      </c>
      <c r="B19" s="16" t="s">
        <v>18</v>
      </c>
      <c r="C19" s="16">
        <v>2023</v>
      </c>
      <c r="D19" s="6">
        <v>121</v>
      </c>
      <c r="E19" s="6">
        <v>0</v>
      </c>
      <c r="F19" s="6">
        <v>0</v>
      </c>
      <c r="G19" s="6">
        <v>0</v>
      </c>
      <c r="H19" s="6">
        <v>1642686</v>
      </c>
      <c r="I19" s="6">
        <v>0</v>
      </c>
      <c r="J19" s="6">
        <v>0</v>
      </c>
      <c r="K19" s="6">
        <v>803334</v>
      </c>
      <c r="L19" s="6">
        <v>0</v>
      </c>
      <c r="M19" s="6">
        <v>1925047</v>
      </c>
      <c r="N19" s="6">
        <v>0</v>
      </c>
      <c r="O19" s="6">
        <v>0</v>
      </c>
      <c r="P19" s="6">
        <v>0</v>
      </c>
      <c r="Q19" s="6">
        <v>18872</v>
      </c>
      <c r="R19" s="6">
        <v>0</v>
      </c>
      <c r="S19" s="6">
        <v>0</v>
      </c>
      <c r="T19" s="6">
        <v>0</v>
      </c>
      <c r="U19" s="6">
        <v>843692</v>
      </c>
      <c r="V19" s="6">
        <v>0</v>
      </c>
      <c r="W19" s="6">
        <v>42800</v>
      </c>
      <c r="X19" s="6">
        <v>0</v>
      </c>
      <c r="Y19" s="6">
        <v>619829</v>
      </c>
      <c r="Z19" s="6">
        <v>1478058</v>
      </c>
      <c r="AA19" s="6">
        <v>3778033</v>
      </c>
      <c r="AB19" s="6">
        <v>0</v>
      </c>
    </row>
    <row r="20" spans="1:28" ht="27.6" customHeight="1" x14ac:dyDescent="0.3">
      <c r="A20" s="16" t="s">
        <v>384</v>
      </c>
      <c r="B20" s="16" t="s">
        <v>18</v>
      </c>
      <c r="C20" s="16">
        <v>2023</v>
      </c>
      <c r="D20" s="6">
        <v>157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20674553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</row>
    <row r="21" spans="1:28" ht="27.6" customHeight="1" x14ac:dyDescent="0.3">
      <c r="A21" s="16" t="s">
        <v>184</v>
      </c>
      <c r="B21" s="16" t="s">
        <v>18</v>
      </c>
      <c r="C21" s="16">
        <v>2023</v>
      </c>
      <c r="D21" s="6">
        <v>135</v>
      </c>
      <c r="E21" s="6">
        <v>0</v>
      </c>
      <c r="F21" s="6">
        <v>0</v>
      </c>
      <c r="G21" s="6">
        <v>0</v>
      </c>
      <c r="H21" s="6">
        <v>971229</v>
      </c>
      <c r="I21" s="6">
        <v>0</v>
      </c>
      <c r="J21" s="6">
        <v>0</v>
      </c>
      <c r="K21" s="6">
        <v>164088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1135317</v>
      </c>
    </row>
    <row r="22" spans="1:28" ht="27.6" customHeight="1" x14ac:dyDescent="0.3">
      <c r="A22" s="16" t="s">
        <v>217</v>
      </c>
      <c r="B22" s="16" t="s">
        <v>18</v>
      </c>
      <c r="C22" s="16">
        <v>2023</v>
      </c>
      <c r="D22" s="6">
        <v>140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</row>
    <row r="23" spans="1:28" ht="27.6" customHeight="1" x14ac:dyDescent="0.3">
      <c r="A23" s="16" t="s">
        <v>75</v>
      </c>
      <c r="B23" s="16" t="s">
        <v>18</v>
      </c>
      <c r="C23" s="16">
        <v>2023</v>
      </c>
      <c r="D23" s="6">
        <v>155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90666908</v>
      </c>
      <c r="K23" s="6">
        <v>13151509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15214500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</row>
    <row r="24" spans="1:28" ht="27.6" customHeight="1" x14ac:dyDescent="0.3">
      <c r="A24" s="16" t="s">
        <v>33</v>
      </c>
      <c r="B24" s="16" t="s">
        <v>18</v>
      </c>
      <c r="C24" s="16">
        <v>2023</v>
      </c>
      <c r="D24" s="6">
        <v>151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9505991</v>
      </c>
      <c r="O24" s="6">
        <v>2296208</v>
      </c>
      <c r="P24" s="6">
        <v>2479099</v>
      </c>
      <c r="Q24" s="6">
        <v>342068</v>
      </c>
      <c r="R24" s="6">
        <v>0</v>
      </c>
      <c r="S24" s="6">
        <v>875457</v>
      </c>
      <c r="T24" s="6">
        <v>0</v>
      </c>
      <c r="U24" s="6">
        <v>202947</v>
      </c>
      <c r="V24" s="6">
        <v>534386</v>
      </c>
      <c r="W24" s="6">
        <v>63581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</row>
    <row r="25" spans="1:28" ht="27.6" customHeight="1" x14ac:dyDescent="0.3">
      <c r="A25" s="16" t="s">
        <v>60</v>
      </c>
      <c r="B25" s="16" t="s">
        <v>18</v>
      </c>
      <c r="C25" s="16">
        <v>2023</v>
      </c>
      <c r="D25" s="6">
        <v>142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569</v>
      </c>
      <c r="L25" s="6">
        <v>12927</v>
      </c>
      <c r="M25" s="6">
        <v>0</v>
      </c>
      <c r="N25" s="6">
        <v>5235</v>
      </c>
      <c r="O25" s="6">
        <v>3197</v>
      </c>
      <c r="P25" s="6">
        <v>4495</v>
      </c>
      <c r="Q25" s="6">
        <v>2575</v>
      </c>
      <c r="R25" s="6">
        <v>0</v>
      </c>
      <c r="S25" s="6">
        <v>3310</v>
      </c>
      <c r="T25" s="6">
        <v>0</v>
      </c>
      <c r="U25" s="6">
        <v>584</v>
      </c>
      <c r="V25" s="6">
        <v>0</v>
      </c>
      <c r="W25" s="6">
        <v>198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</row>
    <row r="26" spans="1:28" ht="27.6" customHeight="1" x14ac:dyDescent="0.3">
      <c r="A26" s="16" t="s">
        <v>71</v>
      </c>
      <c r="B26" s="16" t="s">
        <v>18</v>
      </c>
      <c r="C26" s="16">
        <v>2023</v>
      </c>
      <c r="D26" s="6">
        <v>146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2700000</v>
      </c>
      <c r="T26" s="6">
        <v>0</v>
      </c>
      <c r="U26" s="6">
        <v>0</v>
      </c>
      <c r="V26" s="6">
        <v>0</v>
      </c>
      <c r="W26" s="6">
        <v>3400000</v>
      </c>
      <c r="X26" s="6">
        <v>0</v>
      </c>
      <c r="Y26" s="6">
        <v>2100000</v>
      </c>
      <c r="Z26" s="6">
        <v>0</v>
      </c>
      <c r="AA26" s="6">
        <v>0</v>
      </c>
      <c r="AB26" s="6">
        <v>0</v>
      </c>
    </row>
    <row r="27" spans="1:28" ht="27.6" customHeight="1" x14ac:dyDescent="0.3">
      <c r="A27" s="16" t="s">
        <v>104</v>
      </c>
      <c r="B27" s="16" t="s">
        <v>18</v>
      </c>
      <c r="C27" s="16">
        <v>2023</v>
      </c>
      <c r="D27" s="6">
        <v>153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1000</v>
      </c>
      <c r="Y27" s="6">
        <v>24090</v>
      </c>
      <c r="Z27" s="6">
        <v>0</v>
      </c>
      <c r="AA27" s="6">
        <v>0</v>
      </c>
      <c r="AB27" s="6">
        <v>0</v>
      </c>
    </row>
    <row r="28" spans="1:28" ht="27.6" customHeight="1" x14ac:dyDescent="0.3">
      <c r="A28" s="16" t="s">
        <v>114</v>
      </c>
      <c r="B28" s="16" t="s">
        <v>18</v>
      </c>
      <c r="C28" s="16">
        <v>2023</v>
      </c>
      <c r="D28" s="6">
        <v>124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933</v>
      </c>
      <c r="K28" s="6">
        <v>32054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204</v>
      </c>
      <c r="S28" s="6">
        <v>0</v>
      </c>
      <c r="T28" s="6">
        <v>0</v>
      </c>
      <c r="U28" s="6">
        <v>367</v>
      </c>
      <c r="V28" s="6">
        <v>18560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</row>
    <row r="29" spans="1:28" ht="27.6" customHeight="1" x14ac:dyDescent="0.3">
      <c r="A29" s="16" t="s">
        <v>65</v>
      </c>
      <c r="B29" s="16" t="s">
        <v>18</v>
      </c>
      <c r="C29" s="16">
        <v>2023</v>
      </c>
      <c r="D29" s="6">
        <v>154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</row>
    <row r="30" spans="1:28" ht="27.6" customHeight="1" x14ac:dyDescent="0.3">
      <c r="A30" s="16" t="s">
        <v>32</v>
      </c>
      <c r="B30" s="16" t="s">
        <v>18</v>
      </c>
      <c r="C30" s="16">
        <v>2023</v>
      </c>
      <c r="D30" s="6">
        <v>120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57643539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</row>
    <row r="31" spans="1:28" ht="27.6" customHeight="1" x14ac:dyDescent="0.3">
      <c r="A31" s="16" t="s">
        <v>249</v>
      </c>
      <c r="B31" s="16" t="s">
        <v>18</v>
      </c>
      <c r="C31" s="16">
        <v>2023</v>
      </c>
      <c r="D31" s="6">
        <v>148</v>
      </c>
      <c r="E31" s="6">
        <v>0</v>
      </c>
      <c r="F31" s="6">
        <v>0</v>
      </c>
      <c r="G31" s="6">
        <v>0</v>
      </c>
      <c r="H31" s="6">
        <v>330361</v>
      </c>
      <c r="I31" s="6">
        <v>0</v>
      </c>
      <c r="J31" s="6">
        <v>0</v>
      </c>
      <c r="K31" s="6">
        <v>17741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108137</v>
      </c>
      <c r="R31" s="6">
        <v>39334</v>
      </c>
      <c r="S31" s="6">
        <v>484384</v>
      </c>
      <c r="T31" s="6">
        <v>0</v>
      </c>
      <c r="U31" s="6">
        <v>7722</v>
      </c>
      <c r="V31" s="6">
        <v>46506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</row>
    <row r="32" spans="1:28" ht="27.6" customHeight="1" x14ac:dyDescent="0.3">
      <c r="A32" s="16" t="s">
        <v>42</v>
      </c>
      <c r="B32" s="16" t="s">
        <v>18</v>
      </c>
      <c r="C32" s="16">
        <v>2023</v>
      </c>
      <c r="D32" s="6">
        <v>130</v>
      </c>
      <c r="E32" s="6">
        <v>0</v>
      </c>
      <c r="F32" s="6">
        <v>0</v>
      </c>
      <c r="G32" s="6">
        <v>0</v>
      </c>
      <c r="H32" s="6">
        <v>18069</v>
      </c>
      <c r="I32" s="6">
        <v>0</v>
      </c>
      <c r="J32" s="6">
        <v>0</v>
      </c>
      <c r="K32" s="6">
        <v>1870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11451</v>
      </c>
      <c r="T32" s="6">
        <v>0</v>
      </c>
      <c r="U32" s="6">
        <v>0</v>
      </c>
      <c r="V32" s="6">
        <v>12840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</row>
    <row r="33" spans="1:28" ht="27.6" customHeight="1" x14ac:dyDescent="0.3">
      <c r="A33" s="16" t="s">
        <v>112</v>
      </c>
      <c r="B33" s="16" t="s">
        <v>18</v>
      </c>
      <c r="C33" s="16">
        <v>2023</v>
      </c>
      <c r="D33" s="6">
        <v>150</v>
      </c>
      <c r="E33" s="6">
        <v>0</v>
      </c>
      <c r="F33" s="6">
        <v>0</v>
      </c>
      <c r="G33" s="6">
        <v>0</v>
      </c>
      <c r="H33" s="6">
        <v>18698</v>
      </c>
      <c r="I33" s="6">
        <v>0</v>
      </c>
      <c r="J33" s="6">
        <v>0</v>
      </c>
      <c r="K33" s="6">
        <v>32403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22682</v>
      </c>
      <c r="V33" s="6">
        <v>0</v>
      </c>
      <c r="W33" s="6">
        <v>0</v>
      </c>
      <c r="X33" s="6">
        <v>0</v>
      </c>
      <c r="Y33" s="6">
        <v>259895</v>
      </c>
      <c r="Z33" s="6">
        <v>0</v>
      </c>
      <c r="AA33" s="6">
        <v>0</v>
      </c>
      <c r="AB33" s="6">
        <v>23441</v>
      </c>
    </row>
    <row r="34" spans="1:28" ht="27.6" customHeight="1" x14ac:dyDescent="0.3">
      <c r="A34" s="16" t="s">
        <v>382</v>
      </c>
      <c r="B34" s="16" t="s">
        <v>18</v>
      </c>
      <c r="C34" s="16">
        <v>2023</v>
      </c>
      <c r="D34" s="6">
        <v>128</v>
      </c>
      <c r="E34" s="6">
        <v>21700000</v>
      </c>
      <c r="F34" s="6">
        <v>172640000</v>
      </c>
      <c r="G34" s="6">
        <v>14000000</v>
      </c>
      <c r="H34" s="6">
        <v>10000000</v>
      </c>
      <c r="I34" s="6">
        <v>18000000</v>
      </c>
      <c r="J34" s="6">
        <v>14200000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</row>
    <row r="35" spans="1:28" ht="27.6" customHeight="1" x14ac:dyDescent="0.3">
      <c r="A35" s="16" t="s">
        <v>220</v>
      </c>
      <c r="B35" s="16" t="s">
        <v>18</v>
      </c>
      <c r="C35" s="16">
        <v>2023</v>
      </c>
      <c r="D35" s="6">
        <v>139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</row>
    <row r="36" spans="1:28" ht="27.6" customHeight="1" x14ac:dyDescent="0.3">
      <c r="A36" s="16" t="s">
        <v>260</v>
      </c>
      <c r="B36" s="16" t="s">
        <v>18</v>
      </c>
      <c r="C36" s="16">
        <v>2023</v>
      </c>
      <c r="D36" s="6">
        <v>156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</row>
    <row r="37" spans="1:28" ht="27.6" customHeight="1" x14ac:dyDescent="0.3">
      <c r="A37" s="16" t="s">
        <v>264</v>
      </c>
      <c r="B37" s="16" t="s">
        <v>18</v>
      </c>
      <c r="C37" s="16">
        <v>2023</v>
      </c>
      <c r="D37" s="6">
        <v>138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</row>
  </sheetData>
  <autoFilter ref="A1:AB37">
    <sortState ref="A2:AB37">
      <sortCondition ref="A1:A37"/>
    </sortState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249977111117893"/>
  </sheetPr>
  <dimension ref="A1:AE61"/>
  <sheetViews>
    <sheetView topLeftCell="W1" workbookViewId="0">
      <pane ySplit="1" topLeftCell="A56" activePane="bottomLeft" state="frozen"/>
      <selection activeCell="AF1" sqref="AF1"/>
      <selection pane="bottomLeft" activeCell="AD67" sqref="AD67"/>
    </sheetView>
  </sheetViews>
  <sheetFormatPr baseColWidth="10" defaultRowHeight="14.4" x14ac:dyDescent="0.3"/>
  <cols>
    <col min="1" max="1" width="33.77734375" customWidth="1"/>
    <col min="2" max="31" width="20" style="5" customWidth="1"/>
  </cols>
  <sheetData>
    <row r="1" spans="1:31" ht="31.8" customHeight="1" x14ac:dyDescent="0.3">
      <c r="A1" s="17" t="s">
        <v>0</v>
      </c>
      <c r="B1" s="19" t="s">
        <v>409</v>
      </c>
      <c r="C1" s="19" t="s">
        <v>410</v>
      </c>
      <c r="D1" s="19" t="s">
        <v>958</v>
      </c>
      <c r="E1" s="19" t="s">
        <v>411</v>
      </c>
      <c r="F1" s="19" t="s">
        <v>412</v>
      </c>
      <c r="G1" s="19" t="s">
        <v>413</v>
      </c>
      <c r="H1" s="19" t="s">
        <v>415</v>
      </c>
      <c r="I1" s="19" t="s">
        <v>416</v>
      </c>
      <c r="J1" s="19" t="s">
        <v>417</v>
      </c>
      <c r="K1" s="19" t="s">
        <v>418</v>
      </c>
      <c r="L1" s="19" t="s">
        <v>419</v>
      </c>
      <c r="M1" s="19" t="s">
        <v>420</v>
      </c>
      <c r="N1" s="19" t="s">
        <v>422</v>
      </c>
      <c r="O1" s="19" t="s">
        <v>423</v>
      </c>
      <c r="P1" s="19" t="s">
        <v>424</v>
      </c>
      <c r="Q1" s="19" t="s">
        <v>425</v>
      </c>
      <c r="R1" s="19" t="s">
        <v>426</v>
      </c>
      <c r="S1" s="19" t="s">
        <v>427</v>
      </c>
      <c r="T1" s="19" t="s">
        <v>429</v>
      </c>
      <c r="U1" s="19" t="s">
        <v>430</v>
      </c>
      <c r="V1" s="19" t="s">
        <v>431</v>
      </c>
      <c r="W1" s="19" t="s">
        <v>432</v>
      </c>
      <c r="X1" s="19" t="s">
        <v>433</v>
      </c>
      <c r="Y1" s="19" t="s">
        <v>434</v>
      </c>
      <c r="Z1" s="19" t="s">
        <v>436</v>
      </c>
      <c r="AA1" s="19" t="s">
        <v>437</v>
      </c>
      <c r="AB1" s="19" t="s">
        <v>438</v>
      </c>
      <c r="AC1" s="19" t="s">
        <v>439</v>
      </c>
      <c r="AD1" s="19" t="s">
        <v>440</v>
      </c>
      <c r="AE1" s="19" t="s">
        <v>441</v>
      </c>
    </row>
    <row r="2" spans="1:31" ht="31.2" customHeight="1" x14ac:dyDescent="0.3">
      <c r="A2" s="62" t="s">
        <v>309</v>
      </c>
      <c r="B2" s="20">
        <v>0</v>
      </c>
      <c r="C2" s="20">
        <v>1</v>
      </c>
      <c r="D2" s="53">
        <v>30000</v>
      </c>
      <c r="E2" s="20">
        <v>0</v>
      </c>
      <c r="F2" s="20">
        <v>0</v>
      </c>
      <c r="G2" s="20">
        <v>0</v>
      </c>
      <c r="H2" s="20">
        <v>0</v>
      </c>
      <c r="I2" s="20">
        <v>2</v>
      </c>
      <c r="J2" s="53">
        <v>16400</v>
      </c>
      <c r="K2" s="20">
        <v>0</v>
      </c>
      <c r="L2" s="20">
        <v>0</v>
      </c>
      <c r="M2" s="20">
        <v>0</v>
      </c>
      <c r="N2" s="20">
        <v>0</v>
      </c>
      <c r="O2" s="20">
        <v>11</v>
      </c>
      <c r="P2" s="53">
        <v>66104</v>
      </c>
      <c r="Q2" s="20">
        <v>0</v>
      </c>
      <c r="R2" s="20">
        <v>0</v>
      </c>
      <c r="S2" s="20">
        <v>0</v>
      </c>
      <c r="T2" s="20">
        <v>3</v>
      </c>
      <c r="U2" s="20">
        <v>3</v>
      </c>
      <c r="V2" s="53">
        <v>8104</v>
      </c>
      <c r="W2" s="20">
        <v>0</v>
      </c>
      <c r="X2" s="20">
        <v>0</v>
      </c>
      <c r="Y2" s="20">
        <v>0</v>
      </c>
      <c r="Z2" s="20">
        <v>3</v>
      </c>
      <c r="AA2" s="20">
        <v>17</v>
      </c>
      <c r="AB2" s="53">
        <v>120608</v>
      </c>
      <c r="AC2" s="20">
        <v>0</v>
      </c>
      <c r="AD2" s="20">
        <v>0</v>
      </c>
      <c r="AE2" s="20">
        <v>0</v>
      </c>
    </row>
    <row r="3" spans="1:31" ht="31.2" customHeight="1" x14ac:dyDescent="0.3">
      <c r="A3" s="62" t="s">
        <v>245</v>
      </c>
      <c r="B3" s="20">
        <v>0</v>
      </c>
      <c r="C3" s="20">
        <v>2</v>
      </c>
      <c r="D3" s="53">
        <v>2900</v>
      </c>
      <c r="E3" s="20">
        <v>0</v>
      </c>
      <c r="F3" s="20">
        <v>0</v>
      </c>
      <c r="G3" s="20">
        <v>0</v>
      </c>
      <c r="H3" s="20">
        <v>0</v>
      </c>
      <c r="I3" s="20">
        <v>12</v>
      </c>
      <c r="J3" s="53">
        <v>117000</v>
      </c>
      <c r="K3" s="20">
        <v>0</v>
      </c>
      <c r="L3" s="20">
        <v>0</v>
      </c>
      <c r="M3" s="20">
        <v>0</v>
      </c>
      <c r="N3" s="20">
        <v>2</v>
      </c>
      <c r="O3" s="20">
        <v>23</v>
      </c>
      <c r="P3" s="53">
        <v>20828</v>
      </c>
      <c r="Q3" s="20">
        <v>0</v>
      </c>
      <c r="R3" s="20">
        <v>0</v>
      </c>
      <c r="S3" s="20">
        <v>0</v>
      </c>
      <c r="T3" s="20">
        <v>3</v>
      </c>
      <c r="U3" s="20">
        <v>139</v>
      </c>
      <c r="V3" s="53">
        <v>77559</v>
      </c>
      <c r="W3" s="20">
        <v>0</v>
      </c>
      <c r="X3" s="20">
        <v>0</v>
      </c>
      <c r="Y3" s="20">
        <v>0</v>
      </c>
      <c r="Z3" s="20">
        <v>5</v>
      </c>
      <c r="AA3" s="20">
        <v>176</v>
      </c>
      <c r="AB3" s="53">
        <v>244387</v>
      </c>
      <c r="AC3" s="20">
        <v>0</v>
      </c>
      <c r="AD3" s="20">
        <v>0</v>
      </c>
      <c r="AE3" s="20">
        <v>0</v>
      </c>
    </row>
    <row r="4" spans="1:31" ht="31.2" customHeight="1" x14ac:dyDescent="0.3">
      <c r="A4" s="62" t="s">
        <v>57</v>
      </c>
      <c r="B4" s="20">
        <v>0</v>
      </c>
      <c r="C4" s="20">
        <v>2</v>
      </c>
      <c r="D4" s="20">
        <v>192692</v>
      </c>
      <c r="E4" s="20">
        <v>0</v>
      </c>
      <c r="F4" s="20">
        <v>3</v>
      </c>
      <c r="G4" s="20">
        <v>251882</v>
      </c>
      <c r="H4" s="20">
        <v>3</v>
      </c>
      <c r="I4" s="20">
        <v>4</v>
      </c>
      <c r="J4" s="20">
        <v>191543</v>
      </c>
      <c r="K4" s="20">
        <v>0</v>
      </c>
      <c r="L4" s="20">
        <v>0</v>
      </c>
      <c r="M4" s="20">
        <v>0</v>
      </c>
      <c r="N4" s="20">
        <v>0</v>
      </c>
      <c r="O4" s="20">
        <v>6</v>
      </c>
      <c r="P4" s="20">
        <v>64153</v>
      </c>
      <c r="Q4" s="20">
        <v>0</v>
      </c>
      <c r="R4" s="20">
        <v>0</v>
      </c>
      <c r="S4" s="20">
        <v>0</v>
      </c>
      <c r="T4" s="20">
        <v>27</v>
      </c>
      <c r="U4" s="20">
        <v>216</v>
      </c>
      <c r="V4" s="20">
        <v>188361</v>
      </c>
      <c r="W4" s="20">
        <v>0</v>
      </c>
      <c r="X4" s="20">
        <v>0</v>
      </c>
      <c r="Y4" s="20">
        <v>0</v>
      </c>
      <c r="Z4" s="20">
        <v>30</v>
      </c>
      <c r="AA4" s="20">
        <v>228</v>
      </c>
      <c r="AB4" s="53">
        <v>636649</v>
      </c>
      <c r="AC4" s="20">
        <v>0</v>
      </c>
      <c r="AD4" s="20">
        <v>3</v>
      </c>
      <c r="AE4" s="20">
        <v>251882</v>
      </c>
    </row>
    <row r="5" spans="1:31" ht="31.2" customHeight="1" x14ac:dyDescent="0.3">
      <c r="A5" s="62" t="s">
        <v>211</v>
      </c>
      <c r="B5" s="20">
        <v>1</v>
      </c>
      <c r="C5" s="20">
        <v>2</v>
      </c>
      <c r="D5" s="53">
        <v>37755</v>
      </c>
      <c r="E5" s="20">
        <v>0</v>
      </c>
      <c r="F5" s="20">
        <v>0</v>
      </c>
      <c r="G5" s="20">
        <v>0</v>
      </c>
      <c r="H5" s="20">
        <v>0</v>
      </c>
      <c r="I5" s="20">
        <v>0</v>
      </c>
      <c r="J5" s="20">
        <v>0</v>
      </c>
      <c r="K5" s="20">
        <v>0</v>
      </c>
      <c r="L5" s="20">
        <v>0</v>
      </c>
      <c r="M5" s="20">
        <v>0</v>
      </c>
      <c r="N5" s="20">
        <v>0</v>
      </c>
      <c r="O5" s="20">
        <v>0</v>
      </c>
      <c r="P5" s="20">
        <v>0</v>
      </c>
      <c r="Q5" s="20">
        <v>0</v>
      </c>
      <c r="R5" s="20">
        <v>0</v>
      </c>
      <c r="S5" s="20">
        <v>0</v>
      </c>
      <c r="T5" s="20">
        <v>0</v>
      </c>
      <c r="U5" s="20">
        <v>0</v>
      </c>
      <c r="V5" s="20">
        <v>0</v>
      </c>
      <c r="W5" s="20">
        <v>0</v>
      </c>
      <c r="X5" s="20">
        <v>0</v>
      </c>
      <c r="Y5" s="20">
        <v>0</v>
      </c>
      <c r="Z5" s="20">
        <v>1</v>
      </c>
      <c r="AA5" s="20">
        <v>2</v>
      </c>
      <c r="AB5" s="53">
        <v>37755</v>
      </c>
      <c r="AC5" s="20">
        <v>0</v>
      </c>
      <c r="AD5" s="20">
        <v>0</v>
      </c>
      <c r="AE5" s="20">
        <v>0</v>
      </c>
    </row>
    <row r="6" spans="1:31" ht="31.2" customHeight="1" x14ac:dyDescent="0.3">
      <c r="A6" s="62" t="s">
        <v>40</v>
      </c>
      <c r="B6" s="20">
        <v>1</v>
      </c>
      <c r="C6" s="20">
        <v>3</v>
      </c>
      <c r="D6" s="20">
        <v>0</v>
      </c>
      <c r="E6" s="20">
        <v>0</v>
      </c>
      <c r="F6" s="20">
        <v>0</v>
      </c>
      <c r="G6" s="20">
        <v>0</v>
      </c>
      <c r="H6" s="20">
        <v>0</v>
      </c>
      <c r="I6" s="20">
        <v>0</v>
      </c>
      <c r="J6" s="20">
        <v>25024</v>
      </c>
      <c r="K6" s="20">
        <v>0</v>
      </c>
      <c r="L6" s="20">
        <v>0</v>
      </c>
      <c r="M6" s="20">
        <v>0</v>
      </c>
      <c r="N6" s="20">
        <v>0</v>
      </c>
      <c r="O6" s="20">
        <v>3</v>
      </c>
      <c r="P6" s="20">
        <v>4628</v>
      </c>
      <c r="Q6" s="20">
        <v>0</v>
      </c>
      <c r="R6" s="20">
        <v>0</v>
      </c>
      <c r="S6" s="20">
        <v>0</v>
      </c>
      <c r="T6" s="20">
        <v>1</v>
      </c>
      <c r="U6" s="20">
        <v>31</v>
      </c>
      <c r="V6" s="20">
        <v>7573</v>
      </c>
      <c r="W6" s="20">
        <v>0</v>
      </c>
      <c r="X6" s="20">
        <v>0</v>
      </c>
      <c r="Y6" s="20">
        <v>0</v>
      </c>
      <c r="Z6" s="20">
        <v>2</v>
      </c>
      <c r="AA6" s="20">
        <v>37</v>
      </c>
      <c r="AB6" s="20">
        <v>37225</v>
      </c>
      <c r="AC6" s="20">
        <v>0</v>
      </c>
      <c r="AD6" s="20">
        <v>0</v>
      </c>
      <c r="AE6" s="20">
        <v>0</v>
      </c>
    </row>
    <row r="7" spans="1:31" ht="31.2" customHeight="1" x14ac:dyDescent="0.3">
      <c r="A7" s="62" t="s">
        <v>122</v>
      </c>
      <c r="B7" s="20">
        <v>2</v>
      </c>
      <c r="C7" s="20">
        <v>5</v>
      </c>
      <c r="D7" s="20">
        <v>48000</v>
      </c>
      <c r="E7" s="20">
        <v>0</v>
      </c>
      <c r="F7" s="20">
        <v>0</v>
      </c>
      <c r="G7" s="20">
        <v>0</v>
      </c>
      <c r="H7" s="20">
        <v>1</v>
      </c>
      <c r="I7" s="20">
        <v>3</v>
      </c>
      <c r="J7" s="20">
        <v>14400</v>
      </c>
      <c r="K7" s="20">
        <v>0</v>
      </c>
      <c r="L7" s="20">
        <v>0</v>
      </c>
      <c r="M7" s="20">
        <v>0</v>
      </c>
      <c r="N7" s="20">
        <v>0</v>
      </c>
      <c r="O7" s="20">
        <v>19</v>
      </c>
      <c r="P7" s="20">
        <v>34200</v>
      </c>
      <c r="Q7" s="20">
        <v>0</v>
      </c>
      <c r="R7" s="20">
        <v>0</v>
      </c>
      <c r="S7" s="20">
        <v>0</v>
      </c>
      <c r="T7" s="20">
        <v>0</v>
      </c>
      <c r="U7" s="20">
        <v>10</v>
      </c>
      <c r="V7" s="20">
        <v>15840</v>
      </c>
      <c r="W7" s="20">
        <v>0</v>
      </c>
      <c r="X7" s="20">
        <v>0</v>
      </c>
      <c r="Y7" s="20">
        <v>0</v>
      </c>
      <c r="Z7" s="20">
        <v>3</v>
      </c>
      <c r="AA7" s="20">
        <v>37</v>
      </c>
      <c r="AB7" s="20">
        <v>112440</v>
      </c>
      <c r="AC7" s="20">
        <v>0</v>
      </c>
      <c r="AD7" s="20">
        <v>0</v>
      </c>
      <c r="AE7" s="20">
        <v>0</v>
      </c>
    </row>
    <row r="8" spans="1:31" ht="31.2" customHeight="1" x14ac:dyDescent="0.3">
      <c r="A8" s="62" t="s">
        <v>191</v>
      </c>
      <c r="B8" s="20">
        <v>0</v>
      </c>
      <c r="C8" s="20">
        <v>5</v>
      </c>
      <c r="D8" s="20">
        <v>211195</v>
      </c>
      <c r="E8" s="20">
        <v>0</v>
      </c>
      <c r="F8" s="20">
        <v>0</v>
      </c>
      <c r="G8" s="20">
        <v>0</v>
      </c>
      <c r="H8" s="20">
        <v>1</v>
      </c>
      <c r="I8" s="20">
        <v>4</v>
      </c>
      <c r="J8" s="20">
        <v>48318</v>
      </c>
      <c r="K8" s="20">
        <v>0</v>
      </c>
      <c r="L8" s="20">
        <v>0</v>
      </c>
      <c r="M8" s="20">
        <v>0</v>
      </c>
      <c r="N8" s="20">
        <v>1</v>
      </c>
      <c r="O8" s="20">
        <v>20</v>
      </c>
      <c r="P8" s="20">
        <v>119993</v>
      </c>
      <c r="Q8" s="20">
        <v>0</v>
      </c>
      <c r="R8" s="20">
        <v>0</v>
      </c>
      <c r="S8" s="20">
        <v>0</v>
      </c>
      <c r="T8" s="20">
        <v>0</v>
      </c>
      <c r="U8" s="20">
        <v>90</v>
      </c>
      <c r="V8" s="20">
        <v>133159</v>
      </c>
      <c r="W8" s="20">
        <v>0</v>
      </c>
      <c r="X8" s="20">
        <v>0</v>
      </c>
      <c r="Y8" s="20">
        <v>0</v>
      </c>
      <c r="Z8" s="20">
        <v>2</v>
      </c>
      <c r="AA8" s="20">
        <v>119</v>
      </c>
      <c r="AB8" s="20">
        <v>512665</v>
      </c>
      <c r="AC8" s="20">
        <v>0</v>
      </c>
      <c r="AD8" s="20">
        <v>0</v>
      </c>
      <c r="AE8" s="20">
        <v>0</v>
      </c>
    </row>
    <row r="9" spans="1:31" ht="31.2" customHeight="1" x14ac:dyDescent="0.3">
      <c r="A9" s="63" t="s">
        <v>22</v>
      </c>
      <c r="B9" s="20">
        <v>0</v>
      </c>
      <c r="C9" s="68">
        <v>1</v>
      </c>
      <c r="D9" s="20">
        <v>0</v>
      </c>
      <c r="E9" s="20">
        <v>0</v>
      </c>
      <c r="F9" s="20">
        <v>0</v>
      </c>
      <c r="G9" s="20">
        <v>0</v>
      </c>
      <c r="H9" s="20">
        <v>3</v>
      </c>
      <c r="I9" s="20">
        <v>3</v>
      </c>
      <c r="J9" s="20">
        <v>0</v>
      </c>
      <c r="K9" s="20">
        <v>0</v>
      </c>
      <c r="L9" s="20">
        <v>0</v>
      </c>
      <c r="M9" s="20">
        <v>0</v>
      </c>
      <c r="N9" s="20">
        <v>0</v>
      </c>
      <c r="O9" s="20">
        <v>14</v>
      </c>
      <c r="P9" s="20">
        <v>0</v>
      </c>
      <c r="Q9" s="20">
        <v>0</v>
      </c>
      <c r="R9" s="20">
        <v>0</v>
      </c>
      <c r="S9" s="20">
        <v>0</v>
      </c>
      <c r="T9" s="20">
        <v>0</v>
      </c>
      <c r="U9" s="20">
        <v>3</v>
      </c>
      <c r="V9" s="20">
        <v>0</v>
      </c>
      <c r="W9" s="20">
        <v>0</v>
      </c>
      <c r="X9" s="20">
        <v>0</v>
      </c>
      <c r="Y9" s="20">
        <v>0</v>
      </c>
      <c r="Z9" s="20">
        <v>3</v>
      </c>
      <c r="AA9" s="20">
        <v>21</v>
      </c>
      <c r="AB9" s="20">
        <v>422166</v>
      </c>
      <c r="AC9" s="20">
        <v>0</v>
      </c>
      <c r="AD9" s="20">
        <v>0</v>
      </c>
      <c r="AE9" s="20">
        <v>0</v>
      </c>
    </row>
    <row r="10" spans="1:31" ht="31.2" customHeight="1" x14ac:dyDescent="0.3">
      <c r="A10" s="62" t="s">
        <v>188</v>
      </c>
      <c r="B10" s="20">
        <v>1</v>
      </c>
      <c r="C10" s="20">
        <v>3</v>
      </c>
      <c r="D10" s="20">
        <v>89494</v>
      </c>
      <c r="E10" s="20">
        <v>0</v>
      </c>
      <c r="F10" s="20">
        <v>0</v>
      </c>
      <c r="G10" s="20">
        <v>0</v>
      </c>
      <c r="H10" s="20">
        <v>0</v>
      </c>
      <c r="I10" s="20">
        <v>1</v>
      </c>
      <c r="J10" s="20">
        <v>11913</v>
      </c>
      <c r="K10" s="20">
        <v>0</v>
      </c>
      <c r="L10" s="20">
        <v>0</v>
      </c>
      <c r="M10" s="20">
        <v>0</v>
      </c>
      <c r="N10" s="20">
        <v>0</v>
      </c>
      <c r="O10" s="21">
        <v>5</v>
      </c>
      <c r="P10" s="20">
        <v>33496</v>
      </c>
      <c r="Q10" s="20">
        <v>0</v>
      </c>
      <c r="R10" s="20">
        <v>0</v>
      </c>
      <c r="S10" s="20">
        <v>0</v>
      </c>
      <c r="T10" s="20">
        <v>0</v>
      </c>
      <c r="U10" s="20">
        <v>27</v>
      </c>
      <c r="V10" s="20">
        <v>28732</v>
      </c>
      <c r="W10" s="20">
        <v>0</v>
      </c>
      <c r="X10" s="20">
        <v>0</v>
      </c>
      <c r="Y10" s="20">
        <v>0</v>
      </c>
      <c r="Z10" s="20">
        <v>1</v>
      </c>
      <c r="AA10" s="20">
        <v>36</v>
      </c>
      <c r="AB10" s="20">
        <v>163635</v>
      </c>
      <c r="AC10" s="21">
        <v>0</v>
      </c>
      <c r="AD10" s="20">
        <v>0</v>
      </c>
      <c r="AE10" s="20">
        <v>0</v>
      </c>
    </row>
    <row r="11" spans="1:31" ht="31.2" customHeight="1" x14ac:dyDescent="0.3">
      <c r="A11" s="18" t="s">
        <v>200</v>
      </c>
      <c r="B11" s="20">
        <v>0</v>
      </c>
      <c r="C11" s="20">
        <v>0</v>
      </c>
      <c r="D11" s="20">
        <v>0</v>
      </c>
      <c r="E11" s="20">
        <v>0</v>
      </c>
      <c r="F11" s="20">
        <v>0</v>
      </c>
      <c r="G11" s="20">
        <v>0</v>
      </c>
      <c r="H11" s="20">
        <v>0</v>
      </c>
      <c r="I11" s="20">
        <v>0</v>
      </c>
      <c r="J11" s="20">
        <v>0</v>
      </c>
      <c r="K11" s="20">
        <v>0</v>
      </c>
      <c r="L11" s="20">
        <v>0</v>
      </c>
      <c r="M11" s="20">
        <v>0</v>
      </c>
      <c r="N11" s="20">
        <v>0</v>
      </c>
      <c r="O11" s="20">
        <v>0</v>
      </c>
      <c r="P11" s="20">
        <v>0</v>
      </c>
      <c r="Q11" s="20">
        <v>0</v>
      </c>
      <c r="R11" s="20">
        <v>0</v>
      </c>
      <c r="S11" s="20">
        <v>0</v>
      </c>
      <c r="T11" s="20">
        <v>0</v>
      </c>
      <c r="U11" s="20">
        <v>0</v>
      </c>
      <c r="V11" s="20">
        <v>0</v>
      </c>
      <c r="W11" s="20">
        <v>0</v>
      </c>
      <c r="X11" s="20">
        <v>0</v>
      </c>
      <c r="Y11" s="20">
        <v>0</v>
      </c>
      <c r="Z11" s="20">
        <v>0</v>
      </c>
      <c r="AA11" s="20">
        <v>0</v>
      </c>
      <c r="AB11" s="20">
        <v>0</v>
      </c>
      <c r="AC11" s="20">
        <v>0</v>
      </c>
      <c r="AD11" s="20">
        <v>0</v>
      </c>
      <c r="AE11" s="20">
        <v>0</v>
      </c>
    </row>
    <row r="12" spans="1:31" ht="31.2" customHeight="1" x14ac:dyDescent="0.3">
      <c r="A12" s="62" t="s">
        <v>46</v>
      </c>
      <c r="B12" s="20">
        <v>0</v>
      </c>
      <c r="C12" s="20">
        <v>0</v>
      </c>
      <c r="D12" s="20">
        <v>0</v>
      </c>
      <c r="E12" s="20">
        <v>0</v>
      </c>
      <c r="F12" s="20">
        <v>2</v>
      </c>
      <c r="G12" s="20">
        <v>3200</v>
      </c>
      <c r="H12" s="20">
        <v>0</v>
      </c>
      <c r="I12" s="20">
        <v>0</v>
      </c>
      <c r="J12" s="20">
        <v>0</v>
      </c>
      <c r="K12" s="20">
        <v>0</v>
      </c>
      <c r="L12" s="20">
        <v>0</v>
      </c>
      <c r="M12" s="20">
        <v>0</v>
      </c>
      <c r="N12" s="20">
        <v>0</v>
      </c>
      <c r="O12" s="20">
        <v>2</v>
      </c>
      <c r="P12" s="20">
        <v>17984</v>
      </c>
      <c r="Q12" s="20">
        <v>0</v>
      </c>
      <c r="R12" s="20">
        <v>0</v>
      </c>
      <c r="S12" s="20">
        <v>0</v>
      </c>
      <c r="T12" s="20">
        <v>0</v>
      </c>
      <c r="U12" s="20">
        <v>10</v>
      </c>
      <c r="V12" s="20">
        <v>9548</v>
      </c>
      <c r="W12" s="20">
        <v>0</v>
      </c>
      <c r="X12" s="20">
        <v>0</v>
      </c>
      <c r="Y12" s="20">
        <v>0</v>
      </c>
      <c r="Z12" s="20">
        <v>0</v>
      </c>
      <c r="AA12" s="20">
        <v>12</v>
      </c>
      <c r="AB12" s="20">
        <v>27532</v>
      </c>
      <c r="AC12" s="20">
        <v>0</v>
      </c>
      <c r="AD12" s="20">
        <v>2</v>
      </c>
      <c r="AE12" s="20">
        <v>3200</v>
      </c>
    </row>
    <row r="13" spans="1:31" ht="31.2" customHeight="1" x14ac:dyDescent="0.3">
      <c r="A13" s="62" t="s">
        <v>253</v>
      </c>
      <c r="B13" s="20">
        <v>0</v>
      </c>
      <c r="C13" s="20">
        <v>0</v>
      </c>
      <c r="D13" s="20">
        <v>0</v>
      </c>
      <c r="E13" s="20">
        <v>0</v>
      </c>
      <c r="F13" s="20">
        <v>8</v>
      </c>
      <c r="G13" s="20">
        <v>73855</v>
      </c>
      <c r="H13" s="20">
        <v>0</v>
      </c>
      <c r="I13" s="20">
        <v>0</v>
      </c>
      <c r="J13" s="20">
        <v>0</v>
      </c>
      <c r="K13" s="20">
        <v>0</v>
      </c>
      <c r="L13" s="20">
        <v>0</v>
      </c>
      <c r="M13" s="20">
        <v>0</v>
      </c>
      <c r="N13" s="20">
        <v>0</v>
      </c>
      <c r="O13" s="20">
        <v>0</v>
      </c>
      <c r="P13" s="20">
        <v>0</v>
      </c>
      <c r="Q13" s="20">
        <v>0</v>
      </c>
      <c r="R13" s="20">
        <v>0</v>
      </c>
      <c r="S13" s="20">
        <v>0</v>
      </c>
      <c r="T13" s="20">
        <v>2</v>
      </c>
      <c r="U13" s="20">
        <v>75</v>
      </c>
      <c r="V13" s="20">
        <v>162234</v>
      </c>
      <c r="W13" s="20">
        <v>0</v>
      </c>
      <c r="X13" s="20">
        <v>0</v>
      </c>
      <c r="Y13" s="20">
        <v>0</v>
      </c>
      <c r="Z13" s="20">
        <v>2</v>
      </c>
      <c r="AA13" s="20">
        <v>75</v>
      </c>
      <c r="AB13" s="20">
        <v>162234</v>
      </c>
      <c r="AC13" s="20">
        <v>0</v>
      </c>
      <c r="AD13" s="20">
        <v>8</v>
      </c>
      <c r="AE13" s="20">
        <v>73855</v>
      </c>
    </row>
    <row r="14" spans="1:31" ht="31.2" customHeight="1" x14ac:dyDescent="0.3">
      <c r="A14" s="62" t="s">
        <v>194</v>
      </c>
      <c r="B14" s="20">
        <v>2</v>
      </c>
      <c r="C14" s="20">
        <v>1</v>
      </c>
      <c r="D14" s="53">
        <v>213959</v>
      </c>
      <c r="E14" s="20">
        <v>0</v>
      </c>
      <c r="F14" s="20">
        <v>3</v>
      </c>
      <c r="G14" s="53">
        <v>348641</v>
      </c>
      <c r="H14" s="20">
        <v>1</v>
      </c>
      <c r="I14" s="20">
        <v>12</v>
      </c>
      <c r="J14" s="53">
        <v>438273</v>
      </c>
      <c r="K14" s="20">
        <v>0</v>
      </c>
      <c r="L14" s="20">
        <v>2</v>
      </c>
      <c r="M14" s="53">
        <v>57384</v>
      </c>
      <c r="N14" s="20">
        <v>0</v>
      </c>
      <c r="O14" s="20">
        <v>5</v>
      </c>
      <c r="P14" s="53">
        <v>32401</v>
      </c>
      <c r="Q14" s="20">
        <v>0</v>
      </c>
      <c r="R14" s="20">
        <v>1</v>
      </c>
      <c r="S14" s="53">
        <v>10210</v>
      </c>
      <c r="T14" s="20">
        <v>5</v>
      </c>
      <c r="U14" s="20">
        <v>42</v>
      </c>
      <c r="V14" s="53">
        <v>200936</v>
      </c>
      <c r="W14" s="20">
        <v>0</v>
      </c>
      <c r="X14" s="20">
        <v>0</v>
      </c>
      <c r="Y14" s="20">
        <v>0</v>
      </c>
      <c r="Z14" s="20">
        <v>8</v>
      </c>
      <c r="AA14" s="20">
        <v>60</v>
      </c>
      <c r="AB14" s="53">
        <v>885569</v>
      </c>
      <c r="AC14" s="20">
        <v>0</v>
      </c>
      <c r="AD14" s="20">
        <v>6</v>
      </c>
      <c r="AE14" s="53">
        <v>416236</v>
      </c>
    </row>
    <row r="15" spans="1:31" ht="31.2" customHeight="1" x14ac:dyDescent="0.3">
      <c r="A15" s="63" t="s">
        <v>68</v>
      </c>
      <c r="B15" s="20">
        <v>5</v>
      </c>
      <c r="C15" s="20">
        <v>9</v>
      </c>
      <c r="D15" s="20">
        <v>377622</v>
      </c>
      <c r="E15" s="20">
        <v>0</v>
      </c>
      <c r="F15" s="20">
        <v>8</v>
      </c>
      <c r="G15" s="20">
        <v>490048</v>
      </c>
      <c r="H15" s="20">
        <v>0</v>
      </c>
      <c r="I15" s="20">
        <v>0</v>
      </c>
      <c r="J15" s="20">
        <v>0</v>
      </c>
      <c r="K15" s="20">
        <v>0</v>
      </c>
      <c r="L15" s="20">
        <v>0</v>
      </c>
      <c r="M15" s="20">
        <v>0</v>
      </c>
      <c r="N15" s="20">
        <v>2</v>
      </c>
      <c r="O15" s="20">
        <v>11</v>
      </c>
      <c r="P15" s="20">
        <v>71470</v>
      </c>
      <c r="Q15" s="20">
        <v>0</v>
      </c>
      <c r="R15" s="20">
        <v>1</v>
      </c>
      <c r="S15" s="20">
        <v>22618</v>
      </c>
      <c r="T15" s="20">
        <v>4</v>
      </c>
      <c r="U15" s="20">
        <v>57</v>
      </c>
      <c r="V15" s="20">
        <v>145343</v>
      </c>
      <c r="W15" s="20">
        <v>0</v>
      </c>
      <c r="X15" s="20">
        <v>3</v>
      </c>
      <c r="Y15" s="20">
        <v>6294</v>
      </c>
      <c r="Z15" s="20">
        <v>11</v>
      </c>
      <c r="AA15" s="20">
        <v>77</v>
      </c>
      <c r="AB15" s="20">
        <v>594435</v>
      </c>
      <c r="AC15" s="20">
        <v>0</v>
      </c>
      <c r="AD15" s="20">
        <v>12</v>
      </c>
      <c r="AE15" s="20">
        <v>518960</v>
      </c>
    </row>
    <row r="16" spans="1:31" ht="31.2" customHeight="1" x14ac:dyDescent="0.3">
      <c r="A16" s="63" t="s">
        <v>212</v>
      </c>
      <c r="B16" s="20">
        <v>0</v>
      </c>
      <c r="C16" s="20">
        <v>0</v>
      </c>
      <c r="D16" s="20">
        <v>0</v>
      </c>
      <c r="E16" s="20">
        <v>0</v>
      </c>
      <c r="F16" s="20">
        <v>2</v>
      </c>
      <c r="G16" s="20">
        <v>18748</v>
      </c>
      <c r="H16" s="20">
        <v>0</v>
      </c>
      <c r="I16" s="20">
        <v>0</v>
      </c>
      <c r="J16" s="20">
        <v>0</v>
      </c>
      <c r="K16" s="20">
        <v>0</v>
      </c>
      <c r="L16" s="20">
        <v>0</v>
      </c>
      <c r="M16" s="20">
        <v>0</v>
      </c>
      <c r="N16" s="20">
        <v>0</v>
      </c>
      <c r="O16" s="20">
        <v>2</v>
      </c>
      <c r="P16" s="20">
        <v>2033</v>
      </c>
      <c r="Q16" s="20">
        <v>0</v>
      </c>
      <c r="R16" s="20"/>
      <c r="S16" s="20">
        <v>0</v>
      </c>
      <c r="T16" s="20">
        <v>0</v>
      </c>
      <c r="U16" s="20">
        <v>2</v>
      </c>
      <c r="V16" s="20">
        <v>32777</v>
      </c>
      <c r="W16" s="20">
        <v>0</v>
      </c>
      <c r="X16" s="20">
        <v>0</v>
      </c>
      <c r="Y16" s="20">
        <v>0</v>
      </c>
      <c r="Z16" s="20">
        <v>0</v>
      </c>
      <c r="AA16" s="20">
        <v>4</v>
      </c>
      <c r="AB16" s="20">
        <v>5310</v>
      </c>
      <c r="AC16" s="20">
        <v>0</v>
      </c>
      <c r="AD16" s="20">
        <v>2</v>
      </c>
      <c r="AE16" s="20">
        <v>18748</v>
      </c>
    </row>
    <row r="17" spans="1:31" ht="31.2" customHeight="1" x14ac:dyDescent="0.3">
      <c r="A17" s="62" t="s">
        <v>383</v>
      </c>
      <c r="B17" s="20">
        <v>0</v>
      </c>
      <c r="C17" s="20">
        <v>1</v>
      </c>
      <c r="D17" s="20">
        <v>500</v>
      </c>
      <c r="E17" s="20">
        <v>0</v>
      </c>
      <c r="F17" s="20">
        <v>2</v>
      </c>
      <c r="G17" s="20">
        <v>1500</v>
      </c>
      <c r="H17" s="20">
        <v>0</v>
      </c>
      <c r="I17" s="20">
        <v>0</v>
      </c>
      <c r="J17" s="20">
        <v>0</v>
      </c>
      <c r="K17" s="20">
        <v>0</v>
      </c>
      <c r="L17" s="20">
        <v>15</v>
      </c>
      <c r="M17" s="20">
        <v>9000</v>
      </c>
      <c r="N17" s="20">
        <v>0</v>
      </c>
      <c r="O17" s="20">
        <v>0</v>
      </c>
      <c r="P17" s="20">
        <v>1200</v>
      </c>
      <c r="Q17" s="20">
        <v>0</v>
      </c>
      <c r="R17" s="20">
        <v>22</v>
      </c>
      <c r="S17" s="20">
        <v>6800</v>
      </c>
      <c r="T17" s="20">
        <v>0</v>
      </c>
      <c r="U17" s="20">
        <v>0</v>
      </c>
      <c r="V17" s="20">
        <v>3150</v>
      </c>
      <c r="W17" s="20">
        <v>0</v>
      </c>
      <c r="X17" s="20">
        <v>2</v>
      </c>
      <c r="Y17" s="20">
        <v>250</v>
      </c>
      <c r="Z17" s="20">
        <v>0</v>
      </c>
      <c r="AA17" s="20">
        <v>1</v>
      </c>
      <c r="AB17" s="20">
        <v>4850</v>
      </c>
      <c r="AC17" s="20">
        <v>0</v>
      </c>
      <c r="AD17" s="20">
        <v>41</v>
      </c>
      <c r="AE17" s="20">
        <v>17550</v>
      </c>
    </row>
    <row r="18" spans="1:31" ht="31.2" customHeight="1" x14ac:dyDescent="0.3">
      <c r="A18" s="62" t="s">
        <v>206</v>
      </c>
      <c r="B18" s="20">
        <v>1</v>
      </c>
      <c r="C18" s="20">
        <v>0</v>
      </c>
      <c r="D18" s="20">
        <v>1077</v>
      </c>
      <c r="E18" s="20">
        <v>0</v>
      </c>
      <c r="F18" s="20">
        <v>4</v>
      </c>
      <c r="G18" s="20">
        <v>161718</v>
      </c>
      <c r="H18" s="20">
        <v>0</v>
      </c>
      <c r="I18" s="20">
        <v>2</v>
      </c>
      <c r="J18" s="20">
        <v>11308</v>
      </c>
      <c r="K18" s="20">
        <v>0</v>
      </c>
      <c r="L18" s="20">
        <v>7</v>
      </c>
      <c r="M18" s="20">
        <v>90581</v>
      </c>
      <c r="N18" s="20">
        <v>6</v>
      </c>
      <c r="O18" s="20">
        <v>39</v>
      </c>
      <c r="P18" s="20">
        <v>87477</v>
      </c>
      <c r="Q18" s="20">
        <v>0</v>
      </c>
      <c r="R18" s="20">
        <v>2</v>
      </c>
      <c r="S18" s="20">
        <v>54199</v>
      </c>
      <c r="T18" s="20">
        <v>0</v>
      </c>
      <c r="U18" s="20">
        <v>7</v>
      </c>
      <c r="V18" s="20">
        <v>12349</v>
      </c>
      <c r="W18" s="20">
        <v>0</v>
      </c>
      <c r="X18" s="20">
        <v>0</v>
      </c>
      <c r="Y18" s="20">
        <v>0</v>
      </c>
      <c r="Z18" s="20">
        <v>7</v>
      </c>
      <c r="AA18" s="20">
        <v>48</v>
      </c>
      <c r="AB18" s="20">
        <v>112211</v>
      </c>
      <c r="AC18" s="20">
        <v>0</v>
      </c>
      <c r="AD18" s="20">
        <v>13</v>
      </c>
      <c r="AE18" s="20">
        <v>306498</v>
      </c>
    </row>
    <row r="19" spans="1:31" ht="31.2" customHeight="1" x14ac:dyDescent="0.3">
      <c r="A19" s="62" t="s">
        <v>110</v>
      </c>
      <c r="B19" s="20">
        <v>16</v>
      </c>
      <c r="C19" s="20">
        <v>132</v>
      </c>
      <c r="D19" s="20">
        <v>4966679</v>
      </c>
      <c r="E19" s="20">
        <v>1</v>
      </c>
      <c r="F19" s="20">
        <v>19</v>
      </c>
      <c r="G19" s="20">
        <v>322103</v>
      </c>
      <c r="H19" s="20">
        <v>56</v>
      </c>
      <c r="I19" s="20">
        <v>312</v>
      </c>
      <c r="J19" s="20">
        <v>1896030</v>
      </c>
      <c r="K19" s="20">
        <v>0</v>
      </c>
      <c r="L19" s="20">
        <v>0</v>
      </c>
      <c r="M19" s="20">
        <v>0</v>
      </c>
      <c r="N19" s="20">
        <v>28</v>
      </c>
      <c r="O19" s="20">
        <v>625</v>
      </c>
      <c r="P19" s="20">
        <v>1564572</v>
      </c>
      <c r="Q19" s="20">
        <v>0</v>
      </c>
      <c r="R19" s="20">
        <v>0</v>
      </c>
      <c r="S19" s="20">
        <v>0</v>
      </c>
      <c r="T19" s="20">
        <v>4</v>
      </c>
      <c r="U19" s="20">
        <v>19</v>
      </c>
      <c r="V19" s="20">
        <v>42923</v>
      </c>
      <c r="W19" s="20">
        <v>0</v>
      </c>
      <c r="X19" s="20">
        <v>0</v>
      </c>
      <c r="Y19" s="20">
        <v>0</v>
      </c>
      <c r="Z19" s="20">
        <v>104</v>
      </c>
      <c r="AA19" s="20">
        <v>1088</v>
      </c>
      <c r="AB19" s="20">
        <v>8470204</v>
      </c>
      <c r="AC19" s="20">
        <v>1</v>
      </c>
      <c r="AD19" s="20">
        <v>19</v>
      </c>
      <c r="AE19" s="20">
        <v>322103</v>
      </c>
    </row>
    <row r="20" spans="1:31" ht="31.2" customHeight="1" x14ac:dyDescent="0.3">
      <c r="A20" s="62" t="s">
        <v>257</v>
      </c>
      <c r="B20" s="20">
        <v>0</v>
      </c>
      <c r="C20" s="20">
        <v>1</v>
      </c>
      <c r="D20" s="20">
        <v>57636</v>
      </c>
      <c r="E20" s="20">
        <v>0</v>
      </c>
      <c r="F20" s="20">
        <v>0</v>
      </c>
      <c r="G20" s="20">
        <v>0</v>
      </c>
      <c r="H20" s="20">
        <v>1</v>
      </c>
      <c r="I20" s="20">
        <v>4</v>
      </c>
      <c r="J20" s="20">
        <v>88723</v>
      </c>
      <c r="K20" s="20">
        <v>0</v>
      </c>
      <c r="L20" s="20">
        <v>3</v>
      </c>
      <c r="M20" s="20">
        <v>54007</v>
      </c>
      <c r="N20" s="20">
        <v>9</v>
      </c>
      <c r="O20" s="20">
        <v>93</v>
      </c>
      <c r="P20" s="20">
        <v>624395</v>
      </c>
      <c r="Q20" s="20"/>
      <c r="R20" s="20">
        <v>5</v>
      </c>
      <c r="S20" s="20">
        <v>32281</v>
      </c>
      <c r="T20" s="20">
        <v>6</v>
      </c>
      <c r="U20" s="20">
        <v>619</v>
      </c>
      <c r="V20" s="20">
        <v>1522347</v>
      </c>
      <c r="W20" s="20">
        <v>0</v>
      </c>
      <c r="X20" s="20">
        <v>4</v>
      </c>
      <c r="Y20" s="20">
        <v>9877</v>
      </c>
      <c r="Z20" s="20">
        <v>16</v>
      </c>
      <c r="AA20" s="20">
        <v>717</v>
      </c>
      <c r="AB20" s="20">
        <v>2293101</v>
      </c>
      <c r="AC20" s="20"/>
      <c r="AD20" s="20">
        <v>12</v>
      </c>
      <c r="AE20" s="20">
        <v>96165</v>
      </c>
    </row>
    <row r="21" spans="1:31" ht="31.2" customHeight="1" x14ac:dyDescent="0.3">
      <c r="A21" s="18" t="s">
        <v>252</v>
      </c>
      <c r="B21" s="20">
        <v>0</v>
      </c>
      <c r="C21" s="20">
        <v>0</v>
      </c>
      <c r="D21" s="20">
        <v>0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S21" s="20">
        <v>0</v>
      </c>
      <c r="T21" s="20">
        <v>0</v>
      </c>
      <c r="U21" s="20">
        <v>0</v>
      </c>
      <c r="V21" s="20">
        <v>0</v>
      </c>
      <c r="W21" s="20">
        <v>0</v>
      </c>
      <c r="X21" s="20">
        <v>0</v>
      </c>
      <c r="Y21" s="20">
        <v>0</v>
      </c>
      <c r="Z21" s="20">
        <v>0</v>
      </c>
      <c r="AA21" s="20">
        <v>0</v>
      </c>
      <c r="AB21" s="20">
        <v>0</v>
      </c>
      <c r="AC21" s="20">
        <v>0</v>
      </c>
      <c r="AD21" s="20">
        <v>0</v>
      </c>
      <c r="AE21" s="20">
        <v>0</v>
      </c>
    </row>
    <row r="22" spans="1:31" ht="31.2" customHeight="1" x14ac:dyDescent="0.3">
      <c r="A22" s="62" t="s">
        <v>95</v>
      </c>
      <c r="B22" s="20">
        <v>3</v>
      </c>
      <c r="C22" s="20">
        <v>12</v>
      </c>
      <c r="D22" s="53">
        <v>277074</v>
      </c>
      <c r="E22" s="20">
        <v>0</v>
      </c>
      <c r="F22" s="20">
        <v>0</v>
      </c>
      <c r="G22" s="20">
        <v>0</v>
      </c>
      <c r="H22" s="20">
        <v>0</v>
      </c>
      <c r="I22" s="20">
        <v>0</v>
      </c>
      <c r="J22" s="20">
        <v>0</v>
      </c>
      <c r="K22" s="20">
        <v>0</v>
      </c>
      <c r="L22" s="20">
        <v>0</v>
      </c>
      <c r="M22" s="20">
        <v>0</v>
      </c>
      <c r="N22" s="20">
        <v>4</v>
      </c>
      <c r="O22" s="20">
        <v>376</v>
      </c>
      <c r="P22" s="53">
        <v>1205741</v>
      </c>
      <c r="Q22" s="20">
        <v>0</v>
      </c>
      <c r="R22" s="20">
        <v>0</v>
      </c>
      <c r="S22" s="20">
        <v>0</v>
      </c>
      <c r="T22" s="20">
        <v>0</v>
      </c>
      <c r="U22" s="20">
        <v>0</v>
      </c>
      <c r="V22" s="20">
        <v>0</v>
      </c>
      <c r="W22" s="20">
        <v>0</v>
      </c>
      <c r="X22" s="20">
        <v>0</v>
      </c>
      <c r="Y22" s="20">
        <v>0</v>
      </c>
      <c r="Z22" s="20">
        <v>7</v>
      </c>
      <c r="AA22" s="20">
        <v>388</v>
      </c>
      <c r="AB22" s="53">
        <v>1482816</v>
      </c>
      <c r="AC22" s="20">
        <v>0</v>
      </c>
      <c r="AD22" s="20">
        <v>0</v>
      </c>
      <c r="AE22" s="20">
        <v>0</v>
      </c>
    </row>
    <row r="23" spans="1:31" ht="31.2" customHeight="1" x14ac:dyDescent="0.3">
      <c r="A23" s="62" t="s">
        <v>187</v>
      </c>
      <c r="B23" s="20">
        <v>1</v>
      </c>
      <c r="C23" s="20">
        <v>5</v>
      </c>
      <c r="D23" s="20">
        <v>138154</v>
      </c>
      <c r="E23" s="20">
        <v>0</v>
      </c>
      <c r="F23" s="20">
        <v>0</v>
      </c>
      <c r="G23" s="20">
        <v>0</v>
      </c>
      <c r="H23" s="20">
        <v>1</v>
      </c>
      <c r="I23" s="20">
        <v>1</v>
      </c>
      <c r="J23" s="20">
        <v>17119</v>
      </c>
      <c r="K23" s="20">
        <v>0</v>
      </c>
      <c r="L23" s="20">
        <v>0</v>
      </c>
      <c r="M23" s="20">
        <v>0</v>
      </c>
      <c r="N23" s="20">
        <v>0</v>
      </c>
      <c r="O23" s="20">
        <v>6</v>
      </c>
      <c r="P23" s="20">
        <v>33615</v>
      </c>
      <c r="Q23" s="20">
        <v>0</v>
      </c>
      <c r="R23" s="20">
        <v>0</v>
      </c>
      <c r="S23" s="20">
        <v>0</v>
      </c>
      <c r="T23" s="20">
        <v>0</v>
      </c>
      <c r="U23" s="20">
        <v>19</v>
      </c>
      <c r="V23" s="20">
        <v>26169</v>
      </c>
      <c r="W23" s="20">
        <v>0</v>
      </c>
      <c r="X23" s="20">
        <v>0</v>
      </c>
      <c r="Y23" s="20">
        <v>0</v>
      </c>
      <c r="Z23" s="20">
        <v>2</v>
      </c>
      <c r="AA23" s="20">
        <v>30</v>
      </c>
      <c r="AB23" s="20">
        <v>159931</v>
      </c>
      <c r="AC23" s="20">
        <v>0</v>
      </c>
      <c r="AD23" s="20">
        <v>0</v>
      </c>
      <c r="AE23" s="20">
        <v>0</v>
      </c>
    </row>
    <row r="24" spans="1:31" ht="31.2" customHeight="1" x14ac:dyDescent="0.3">
      <c r="A24" s="62" t="s">
        <v>78</v>
      </c>
      <c r="B24" s="20">
        <v>0</v>
      </c>
      <c r="C24" s="20">
        <v>2</v>
      </c>
      <c r="D24" s="20">
        <v>14400</v>
      </c>
      <c r="E24" s="20">
        <v>0</v>
      </c>
      <c r="F24" s="20">
        <v>1</v>
      </c>
      <c r="G24" s="20">
        <v>7200</v>
      </c>
      <c r="H24" s="20">
        <v>0</v>
      </c>
      <c r="I24" s="20">
        <v>0</v>
      </c>
      <c r="J24" s="20">
        <v>0</v>
      </c>
      <c r="K24" s="20">
        <v>0</v>
      </c>
      <c r="L24" s="20">
        <v>0</v>
      </c>
      <c r="M24" s="20">
        <v>0</v>
      </c>
      <c r="N24" s="20">
        <v>0</v>
      </c>
      <c r="O24" s="20">
        <v>1</v>
      </c>
      <c r="P24" s="20">
        <v>4200</v>
      </c>
      <c r="Q24" s="20">
        <v>0</v>
      </c>
      <c r="R24" s="20">
        <v>0</v>
      </c>
      <c r="S24" s="20">
        <v>0</v>
      </c>
      <c r="T24" s="20">
        <v>0</v>
      </c>
      <c r="U24" s="20">
        <v>0</v>
      </c>
      <c r="V24" s="20">
        <v>0</v>
      </c>
      <c r="W24" s="20">
        <v>0</v>
      </c>
      <c r="X24" s="20">
        <v>0</v>
      </c>
      <c r="Y24" s="20">
        <v>0</v>
      </c>
      <c r="Z24" s="20">
        <v>0</v>
      </c>
      <c r="AA24" s="20">
        <v>3</v>
      </c>
      <c r="AB24" s="20">
        <v>18600</v>
      </c>
      <c r="AC24" s="20">
        <v>0</v>
      </c>
      <c r="AD24" s="20">
        <v>1</v>
      </c>
      <c r="AE24" s="20">
        <v>7200</v>
      </c>
    </row>
    <row r="25" spans="1:31" ht="31.2" customHeight="1" x14ac:dyDescent="0.3">
      <c r="A25" s="62" t="s">
        <v>269</v>
      </c>
      <c r="B25" s="20">
        <v>2</v>
      </c>
      <c r="C25" s="20">
        <v>15</v>
      </c>
      <c r="D25" s="20">
        <v>392737</v>
      </c>
      <c r="E25" s="20">
        <v>4</v>
      </c>
      <c r="F25" s="20">
        <v>8</v>
      </c>
      <c r="G25" s="20">
        <v>921309</v>
      </c>
      <c r="H25" s="20">
        <v>6</v>
      </c>
      <c r="I25" s="20">
        <v>77</v>
      </c>
      <c r="J25" s="20">
        <v>2824694</v>
      </c>
      <c r="K25" s="20">
        <v>0</v>
      </c>
      <c r="L25" s="20">
        <v>3</v>
      </c>
      <c r="M25" s="20">
        <v>0</v>
      </c>
      <c r="N25" s="20">
        <v>28</v>
      </c>
      <c r="O25" s="20">
        <v>200</v>
      </c>
      <c r="P25" s="20">
        <v>1450448</v>
      </c>
      <c r="Q25" s="20">
        <v>0</v>
      </c>
      <c r="R25" s="20">
        <v>0</v>
      </c>
      <c r="S25" s="20">
        <v>0</v>
      </c>
      <c r="T25" s="20">
        <v>3</v>
      </c>
      <c r="U25" s="20">
        <v>288</v>
      </c>
      <c r="V25" s="20">
        <v>1015962</v>
      </c>
      <c r="W25" s="20">
        <v>0</v>
      </c>
      <c r="X25" s="20">
        <v>0</v>
      </c>
      <c r="Y25" s="20">
        <v>0</v>
      </c>
      <c r="Z25" s="20">
        <v>39</v>
      </c>
      <c r="AA25" s="20">
        <v>504</v>
      </c>
      <c r="AB25" s="20">
        <v>5685841</v>
      </c>
      <c r="AC25" s="20">
        <v>4</v>
      </c>
      <c r="AD25" s="20">
        <v>11</v>
      </c>
      <c r="AE25" s="20">
        <v>921309</v>
      </c>
    </row>
    <row r="26" spans="1:31" ht="31.2" customHeight="1" x14ac:dyDescent="0.3">
      <c r="A26" s="62" t="s">
        <v>262</v>
      </c>
      <c r="B26" s="20">
        <v>0</v>
      </c>
      <c r="C26" s="20">
        <v>0</v>
      </c>
      <c r="D26" s="20">
        <v>0</v>
      </c>
      <c r="E26" s="20">
        <v>0</v>
      </c>
      <c r="F26" s="20">
        <v>0</v>
      </c>
      <c r="G26" s="20">
        <v>0</v>
      </c>
      <c r="H26" s="20">
        <v>0</v>
      </c>
      <c r="I26" s="20">
        <v>0</v>
      </c>
      <c r="J26" s="20">
        <v>0</v>
      </c>
      <c r="K26" s="20">
        <v>0</v>
      </c>
      <c r="L26" s="20">
        <v>0</v>
      </c>
      <c r="M26" s="20">
        <v>0</v>
      </c>
      <c r="N26" s="20">
        <v>0</v>
      </c>
      <c r="O26" s="20">
        <v>4</v>
      </c>
      <c r="P26" s="20">
        <v>1540000</v>
      </c>
      <c r="Q26" s="20">
        <v>0</v>
      </c>
      <c r="R26" s="20">
        <v>0</v>
      </c>
      <c r="S26" s="20">
        <v>0</v>
      </c>
      <c r="T26" s="20">
        <v>0</v>
      </c>
      <c r="U26" s="20">
        <v>9</v>
      </c>
      <c r="V26" s="20">
        <v>680000</v>
      </c>
      <c r="W26" s="20">
        <v>0</v>
      </c>
      <c r="X26" s="20">
        <v>0</v>
      </c>
      <c r="Y26" s="20">
        <v>0</v>
      </c>
      <c r="Z26" s="20">
        <v>0</v>
      </c>
      <c r="AA26" s="20">
        <v>13</v>
      </c>
      <c r="AB26" s="20">
        <v>2220000</v>
      </c>
      <c r="AC26" s="20">
        <v>0</v>
      </c>
      <c r="AD26" s="20">
        <v>0</v>
      </c>
      <c r="AE26" s="20">
        <v>0</v>
      </c>
    </row>
    <row r="27" spans="1:31" ht="31.2" customHeight="1" x14ac:dyDescent="0.3">
      <c r="A27" s="62" t="s">
        <v>256</v>
      </c>
      <c r="B27" s="20">
        <v>0</v>
      </c>
      <c r="C27" s="20">
        <v>6</v>
      </c>
      <c r="D27" s="20">
        <v>18527</v>
      </c>
      <c r="E27" s="20">
        <v>4</v>
      </c>
      <c r="F27" s="53">
        <v>32</v>
      </c>
      <c r="G27" s="20">
        <v>256090</v>
      </c>
      <c r="H27" s="20">
        <v>8</v>
      </c>
      <c r="I27" s="20">
        <v>31</v>
      </c>
      <c r="J27" s="20">
        <v>138474</v>
      </c>
      <c r="K27" s="20">
        <v>0</v>
      </c>
      <c r="L27" s="20">
        <v>9</v>
      </c>
      <c r="M27" s="20">
        <v>45751</v>
      </c>
      <c r="N27" s="20">
        <v>36</v>
      </c>
      <c r="O27" s="20">
        <v>144</v>
      </c>
      <c r="P27" s="53">
        <v>258936</v>
      </c>
      <c r="Q27" s="20">
        <v>0</v>
      </c>
      <c r="R27" s="20">
        <v>5</v>
      </c>
      <c r="S27" s="20">
        <v>4646</v>
      </c>
      <c r="T27" s="20">
        <v>114</v>
      </c>
      <c r="U27" s="20">
        <v>1203</v>
      </c>
      <c r="V27" s="20">
        <v>543106</v>
      </c>
      <c r="W27" s="20">
        <v>0</v>
      </c>
      <c r="X27" s="20">
        <v>0</v>
      </c>
      <c r="Y27" s="20">
        <v>0</v>
      </c>
      <c r="Z27" s="20">
        <v>158</v>
      </c>
      <c r="AA27" s="20">
        <v>1384</v>
      </c>
      <c r="AB27" s="20">
        <v>959042</v>
      </c>
      <c r="AC27" s="20">
        <v>4</v>
      </c>
      <c r="AD27" s="20">
        <v>43</v>
      </c>
      <c r="AE27" s="20">
        <v>306487</v>
      </c>
    </row>
    <row r="28" spans="1:31" ht="31.2" customHeight="1" x14ac:dyDescent="0.3">
      <c r="A28" s="62" t="s">
        <v>310</v>
      </c>
      <c r="B28" s="20">
        <v>0</v>
      </c>
      <c r="C28" s="20">
        <v>1</v>
      </c>
      <c r="D28" s="20">
        <v>18000</v>
      </c>
      <c r="E28" s="20">
        <v>0</v>
      </c>
      <c r="F28" s="20">
        <v>0</v>
      </c>
      <c r="G28" s="20">
        <v>0</v>
      </c>
      <c r="H28" s="20">
        <v>0</v>
      </c>
      <c r="I28" s="20">
        <v>1</v>
      </c>
      <c r="J28" s="20">
        <v>12000</v>
      </c>
      <c r="K28" s="20">
        <v>0</v>
      </c>
      <c r="L28" s="20">
        <v>0</v>
      </c>
      <c r="M28" s="20">
        <v>0</v>
      </c>
      <c r="N28" s="20">
        <v>0</v>
      </c>
      <c r="O28" s="20">
        <v>2</v>
      </c>
      <c r="P28" s="20">
        <v>14400</v>
      </c>
      <c r="Q28" s="20">
        <v>0</v>
      </c>
      <c r="R28" s="20">
        <v>0</v>
      </c>
      <c r="S28" s="20">
        <v>0</v>
      </c>
      <c r="T28" s="20">
        <v>0</v>
      </c>
      <c r="U28" s="20">
        <v>4</v>
      </c>
      <c r="V28" s="20">
        <v>9000</v>
      </c>
      <c r="W28" s="20">
        <v>0</v>
      </c>
      <c r="X28" s="20">
        <v>0</v>
      </c>
      <c r="Y28" s="20">
        <v>0</v>
      </c>
      <c r="Z28" s="20">
        <v>0</v>
      </c>
      <c r="AA28" s="20">
        <v>8</v>
      </c>
      <c r="AB28" s="20">
        <v>53400</v>
      </c>
      <c r="AC28" s="20">
        <v>0</v>
      </c>
      <c r="AD28" s="20">
        <v>0</v>
      </c>
      <c r="AE28" s="20">
        <v>0</v>
      </c>
    </row>
    <row r="29" spans="1:31" ht="31.2" customHeight="1" x14ac:dyDescent="0.3">
      <c r="A29" s="62" t="s">
        <v>127</v>
      </c>
      <c r="B29" s="20">
        <v>24</v>
      </c>
      <c r="C29" s="20">
        <v>102</v>
      </c>
      <c r="D29" s="20">
        <v>3942022</v>
      </c>
      <c r="E29" s="20">
        <v>0</v>
      </c>
      <c r="F29" s="20">
        <v>0</v>
      </c>
      <c r="G29" s="20">
        <v>8434744</v>
      </c>
      <c r="H29" s="20">
        <v>19</v>
      </c>
      <c r="I29" s="20">
        <v>56</v>
      </c>
      <c r="J29" s="20">
        <v>1285215</v>
      </c>
      <c r="K29" s="20">
        <v>0</v>
      </c>
      <c r="L29" s="20">
        <v>0</v>
      </c>
      <c r="M29" s="20">
        <v>0</v>
      </c>
      <c r="N29" s="20">
        <v>40</v>
      </c>
      <c r="O29" s="20">
        <v>319</v>
      </c>
      <c r="P29" s="20">
        <v>4809225</v>
      </c>
      <c r="Q29" s="20">
        <v>0</v>
      </c>
      <c r="R29" s="20">
        <v>0</v>
      </c>
      <c r="S29" s="20">
        <v>0</v>
      </c>
      <c r="T29" s="20">
        <v>11</v>
      </c>
      <c r="U29" s="20">
        <v>232</v>
      </c>
      <c r="V29" s="20">
        <v>2473923</v>
      </c>
      <c r="W29" s="20">
        <v>0</v>
      </c>
      <c r="X29" s="20">
        <v>0</v>
      </c>
      <c r="Y29" s="20">
        <v>0</v>
      </c>
      <c r="Z29" s="20">
        <v>94</v>
      </c>
      <c r="AA29" s="20">
        <v>709</v>
      </c>
      <c r="AB29" s="20">
        <v>12548802</v>
      </c>
      <c r="AC29" s="20">
        <v>0</v>
      </c>
      <c r="AD29" s="20">
        <v>0</v>
      </c>
      <c r="AE29" s="20">
        <v>0</v>
      </c>
    </row>
    <row r="30" spans="1:31" ht="31.2" customHeight="1" x14ac:dyDescent="0.3">
      <c r="A30" s="62" t="s">
        <v>384</v>
      </c>
      <c r="B30" s="20">
        <v>0</v>
      </c>
      <c r="C30" s="20">
        <v>1</v>
      </c>
      <c r="D30" s="53">
        <v>31000</v>
      </c>
      <c r="E30" s="20">
        <v>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>
        <v>0</v>
      </c>
      <c r="N30" s="20">
        <v>0</v>
      </c>
      <c r="O30" s="20">
        <v>1</v>
      </c>
      <c r="P30" s="53">
        <v>8400000</v>
      </c>
      <c r="Q30" s="20">
        <v>0</v>
      </c>
      <c r="R30" s="20">
        <v>0</v>
      </c>
      <c r="S30" s="20">
        <v>0</v>
      </c>
      <c r="T30" s="20">
        <v>0</v>
      </c>
      <c r="U30" s="20">
        <v>0</v>
      </c>
      <c r="V30" s="20">
        <v>0</v>
      </c>
      <c r="W30" s="20">
        <v>0</v>
      </c>
      <c r="X30" s="20">
        <v>0</v>
      </c>
      <c r="Y30" s="20">
        <v>0</v>
      </c>
      <c r="Z30" s="20">
        <v>0</v>
      </c>
      <c r="AA30" s="53">
        <v>2</v>
      </c>
      <c r="AB30" s="53">
        <v>39400</v>
      </c>
      <c r="AC30" s="20">
        <v>0</v>
      </c>
      <c r="AD30" s="20">
        <v>0</v>
      </c>
      <c r="AE30" s="20">
        <v>0</v>
      </c>
    </row>
    <row r="31" spans="1:31" ht="31.2" customHeight="1" x14ac:dyDescent="0.3">
      <c r="A31" s="18" t="s">
        <v>199</v>
      </c>
      <c r="B31" s="20">
        <v>0</v>
      </c>
      <c r="C31" s="20">
        <v>5</v>
      </c>
      <c r="D31" s="20">
        <v>38400</v>
      </c>
      <c r="E31" s="20">
        <v>0</v>
      </c>
      <c r="F31" s="20">
        <v>0</v>
      </c>
      <c r="G31" s="20">
        <v>0</v>
      </c>
      <c r="H31" s="20">
        <v>3</v>
      </c>
      <c r="I31" s="20">
        <v>4</v>
      </c>
      <c r="J31" s="20">
        <v>35400</v>
      </c>
      <c r="K31" s="20">
        <v>0</v>
      </c>
      <c r="L31" s="20">
        <v>0</v>
      </c>
      <c r="M31" s="20">
        <v>0</v>
      </c>
      <c r="N31" s="20">
        <v>0</v>
      </c>
      <c r="O31" s="20">
        <v>17</v>
      </c>
      <c r="P31" s="20">
        <v>21870</v>
      </c>
      <c r="Q31" s="20">
        <v>0</v>
      </c>
      <c r="R31" s="20">
        <v>0</v>
      </c>
      <c r="S31" s="20">
        <v>0</v>
      </c>
      <c r="T31" s="20">
        <v>0</v>
      </c>
      <c r="U31" s="20">
        <v>0</v>
      </c>
      <c r="V31" s="20">
        <v>0</v>
      </c>
      <c r="W31" s="20">
        <v>0</v>
      </c>
      <c r="X31" s="20">
        <v>0</v>
      </c>
      <c r="Y31" s="20">
        <v>0</v>
      </c>
      <c r="Z31" s="20">
        <v>3</v>
      </c>
      <c r="AA31" s="20">
        <v>26</v>
      </c>
      <c r="AB31" s="20">
        <v>95670</v>
      </c>
      <c r="AC31" s="20">
        <v>0</v>
      </c>
      <c r="AD31" s="20">
        <v>0</v>
      </c>
      <c r="AE31" s="20">
        <v>0</v>
      </c>
    </row>
    <row r="32" spans="1:31" ht="31.2" customHeight="1" x14ac:dyDescent="0.3">
      <c r="A32" s="62" t="s">
        <v>117</v>
      </c>
      <c r="B32" s="20">
        <v>0</v>
      </c>
      <c r="C32" s="20">
        <v>7</v>
      </c>
      <c r="D32" s="20">
        <v>654894</v>
      </c>
      <c r="E32" s="20">
        <v>0</v>
      </c>
      <c r="F32" s="20">
        <v>14</v>
      </c>
      <c r="G32" s="20">
        <v>888309</v>
      </c>
      <c r="H32" s="20">
        <v>25</v>
      </c>
      <c r="I32" s="20">
        <v>187</v>
      </c>
      <c r="J32" s="20">
        <v>3348965</v>
      </c>
      <c r="K32" s="20">
        <v>0</v>
      </c>
      <c r="L32" s="20">
        <v>54</v>
      </c>
      <c r="M32" s="20">
        <v>1665753</v>
      </c>
      <c r="N32" s="20">
        <v>30</v>
      </c>
      <c r="O32" s="20">
        <v>465</v>
      </c>
      <c r="P32" s="20">
        <v>6443400</v>
      </c>
      <c r="Q32" s="20">
        <v>0</v>
      </c>
      <c r="R32" s="20">
        <v>2</v>
      </c>
      <c r="S32" s="20">
        <v>27587</v>
      </c>
      <c r="T32" s="20">
        <v>9</v>
      </c>
      <c r="U32" s="20">
        <v>622</v>
      </c>
      <c r="V32" s="20">
        <v>6252985</v>
      </c>
      <c r="W32" s="20">
        <v>0</v>
      </c>
      <c r="X32" s="20">
        <v>0</v>
      </c>
      <c r="Y32" s="20">
        <v>0</v>
      </c>
      <c r="Z32" s="20">
        <v>64</v>
      </c>
      <c r="AA32" s="20">
        <v>1281</v>
      </c>
      <c r="AB32" s="20">
        <v>16700244</v>
      </c>
      <c r="AC32" s="20">
        <v>0</v>
      </c>
      <c r="AD32" s="20">
        <v>70</v>
      </c>
      <c r="AE32" s="20">
        <v>2581649</v>
      </c>
    </row>
    <row r="33" spans="1:31" ht="31.2" customHeight="1" x14ac:dyDescent="0.3">
      <c r="A33" s="62" t="s">
        <v>184</v>
      </c>
      <c r="B33" s="20">
        <v>1</v>
      </c>
      <c r="C33" s="20">
        <v>4</v>
      </c>
      <c r="D33" s="20">
        <v>0</v>
      </c>
      <c r="E33" s="20">
        <v>0</v>
      </c>
      <c r="F33" s="20">
        <v>1</v>
      </c>
      <c r="G33" s="20">
        <v>0</v>
      </c>
      <c r="H33" s="20">
        <v>0</v>
      </c>
      <c r="I33" s="20">
        <v>0</v>
      </c>
      <c r="J33" s="20">
        <v>0</v>
      </c>
      <c r="K33" s="20">
        <v>0</v>
      </c>
      <c r="L33" s="20">
        <v>0</v>
      </c>
      <c r="M33" s="20">
        <v>0</v>
      </c>
      <c r="N33" s="20">
        <v>2</v>
      </c>
      <c r="O33" s="20">
        <v>6</v>
      </c>
      <c r="P33" s="20">
        <v>0</v>
      </c>
      <c r="Q33" s="20">
        <v>0</v>
      </c>
      <c r="R33" s="20">
        <v>0</v>
      </c>
      <c r="S33" s="20">
        <v>0</v>
      </c>
      <c r="T33" s="20">
        <v>13</v>
      </c>
      <c r="U33" s="20">
        <v>57</v>
      </c>
      <c r="V33" s="20">
        <v>0</v>
      </c>
      <c r="W33" s="20">
        <v>0</v>
      </c>
      <c r="X33" s="20">
        <v>0</v>
      </c>
      <c r="Y33" s="20">
        <v>0</v>
      </c>
      <c r="Z33" s="20">
        <v>16</v>
      </c>
      <c r="AA33" s="20">
        <v>67</v>
      </c>
      <c r="AB33" s="20">
        <v>572904</v>
      </c>
      <c r="AC33" s="20">
        <v>0</v>
      </c>
      <c r="AD33" s="20">
        <v>1</v>
      </c>
      <c r="AE33" s="20">
        <v>0</v>
      </c>
    </row>
    <row r="34" spans="1:31" ht="31.2" customHeight="1" x14ac:dyDescent="0.3">
      <c r="A34" s="62" t="s">
        <v>259</v>
      </c>
      <c r="B34" s="20">
        <v>1</v>
      </c>
      <c r="C34" s="20">
        <v>0</v>
      </c>
      <c r="D34" s="20">
        <v>4393</v>
      </c>
      <c r="E34" s="20">
        <v>0</v>
      </c>
      <c r="F34" s="20">
        <v>0</v>
      </c>
      <c r="G34" s="20">
        <v>0</v>
      </c>
      <c r="H34" s="20">
        <v>1</v>
      </c>
      <c r="I34" s="20">
        <v>0</v>
      </c>
      <c r="J34" s="20">
        <v>1347</v>
      </c>
      <c r="K34" s="20">
        <v>0</v>
      </c>
      <c r="L34" s="20">
        <v>0</v>
      </c>
      <c r="M34" s="20">
        <v>0</v>
      </c>
      <c r="N34" s="20">
        <v>1</v>
      </c>
      <c r="O34" s="20">
        <v>0</v>
      </c>
      <c r="P34" s="20">
        <v>0</v>
      </c>
      <c r="Q34" s="20">
        <v>0</v>
      </c>
      <c r="R34" s="20">
        <v>0</v>
      </c>
      <c r="S34" s="20">
        <v>0</v>
      </c>
      <c r="T34" s="20">
        <v>1</v>
      </c>
      <c r="U34" s="20">
        <v>49</v>
      </c>
      <c r="V34" s="20">
        <v>87457</v>
      </c>
      <c r="W34" s="20">
        <v>0</v>
      </c>
      <c r="X34" s="20">
        <v>0</v>
      </c>
      <c r="Y34" s="20">
        <v>0</v>
      </c>
      <c r="Z34" s="20">
        <v>4</v>
      </c>
      <c r="AA34" s="20">
        <v>49</v>
      </c>
      <c r="AB34" s="20">
        <v>93197</v>
      </c>
      <c r="AC34" s="20">
        <v>0</v>
      </c>
      <c r="AD34" s="20">
        <v>0</v>
      </c>
      <c r="AE34" s="20">
        <v>0</v>
      </c>
    </row>
    <row r="35" spans="1:31" ht="31.2" customHeight="1" x14ac:dyDescent="0.3">
      <c r="A35" s="62" t="s">
        <v>217</v>
      </c>
      <c r="B35" s="61">
        <v>0</v>
      </c>
      <c r="C35" s="61">
        <v>3</v>
      </c>
      <c r="D35" s="61">
        <v>103731</v>
      </c>
      <c r="E35" s="20">
        <v>0</v>
      </c>
      <c r="F35" s="20">
        <v>0</v>
      </c>
      <c r="G35" s="61">
        <v>0</v>
      </c>
      <c r="H35" s="20">
        <v>1</v>
      </c>
      <c r="I35" s="61">
        <v>12</v>
      </c>
      <c r="J35" s="53">
        <v>237374</v>
      </c>
      <c r="K35" s="20">
        <v>0</v>
      </c>
      <c r="L35" s="20">
        <v>0</v>
      </c>
      <c r="M35" s="61">
        <v>0</v>
      </c>
      <c r="N35" s="20">
        <v>1</v>
      </c>
      <c r="O35" s="61">
        <v>8</v>
      </c>
      <c r="P35" s="53">
        <v>59985</v>
      </c>
      <c r="Q35" s="20">
        <v>0</v>
      </c>
      <c r="R35" s="20">
        <v>0</v>
      </c>
      <c r="S35" s="61">
        <v>0</v>
      </c>
      <c r="T35" s="20">
        <v>2</v>
      </c>
      <c r="U35" s="61">
        <v>48</v>
      </c>
      <c r="V35" s="53">
        <v>2225517</v>
      </c>
      <c r="W35" s="20">
        <v>0</v>
      </c>
      <c r="X35" s="20">
        <v>0</v>
      </c>
      <c r="Y35" s="20">
        <v>0</v>
      </c>
      <c r="Z35" s="20">
        <v>4</v>
      </c>
      <c r="AA35" s="20">
        <v>71</v>
      </c>
      <c r="AB35" s="53">
        <v>623607</v>
      </c>
      <c r="AC35" s="20">
        <v>0</v>
      </c>
      <c r="AD35" s="20">
        <v>0</v>
      </c>
      <c r="AE35" s="20">
        <v>0</v>
      </c>
    </row>
    <row r="36" spans="1:31" ht="31.2" customHeight="1" x14ac:dyDescent="0.3">
      <c r="A36" s="62" t="s">
        <v>75</v>
      </c>
      <c r="B36" s="20">
        <v>0</v>
      </c>
      <c r="C36" s="20">
        <v>1</v>
      </c>
      <c r="D36" s="53">
        <v>31000</v>
      </c>
      <c r="E36" s="20">
        <v>0</v>
      </c>
      <c r="F36" s="20">
        <v>1</v>
      </c>
      <c r="G36" s="53">
        <v>19600</v>
      </c>
      <c r="H36" s="20">
        <v>1</v>
      </c>
      <c r="I36" s="20">
        <v>0</v>
      </c>
      <c r="J36" s="53">
        <v>7500</v>
      </c>
      <c r="K36" s="20">
        <v>0</v>
      </c>
      <c r="L36" s="20">
        <v>0</v>
      </c>
      <c r="M36" s="20">
        <v>0</v>
      </c>
      <c r="N36" s="20">
        <v>0</v>
      </c>
      <c r="O36" s="20">
        <v>3</v>
      </c>
      <c r="P36" s="53">
        <v>20100</v>
      </c>
      <c r="Q36" s="20">
        <v>0</v>
      </c>
      <c r="R36" s="20">
        <v>0</v>
      </c>
      <c r="S36" s="20">
        <v>0</v>
      </c>
      <c r="T36" s="20">
        <v>0</v>
      </c>
      <c r="U36" s="20">
        <v>3</v>
      </c>
      <c r="V36" s="53">
        <v>7000</v>
      </c>
      <c r="W36" s="20">
        <v>0</v>
      </c>
      <c r="X36" s="20">
        <v>0</v>
      </c>
      <c r="Y36" s="20">
        <v>0</v>
      </c>
      <c r="Z36" s="20">
        <v>0</v>
      </c>
      <c r="AA36" s="20">
        <v>0</v>
      </c>
      <c r="AB36" s="53">
        <v>65600</v>
      </c>
      <c r="AC36" s="20">
        <v>0</v>
      </c>
      <c r="AD36" s="20">
        <v>0</v>
      </c>
      <c r="AE36" s="53">
        <v>19600</v>
      </c>
    </row>
    <row r="37" spans="1:31" ht="31.2" customHeight="1" x14ac:dyDescent="0.3">
      <c r="A37" s="62" t="s">
        <v>53</v>
      </c>
      <c r="B37" s="20">
        <v>0</v>
      </c>
      <c r="C37" s="20">
        <v>0</v>
      </c>
      <c r="D37" s="20">
        <v>0</v>
      </c>
      <c r="E37" s="20">
        <v>0</v>
      </c>
      <c r="F37" s="20">
        <v>0</v>
      </c>
      <c r="G37" s="20">
        <v>0</v>
      </c>
      <c r="H37" s="20">
        <v>0</v>
      </c>
      <c r="I37" s="20">
        <v>0</v>
      </c>
      <c r="J37" s="20">
        <v>0</v>
      </c>
      <c r="K37" s="20">
        <v>0</v>
      </c>
      <c r="L37" s="20">
        <v>0</v>
      </c>
      <c r="M37" s="20">
        <v>0</v>
      </c>
      <c r="N37" s="20">
        <v>0</v>
      </c>
      <c r="O37" s="20">
        <v>0</v>
      </c>
      <c r="P37" s="20">
        <v>0</v>
      </c>
      <c r="Q37" s="20">
        <v>0</v>
      </c>
      <c r="R37" s="20">
        <v>0</v>
      </c>
      <c r="S37" s="20">
        <v>0</v>
      </c>
      <c r="T37" s="20">
        <v>0</v>
      </c>
      <c r="U37" s="20">
        <v>0</v>
      </c>
      <c r="V37" s="20">
        <v>0</v>
      </c>
      <c r="W37" s="20">
        <v>0</v>
      </c>
      <c r="X37" s="20">
        <v>0</v>
      </c>
      <c r="Y37" s="20">
        <v>0</v>
      </c>
      <c r="Z37" s="20">
        <v>0</v>
      </c>
      <c r="AA37" s="20">
        <v>0</v>
      </c>
      <c r="AB37" s="20">
        <v>0</v>
      </c>
      <c r="AC37" s="20">
        <v>0</v>
      </c>
      <c r="AD37" s="20">
        <v>0</v>
      </c>
      <c r="AE37" s="20">
        <v>0</v>
      </c>
    </row>
    <row r="38" spans="1:31" ht="31.2" customHeight="1" x14ac:dyDescent="0.3">
      <c r="A38" s="62" t="s">
        <v>33</v>
      </c>
      <c r="B38" s="20">
        <v>2</v>
      </c>
      <c r="C38" s="20">
        <v>39</v>
      </c>
      <c r="D38" s="20">
        <v>1531000</v>
      </c>
      <c r="E38" s="20">
        <v>2</v>
      </c>
      <c r="F38" s="20">
        <v>39</v>
      </c>
      <c r="G38" s="20">
        <v>3225000</v>
      </c>
      <c r="H38" s="20">
        <v>4</v>
      </c>
      <c r="I38" s="20">
        <v>30</v>
      </c>
      <c r="J38" s="20">
        <v>746</v>
      </c>
      <c r="K38" s="20">
        <v>0</v>
      </c>
      <c r="L38" s="20">
        <v>0</v>
      </c>
      <c r="M38" s="20">
        <v>0</v>
      </c>
      <c r="N38" s="20">
        <v>12</v>
      </c>
      <c r="O38" s="20">
        <v>97</v>
      </c>
      <c r="P38" s="20">
        <v>1064000</v>
      </c>
      <c r="Q38" s="20">
        <v>0</v>
      </c>
      <c r="R38" s="20">
        <v>0</v>
      </c>
      <c r="S38" s="20">
        <v>0</v>
      </c>
      <c r="T38" s="20">
        <v>9</v>
      </c>
      <c r="U38" s="20">
        <v>91</v>
      </c>
      <c r="V38" s="20">
        <v>675000</v>
      </c>
      <c r="W38" s="20">
        <v>0</v>
      </c>
      <c r="X38" s="20">
        <v>0</v>
      </c>
      <c r="Y38" s="20">
        <v>0</v>
      </c>
      <c r="Z38" s="20">
        <v>27</v>
      </c>
      <c r="AA38" s="20">
        <v>257</v>
      </c>
      <c r="AB38" s="20">
        <v>4015000</v>
      </c>
      <c r="AC38" s="20">
        <v>2</v>
      </c>
      <c r="AD38" s="20">
        <v>39</v>
      </c>
      <c r="AE38" s="20">
        <v>3225000</v>
      </c>
    </row>
    <row r="39" spans="1:31" ht="31.2" customHeight="1" x14ac:dyDescent="0.3">
      <c r="A39" s="62" t="s">
        <v>105</v>
      </c>
      <c r="B39" s="20">
        <v>0</v>
      </c>
      <c r="C39" s="20">
        <v>1</v>
      </c>
      <c r="D39" s="53">
        <v>90000</v>
      </c>
      <c r="E39" s="20">
        <v>0</v>
      </c>
      <c r="F39" s="20">
        <v>0</v>
      </c>
      <c r="G39" s="20">
        <v>0</v>
      </c>
      <c r="H39" s="20">
        <v>1</v>
      </c>
      <c r="I39" s="20">
        <v>2</v>
      </c>
      <c r="J39" s="20">
        <v>44533</v>
      </c>
      <c r="K39" s="20">
        <v>0</v>
      </c>
      <c r="L39" s="20">
        <v>0</v>
      </c>
      <c r="M39" s="20">
        <v>0</v>
      </c>
      <c r="N39" s="20">
        <v>1</v>
      </c>
      <c r="O39" s="20">
        <v>8</v>
      </c>
      <c r="P39" s="20">
        <v>31050</v>
      </c>
      <c r="Q39" s="20">
        <v>0</v>
      </c>
      <c r="R39" s="20">
        <v>0</v>
      </c>
      <c r="S39" s="20">
        <v>0</v>
      </c>
      <c r="T39" s="20">
        <v>2</v>
      </c>
      <c r="U39" s="20">
        <v>172</v>
      </c>
      <c r="V39" s="20">
        <v>27497</v>
      </c>
      <c r="W39" s="20">
        <v>0</v>
      </c>
      <c r="X39" s="20">
        <v>0</v>
      </c>
      <c r="Y39" s="20">
        <v>0</v>
      </c>
      <c r="Z39" s="20">
        <v>4</v>
      </c>
      <c r="AA39" s="20">
        <v>183</v>
      </c>
      <c r="AB39" s="20">
        <v>193080</v>
      </c>
      <c r="AC39" s="20">
        <v>0</v>
      </c>
      <c r="AD39" s="20">
        <v>0</v>
      </c>
      <c r="AE39" s="20">
        <v>0</v>
      </c>
    </row>
    <row r="40" spans="1:31" ht="31.2" customHeight="1" x14ac:dyDescent="0.3">
      <c r="A40" s="62" t="s">
        <v>50</v>
      </c>
      <c r="B40" s="20">
        <v>1</v>
      </c>
      <c r="C40" s="20">
        <v>3</v>
      </c>
      <c r="D40" s="20">
        <v>0</v>
      </c>
      <c r="E40" s="20">
        <v>0</v>
      </c>
      <c r="F40" s="20">
        <v>0</v>
      </c>
      <c r="G40" s="20">
        <v>0</v>
      </c>
      <c r="H40" s="20">
        <v>0</v>
      </c>
      <c r="I40" s="20">
        <v>0</v>
      </c>
      <c r="J40" s="20">
        <v>0</v>
      </c>
      <c r="K40" s="20">
        <v>0</v>
      </c>
      <c r="L40" s="20">
        <v>0</v>
      </c>
      <c r="M40" s="20">
        <v>0</v>
      </c>
      <c r="N40" s="20">
        <v>0</v>
      </c>
      <c r="O40" s="20">
        <v>7</v>
      </c>
      <c r="P40" s="20">
        <v>0</v>
      </c>
      <c r="Q40" s="20">
        <v>0</v>
      </c>
      <c r="R40" s="20">
        <v>0</v>
      </c>
      <c r="S40" s="20">
        <v>0</v>
      </c>
      <c r="T40" s="20">
        <v>1</v>
      </c>
      <c r="U40" s="20">
        <v>23</v>
      </c>
      <c r="V40" s="20">
        <v>0</v>
      </c>
      <c r="W40" s="20">
        <v>0</v>
      </c>
      <c r="X40" s="20">
        <v>0</v>
      </c>
      <c r="Y40" s="20">
        <v>0</v>
      </c>
      <c r="Z40" s="20">
        <v>2</v>
      </c>
      <c r="AA40" s="20">
        <v>33</v>
      </c>
      <c r="AB40" s="20">
        <v>0</v>
      </c>
      <c r="AC40" s="20">
        <v>0</v>
      </c>
      <c r="AD40" s="20">
        <v>0</v>
      </c>
      <c r="AE40" s="20">
        <v>0</v>
      </c>
    </row>
    <row r="41" spans="1:31" ht="31.2" customHeight="1" x14ac:dyDescent="0.3">
      <c r="A41" s="62" t="s">
        <v>255</v>
      </c>
      <c r="B41" s="20">
        <v>0</v>
      </c>
      <c r="C41" s="20">
        <v>0</v>
      </c>
      <c r="D41" s="20">
        <v>0</v>
      </c>
      <c r="E41" s="20">
        <v>0</v>
      </c>
      <c r="F41" s="20">
        <v>2</v>
      </c>
      <c r="G41" s="53">
        <v>48000000</v>
      </c>
      <c r="H41" s="20">
        <v>0</v>
      </c>
      <c r="I41" s="20">
        <v>0</v>
      </c>
      <c r="J41" s="20">
        <v>0</v>
      </c>
      <c r="K41" s="20">
        <v>0</v>
      </c>
      <c r="L41" s="20">
        <v>1</v>
      </c>
      <c r="M41" s="53">
        <v>12000000</v>
      </c>
      <c r="N41" s="20">
        <v>0</v>
      </c>
      <c r="O41" s="20">
        <v>2</v>
      </c>
      <c r="P41" s="20">
        <v>4704204</v>
      </c>
      <c r="Q41" s="20">
        <v>0</v>
      </c>
      <c r="R41" s="20">
        <v>0</v>
      </c>
      <c r="S41" s="20">
        <v>0</v>
      </c>
      <c r="T41" s="53">
        <v>4</v>
      </c>
      <c r="U41" s="20">
        <v>48</v>
      </c>
      <c r="V41" s="53">
        <v>65959332</v>
      </c>
      <c r="W41" s="20">
        <v>0</v>
      </c>
      <c r="X41" s="20">
        <v>0</v>
      </c>
      <c r="Y41" s="20">
        <v>0</v>
      </c>
      <c r="Z41" s="53">
        <v>4</v>
      </c>
      <c r="AA41" s="20">
        <v>50</v>
      </c>
      <c r="AB41" s="53">
        <v>70663536</v>
      </c>
      <c r="AC41" s="20">
        <v>0</v>
      </c>
      <c r="AD41" s="20">
        <v>0</v>
      </c>
      <c r="AE41" s="20">
        <v>0</v>
      </c>
    </row>
    <row r="42" spans="1:31" ht="31.2" customHeight="1" x14ac:dyDescent="0.3">
      <c r="A42" s="62" t="s">
        <v>60</v>
      </c>
      <c r="B42" s="20">
        <v>10</v>
      </c>
      <c r="C42" s="20">
        <v>68</v>
      </c>
      <c r="D42" s="20">
        <v>3567139</v>
      </c>
      <c r="E42" s="20">
        <v>1</v>
      </c>
      <c r="F42" s="20">
        <v>11</v>
      </c>
      <c r="G42" s="20">
        <v>2397340</v>
      </c>
      <c r="H42" s="20">
        <v>20</v>
      </c>
      <c r="I42" s="20">
        <v>113</v>
      </c>
      <c r="J42" s="20">
        <v>3228611</v>
      </c>
      <c r="K42" s="20">
        <v>0</v>
      </c>
      <c r="L42" s="20">
        <v>50</v>
      </c>
      <c r="M42" s="20">
        <v>5418659</v>
      </c>
      <c r="N42" s="20">
        <v>30</v>
      </c>
      <c r="O42" s="20">
        <v>461</v>
      </c>
      <c r="P42" s="20">
        <v>8379136</v>
      </c>
      <c r="Q42" s="20">
        <v>0</v>
      </c>
      <c r="R42" s="20">
        <v>0</v>
      </c>
      <c r="S42" s="20">
        <v>0</v>
      </c>
      <c r="T42" s="20">
        <v>47</v>
      </c>
      <c r="U42" s="20">
        <v>428</v>
      </c>
      <c r="V42" s="20">
        <v>4881775</v>
      </c>
      <c r="W42" s="20">
        <v>0</v>
      </c>
      <c r="X42" s="20">
        <v>0</v>
      </c>
      <c r="Y42" s="20">
        <v>0</v>
      </c>
      <c r="Z42" s="20">
        <v>107</v>
      </c>
      <c r="AA42" s="20">
        <v>1070</v>
      </c>
      <c r="AB42" s="20">
        <v>20056661</v>
      </c>
      <c r="AC42" s="20">
        <v>1</v>
      </c>
      <c r="AD42" s="20">
        <v>61</v>
      </c>
      <c r="AE42" s="20">
        <v>7815999</v>
      </c>
    </row>
    <row r="43" spans="1:31" ht="31.2" customHeight="1" x14ac:dyDescent="0.3">
      <c r="A43" s="62" t="s">
        <v>272</v>
      </c>
      <c r="B43" s="20">
        <v>0</v>
      </c>
      <c r="C43" s="20">
        <v>10</v>
      </c>
      <c r="D43" s="20">
        <v>370422</v>
      </c>
      <c r="E43" s="20">
        <v>0</v>
      </c>
      <c r="F43" s="20">
        <v>0</v>
      </c>
      <c r="G43" s="20">
        <v>0</v>
      </c>
      <c r="H43" s="20">
        <v>1</v>
      </c>
      <c r="I43" s="20">
        <v>3</v>
      </c>
      <c r="J43" s="20">
        <v>102118</v>
      </c>
      <c r="K43" s="20">
        <v>0</v>
      </c>
      <c r="L43" s="20">
        <v>0</v>
      </c>
      <c r="M43" s="20">
        <v>0</v>
      </c>
      <c r="N43" s="20">
        <v>0</v>
      </c>
      <c r="O43" s="20">
        <v>6</v>
      </c>
      <c r="P43" s="20">
        <v>139395</v>
      </c>
      <c r="Q43" s="20">
        <v>0</v>
      </c>
      <c r="R43" s="20">
        <v>0</v>
      </c>
      <c r="S43" s="20">
        <v>0</v>
      </c>
      <c r="T43" s="20">
        <v>1</v>
      </c>
      <c r="U43" s="20">
        <v>16</v>
      </c>
      <c r="V43" s="20">
        <v>157860</v>
      </c>
      <c r="W43" s="20">
        <v>0</v>
      </c>
      <c r="X43" s="20">
        <v>0</v>
      </c>
      <c r="Y43" s="20">
        <v>0</v>
      </c>
      <c r="Z43" s="20">
        <v>2</v>
      </c>
      <c r="AA43" s="20">
        <v>35</v>
      </c>
      <c r="AB43" s="20">
        <v>769795</v>
      </c>
      <c r="AC43" s="20">
        <v>0</v>
      </c>
      <c r="AD43" s="20">
        <v>0</v>
      </c>
      <c r="AE43" s="20">
        <v>0</v>
      </c>
    </row>
    <row r="44" spans="1:31" ht="31.2" customHeight="1" x14ac:dyDescent="0.3">
      <c r="A44" s="62" t="s">
        <v>71</v>
      </c>
      <c r="B44" s="20">
        <v>0</v>
      </c>
      <c r="C44" s="20">
        <v>1</v>
      </c>
      <c r="D44" s="53">
        <v>450</v>
      </c>
      <c r="E44" s="20">
        <v>0</v>
      </c>
      <c r="F44" s="20">
        <v>0</v>
      </c>
      <c r="G44" s="20">
        <v>0</v>
      </c>
      <c r="H44" s="20">
        <v>0</v>
      </c>
      <c r="I44" s="20">
        <v>2</v>
      </c>
      <c r="J44" s="53">
        <v>2250</v>
      </c>
      <c r="K44" s="20">
        <v>0</v>
      </c>
      <c r="L44" s="20">
        <v>12</v>
      </c>
      <c r="M44" s="53">
        <v>37150</v>
      </c>
      <c r="N44" s="20">
        <v>0</v>
      </c>
      <c r="O44" s="20">
        <v>2</v>
      </c>
      <c r="P44" s="53">
        <v>1110</v>
      </c>
      <c r="Q44" s="20">
        <v>0</v>
      </c>
      <c r="R44" s="20">
        <v>0</v>
      </c>
      <c r="S44" s="20">
        <v>0</v>
      </c>
      <c r="T44" s="20">
        <v>0</v>
      </c>
      <c r="U44" s="20">
        <v>4</v>
      </c>
      <c r="V44" s="53">
        <v>1824</v>
      </c>
      <c r="W44" s="20">
        <v>0</v>
      </c>
      <c r="X44" s="53">
        <v>18</v>
      </c>
      <c r="Y44" s="53">
        <v>18858</v>
      </c>
      <c r="Z44" s="20">
        <v>0</v>
      </c>
      <c r="AA44" s="20"/>
      <c r="AB44" s="53">
        <v>5634</v>
      </c>
      <c r="AC44" s="20">
        <v>0</v>
      </c>
      <c r="AD44" s="20">
        <v>12</v>
      </c>
      <c r="AE44" s="53">
        <v>37150</v>
      </c>
    </row>
    <row r="45" spans="1:31" ht="31.2" customHeight="1" x14ac:dyDescent="0.3">
      <c r="A45" s="62" t="s">
        <v>104</v>
      </c>
      <c r="B45" s="20">
        <v>0</v>
      </c>
      <c r="C45" s="20">
        <v>2</v>
      </c>
      <c r="D45" s="20">
        <v>45283</v>
      </c>
      <c r="E45" s="20">
        <v>0</v>
      </c>
      <c r="F45" s="20">
        <v>1</v>
      </c>
      <c r="G45" s="20">
        <v>29663</v>
      </c>
      <c r="H45" s="20">
        <v>0</v>
      </c>
      <c r="I45" s="20">
        <v>6</v>
      </c>
      <c r="J45" s="20">
        <v>69386</v>
      </c>
      <c r="K45" s="20">
        <v>0</v>
      </c>
      <c r="L45" s="20">
        <v>0</v>
      </c>
      <c r="M45" s="20">
        <v>0</v>
      </c>
      <c r="N45" s="20">
        <v>1</v>
      </c>
      <c r="O45" s="20">
        <v>17</v>
      </c>
      <c r="P45" s="20">
        <v>122413</v>
      </c>
      <c r="Q45" s="20">
        <v>0</v>
      </c>
      <c r="R45" s="20">
        <v>0</v>
      </c>
      <c r="S45" s="20">
        <v>0</v>
      </c>
      <c r="T45" s="20">
        <v>2</v>
      </c>
      <c r="U45" s="20">
        <v>56</v>
      </c>
      <c r="V45" s="20">
        <v>212456</v>
      </c>
      <c r="W45" s="20">
        <v>0</v>
      </c>
      <c r="X45" s="20">
        <v>0</v>
      </c>
      <c r="Y45" s="20">
        <v>0</v>
      </c>
      <c r="Z45" s="20">
        <v>3</v>
      </c>
      <c r="AA45" s="20">
        <v>81</v>
      </c>
      <c r="AB45" s="20">
        <v>449538</v>
      </c>
      <c r="AC45" s="20">
        <v>0</v>
      </c>
      <c r="AD45" s="20">
        <v>1</v>
      </c>
      <c r="AE45" s="20">
        <v>29663</v>
      </c>
    </row>
    <row r="46" spans="1:31" ht="31.2" customHeight="1" x14ac:dyDescent="0.3">
      <c r="A46" s="62" t="s">
        <v>83</v>
      </c>
      <c r="B46" s="20">
        <v>0</v>
      </c>
      <c r="C46" s="20">
        <v>0</v>
      </c>
      <c r="D46" s="20">
        <v>0</v>
      </c>
      <c r="E46" s="20">
        <v>0</v>
      </c>
      <c r="F46" s="21">
        <v>0</v>
      </c>
      <c r="G46" s="20">
        <v>0</v>
      </c>
      <c r="H46" s="20">
        <v>1</v>
      </c>
      <c r="I46" s="20">
        <v>1</v>
      </c>
      <c r="J46" s="20">
        <v>30426</v>
      </c>
      <c r="K46" s="20">
        <v>0</v>
      </c>
      <c r="L46" s="20">
        <v>0</v>
      </c>
      <c r="M46" s="20">
        <v>0</v>
      </c>
      <c r="N46" s="20">
        <v>0</v>
      </c>
      <c r="O46" s="20">
        <v>0</v>
      </c>
      <c r="P46" s="21">
        <v>0</v>
      </c>
      <c r="Q46" s="20">
        <v>0</v>
      </c>
      <c r="R46" s="20">
        <v>0</v>
      </c>
      <c r="S46" s="20">
        <v>0</v>
      </c>
      <c r="T46" s="20">
        <v>1</v>
      </c>
      <c r="U46" s="20">
        <v>64</v>
      </c>
      <c r="V46" s="20">
        <v>152929</v>
      </c>
      <c r="W46" s="20">
        <v>0</v>
      </c>
      <c r="X46" s="20">
        <v>0</v>
      </c>
      <c r="Y46" s="20">
        <v>0</v>
      </c>
      <c r="Z46" s="20">
        <v>0</v>
      </c>
      <c r="AA46" s="20">
        <v>0</v>
      </c>
      <c r="AB46" s="20">
        <v>0</v>
      </c>
      <c r="AC46" s="20">
        <v>0</v>
      </c>
      <c r="AD46" s="20">
        <v>0</v>
      </c>
      <c r="AE46" s="20">
        <v>0</v>
      </c>
    </row>
    <row r="47" spans="1:31" ht="31.2" customHeight="1" x14ac:dyDescent="0.3">
      <c r="A47" s="62" t="s">
        <v>114</v>
      </c>
      <c r="B47" s="20">
        <v>0</v>
      </c>
      <c r="C47" s="20">
        <v>0</v>
      </c>
      <c r="D47" s="20">
        <v>0</v>
      </c>
      <c r="E47" s="20">
        <v>0</v>
      </c>
      <c r="F47" s="20">
        <v>0</v>
      </c>
      <c r="G47" s="20">
        <v>0</v>
      </c>
      <c r="H47" s="20">
        <v>2</v>
      </c>
      <c r="I47" s="20">
        <v>4</v>
      </c>
      <c r="J47" s="20">
        <v>79069</v>
      </c>
      <c r="K47" s="20">
        <v>0</v>
      </c>
      <c r="L47" s="20">
        <v>0</v>
      </c>
      <c r="M47" s="20">
        <v>0</v>
      </c>
      <c r="N47" s="20">
        <v>3</v>
      </c>
      <c r="O47" s="20">
        <v>25</v>
      </c>
      <c r="P47" s="20">
        <v>280498</v>
      </c>
      <c r="Q47" s="20">
        <v>0</v>
      </c>
      <c r="R47" s="20">
        <v>0</v>
      </c>
      <c r="S47" s="20">
        <v>0</v>
      </c>
      <c r="T47" s="20">
        <v>1</v>
      </c>
      <c r="U47" s="20">
        <v>18</v>
      </c>
      <c r="V47" s="20">
        <v>152511</v>
      </c>
      <c r="W47" s="20">
        <v>0</v>
      </c>
      <c r="X47" s="20">
        <v>0</v>
      </c>
      <c r="Y47" s="20">
        <v>0</v>
      </c>
      <c r="Z47" s="20">
        <v>5</v>
      </c>
      <c r="AA47" s="20">
        <v>47</v>
      </c>
      <c r="AB47" s="20">
        <v>512078</v>
      </c>
      <c r="AC47" s="20">
        <v>0</v>
      </c>
      <c r="AD47" s="20">
        <v>0</v>
      </c>
      <c r="AE47" s="20">
        <v>0</v>
      </c>
    </row>
    <row r="48" spans="1:31" ht="31.2" customHeight="1" x14ac:dyDescent="0.3">
      <c r="A48" s="62" t="s">
        <v>65</v>
      </c>
      <c r="B48" s="20">
        <v>0</v>
      </c>
      <c r="C48" s="20">
        <v>2</v>
      </c>
      <c r="D48" s="20">
        <v>5100</v>
      </c>
      <c r="E48" s="20">
        <v>0</v>
      </c>
      <c r="F48" s="20">
        <v>3</v>
      </c>
      <c r="G48" s="20">
        <v>18000</v>
      </c>
      <c r="H48" s="20">
        <v>1</v>
      </c>
      <c r="I48" s="20">
        <v>2</v>
      </c>
      <c r="J48" s="20">
        <v>2700</v>
      </c>
      <c r="K48" s="20">
        <v>0</v>
      </c>
      <c r="L48" s="20">
        <v>0</v>
      </c>
      <c r="M48" s="20">
        <v>0</v>
      </c>
      <c r="N48" s="20">
        <v>0</v>
      </c>
      <c r="O48" s="20">
        <v>7</v>
      </c>
      <c r="P48" s="20">
        <v>6300</v>
      </c>
      <c r="Q48" s="20">
        <v>0</v>
      </c>
      <c r="R48" s="20">
        <v>2</v>
      </c>
      <c r="S48" s="20">
        <v>12000</v>
      </c>
      <c r="T48" s="20">
        <v>0</v>
      </c>
      <c r="U48" s="20">
        <v>21</v>
      </c>
      <c r="V48" s="20">
        <v>9450</v>
      </c>
      <c r="W48" s="20">
        <v>0</v>
      </c>
      <c r="X48" s="20">
        <v>0</v>
      </c>
      <c r="Y48" s="20">
        <v>0</v>
      </c>
      <c r="Z48" s="20">
        <v>1</v>
      </c>
      <c r="AA48" s="20">
        <v>33</v>
      </c>
      <c r="AB48" s="20">
        <v>23550</v>
      </c>
      <c r="AC48" s="20">
        <v>0</v>
      </c>
      <c r="AD48" s="20">
        <v>6</v>
      </c>
      <c r="AE48" s="20">
        <v>30000</v>
      </c>
    </row>
    <row r="49" spans="1:31" ht="31.2" customHeight="1" x14ac:dyDescent="0.3">
      <c r="A49" s="62" t="s">
        <v>32</v>
      </c>
      <c r="B49" s="20">
        <v>0</v>
      </c>
      <c r="C49" s="20">
        <v>3</v>
      </c>
      <c r="D49" s="53">
        <v>18899</v>
      </c>
      <c r="E49" s="20">
        <v>0</v>
      </c>
      <c r="F49" s="20">
        <v>0</v>
      </c>
      <c r="G49" s="20">
        <v>0</v>
      </c>
      <c r="H49" s="20">
        <v>0</v>
      </c>
      <c r="I49" s="20">
        <v>0</v>
      </c>
      <c r="J49" s="20">
        <v>0</v>
      </c>
      <c r="K49" s="20">
        <v>0</v>
      </c>
      <c r="L49" s="20">
        <v>0</v>
      </c>
      <c r="M49" s="20">
        <v>0</v>
      </c>
      <c r="N49" s="20">
        <v>0</v>
      </c>
      <c r="O49" s="20">
        <v>0</v>
      </c>
      <c r="P49" s="20">
        <v>0</v>
      </c>
      <c r="Q49" s="20">
        <v>0</v>
      </c>
      <c r="R49" s="20">
        <v>0</v>
      </c>
      <c r="S49" s="20">
        <v>0</v>
      </c>
      <c r="T49" s="20">
        <v>0</v>
      </c>
      <c r="U49" s="20">
        <v>6</v>
      </c>
      <c r="V49" s="53">
        <v>2855</v>
      </c>
      <c r="W49" s="20">
        <v>0</v>
      </c>
      <c r="X49" s="20">
        <v>0</v>
      </c>
      <c r="Y49" s="20">
        <v>0</v>
      </c>
      <c r="Z49" s="20">
        <v>0</v>
      </c>
      <c r="AA49" s="20">
        <v>9</v>
      </c>
      <c r="AB49" s="53">
        <v>21754</v>
      </c>
      <c r="AC49" s="20">
        <v>0</v>
      </c>
      <c r="AD49" s="20">
        <v>0</v>
      </c>
      <c r="AE49" s="20">
        <v>0</v>
      </c>
    </row>
    <row r="50" spans="1:31" ht="31.2" customHeight="1" x14ac:dyDescent="0.3">
      <c r="A50" s="62" t="s">
        <v>270</v>
      </c>
      <c r="B50" s="20">
        <v>1</v>
      </c>
      <c r="C50" s="20">
        <v>13</v>
      </c>
      <c r="D50" s="20">
        <v>1008779</v>
      </c>
      <c r="E50" s="20">
        <v>2</v>
      </c>
      <c r="F50" s="20">
        <v>11</v>
      </c>
      <c r="G50" s="20">
        <v>407221</v>
      </c>
      <c r="H50" s="20">
        <v>11</v>
      </c>
      <c r="I50" s="20">
        <v>47</v>
      </c>
      <c r="J50" s="20">
        <v>1854344</v>
      </c>
      <c r="K50" s="20">
        <v>4</v>
      </c>
      <c r="L50" s="20">
        <v>8</v>
      </c>
      <c r="M50" s="20">
        <v>187783</v>
      </c>
      <c r="N50" s="20">
        <v>15</v>
      </c>
      <c r="O50" s="20">
        <v>174</v>
      </c>
      <c r="P50" s="20">
        <v>3104107</v>
      </c>
      <c r="Q50" s="20">
        <v>0</v>
      </c>
      <c r="R50" s="20">
        <v>0</v>
      </c>
      <c r="S50" s="20">
        <v>0</v>
      </c>
      <c r="T50" s="20">
        <v>4</v>
      </c>
      <c r="U50" s="20">
        <v>88</v>
      </c>
      <c r="V50" s="20">
        <v>1264032</v>
      </c>
      <c r="W50" s="20">
        <v>0</v>
      </c>
      <c r="X50" s="20">
        <v>0</v>
      </c>
      <c r="Y50" s="20">
        <v>0</v>
      </c>
      <c r="Z50" s="20">
        <v>31</v>
      </c>
      <c r="AA50" s="20">
        <v>322</v>
      </c>
      <c r="AB50" s="20">
        <v>7231263</v>
      </c>
      <c r="AC50" s="20">
        <v>6</v>
      </c>
      <c r="AD50" s="20">
        <v>19</v>
      </c>
      <c r="AE50" s="20">
        <v>595004</v>
      </c>
    </row>
    <row r="51" spans="1:31" ht="31.2" customHeight="1" x14ac:dyDescent="0.3">
      <c r="A51" s="62" t="s">
        <v>218</v>
      </c>
      <c r="B51" s="20">
        <v>0</v>
      </c>
      <c r="C51" s="20">
        <v>0</v>
      </c>
      <c r="D51" s="20">
        <v>0</v>
      </c>
      <c r="E51" s="20">
        <v>0</v>
      </c>
      <c r="F51" s="20">
        <v>0</v>
      </c>
      <c r="G51" s="20">
        <v>0</v>
      </c>
      <c r="H51" s="20">
        <v>0</v>
      </c>
      <c r="I51" s="20">
        <v>0</v>
      </c>
      <c r="J51" s="20">
        <v>0</v>
      </c>
      <c r="K51" s="20">
        <v>0</v>
      </c>
      <c r="L51" s="20">
        <v>0</v>
      </c>
      <c r="M51" s="20">
        <v>0</v>
      </c>
      <c r="N51" s="20">
        <v>0</v>
      </c>
      <c r="O51" s="20">
        <v>0</v>
      </c>
      <c r="P51" s="20">
        <v>0</v>
      </c>
      <c r="Q51" s="20">
        <v>0</v>
      </c>
      <c r="R51" s="20">
        <v>0</v>
      </c>
      <c r="S51" s="20">
        <v>0</v>
      </c>
      <c r="T51" s="20">
        <v>4</v>
      </c>
      <c r="U51" s="20">
        <v>64</v>
      </c>
      <c r="V51" s="53">
        <v>167774</v>
      </c>
      <c r="W51" s="20">
        <v>0</v>
      </c>
      <c r="X51" s="20">
        <v>0</v>
      </c>
      <c r="Y51" s="20">
        <v>0</v>
      </c>
      <c r="Z51" s="20">
        <v>4</v>
      </c>
      <c r="AA51" s="20">
        <v>64</v>
      </c>
      <c r="AB51" s="53">
        <v>167774</v>
      </c>
      <c r="AC51" s="20">
        <v>0</v>
      </c>
      <c r="AD51" s="20">
        <v>0</v>
      </c>
      <c r="AE51" s="20">
        <v>0</v>
      </c>
    </row>
    <row r="52" spans="1:31" ht="31.2" customHeight="1" x14ac:dyDescent="0.3">
      <c r="A52" s="62" t="s">
        <v>249</v>
      </c>
      <c r="B52" s="20">
        <v>0</v>
      </c>
      <c r="C52" s="20">
        <v>2</v>
      </c>
      <c r="D52" s="20">
        <v>371290</v>
      </c>
      <c r="E52" s="20">
        <v>1</v>
      </c>
      <c r="F52" s="20">
        <v>5</v>
      </c>
      <c r="G52" s="20">
        <v>468082</v>
      </c>
      <c r="H52" s="20">
        <v>3</v>
      </c>
      <c r="I52" s="20">
        <v>7</v>
      </c>
      <c r="J52" s="20">
        <v>206269</v>
      </c>
      <c r="K52" s="20">
        <v>0</v>
      </c>
      <c r="L52" s="20">
        <v>0</v>
      </c>
      <c r="M52" s="20">
        <v>0</v>
      </c>
      <c r="N52" s="20">
        <v>3</v>
      </c>
      <c r="O52" s="20">
        <v>8</v>
      </c>
      <c r="P52" s="20">
        <v>144273</v>
      </c>
      <c r="Q52" s="20">
        <v>0</v>
      </c>
      <c r="R52" s="20">
        <v>0</v>
      </c>
      <c r="S52" s="20">
        <v>0</v>
      </c>
      <c r="T52" s="20">
        <v>31</v>
      </c>
      <c r="U52" s="20">
        <v>144</v>
      </c>
      <c r="V52" s="20">
        <v>1030442</v>
      </c>
      <c r="W52" s="20">
        <v>0</v>
      </c>
      <c r="X52" s="20">
        <v>0</v>
      </c>
      <c r="Y52" s="20">
        <v>0</v>
      </c>
      <c r="Z52" s="20">
        <v>37</v>
      </c>
      <c r="AA52" s="20">
        <v>161</v>
      </c>
      <c r="AB52" s="20">
        <v>1752273</v>
      </c>
      <c r="AC52" s="20">
        <v>1</v>
      </c>
      <c r="AD52" s="20">
        <v>5</v>
      </c>
      <c r="AE52" s="20">
        <v>468082</v>
      </c>
    </row>
    <row r="53" spans="1:31" ht="31.2" customHeight="1" x14ac:dyDescent="0.3">
      <c r="A53" s="62" t="s">
        <v>42</v>
      </c>
      <c r="B53" s="20">
        <v>0</v>
      </c>
      <c r="C53" s="20">
        <v>0</v>
      </c>
      <c r="D53" s="20">
        <v>0</v>
      </c>
      <c r="E53" s="20">
        <v>0</v>
      </c>
      <c r="F53" s="20">
        <v>0</v>
      </c>
      <c r="G53" s="20">
        <v>1</v>
      </c>
      <c r="H53" s="20">
        <v>0</v>
      </c>
      <c r="I53" s="20">
        <v>3</v>
      </c>
      <c r="J53" s="20">
        <v>29511</v>
      </c>
      <c r="K53" s="20">
        <v>0</v>
      </c>
      <c r="L53" s="20">
        <v>0</v>
      </c>
      <c r="M53" s="20">
        <v>0</v>
      </c>
      <c r="N53" s="20">
        <v>1</v>
      </c>
      <c r="O53" s="20">
        <v>4</v>
      </c>
      <c r="P53" s="20">
        <v>25032</v>
      </c>
      <c r="Q53" s="20">
        <v>0</v>
      </c>
      <c r="R53" s="20">
        <v>0</v>
      </c>
      <c r="S53" s="20">
        <v>0</v>
      </c>
      <c r="T53" s="20">
        <v>5</v>
      </c>
      <c r="U53" s="20">
        <v>37</v>
      </c>
      <c r="V53" s="20">
        <v>18413</v>
      </c>
      <c r="W53" s="20">
        <v>0</v>
      </c>
      <c r="X53" s="20">
        <v>0</v>
      </c>
      <c r="Y53" s="20">
        <v>0</v>
      </c>
      <c r="Z53" s="20">
        <v>6</v>
      </c>
      <c r="AA53" s="20">
        <v>44</v>
      </c>
      <c r="AB53" s="53">
        <v>72957</v>
      </c>
      <c r="AC53" s="20">
        <v>0</v>
      </c>
      <c r="AD53" s="20">
        <v>0</v>
      </c>
      <c r="AE53" s="20">
        <v>1</v>
      </c>
    </row>
    <row r="54" spans="1:31" ht="31.2" customHeight="1" x14ac:dyDescent="0.3">
      <c r="A54" s="62" t="s">
        <v>112</v>
      </c>
      <c r="B54" s="20">
        <v>1</v>
      </c>
      <c r="C54" s="20">
        <v>2</v>
      </c>
      <c r="D54" s="20">
        <v>84587</v>
      </c>
      <c r="E54" s="20">
        <v>0</v>
      </c>
      <c r="F54" s="20">
        <v>3</v>
      </c>
      <c r="G54" s="20">
        <v>197467</v>
      </c>
      <c r="H54" s="20">
        <v>3</v>
      </c>
      <c r="I54" s="20">
        <v>5</v>
      </c>
      <c r="J54" s="20">
        <v>117381</v>
      </c>
      <c r="K54" s="20">
        <v>1</v>
      </c>
      <c r="L54" s="20">
        <v>1</v>
      </c>
      <c r="M54" s="20">
        <v>20228</v>
      </c>
      <c r="N54" s="20">
        <v>1</v>
      </c>
      <c r="O54" s="20">
        <v>11</v>
      </c>
      <c r="P54" s="20">
        <v>128181</v>
      </c>
      <c r="Q54" s="20">
        <v>0</v>
      </c>
      <c r="R54" s="20">
        <v>0</v>
      </c>
      <c r="S54" s="20">
        <v>0</v>
      </c>
      <c r="T54" s="20">
        <v>0</v>
      </c>
      <c r="U54" s="20">
        <v>48</v>
      </c>
      <c r="V54" s="20">
        <v>232574</v>
      </c>
      <c r="W54" s="20">
        <v>0</v>
      </c>
      <c r="X54" s="20">
        <v>0</v>
      </c>
      <c r="Y54" s="20">
        <v>0</v>
      </c>
      <c r="Z54" s="20">
        <v>5</v>
      </c>
      <c r="AA54" s="20">
        <v>66</v>
      </c>
      <c r="AB54" s="20">
        <v>562723</v>
      </c>
      <c r="AC54" s="20">
        <v>1</v>
      </c>
      <c r="AD54" s="20">
        <v>4</v>
      </c>
      <c r="AE54" s="20">
        <v>217695</v>
      </c>
    </row>
    <row r="55" spans="1:31" ht="31.2" customHeight="1" x14ac:dyDescent="0.3">
      <c r="A55" s="62" t="s">
        <v>382</v>
      </c>
      <c r="B55" s="20">
        <v>0</v>
      </c>
      <c r="C55" s="20">
        <v>2</v>
      </c>
      <c r="D55" s="53">
        <v>3120</v>
      </c>
      <c r="E55" s="20">
        <v>0</v>
      </c>
      <c r="F55" s="20">
        <v>0</v>
      </c>
      <c r="G55" s="20">
        <v>0</v>
      </c>
      <c r="H55" s="20">
        <v>0</v>
      </c>
      <c r="I55" s="20">
        <v>4</v>
      </c>
      <c r="J55" s="53">
        <v>3900</v>
      </c>
      <c r="K55" s="20">
        <v>0</v>
      </c>
      <c r="L55" s="20">
        <v>0</v>
      </c>
      <c r="M55" s="20">
        <v>0</v>
      </c>
      <c r="N55" s="20">
        <v>4</v>
      </c>
      <c r="O55" s="20">
        <v>6</v>
      </c>
      <c r="P55" s="53">
        <v>3600</v>
      </c>
      <c r="Q55" s="20">
        <v>0</v>
      </c>
      <c r="R55" s="20">
        <v>0</v>
      </c>
      <c r="S55" s="20">
        <v>0</v>
      </c>
      <c r="T55" s="20">
        <v>0</v>
      </c>
      <c r="U55" s="20">
        <v>30</v>
      </c>
      <c r="V55" s="53">
        <v>27000</v>
      </c>
      <c r="W55" s="20">
        <v>0</v>
      </c>
      <c r="X55" s="20">
        <v>0</v>
      </c>
      <c r="Y55" s="20">
        <v>0</v>
      </c>
      <c r="Z55" s="20">
        <v>4</v>
      </c>
      <c r="AA55" s="20">
        <v>42</v>
      </c>
      <c r="AB55" s="53">
        <v>37620</v>
      </c>
      <c r="AC55" s="20">
        <v>0</v>
      </c>
      <c r="AD55" s="20">
        <v>0</v>
      </c>
      <c r="AE55" s="20">
        <v>0</v>
      </c>
    </row>
    <row r="56" spans="1:31" ht="31.2" customHeight="1" x14ac:dyDescent="0.3">
      <c r="A56" s="62" t="s">
        <v>220</v>
      </c>
      <c r="B56" s="20">
        <v>0</v>
      </c>
      <c r="C56" s="20">
        <v>0</v>
      </c>
      <c r="D56" s="20">
        <v>0</v>
      </c>
      <c r="E56" s="20">
        <v>0</v>
      </c>
      <c r="F56" s="20">
        <v>0</v>
      </c>
      <c r="G56" s="20">
        <v>0</v>
      </c>
      <c r="H56" s="20">
        <v>0</v>
      </c>
      <c r="I56" s="20">
        <v>0</v>
      </c>
      <c r="J56" s="20">
        <v>0</v>
      </c>
      <c r="K56" s="20">
        <v>0</v>
      </c>
      <c r="L56" s="20">
        <v>0</v>
      </c>
      <c r="M56" s="20">
        <v>0</v>
      </c>
      <c r="N56" s="20">
        <v>0</v>
      </c>
      <c r="O56" s="20">
        <v>0</v>
      </c>
      <c r="P56" s="20">
        <v>0</v>
      </c>
      <c r="Q56" s="20">
        <v>0</v>
      </c>
      <c r="R56" s="20">
        <v>0</v>
      </c>
      <c r="S56" s="20">
        <v>0</v>
      </c>
      <c r="T56" s="20">
        <v>0</v>
      </c>
      <c r="U56" s="20">
        <v>0</v>
      </c>
      <c r="V56" s="20">
        <v>0</v>
      </c>
      <c r="W56" s="20">
        <v>0</v>
      </c>
      <c r="X56" s="20">
        <v>0</v>
      </c>
      <c r="Y56" s="20">
        <v>0</v>
      </c>
      <c r="Z56" s="20">
        <v>0</v>
      </c>
      <c r="AA56" s="20">
        <v>0</v>
      </c>
      <c r="AB56" s="20">
        <v>0</v>
      </c>
      <c r="AC56" s="20">
        <v>0</v>
      </c>
      <c r="AD56" s="20">
        <v>0</v>
      </c>
      <c r="AE56" s="20">
        <v>0</v>
      </c>
    </row>
    <row r="57" spans="1:31" ht="31.2" customHeight="1" x14ac:dyDescent="0.3">
      <c r="A57" s="62" t="s">
        <v>265</v>
      </c>
      <c r="B57" s="20">
        <v>0</v>
      </c>
      <c r="C57" s="20">
        <v>1</v>
      </c>
      <c r="D57" s="53">
        <v>5053</v>
      </c>
      <c r="E57" s="20">
        <v>0</v>
      </c>
      <c r="F57" s="20">
        <v>1</v>
      </c>
      <c r="G57" s="53">
        <v>12632</v>
      </c>
      <c r="H57" s="20">
        <v>0</v>
      </c>
      <c r="I57" s="20">
        <v>0</v>
      </c>
      <c r="J57" s="20">
        <v>0</v>
      </c>
      <c r="K57" s="20">
        <v>0</v>
      </c>
      <c r="L57" s="20">
        <v>0</v>
      </c>
      <c r="M57" s="20">
        <v>0</v>
      </c>
      <c r="N57" s="20">
        <v>1</v>
      </c>
      <c r="O57" s="20">
        <v>5</v>
      </c>
      <c r="P57" s="53">
        <v>13705</v>
      </c>
      <c r="Q57" s="20">
        <v>0</v>
      </c>
      <c r="R57" s="20">
        <v>18</v>
      </c>
      <c r="S57" s="53">
        <v>52104</v>
      </c>
      <c r="T57" s="20">
        <v>0</v>
      </c>
      <c r="U57" s="20">
        <v>89</v>
      </c>
      <c r="V57" s="53">
        <v>153725</v>
      </c>
      <c r="W57" s="20">
        <v>0</v>
      </c>
      <c r="X57" s="20">
        <v>0</v>
      </c>
      <c r="Y57" s="20">
        <v>0</v>
      </c>
      <c r="Z57" s="20">
        <v>1</v>
      </c>
      <c r="AA57" s="20">
        <v>95</v>
      </c>
      <c r="AB57" s="53">
        <v>172482</v>
      </c>
      <c r="AC57" s="20">
        <v>0</v>
      </c>
      <c r="AD57" s="20">
        <v>19</v>
      </c>
      <c r="AE57" s="53">
        <v>64735</v>
      </c>
    </row>
    <row r="58" spans="1:31" ht="31.2" customHeight="1" x14ac:dyDescent="0.3">
      <c r="A58" s="62" t="s">
        <v>260</v>
      </c>
      <c r="B58" s="20">
        <v>0</v>
      </c>
      <c r="C58" s="20">
        <v>4</v>
      </c>
      <c r="D58" s="20">
        <v>50191</v>
      </c>
      <c r="E58" s="20">
        <v>0</v>
      </c>
      <c r="F58" s="20">
        <v>0</v>
      </c>
      <c r="G58" s="20">
        <v>0</v>
      </c>
      <c r="H58" s="20">
        <v>0</v>
      </c>
      <c r="I58" s="20">
        <v>6</v>
      </c>
      <c r="J58" s="20">
        <v>36923</v>
      </c>
      <c r="K58" s="20">
        <v>0</v>
      </c>
      <c r="L58" s="20">
        <v>0</v>
      </c>
      <c r="M58" s="20">
        <v>0</v>
      </c>
      <c r="N58" s="20">
        <v>0</v>
      </c>
      <c r="O58" s="20">
        <v>0</v>
      </c>
      <c r="P58" s="20">
        <v>0</v>
      </c>
      <c r="Q58" s="20">
        <v>0</v>
      </c>
      <c r="R58" s="20">
        <v>0</v>
      </c>
      <c r="S58" s="20">
        <v>0</v>
      </c>
      <c r="T58" s="20">
        <v>2</v>
      </c>
      <c r="U58" s="20">
        <v>82</v>
      </c>
      <c r="V58" s="53">
        <v>171822</v>
      </c>
      <c r="W58" s="20">
        <v>0</v>
      </c>
      <c r="X58" s="20">
        <v>0</v>
      </c>
      <c r="Y58" s="20">
        <v>0</v>
      </c>
      <c r="Z58" s="20">
        <v>2</v>
      </c>
      <c r="AA58" s="20">
        <v>82</v>
      </c>
      <c r="AB58" s="20">
        <v>258936</v>
      </c>
      <c r="AC58" s="20">
        <v>0</v>
      </c>
      <c r="AD58" s="20">
        <v>0</v>
      </c>
      <c r="AE58" s="20">
        <v>0</v>
      </c>
    </row>
    <row r="59" spans="1:31" ht="31.2" customHeight="1" x14ac:dyDescent="0.3">
      <c r="A59" s="62" t="s">
        <v>264</v>
      </c>
      <c r="B59" s="20">
        <v>1</v>
      </c>
      <c r="C59" s="20">
        <v>2</v>
      </c>
      <c r="D59" s="20">
        <v>95589</v>
      </c>
      <c r="E59" s="20">
        <v>0</v>
      </c>
      <c r="F59" s="20">
        <v>0</v>
      </c>
      <c r="G59" s="20">
        <v>0</v>
      </c>
      <c r="H59" s="20">
        <v>3</v>
      </c>
      <c r="I59" s="20">
        <v>6</v>
      </c>
      <c r="J59" s="20">
        <v>37125</v>
      </c>
      <c r="K59" s="20">
        <v>0</v>
      </c>
      <c r="L59" s="20">
        <v>0</v>
      </c>
      <c r="M59" s="20">
        <v>0</v>
      </c>
      <c r="N59" s="20">
        <v>1</v>
      </c>
      <c r="O59" s="20">
        <v>33</v>
      </c>
      <c r="P59" s="20">
        <v>70433</v>
      </c>
      <c r="Q59" s="20">
        <v>0</v>
      </c>
      <c r="R59" s="20">
        <v>0</v>
      </c>
      <c r="S59" s="20">
        <v>3</v>
      </c>
      <c r="T59" s="20">
        <v>0</v>
      </c>
      <c r="U59" s="20">
        <v>74</v>
      </c>
      <c r="V59" s="20">
        <v>30304</v>
      </c>
      <c r="W59" s="20">
        <v>0</v>
      </c>
      <c r="X59" s="20">
        <v>0</v>
      </c>
      <c r="Y59" s="20">
        <v>0</v>
      </c>
      <c r="Z59" s="20">
        <v>5</v>
      </c>
      <c r="AA59" s="20">
        <v>115</v>
      </c>
      <c r="AB59" s="20">
        <v>233451</v>
      </c>
      <c r="AC59" s="20">
        <v>0</v>
      </c>
      <c r="AD59" s="20">
        <v>0</v>
      </c>
      <c r="AE59" s="20">
        <v>3</v>
      </c>
    </row>
    <row r="60" spans="1:31" ht="31.2" customHeight="1" x14ac:dyDescent="0.3">
      <c r="A60" s="62" t="s">
        <v>254</v>
      </c>
      <c r="B60" s="20">
        <v>2</v>
      </c>
      <c r="C60" s="20">
        <v>3</v>
      </c>
      <c r="D60" s="20">
        <v>65052</v>
      </c>
      <c r="E60" s="20">
        <v>0</v>
      </c>
      <c r="F60" s="20">
        <v>0</v>
      </c>
      <c r="G60" s="20">
        <v>0</v>
      </c>
      <c r="H60" s="20">
        <v>0</v>
      </c>
      <c r="I60" s="20">
        <v>0</v>
      </c>
      <c r="J60" s="20">
        <v>0</v>
      </c>
      <c r="K60" s="20">
        <v>0</v>
      </c>
      <c r="L60" s="20">
        <v>0</v>
      </c>
      <c r="M60" s="20">
        <v>0</v>
      </c>
      <c r="N60" s="20">
        <v>0</v>
      </c>
      <c r="O60" s="20">
        <v>0</v>
      </c>
      <c r="P60" s="20">
        <v>0</v>
      </c>
      <c r="Q60" s="20">
        <v>0</v>
      </c>
      <c r="R60" s="20">
        <v>0</v>
      </c>
      <c r="S60" s="20">
        <v>0</v>
      </c>
      <c r="T60" s="20">
        <v>0</v>
      </c>
      <c r="U60" s="20">
        <v>5</v>
      </c>
      <c r="V60" s="20">
        <v>13190</v>
      </c>
      <c r="W60" s="20">
        <v>0</v>
      </c>
      <c r="X60" s="20">
        <v>0</v>
      </c>
      <c r="Y60" s="20">
        <v>0</v>
      </c>
      <c r="Z60" s="20">
        <v>2</v>
      </c>
      <c r="AA60" s="20">
        <v>8</v>
      </c>
      <c r="AB60" s="20">
        <v>78242</v>
      </c>
      <c r="AC60" s="20">
        <v>0</v>
      </c>
      <c r="AD60" s="20">
        <v>0</v>
      </c>
      <c r="AE60" s="20">
        <v>0</v>
      </c>
    </row>
    <row r="61" spans="1:31" x14ac:dyDescent="0.3">
      <c r="B61" s="5">
        <f t="shared" ref="B61:AE61" si="0">SUM(B2:B60)</f>
        <v>79</v>
      </c>
      <c r="C61" s="5">
        <f t="shared" si="0"/>
        <v>490</v>
      </c>
      <c r="D61" s="5">
        <f t="shared" si="0"/>
        <v>19205795</v>
      </c>
      <c r="E61" s="5">
        <f t="shared" si="0"/>
        <v>15</v>
      </c>
      <c r="F61" s="5">
        <f t="shared" si="0"/>
        <v>184</v>
      </c>
      <c r="G61" s="5">
        <f t="shared" si="0"/>
        <v>66954353</v>
      </c>
      <c r="H61" s="5">
        <f t="shared" si="0"/>
        <v>181</v>
      </c>
      <c r="I61" s="5">
        <f t="shared" si="0"/>
        <v>969</v>
      </c>
      <c r="J61" s="5">
        <f t="shared" si="0"/>
        <v>16612312</v>
      </c>
      <c r="K61" s="5">
        <f t="shared" si="0"/>
        <v>5</v>
      </c>
      <c r="L61" s="5">
        <f t="shared" si="0"/>
        <v>165</v>
      </c>
      <c r="M61" s="5">
        <f t="shared" si="0"/>
        <v>19586296</v>
      </c>
      <c r="N61" s="5">
        <f t="shared" si="0"/>
        <v>263</v>
      </c>
      <c r="O61" s="5">
        <f t="shared" si="0"/>
        <v>3303</v>
      </c>
      <c r="P61" s="5">
        <f t="shared" si="0"/>
        <v>45224291</v>
      </c>
      <c r="Q61" s="5">
        <f t="shared" si="0"/>
        <v>0</v>
      </c>
      <c r="R61" s="5">
        <f t="shared" si="0"/>
        <v>58</v>
      </c>
      <c r="S61" s="5">
        <f t="shared" si="0"/>
        <v>222448</v>
      </c>
      <c r="T61" s="5">
        <f t="shared" si="0"/>
        <v>322</v>
      </c>
      <c r="U61" s="5">
        <f t="shared" si="0"/>
        <v>5492</v>
      </c>
      <c r="V61" s="5">
        <f t="shared" si="0"/>
        <v>91254819</v>
      </c>
      <c r="W61" s="5">
        <f t="shared" si="0"/>
        <v>0</v>
      </c>
      <c r="X61" s="5">
        <f t="shared" si="0"/>
        <v>27</v>
      </c>
      <c r="Y61" s="5">
        <f t="shared" si="0"/>
        <v>35279</v>
      </c>
      <c r="Z61" s="5">
        <f t="shared" si="0"/>
        <v>841</v>
      </c>
      <c r="AA61" s="5">
        <f t="shared" si="0"/>
        <v>10087</v>
      </c>
      <c r="AB61" s="5">
        <f t="shared" si="0"/>
        <v>163440377</v>
      </c>
      <c r="AC61" s="5">
        <f t="shared" si="0"/>
        <v>20</v>
      </c>
      <c r="AD61" s="5">
        <f t="shared" si="0"/>
        <v>410</v>
      </c>
      <c r="AE61" s="5">
        <f t="shared" si="0"/>
        <v>18344774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58"/>
  <sheetViews>
    <sheetView workbookViewId="0">
      <pane xSplit="1" ySplit="1" topLeftCell="D8" activePane="bottomRight" state="frozen"/>
      <selection pane="topRight" activeCell="B1" sqref="B1"/>
      <selection pane="bottomLeft" activeCell="A2" sqref="A2"/>
      <selection pane="bottomRight" activeCell="F23" sqref="F23"/>
    </sheetView>
  </sheetViews>
  <sheetFormatPr baseColWidth="10" defaultRowHeight="14.4" x14ac:dyDescent="0.3"/>
  <cols>
    <col min="1" max="1" width="33.6640625" customWidth="1"/>
    <col min="2" max="2" width="27.6640625" customWidth="1"/>
    <col min="3" max="3" width="33.6640625" customWidth="1"/>
    <col min="4" max="4" width="51.33203125" customWidth="1"/>
    <col min="5" max="5" width="30.33203125" customWidth="1"/>
    <col min="6" max="6" width="33.6640625" customWidth="1"/>
    <col min="7" max="7" width="33.6640625" style="5" customWidth="1"/>
    <col min="8" max="9" width="33.6640625" customWidth="1"/>
  </cols>
  <sheetData>
    <row r="1" spans="1:33" ht="32.4" customHeight="1" x14ac:dyDescent="0.3">
      <c r="A1" s="1" t="s">
        <v>0</v>
      </c>
      <c r="B1" s="1" t="s">
        <v>462</v>
      </c>
      <c r="C1" s="1" t="s">
        <v>463</v>
      </c>
      <c r="D1" s="1" t="s">
        <v>464</v>
      </c>
      <c r="E1" s="1" t="s">
        <v>465</v>
      </c>
      <c r="F1" s="1" t="s">
        <v>466</v>
      </c>
      <c r="G1" s="4" t="s">
        <v>467</v>
      </c>
      <c r="H1" s="1" t="s">
        <v>8</v>
      </c>
      <c r="I1" s="1" t="s">
        <v>9</v>
      </c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</row>
    <row r="2" spans="1:33" ht="26.4" customHeight="1" x14ac:dyDescent="0.3">
      <c r="A2" s="65" t="s">
        <v>245</v>
      </c>
      <c r="B2" s="22" t="s">
        <v>468</v>
      </c>
      <c r="C2" s="22" t="s">
        <v>138</v>
      </c>
      <c r="D2" s="22" t="s">
        <v>472</v>
      </c>
      <c r="E2" s="22" t="s">
        <v>470</v>
      </c>
      <c r="F2" s="22" t="s">
        <v>138</v>
      </c>
      <c r="G2" s="52">
        <v>12540</v>
      </c>
      <c r="H2" s="64" t="s">
        <v>959</v>
      </c>
      <c r="I2" s="22" t="s">
        <v>56</v>
      </c>
    </row>
    <row r="3" spans="1:33" ht="26.4" customHeight="1" x14ac:dyDescent="0.3">
      <c r="A3" s="65" t="s">
        <v>245</v>
      </c>
      <c r="B3" s="22" t="s">
        <v>500</v>
      </c>
      <c r="C3" s="22" t="s">
        <v>138</v>
      </c>
      <c r="D3" s="22" t="s">
        <v>503</v>
      </c>
      <c r="E3" s="22" t="s">
        <v>470</v>
      </c>
      <c r="F3" s="22" t="s">
        <v>138</v>
      </c>
      <c r="G3" s="52">
        <v>41000</v>
      </c>
      <c r="H3" s="64" t="s">
        <v>959</v>
      </c>
      <c r="I3" s="22" t="s">
        <v>56</v>
      </c>
    </row>
    <row r="4" spans="1:33" ht="26.4" customHeight="1" x14ac:dyDescent="0.3">
      <c r="A4" s="65" t="s">
        <v>245</v>
      </c>
      <c r="B4" s="22" t="s">
        <v>94</v>
      </c>
      <c r="C4" s="22" t="s">
        <v>564</v>
      </c>
      <c r="D4" s="22" t="s">
        <v>565</v>
      </c>
      <c r="E4" s="22" t="s">
        <v>470</v>
      </c>
      <c r="F4" s="22" t="s">
        <v>138</v>
      </c>
      <c r="G4" s="52">
        <v>456760</v>
      </c>
      <c r="H4" s="22" t="s">
        <v>64</v>
      </c>
      <c r="I4" s="22" t="s">
        <v>56</v>
      </c>
    </row>
    <row r="5" spans="1:33" ht="26.4" customHeight="1" x14ac:dyDescent="0.3">
      <c r="A5" s="65" t="s">
        <v>245</v>
      </c>
      <c r="B5" s="22" t="s">
        <v>94</v>
      </c>
      <c r="C5" s="22" t="s">
        <v>608</v>
      </c>
      <c r="D5" s="22" t="s">
        <v>609</v>
      </c>
      <c r="E5" s="22" t="s">
        <v>599</v>
      </c>
      <c r="F5" s="22" t="s">
        <v>138</v>
      </c>
      <c r="G5" s="52">
        <v>1500</v>
      </c>
      <c r="H5" s="64" t="s">
        <v>960</v>
      </c>
      <c r="I5" s="22" t="s">
        <v>56</v>
      </c>
    </row>
    <row r="6" spans="1:33" ht="26.4" customHeight="1" x14ac:dyDescent="0.3">
      <c r="A6" s="65" t="s">
        <v>57</v>
      </c>
      <c r="B6" s="22" t="s">
        <v>479</v>
      </c>
      <c r="C6" s="22" t="s">
        <v>138</v>
      </c>
      <c r="D6" s="22" t="s">
        <v>479</v>
      </c>
      <c r="E6" s="22" t="s">
        <v>470</v>
      </c>
      <c r="F6" s="22" t="s">
        <v>138</v>
      </c>
      <c r="G6" s="6">
        <v>6800</v>
      </c>
      <c r="H6" s="64"/>
      <c r="I6" s="22" t="s">
        <v>56</v>
      </c>
    </row>
    <row r="7" spans="1:33" ht="26.4" customHeight="1" x14ac:dyDescent="0.3">
      <c r="A7" s="65" t="s">
        <v>57</v>
      </c>
      <c r="B7" s="22" t="s">
        <v>94</v>
      </c>
      <c r="C7" s="64" t="s">
        <v>551</v>
      </c>
      <c r="D7" s="22" t="s">
        <v>551</v>
      </c>
      <c r="E7" s="22" t="s">
        <v>470</v>
      </c>
      <c r="F7" s="22" t="s">
        <v>138</v>
      </c>
      <c r="G7" s="6">
        <v>12805</v>
      </c>
      <c r="H7" s="64" t="s">
        <v>961</v>
      </c>
      <c r="I7" s="22" t="s">
        <v>56</v>
      </c>
    </row>
    <row r="8" spans="1:33" ht="26.4" customHeight="1" x14ac:dyDescent="0.3">
      <c r="A8" s="65" t="s">
        <v>57</v>
      </c>
      <c r="B8" s="22" t="s">
        <v>538</v>
      </c>
      <c r="C8" s="22" t="s">
        <v>138</v>
      </c>
      <c r="D8" s="22" t="s">
        <v>538</v>
      </c>
      <c r="E8" s="22" t="s">
        <v>593</v>
      </c>
      <c r="F8" s="22" t="s">
        <v>138</v>
      </c>
      <c r="G8" s="6">
        <v>1510</v>
      </c>
      <c r="H8" s="64"/>
      <c r="I8" s="22" t="s">
        <v>56</v>
      </c>
    </row>
    <row r="9" spans="1:33" ht="26.4" customHeight="1" x14ac:dyDescent="0.3">
      <c r="A9" s="65" t="s">
        <v>57</v>
      </c>
      <c r="B9" s="22" t="s">
        <v>528</v>
      </c>
      <c r="C9" s="22" t="s">
        <v>138</v>
      </c>
      <c r="D9" s="22" t="s">
        <v>528</v>
      </c>
      <c r="E9" s="22" t="s">
        <v>626</v>
      </c>
      <c r="F9" s="22" t="s">
        <v>138</v>
      </c>
      <c r="G9" s="6">
        <v>13436</v>
      </c>
      <c r="H9" s="64"/>
      <c r="I9" s="22" t="s">
        <v>56</v>
      </c>
    </row>
    <row r="10" spans="1:33" ht="26.4" customHeight="1" x14ac:dyDescent="0.3">
      <c r="A10" s="65" t="s">
        <v>57</v>
      </c>
      <c r="B10" s="22" t="s">
        <v>500</v>
      </c>
      <c r="C10" s="22" t="s">
        <v>138</v>
      </c>
      <c r="D10" s="22" t="s">
        <v>500</v>
      </c>
      <c r="E10" s="22" t="s">
        <v>646</v>
      </c>
      <c r="F10" s="22" t="s">
        <v>138</v>
      </c>
      <c r="G10" s="6">
        <v>2500</v>
      </c>
      <c r="H10" s="64"/>
      <c r="I10" s="22" t="s">
        <v>56</v>
      </c>
    </row>
    <row r="11" spans="1:33" ht="26.4" customHeight="1" x14ac:dyDescent="0.3">
      <c r="A11" s="65" t="s">
        <v>57</v>
      </c>
      <c r="B11" s="22" t="s">
        <v>500</v>
      </c>
      <c r="C11" s="22" t="s">
        <v>138</v>
      </c>
      <c r="D11" s="22" t="s">
        <v>500</v>
      </c>
      <c r="E11" s="22" t="s">
        <v>646</v>
      </c>
      <c r="F11" s="22" t="s">
        <v>138</v>
      </c>
      <c r="G11" s="6">
        <v>3002</v>
      </c>
      <c r="H11" s="64"/>
      <c r="I11" s="22" t="s">
        <v>56</v>
      </c>
    </row>
    <row r="12" spans="1:33" ht="26.4" customHeight="1" x14ac:dyDescent="0.3">
      <c r="A12" s="65" t="s">
        <v>57</v>
      </c>
      <c r="B12" s="22" t="s">
        <v>94</v>
      </c>
      <c r="C12" s="64" t="s">
        <v>498</v>
      </c>
      <c r="D12" s="22" t="s">
        <v>498</v>
      </c>
      <c r="E12" s="22" t="s">
        <v>653</v>
      </c>
      <c r="F12" s="22" t="s">
        <v>138</v>
      </c>
      <c r="G12" s="6">
        <v>3160</v>
      </c>
      <c r="H12" s="64"/>
      <c r="I12" s="22" t="s">
        <v>56</v>
      </c>
    </row>
    <row r="13" spans="1:33" ht="26.4" customHeight="1" x14ac:dyDescent="0.3">
      <c r="A13" s="65" t="s">
        <v>57</v>
      </c>
      <c r="B13" s="22" t="s">
        <v>500</v>
      </c>
      <c r="C13" s="22" t="s">
        <v>138</v>
      </c>
      <c r="D13" s="22" t="s">
        <v>500</v>
      </c>
      <c r="E13" s="22" t="s">
        <v>653</v>
      </c>
      <c r="F13" s="22" t="s">
        <v>138</v>
      </c>
      <c r="G13" s="6">
        <v>14059</v>
      </c>
      <c r="H13" s="64"/>
      <c r="I13" s="22" t="s">
        <v>56</v>
      </c>
    </row>
    <row r="14" spans="1:33" ht="26.4" customHeight="1" x14ac:dyDescent="0.3">
      <c r="A14" s="65" t="s">
        <v>57</v>
      </c>
      <c r="B14" s="22" t="s">
        <v>508</v>
      </c>
      <c r="C14" s="22" t="s">
        <v>138</v>
      </c>
      <c r="D14" s="22" t="s">
        <v>624</v>
      </c>
      <c r="E14" s="22" t="s">
        <v>653</v>
      </c>
      <c r="F14" s="22" t="s">
        <v>138</v>
      </c>
      <c r="G14" s="6">
        <v>5412</v>
      </c>
      <c r="H14" s="64"/>
      <c r="I14" s="22" t="s">
        <v>56</v>
      </c>
    </row>
    <row r="15" spans="1:33" ht="26.4" customHeight="1" x14ac:dyDescent="0.3">
      <c r="A15" s="65" t="s">
        <v>57</v>
      </c>
      <c r="B15" s="22" t="s">
        <v>479</v>
      </c>
      <c r="C15" s="22" t="s">
        <v>138</v>
      </c>
      <c r="D15" s="22" t="s">
        <v>479</v>
      </c>
      <c r="E15" s="22" t="s">
        <v>653</v>
      </c>
      <c r="F15" s="22" t="s">
        <v>138</v>
      </c>
      <c r="G15" s="6">
        <v>3040</v>
      </c>
      <c r="H15" s="64"/>
      <c r="I15" s="22" t="s">
        <v>56</v>
      </c>
    </row>
    <row r="16" spans="1:33" ht="26.4" customHeight="1" x14ac:dyDescent="0.3">
      <c r="A16" s="65" t="s">
        <v>122</v>
      </c>
      <c r="B16" s="22" t="s">
        <v>538</v>
      </c>
      <c r="C16" s="22" t="s">
        <v>138</v>
      </c>
      <c r="D16" s="22" t="s">
        <v>641</v>
      </c>
      <c r="E16" s="22" t="s">
        <v>626</v>
      </c>
      <c r="F16" s="22" t="s">
        <v>138</v>
      </c>
      <c r="G16" s="6">
        <v>1000</v>
      </c>
      <c r="H16" s="22" t="s">
        <v>124</v>
      </c>
      <c r="I16" s="22" t="s">
        <v>116</v>
      </c>
    </row>
    <row r="17" spans="1:9" ht="26.4" customHeight="1" x14ac:dyDescent="0.3">
      <c r="A17" s="65" t="s">
        <v>122</v>
      </c>
      <c r="B17" s="22" t="s">
        <v>528</v>
      </c>
      <c r="C17" s="22" t="s">
        <v>138</v>
      </c>
      <c r="D17" s="22" t="s">
        <v>138</v>
      </c>
      <c r="E17" s="22" t="s">
        <v>94</v>
      </c>
      <c r="F17" s="22" t="s">
        <v>730</v>
      </c>
      <c r="G17" s="6">
        <v>1000</v>
      </c>
      <c r="H17" s="22" t="s">
        <v>124</v>
      </c>
      <c r="I17" s="22" t="s">
        <v>116</v>
      </c>
    </row>
    <row r="18" spans="1:9" ht="26.4" customHeight="1" x14ac:dyDescent="0.3">
      <c r="A18" s="65" t="s">
        <v>191</v>
      </c>
      <c r="B18" s="22" t="s">
        <v>479</v>
      </c>
      <c r="C18" s="22" t="s">
        <v>138</v>
      </c>
      <c r="D18" s="22" t="s">
        <v>485</v>
      </c>
      <c r="E18" s="22" t="s">
        <v>470</v>
      </c>
      <c r="F18" s="22" t="s">
        <v>138</v>
      </c>
      <c r="G18" s="6">
        <v>40020</v>
      </c>
      <c r="H18" s="64" t="s">
        <v>962</v>
      </c>
      <c r="I18" s="22" t="s">
        <v>56</v>
      </c>
    </row>
    <row r="19" spans="1:9" ht="26.4" customHeight="1" x14ac:dyDescent="0.3">
      <c r="A19" s="65" t="s">
        <v>191</v>
      </c>
      <c r="B19" s="22" t="s">
        <v>500</v>
      </c>
      <c r="C19" s="22" t="s">
        <v>138</v>
      </c>
      <c r="D19" s="22" t="s">
        <v>650</v>
      </c>
      <c r="E19" s="22" t="s">
        <v>646</v>
      </c>
      <c r="F19" s="22" t="s">
        <v>138</v>
      </c>
      <c r="G19" s="6">
        <v>11201</v>
      </c>
      <c r="H19" s="22" t="s">
        <v>67</v>
      </c>
      <c r="I19" s="22" t="s">
        <v>56</v>
      </c>
    </row>
    <row r="20" spans="1:9" ht="26.4" customHeight="1" x14ac:dyDescent="0.3">
      <c r="A20" s="65" t="s">
        <v>191</v>
      </c>
      <c r="B20" s="22" t="s">
        <v>508</v>
      </c>
      <c r="C20" s="22" t="s">
        <v>138</v>
      </c>
      <c r="D20" s="22" t="s">
        <v>652</v>
      </c>
      <c r="E20" s="22" t="s">
        <v>653</v>
      </c>
      <c r="F20" s="22" t="s">
        <v>138</v>
      </c>
      <c r="G20" s="6">
        <v>8035</v>
      </c>
      <c r="H20" s="64" t="s">
        <v>963</v>
      </c>
      <c r="I20" s="22" t="s">
        <v>56</v>
      </c>
    </row>
    <row r="21" spans="1:9" ht="26.4" customHeight="1" x14ac:dyDescent="0.3">
      <c r="A21" s="65" t="s">
        <v>191</v>
      </c>
      <c r="B21" s="64" t="s">
        <v>964</v>
      </c>
      <c r="C21" s="22" t="s">
        <v>138</v>
      </c>
      <c r="D21" s="22" t="s">
        <v>733</v>
      </c>
      <c r="E21" s="22" t="s">
        <v>94</v>
      </c>
      <c r="F21" s="22" t="s">
        <v>734</v>
      </c>
      <c r="G21" s="6">
        <v>4631</v>
      </c>
      <c r="H21" s="64" t="s">
        <v>965</v>
      </c>
      <c r="I21" s="22" t="s">
        <v>56</v>
      </c>
    </row>
    <row r="22" spans="1:9" ht="26.4" customHeight="1" x14ac:dyDescent="0.3">
      <c r="A22" s="69" t="s">
        <v>22</v>
      </c>
      <c r="B22" s="22" t="s">
        <v>477</v>
      </c>
      <c r="C22" s="22" t="s">
        <v>138</v>
      </c>
      <c r="D22" s="22" t="s">
        <v>494</v>
      </c>
      <c r="E22" s="22" t="s">
        <v>470</v>
      </c>
      <c r="F22" s="22" t="s">
        <v>138</v>
      </c>
      <c r="G22" s="6">
        <v>22100</v>
      </c>
      <c r="H22" s="22" t="s">
        <v>31</v>
      </c>
      <c r="I22" s="22" t="s">
        <v>28</v>
      </c>
    </row>
    <row r="23" spans="1:9" ht="26.4" customHeight="1" x14ac:dyDescent="0.3">
      <c r="A23" s="69" t="s">
        <v>22</v>
      </c>
      <c r="B23" s="22" t="s">
        <v>500</v>
      </c>
      <c r="C23" s="22" t="s">
        <v>138</v>
      </c>
      <c r="D23" s="22" t="s">
        <v>523</v>
      </c>
      <c r="E23" s="22" t="s">
        <v>470</v>
      </c>
      <c r="F23" s="22" t="s">
        <v>138</v>
      </c>
      <c r="G23" s="6">
        <v>6000</v>
      </c>
      <c r="H23" s="22" t="s">
        <v>30</v>
      </c>
      <c r="I23" s="22" t="s">
        <v>28</v>
      </c>
    </row>
    <row r="24" spans="1:9" ht="26.4" customHeight="1" x14ac:dyDescent="0.3">
      <c r="A24" s="69" t="s">
        <v>22</v>
      </c>
      <c r="B24" s="22" t="s">
        <v>528</v>
      </c>
      <c r="C24" s="22" t="s">
        <v>138</v>
      </c>
      <c r="D24" s="22" t="s">
        <v>535</v>
      </c>
      <c r="E24" s="22" t="s">
        <v>470</v>
      </c>
      <c r="F24" s="22" t="s">
        <v>138</v>
      </c>
      <c r="G24" s="6">
        <v>4000</v>
      </c>
      <c r="H24" s="22" t="s">
        <v>30</v>
      </c>
      <c r="I24" s="22" t="s">
        <v>28</v>
      </c>
    </row>
    <row r="25" spans="1:9" ht="26.4" customHeight="1" x14ac:dyDescent="0.3">
      <c r="A25" s="69" t="s">
        <v>22</v>
      </c>
      <c r="B25" s="22" t="s">
        <v>94</v>
      </c>
      <c r="C25" s="22" t="s">
        <v>578</v>
      </c>
      <c r="D25" s="22" t="s">
        <v>579</v>
      </c>
      <c r="E25" s="22" t="s">
        <v>470</v>
      </c>
      <c r="F25" s="22" t="s">
        <v>138</v>
      </c>
      <c r="G25" s="6">
        <v>37000</v>
      </c>
      <c r="H25" s="22" t="s">
        <v>30</v>
      </c>
      <c r="I25" s="22" t="s">
        <v>28</v>
      </c>
    </row>
    <row r="26" spans="1:9" ht="26.4" customHeight="1" x14ac:dyDescent="0.3">
      <c r="A26" s="69" t="s">
        <v>22</v>
      </c>
      <c r="B26" s="22" t="s">
        <v>94</v>
      </c>
      <c r="C26" s="22" t="s">
        <v>581</v>
      </c>
      <c r="D26" s="22" t="s">
        <v>493</v>
      </c>
      <c r="E26" s="22" t="s">
        <v>470</v>
      </c>
      <c r="F26" s="22" t="s">
        <v>138</v>
      </c>
      <c r="G26" s="6">
        <v>19000</v>
      </c>
      <c r="H26" s="22" t="s">
        <v>27</v>
      </c>
      <c r="I26" s="22" t="s">
        <v>28</v>
      </c>
    </row>
    <row r="27" spans="1:9" ht="26.4" customHeight="1" x14ac:dyDescent="0.3">
      <c r="A27" s="69" t="s">
        <v>22</v>
      </c>
      <c r="B27" s="22" t="s">
        <v>94</v>
      </c>
      <c r="C27" s="22" t="s">
        <v>578</v>
      </c>
      <c r="D27" s="22" t="s">
        <v>579</v>
      </c>
      <c r="E27" s="22" t="s">
        <v>470</v>
      </c>
      <c r="F27" s="22" t="s">
        <v>138</v>
      </c>
      <c r="G27" s="6">
        <v>15000</v>
      </c>
      <c r="H27" s="22" t="s">
        <v>31</v>
      </c>
      <c r="I27" s="22" t="s">
        <v>28</v>
      </c>
    </row>
    <row r="28" spans="1:9" ht="26.4" customHeight="1" x14ac:dyDescent="0.3">
      <c r="A28" s="69" t="s">
        <v>22</v>
      </c>
      <c r="B28" s="22" t="s">
        <v>94</v>
      </c>
      <c r="C28" s="22" t="s">
        <v>586</v>
      </c>
      <c r="D28" s="22" t="s">
        <v>587</v>
      </c>
      <c r="E28" s="22" t="s">
        <v>470</v>
      </c>
      <c r="F28" s="22" t="s">
        <v>138</v>
      </c>
      <c r="G28" s="6">
        <v>8000</v>
      </c>
      <c r="H28" s="22" t="s">
        <v>27</v>
      </c>
      <c r="I28" s="22" t="s">
        <v>28</v>
      </c>
    </row>
    <row r="29" spans="1:9" ht="26.4" customHeight="1" x14ac:dyDescent="0.3">
      <c r="A29" s="69" t="s">
        <v>22</v>
      </c>
      <c r="B29" s="22" t="s">
        <v>94</v>
      </c>
      <c r="C29" s="22" t="s">
        <v>586</v>
      </c>
      <c r="D29" s="22" t="s">
        <v>588</v>
      </c>
      <c r="E29" s="22" t="s">
        <v>470</v>
      </c>
      <c r="F29" s="22" t="s">
        <v>138</v>
      </c>
      <c r="G29" s="6">
        <v>10000</v>
      </c>
      <c r="H29" s="22" t="s">
        <v>27</v>
      </c>
      <c r="I29" s="22" t="s">
        <v>28</v>
      </c>
    </row>
    <row r="30" spans="1:9" ht="26.4" customHeight="1" x14ac:dyDescent="0.3">
      <c r="A30" s="69" t="s">
        <v>22</v>
      </c>
      <c r="B30" s="22" t="s">
        <v>94</v>
      </c>
      <c r="C30" s="22" t="s">
        <v>626</v>
      </c>
      <c r="D30" s="22" t="s">
        <v>627</v>
      </c>
      <c r="E30" s="22" t="s">
        <v>626</v>
      </c>
      <c r="F30" s="22" t="s">
        <v>138</v>
      </c>
      <c r="G30" s="6">
        <v>12500</v>
      </c>
      <c r="H30" s="22" t="s">
        <v>31</v>
      </c>
      <c r="I30" s="22" t="s">
        <v>28</v>
      </c>
    </row>
    <row r="31" spans="1:9" ht="26.4" customHeight="1" x14ac:dyDescent="0.3">
      <c r="A31" s="69" t="s">
        <v>22</v>
      </c>
      <c r="B31" s="22" t="s">
        <v>94</v>
      </c>
      <c r="C31" s="22" t="s">
        <v>626</v>
      </c>
      <c r="D31" s="22" t="s">
        <v>628</v>
      </c>
      <c r="E31" s="22" t="s">
        <v>626</v>
      </c>
      <c r="F31" s="22" t="s">
        <v>138</v>
      </c>
      <c r="G31" s="6">
        <v>8500</v>
      </c>
      <c r="H31" s="22" t="s">
        <v>30</v>
      </c>
      <c r="I31" s="22" t="s">
        <v>28</v>
      </c>
    </row>
    <row r="32" spans="1:9" ht="26.4" customHeight="1" x14ac:dyDescent="0.3">
      <c r="A32" s="69" t="s">
        <v>22</v>
      </c>
      <c r="B32" s="22" t="s">
        <v>94</v>
      </c>
      <c r="C32" s="22" t="s">
        <v>629</v>
      </c>
      <c r="D32" s="22" t="s">
        <v>630</v>
      </c>
      <c r="E32" s="22" t="s">
        <v>626</v>
      </c>
      <c r="F32" s="22" t="s">
        <v>138</v>
      </c>
      <c r="G32" s="6">
        <v>8500</v>
      </c>
      <c r="H32" s="22" t="s">
        <v>27</v>
      </c>
      <c r="I32" s="22" t="s">
        <v>28</v>
      </c>
    </row>
    <row r="33" spans="1:9" ht="26.4" customHeight="1" x14ac:dyDescent="0.3">
      <c r="A33" s="69" t="s">
        <v>22</v>
      </c>
      <c r="B33" s="22" t="s">
        <v>508</v>
      </c>
      <c r="C33" s="22" t="s">
        <v>138</v>
      </c>
      <c r="D33" s="22" t="s">
        <v>677</v>
      </c>
      <c r="E33" s="22" t="s">
        <v>653</v>
      </c>
      <c r="F33" s="22" t="s">
        <v>138</v>
      </c>
      <c r="G33" s="6">
        <v>15000</v>
      </c>
      <c r="H33" s="22" t="s">
        <v>30</v>
      </c>
      <c r="I33" s="22" t="s">
        <v>28</v>
      </c>
    </row>
    <row r="34" spans="1:9" ht="26.4" customHeight="1" x14ac:dyDescent="0.3">
      <c r="A34" s="65" t="s">
        <v>188</v>
      </c>
      <c r="B34" s="22" t="s">
        <v>479</v>
      </c>
      <c r="C34" s="22" t="s">
        <v>138</v>
      </c>
      <c r="D34" s="22" t="s">
        <v>229</v>
      </c>
      <c r="E34" s="22" t="s">
        <v>470</v>
      </c>
      <c r="F34" s="22" t="s">
        <v>138</v>
      </c>
      <c r="G34" s="6">
        <v>8004</v>
      </c>
      <c r="H34" s="64" t="s">
        <v>966</v>
      </c>
      <c r="I34" s="22" t="s">
        <v>56</v>
      </c>
    </row>
    <row r="35" spans="1:9" ht="26.4" customHeight="1" x14ac:dyDescent="0.3">
      <c r="A35" s="65" t="s">
        <v>188</v>
      </c>
      <c r="B35" s="22" t="s">
        <v>479</v>
      </c>
      <c r="C35" s="22" t="s">
        <v>138</v>
      </c>
      <c r="D35" s="22" t="s">
        <v>484</v>
      </c>
      <c r="E35" s="22" t="s">
        <v>470</v>
      </c>
      <c r="F35" s="22" t="s">
        <v>138</v>
      </c>
      <c r="G35" s="6">
        <v>3210</v>
      </c>
      <c r="H35" s="64" t="s">
        <v>967</v>
      </c>
      <c r="I35" s="22" t="s">
        <v>56</v>
      </c>
    </row>
    <row r="36" spans="1:9" ht="26.4" customHeight="1" x14ac:dyDescent="0.3">
      <c r="A36" s="65" t="s">
        <v>188</v>
      </c>
      <c r="B36" s="22" t="s">
        <v>94</v>
      </c>
      <c r="C36" s="64" t="s">
        <v>553</v>
      </c>
      <c r="D36" s="22" t="s">
        <v>553</v>
      </c>
      <c r="E36" s="22" t="s">
        <v>470</v>
      </c>
      <c r="F36" s="22" t="s">
        <v>138</v>
      </c>
      <c r="G36" s="6">
        <v>20296</v>
      </c>
      <c r="H36" s="64" t="s">
        <v>968</v>
      </c>
      <c r="I36" s="22" t="s">
        <v>56</v>
      </c>
    </row>
    <row r="37" spans="1:9" ht="26.4" customHeight="1" x14ac:dyDescent="0.3">
      <c r="A37" s="65" t="s">
        <v>188</v>
      </c>
      <c r="B37" s="22" t="s">
        <v>94</v>
      </c>
      <c r="C37" s="64" t="s">
        <v>644</v>
      </c>
      <c r="D37" s="22" t="s">
        <v>644</v>
      </c>
      <c r="E37" s="22" t="s">
        <v>626</v>
      </c>
      <c r="F37" s="22" t="s">
        <v>138</v>
      </c>
      <c r="G37" s="6">
        <v>2100</v>
      </c>
      <c r="H37" s="64" t="s">
        <v>966</v>
      </c>
      <c r="I37" s="22" t="s">
        <v>56</v>
      </c>
    </row>
    <row r="38" spans="1:9" ht="26.4" customHeight="1" x14ac:dyDescent="0.3">
      <c r="A38" s="65" t="s">
        <v>194</v>
      </c>
      <c r="B38" s="22" t="s">
        <v>479</v>
      </c>
      <c r="C38" s="22" t="s">
        <v>138</v>
      </c>
      <c r="D38" s="22" t="s">
        <v>488</v>
      </c>
      <c r="E38" s="22" t="s">
        <v>470</v>
      </c>
      <c r="F38" s="22" t="s">
        <v>138</v>
      </c>
      <c r="G38" s="52">
        <v>45632</v>
      </c>
      <c r="H38" s="22" t="s">
        <v>67</v>
      </c>
      <c r="I38" s="22" t="s">
        <v>56</v>
      </c>
    </row>
    <row r="39" spans="1:9" ht="26.4" customHeight="1" x14ac:dyDescent="0.3">
      <c r="A39" s="65" t="s">
        <v>194</v>
      </c>
      <c r="B39" s="22" t="s">
        <v>500</v>
      </c>
      <c r="C39" s="22" t="s">
        <v>138</v>
      </c>
      <c r="D39" s="22" t="s">
        <v>515</v>
      </c>
      <c r="E39" s="22" t="s">
        <v>470</v>
      </c>
      <c r="F39" s="22" t="s">
        <v>138</v>
      </c>
      <c r="G39" s="52">
        <v>2270</v>
      </c>
      <c r="H39" s="64"/>
      <c r="I39" s="22" t="s">
        <v>56</v>
      </c>
    </row>
    <row r="40" spans="1:9" ht="26.4" customHeight="1" x14ac:dyDescent="0.3">
      <c r="A40" s="65" t="s">
        <v>194</v>
      </c>
      <c r="B40" s="22" t="s">
        <v>528</v>
      </c>
      <c r="C40" s="22" t="s">
        <v>138</v>
      </c>
      <c r="D40" s="22" t="s">
        <v>529</v>
      </c>
      <c r="E40" s="22" t="s">
        <v>470</v>
      </c>
      <c r="F40" s="22" t="s">
        <v>138</v>
      </c>
      <c r="G40" s="52">
        <v>10362</v>
      </c>
      <c r="H40" s="22" t="s">
        <v>67</v>
      </c>
      <c r="I40" s="22" t="s">
        <v>56</v>
      </c>
    </row>
    <row r="41" spans="1:9" ht="26.4" customHeight="1" x14ac:dyDescent="0.3">
      <c r="A41" s="65" t="s">
        <v>194</v>
      </c>
      <c r="B41" s="22" t="s">
        <v>538</v>
      </c>
      <c r="C41" s="22" t="s">
        <v>138</v>
      </c>
      <c r="D41" s="22" t="s">
        <v>545</v>
      </c>
      <c r="E41" s="22" t="s">
        <v>470</v>
      </c>
      <c r="F41" s="22" t="s">
        <v>138</v>
      </c>
      <c r="G41" s="52">
        <v>250</v>
      </c>
      <c r="H41" s="22" t="s">
        <v>67</v>
      </c>
      <c r="I41" s="22" t="s">
        <v>56</v>
      </c>
    </row>
    <row r="42" spans="1:9" ht="26.4" customHeight="1" x14ac:dyDescent="0.3">
      <c r="A42" s="65" t="s">
        <v>194</v>
      </c>
      <c r="B42" s="64" t="s">
        <v>94</v>
      </c>
      <c r="C42" s="64" t="s">
        <v>971</v>
      </c>
      <c r="D42" s="64" t="s">
        <v>972</v>
      </c>
      <c r="E42" s="64" t="s">
        <v>470</v>
      </c>
      <c r="F42" s="22"/>
      <c r="G42" s="52">
        <v>744908</v>
      </c>
      <c r="H42" s="64" t="s">
        <v>973</v>
      </c>
      <c r="I42" s="64" t="s">
        <v>56</v>
      </c>
    </row>
    <row r="43" spans="1:9" ht="26.4" customHeight="1" x14ac:dyDescent="0.3">
      <c r="A43" s="65" t="s">
        <v>194</v>
      </c>
      <c r="B43" s="22" t="s">
        <v>94</v>
      </c>
      <c r="C43" s="22" t="s">
        <v>566</v>
      </c>
      <c r="D43" s="22" t="s">
        <v>567</v>
      </c>
      <c r="E43" s="22" t="s">
        <v>470</v>
      </c>
      <c r="F43" s="22" t="s">
        <v>138</v>
      </c>
      <c r="G43" s="52">
        <v>5966</v>
      </c>
      <c r="H43" s="64"/>
      <c r="I43" s="22" t="s">
        <v>56</v>
      </c>
    </row>
    <row r="44" spans="1:9" ht="26.4" customHeight="1" x14ac:dyDescent="0.3">
      <c r="A44" s="65" t="s">
        <v>194</v>
      </c>
      <c r="B44" s="22" t="s">
        <v>94</v>
      </c>
      <c r="C44" s="22" t="s">
        <v>560</v>
      </c>
      <c r="D44" s="22" t="s">
        <v>568</v>
      </c>
      <c r="E44" s="22" t="s">
        <v>470</v>
      </c>
      <c r="F44" s="22" t="s">
        <v>138</v>
      </c>
      <c r="G44" s="52">
        <v>946</v>
      </c>
      <c r="H44" s="64"/>
      <c r="I44" s="22" t="s">
        <v>56</v>
      </c>
    </row>
    <row r="45" spans="1:9" ht="26.4" customHeight="1" x14ac:dyDescent="0.3">
      <c r="A45" s="65" t="s">
        <v>194</v>
      </c>
      <c r="B45" s="22" t="s">
        <v>477</v>
      </c>
      <c r="C45" s="22" t="s">
        <v>138</v>
      </c>
      <c r="D45" s="22" t="s">
        <v>589</v>
      </c>
      <c r="E45" s="64" t="s">
        <v>94</v>
      </c>
      <c r="F45" s="64" t="s">
        <v>969</v>
      </c>
      <c r="G45" s="52">
        <v>19238</v>
      </c>
      <c r="H45" s="22" t="s">
        <v>67</v>
      </c>
      <c r="I45" s="22" t="s">
        <v>56</v>
      </c>
    </row>
    <row r="46" spans="1:9" ht="26.4" customHeight="1" x14ac:dyDescent="0.3">
      <c r="A46" s="65" t="s">
        <v>194</v>
      </c>
      <c r="B46" s="22" t="s">
        <v>477</v>
      </c>
      <c r="C46" s="22" t="s">
        <v>138</v>
      </c>
      <c r="D46" s="22" t="s">
        <v>592</v>
      </c>
      <c r="E46" s="22" t="s">
        <v>470</v>
      </c>
      <c r="F46" s="22" t="s">
        <v>138</v>
      </c>
      <c r="G46" s="52">
        <v>12190</v>
      </c>
      <c r="H46" s="64"/>
      <c r="I46" s="22" t="s">
        <v>56</v>
      </c>
    </row>
    <row r="47" spans="1:9" ht="26.4" customHeight="1" x14ac:dyDescent="0.3">
      <c r="A47" s="65" t="s">
        <v>194</v>
      </c>
      <c r="B47" s="22" t="s">
        <v>477</v>
      </c>
      <c r="C47" s="22" t="s">
        <v>138</v>
      </c>
      <c r="D47" s="22" t="s">
        <v>610</v>
      </c>
      <c r="E47" s="22" t="s">
        <v>599</v>
      </c>
      <c r="F47" s="22" t="s">
        <v>138</v>
      </c>
      <c r="G47" s="52">
        <v>100</v>
      </c>
      <c r="H47" s="64"/>
      <c r="I47" s="22" t="s">
        <v>56</v>
      </c>
    </row>
    <row r="48" spans="1:9" ht="26.4" customHeight="1" x14ac:dyDescent="0.3">
      <c r="A48" s="65" t="s">
        <v>194</v>
      </c>
      <c r="B48" s="22" t="s">
        <v>477</v>
      </c>
      <c r="C48" s="22" t="s">
        <v>138</v>
      </c>
      <c r="D48" s="22" t="s">
        <v>631</v>
      </c>
      <c r="E48" s="22" t="s">
        <v>626</v>
      </c>
      <c r="F48" s="22" t="s">
        <v>138</v>
      </c>
      <c r="G48" s="52">
        <v>25</v>
      </c>
      <c r="H48" s="64" t="s">
        <v>970</v>
      </c>
      <c r="I48" s="22" t="s">
        <v>56</v>
      </c>
    </row>
    <row r="49" spans="1:9" ht="26.4" customHeight="1" x14ac:dyDescent="0.3">
      <c r="A49" s="65" t="s">
        <v>194</v>
      </c>
      <c r="B49" s="22" t="s">
        <v>528</v>
      </c>
      <c r="C49" s="22" t="s">
        <v>138</v>
      </c>
      <c r="D49" s="22" t="s">
        <v>632</v>
      </c>
      <c r="E49" s="22" t="s">
        <v>626</v>
      </c>
      <c r="F49" s="22" t="s">
        <v>138</v>
      </c>
      <c r="G49" s="52">
        <v>211746</v>
      </c>
      <c r="H49" s="22" t="s">
        <v>67</v>
      </c>
      <c r="I49" s="22" t="s">
        <v>56</v>
      </c>
    </row>
    <row r="50" spans="1:9" ht="26.4" customHeight="1" x14ac:dyDescent="0.3">
      <c r="A50" s="65" t="s">
        <v>194</v>
      </c>
      <c r="B50" s="22" t="s">
        <v>500</v>
      </c>
      <c r="C50" s="22" t="s">
        <v>138</v>
      </c>
      <c r="D50" s="22" t="s">
        <v>637</v>
      </c>
      <c r="E50" s="22" t="s">
        <v>626</v>
      </c>
      <c r="F50" s="22" t="s">
        <v>138</v>
      </c>
      <c r="G50" s="52">
        <v>2739</v>
      </c>
      <c r="H50" s="64"/>
      <c r="I50" s="22" t="s">
        <v>56</v>
      </c>
    </row>
    <row r="51" spans="1:9" ht="26.4" customHeight="1" x14ac:dyDescent="0.3">
      <c r="A51" s="65" t="s">
        <v>194</v>
      </c>
      <c r="B51" s="22" t="s">
        <v>500</v>
      </c>
      <c r="C51" s="22" t="s">
        <v>138</v>
      </c>
      <c r="D51" s="22" t="s">
        <v>647</v>
      </c>
      <c r="E51" s="22" t="s">
        <v>646</v>
      </c>
      <c r="F51" s="22" t="s">
        <v>138</v>
      </c>
      <c r="G51" s="52">
        <v>293</v>
      </c>
      <c r="H51" s="64"/>
      <c r="I51" s="22" t="s">
        <v>56</v>
      </c>
    </row>
    <row r="52" spans="1:9" ht="26.4" customHeight="1" x14ac:dyDescent="0.3">
      <c r="A52" s="65" t="s">
        <v>194</v>
      </c>
      <c r="B52" s="22" t="s">
        <v>508</v>
      </c>
      <c r="C52" s="22" t="s">
        <v>138</v>
      </c>
      <c r="D52" s="22" t="s">
        <v>668</v>
      </c>
      <c r="E52" s="22" t="s">
        <v>653</v>
      </c>
      <c r="F52" s="22" t="s">
        <v>138</v>
      </c>
      <c r="G52" s="52">
        <v>33806</v>
      </c>
      <c r="H52" s="64"/>
      <c r="I52" s="22" t="s">
        <v>56</v>
      </c>
    </row>
    <row r="53" spans="1:9" ht="26.4" customHeight="1" x14ac:dyDescent="0.3">
      <c r="A53" s="66" t="s">
        <v>68</v>
      </c>
      <c r="B53" s="22" t="s">
        <v>94</v>
      </c>
      <c r="C53" s="22" t="s">
        <v>583</v>
      </c>
      <c r="D53" s="22" t="s">
        <v>584</v>
      </c>
      <c r="E53" s="22" t="s">
        <v>470</v>
      </c>
      <c r="F53" s="22" t="s">
        <v>138</v>
      </c>
      <c r="G53" s="6">
        <v>450000</v>
      </c>
      <c r="H53" s="22" t="s">
        <v>64</v>
      </c>
      <c r="I53" s="22" t="s">
        <v>56</v>
      </c>
    </row>
    <row r="54" spans="1:9" ht="26.4" customHeight="1" x14ac:dyDescent="0.3">
      <c r="A54" s="66" t="s">
        <v>68</v>
      </c>
      <c r="B54" s="22" t="s">
        <v>528</v>
      </c>
      <c r="C54" s="22" t="s">
        <v>138</v>
      </c>
      <c r="D54" s="22" t="s">
        <v>633</v>
      </c>
      <c r="E54" s="22" t="s">
        <v>626</v>
      </c>
      <c r="F54" s="22" t="s">
        <v>138</v>
      </c>
      <c r="G54" s="6">
        <v>1377.5</v>
      </c>
      <c r="H54" s="22" t="s">
        <v>64</v>
      </c>
      <c r="I54" s="22" t="s">
        <v>56</v>
      </c>
    </row>
    <row r="55" spans="1:9" ht="26.4" customHeight="1" x14ac:dyDescent="0.3">
      <c r="A55" s="66" t="s">
        <v>68</v>
      </c>
      <c r="B55" s="22" t="s">
        <v>528</v>
      </c>
      <c r="C55" s="22" t="s">
        <v>138</v>
      </c>
      <c r="D55" s="22" t="s">
        <v>634</v>
      </c>
      <c r="E55" s="22" t="s">
        <v>626</v>
      </c>
      <c r="F55" s="22" t="s">
        <v>138</v>
      </c>
      <c r="G55" s="6">
        <v>1181.5</v>
      </c>
      <c r="H55" s="22" t="s">
        <v>64</v>
      </c>
      <c r="I55" s="22" t="s">
        <v>56</v>
      </c>
    </row>
    <row r="56" spans="1:9" ht="26.4" customHeight="1" x14ac:dyDescent="0.3">
      <c r="A56" s="66" t="s">
        <v>68</v>
      </c>
      <c r="B56" s="22" t="s">
        <v>94</v>
      </c>
      <c r="C56" s="22" t="s">
        <v>583</v>
      </c>
      <c r="D56" s="22" t="s">
        <v>639</v>
      </c>
      <c r="E56" s="22" t="s">
        <v>626</v>
      </c>
      <c r="F56" s="22" t="s">
        <v>138</v>
      </c>
      <c r="G56" s="6">
        <v>1200</v>
      </c>
      <c r="H56" s="22" t="s">
        <v>64</v>
      </c>
      <c r="I56" s="22" t="s">
        <v>56</v>
      </c>
    </row>
    <row r="57" spans="1:9" ht="26.4" customHeight="1" x14ac:dyDescent="0.3">
      <c r="A57" s="66" t="s">
        <v>68</v>
      </c>
      <c r="B57" s="22" t="s">
        <v>508</v>
      </c>
      <c r="C57" s="22" t="s">
        <v>138</v>
      </c>
      <c r="D57" s="22" t="s">
        <v>678</v>
      </c>
      <c r="E57" s="22" t="s">
        <v>653</v>
      </c>
      <c r="F57" s="22" t="s">
        <v>138</v>
      </c>
      <c r="G57" s="6">
        <v>2272</v>
      </c>
      <c r="H57" s="22" t="s">
        <v>64</v>
      </c>
      <c r="I57" s="22" t="s">
        <v>56</v>
      </c>
    </row>
    <row r="58" spans="1:9" ht="26.4" customHeight="1" x14ac:dyDescent="0.3">
      <c r="A58" s="66" t="s">
        <v>68</v>
      </c>
      <c r="B58" s="22" t="s">
        <v>508</v>
      </c>
      <c r="C58" s="22" t="s">
        <v>138</v>
      </c>
      <c r="D58" s="22" t="s">
        <v>680</v>
      </c>
      <c r="E58" s="22" t="s">
        <v>653</v>
      </c>
      <c r="F58" s="22" t="s">
        <v>138</v>
      </c>
      <c r="G58" s="6">
        <v>7980.9</v>
      </c>
      <c r="H58" s="22" t="s">
        <v>64</v>
      </c>
      <c r="I58" s="22" t="s">
        <v>56</v>
      </c>
    </row>
    <row r="59" spans="1:9" ht="26.4" customHeight="1" x14ac:dyDescent="0.3">
      <c r="A59" s="66" t="s">
        <v>212</v>
      </c>
      <c r="B59" s="22" t="s">
        <v>94</v>
      </c>
      <c r="C59" s="22" t="s">
        <v>561</v>
      </c>
      <c r="D59" s="22" t="s">
        <v>562</v>
      </c>
      <c r="E59" s="22" t="s">
        <v>470</v>
      </c>
      <c r="F59" s="22" t="s">
        <v>138</v>
      </c>
      <c r="G59" s="6">
        <v>1650</v>
      </c>
      <c r="H59" s="22" t="s">
        <v>67</v>
      </c>
      <c r="I59" s="22" t="s">
        <v>56</v>
      </c>
    </row>
    <row r="60" spans="1:9" ht="26.4" customHeight="1" x14ac:dyDescent="0.3">
      <c r="A60" s="66" t="s">
        <v>212</v>
      </c>
      <c r="B60" s="22" t="s">
        <v>508</v>
      </c>
      <c r="C60" s="22" t="s">
        <v>138</v>
      </c>
      <c r="D60" s="22" t="s">
        <v>683</v>
      </c>
      <c r="E60" s="22" t="s">
        <v>653</v>
      </c>
      <c r="F60" s="22" t="s">
        <v>138</v>
      </c>
      <c r="G60" s="6">
        <v>7980.9</v>
      </c>
      <c r="H60" s="22" t="s">
        <v>64</v>
      </c>
      <c r="I60" s="22" t="s">
        <v>56</v>
      </c>
    </row>
    <row r="61" spans="1:9" ht="26.4" customHeight="1" x14ac:dyDescent="0.3">
      <c r="A61" s="65" t="s">
        <v>383</v>
      </c>
      <c r="B61" s="22" t="s">
        <v>468</v>
      </c>
      <c r="C61" s="22" t="s">
        <v>138</v>
      </c>
      <c r="D61" s="22" t="s">
        <v>473</v>
      </c>
      <c r="E61" s="22" t="s">
        <v>470</v>
      </c>
      <c r="F61" s="22" t="s">
        <v>138</v>
      </c>
      <c r="G61" s="6">
        <v>52800</v>
      </c>
      <c r="H61" s="64" t="s">
        <v>961</v>
      </c>
      <c r="I61" s="22" t="s">
        <v>56</v>
      </c>
    </row>
    <row r="62" spans="1:9" ht="26.4" customHeight="1" x14ac:dyDescent="0.3">
      <c r="A62" s="65" t="s">
        <v>383</v>
      </c>
      <c r="B62" s="22" t="s">
        <v>477</v>
      </c>
      <c r="C62" s="22" t="s">
        <v>138</v>
      </c>
      <c r="D62" s="22" t="s">
        <v>483</v>
      </c>
      <c r="E62" s="22" t="s">
        <v>470</v>
      </c>
      <c r="F62" s="22" t="s">
        <v>138</v>
      </c>
      <c r="G62" s="6">
        <v>2330</v>
      </c>
      <c r="H62" s="64" t="s">
        <v>975</v>
      </c>
      <c r="I62" s="64" t="s">
        <v>56</v>
      </c>
    </row>
    <row r="63" spans="1:9" ht="26.4" customHeight="1" x14ac:dyDescent="0.3">
      <c r="A63" s="65" t="s">
        <v>383</v>
      </c>
      <c r="B63" s="22" t="s">
        <v>479</v>
      </c>
      <c r="C63" s="22" t="s">
        <v>138</v>
      </c>
      <c r="D63" s="22" t="s">
        <v>486</v>
      </c>
      <c r="E63" s="22" t="s">
        <v>470</v>
      </c>
      <c r="F63" s="22" t="s">
        <v>138</v>
      </c>
      <c r="G63" s="6">
        <v>9000</v>
      </c>
      <c r="H63" s="64" t="s">
        <v>974</v>
      </c>
      <c r="I63" s="64" t="s">
        <v>37</v>
      </c>
    </row>
    <row r="64" spans="1:9" ht="26.4" customHeight="1" x14ac:dyDescent="0.3">
      <c r="A64" s="65" t="s">
        <v>383</v>
      </c>
      <c r="B64" s="22" t="s">
        <v>477</v>
      </c>
      <c r="C64" s="22" t="s">
        <v>138</v>
      </c>
      <c r="D64" s="22" t="s">
        <v>483</v>
      </c>
      <c r="E64" s="22" t="s">
        <v>470</v>
      </c>
      <c r="F64" s="22" t="s">
        <v>138</v>
      </c>
      <c r="G64" s="6">
        <v>18900</v>
      </c>
      <c r="H64" s="64" t="s">
        <v>961</v>
      </c>
      <c r="I64" s="22" t="s">
        <v>56</v>
      </c>
    </row>
    <row r="65" spans="1:9" ht="26.4" customHeight="1" x14ac:dyDescent="0.3">
      <c r="A65" s="65" t="s">
        <v>383</v>
      </c>
      <c r="B65" s="22" t="s">
        <v>500</v>
      </c>
      <c r="C65" s="22" t="s">
        <v>138</v>
      </c>
      <c r="D65" s="22" t="s">
        <v>505</v>
      </c>
      <c r="E65" s="22" t="s">
        <v>470</v>
      </c>
      <c r="F65" s="22" t="s">
        <v>138</v>
      </c>
      <c r="G65" s="6">
        <v>33000</v>
      </c>
      <c r="H65" s="64" t="s">
        <v>961</v>
      </c>
      <c r="I65" s="22" t="s">
        <v>56</v>
      </c>
    </row>
    <row r="66" spans="1:9" ht="26.4" customHeight="1" x14ac:dyDescent="0.3">
      <c r="A66" s="65" t="s">
        <v>383</v>
      </c>
      <c r="B66" s="22" t="s">
        <v>500</v>
      </c>
      <c r="C66" s="22" t="s">
        <v>138</v>
      </c>
      <c r="D66" s="22" t="s">
        <v>506</v>
      </c>
      <c r="E66" s="22" t="s">
        <v>470</v>
      </c>
      <c r="F66" s="22" t="s">
        <v>138</v>
      </c>
      <c r="G66" s="6">
        <v>500</v>
      </c>
      <c r="H66" s="64" t="s">
        <v>976</v>
      </c>
      <c r="I66" s="64" t="s">
        <v>37</v>
      </c>
    </row>
    <row r="67" spans="1:9" ht="26.4" customHeight="1" x14ac:dyDescent="0.3">
      <c r="A67" s="65" t="s">
        <v>383</v>
      </c>
      <c r="B67" s="64" t="s">
        <v>94</v>
      </c>
      <c r="C67" s="64" t="s">
        <v>978</v>
      </c>
      <c r="D67" s="22" t="s">
        <v>574</v>
      </c>
      <c r="E67" s="22" t="s">
        <v>470</v>
      </c>
      <c r="F67" s="22" t="s">
        <v>138</v>
      </c>
      <c r="G67" s="6">
        <v>1800</v>
      </c>
      <c r="H67" s="64" t="s">
        <v>974</v>
      </c>
      <c r="I67" s="64" t="s">
        <v>37</v>
      </c>
    </row>
    <row r="68" spans="1:9" ht="26.4" customHeight="1" x14ac:dyDescent="0.3">
      <c r="A68" s="65" t="s">
        <v>383</v>
      </c>
      <c r="B68" s="64" t="s">
        <v>94</v>
      </c>
      <c r="C68" s="64" t="s">
        <v>978</v>
      </c>
      <c r="D68" s="22" t="s">
        <v>574</v>
      </c>
      <c r="E68" s="22" t="s">
        <v>470</v>
      </c>
      <c r="F68" s="22" t="s">
        <v>138</v>
      </c>
      <c r="G68" s="6">
        <v>1800</v>
      </c>
      <c r="H68" s="64" t="s">
        <v>961</v>
      </c>
      <c r="I68" s="22" t="s">
        <v>56</v>
      </c>
    </row>
    <row r="69" spans="1:9" ht="26.4" customHeight="1" x14ac:dyDescent="0.3">
      <c r="A69" s="65" t="s">
        <v>383</v>
      </c>
      <c r="B69" s="64" t="s">
        <v>94</v>
      </c>
      <c r="C69" s="64" t="s">
        <v>978</v>
      </c>
      <c r="D69" s="22" t="s">
        <v>580</v>
      </c>
      <c r="E69" s="22" t="s">
        <v>470</v>
      </c>
      <c r="F69" s="22" t="s">
        <v>138</v>
      </c>
      <c r="G69" s="6">
        <v>1800</v>
      </c>
      <c r="H69" s="64" t="s">
        <v>977</v>
      </c>
      <c r="I69" s="64" t="s">
        <v>56</v>
      </c>
    </row>
    <row r="70" spans="1:9" ht="26.4" customHeight="1" x14ac:dyDescent="0.3">
      <c r="A70" s="65" t="s">
        <v>383</v>
      </c>
      <c r="B70" s="22" t="s">
        <v>477</v>
      </c>
      <c r="C70" s="22" t="s">
        <v>138</v>
      </c>
      <c r="D70" s="22" t="s">
        <v>638</v>
      </c>
      <c r="E70" s="22" t="s">
        <v>626</v>
      </c>
      <c r="F70" s="22" t="s">
        <v>138</v>
      </c>
      <c r="G70" s="6">
        <v>2000</v>
      </c>
      <c r="H70" s="64" t="s">
        <v>974</v>
      </c>
      <c r="I70" s="64" t="s">
        <v>37</v>
      </c>
    </row>
    <row r="71" spans="1:9" ht="26.4" customHeight="1" x14ac:dyDescent="0.3">
      <c r="A71" s="65" t="s">
        <v>383</v>
      </c>
      <c r="B71" s="22" t="s">
        <v>508</v>
      </c>
      <c r="C71" s="22" t="s">
        <v>138</v>
      </c>
      <c r="D71" s="22" t="s">
        <v>666</v>
      </c>
      <c r="E71" s="22" t="s">
        <v>653</v>
      </c>
      <c r="F71" s="22" t="s">
        <v>138</v>
      </c>
      <c r="G71" s="6">
        <v>2000</v>
      </c>
      <c r="H71" s="64" t="s">
        <v>961</v>
      </c>
      <c r="I71" s="22" t="s">
        <v>56</v>
      </c>
    </row>
    <row r="72" spans="1:9" ht="26.4" customHeight="1" x14ac:dyDescent="0.3">
      <c r="A72" s="65" t="s">
        <v>383</v>
      </c>
      <c r="B72" s="22" t="s">
        <v>479</v>
      </c>
      <c r="C72" s="22" t="s">
        <v>138</v>
      </c>
      <c r="D72" s="22" t="s">
        <v>489</v>
      </c>
      <c r="E72" s="22" t="s">
        <v>470</v>
      </c>
      <c r="F72" s="22" t="s">
        <v>138</v>
      </c>
      <c r="G72" s="6">
        <v>14500</v>
      </c>
      <c r="H72" s="22" t="s">
        <v>113</v>
      </c>
      <c r="I72" s="22" t="s">
        <v>98</v>
      </c>
    </row>
    <row r="73" spans="1:9" ht="26.4" customHeight="1" x14ac:dyDescent="0.3">
      <c r="A73" s="65" t="s">
        <v>383</v>
      </c>
      <c r="B73" s="22" t="s">
        <v>508</v>
      </c>
      <c r="C73" s="22" t="s">
        <v>138</v>
      </c>
      <c r="D73" s="22" t="s">
        <v>531</v>
      </c>
      <c r="E73" s="22" t="s">
        <v>470</v>
      </c>
      <c r="F73" s="22" t="s">
        <v>138</v>
      </c>
      <c r="G73" s="6">
        <v>5000</v>
      </c>
      <c r="H73" s="22" t="s">
        <v>113</v>
      </c>
      <c r="I73" s="22" t="s">
        <v>98</v>
      </c>
    </row>
    <row r="74" spans="1:9" ht="26.4" customHeight="1" x14ac:dyDescent="0.3">
      <c r="A74" s="65" t="s">
        <v>383</v>
      </c>
      <c r="B74" s="22" t="s">
        <v>508</v>
      </c>
      <c r="C74" s="22" t="s">
        <v>138</v>
      </c>
      <c r="D74" s="22" t="s">
        <v>613</v>
      </c>
      <c r="E74" s="22" t="s">
        <v>599</v>
      </c>
      <c r="F74" s="22" t="s">
        <v>138</v>
      </c>
      <c r="G74" s="6">
        <v>36036</v>
      </c>
      <c r="H74" s="22" t="s">
        <v>113</v>
      </c>
      <c r="I74" s="22" t="s">
        <v>98</v>
      </c>
    </row>
    <row r="75" spans="1:9" ht="26.4" customHeight="1" x14ac:dyDescent="0.3">
      <c r="A75" s="65" t="s">
        <v>110</v>
      </c>
      <c r="B75" s="22" t="s">
        <v>477</v>
      </c>
      <c r="C75" s="22" t="s">
        <v>138</v>
      </c>
      <c r="D75" s="22" t="s">
        <v>495</v>
      </c>
      <c r="E75" s="22" t="s">
        <v>470</v>
      </c>
      <c r="F75" s="22" t="s">
        <v>138</v>
      </c>
      <c r="G75" s="52">
        <v>20940</v>
      </c>
      <c r="H75" s="64" t="s">
        <v>979</v>
      </c>
      <c r="I75" s="22" t="s">
        <v>101</v>
      </c>
    </row>
    <row r="76" spans="1:9" ht="26.4" customHeight="1" x14ac:dyDescent="0.3">
      <c r="A76" s="65" t="s">
        <v>110</v>
      </c>
      <c r="B76" s="22" t="s">
        <v>477</v>
      </c>
      <c r="C76" s="22" t="s">
        <v>138</v>
      </c>
      <c r="D76" s="22" t="s">
        <v>496</v>
      </c>
      <c r="E76" s="22" t="s">
        <v>470</v>
      </c>
      <c r="F76" s="22" t="s">
        <v>138</v>
      </c>
      <c r="G76" s="6">
        <v>3528</v>
      </c>
      <c r="H76" s="22" t="s">
        <v>478</v>
      </c>
      <c r="I76" s="22" t="s">
        <v>101</v>
      </c>
    </row>
    <row r="77" spans="1:9" ht="26.4" customHeight="1" x14ac:dyDescent="0.3">
      <c r="A77" s="65" t="s">
        <v>110</v>
      </c>
      <c r="B77" s="22" t="s">
        <v>477</v>
      </c>
      <c r="C77" s="22" t="s">
        <v>138</v>
      </c>
      <c r="D77" s="22" t="s">
        <v>497</v>
      </c>
      <c r="E77" s="22" t="s">
        <v>470</v>
      </c>
      <c r="F77" s="22" t="s">
        <v>138</v>
      </c>
      <c r="G77" s="6">
        <v>3000</v>
      </c>
      <c r="H77" s="22" t="s">
        <v>478</v>
      </c>
      <c r="I77" s="22" t="s">
        <v>101</v>
      </c>
    </row>
    <row r="78" spans="1:9" ht="26.4" customHeight="1" x14ac:dyDescent="0.3">
      <c r="A78" s="65" t="s">
        <v>110</v>
      </c>
      <c r="B78" s="22" t="s">
        <v>500</v>
      </c>
      <c r="C78" s="22" t="s">
        <v>138</v>
      </c>
      <c r="D78" s="22" t="s">
        <v>497</v>
      </c>
      <c r="E78" s="22" t="s">
        <v>470</v>
      </c>
      <c r="F78" s="22" t="s">
        <v>138</v>
      </c>
      <c r="G78" s="6">
        <v>5000</v>
      </c>
      <c r="H78" s="64" t="s">
        <v>980</v>
      </c>
      <c r="I78" s="22" t="s">
        <v>101</v>
      </c>
    </row>
    <row r="79" spans="1:9" ht="26.4" customHeight="1" x14ac:dyDescent="0.3">
      <c r="A79" s="65" t="s">
        <v>110</v>
      </c>
      <c r="B79" s="22" t="s">
        <v>500</v>
      </c>
      <c r="C79" s="22" t="s">
        <v>138</v>
      </c>
      <c r="D79" s="22" t="s">
        <v>497</v>
      </c>
      <c r="E79" s="22" t="s">
        <v>470</v>
      </c>
      <c r="F79" s="22" t="s">
        <v>138</v>
      </c>
      <c r="G79" s="6">
        <v>607</v>
      </c>
      <c r="H79" s="22" t="s">
        <v>522</v>
      </c>
      <c r="I79" s="22" t="s">
        <v>101</v>
      </c>
    </row>
    <row r="80" spans="1:9" ht="26.4" customHeight="1" x14ac:dyDescent="0.3">
      <c r="A80" s="65" t="s">
        <v>110</v>
      </c>
      <c r="B80" s="22" t="s">
        <v>94</v>
      </c>
      <c r="C80" s="22" t="s">
        <v>540</v>
      </c>
      <c r="D80" s="22" t="s">
        <v>497</v>
      </c>
      <c r="E80" s="22" t="s">
        <v>470</v>
      </c>
      <c r="F80" s="22" t="s">
        <v>138</v>
      </c>
      <c r="G80" s="6">
        <v>500</v>
      </c>
      <c r="H80" s="64" t="s">
        <v>983</v>
      </c>
      <c r="I80" s="22" t="s">
        <v>98</v>
      </c>
    </row>
    <row r="81" spans="1:9" ht="26.4" customHeight="1" x14ac:dyDescent="0.3">
      <c r="A81" s="65" t="s">
        <v>110</v>
      </c>
      <c r="B81" s="22" t="s">
        <v>508</v>
      </c>
      <c r="C81" s="22" t="s">
        <v>138</v>
      </c>
      <c r="D81" s="22" t="s">
        <v>598</v>
      </c>
      <c r="E81" s="22" t="s">
        <v>593</v>
      </c>
      <c r="F81" s="22" t="s">
        <v>138</v>
      </c>
      <c r="G81" s="6">
        <v>611</v>
      </c>
      <c r="H81" s="22" t="s">
        <v>478</v>
      </c>
      <c r="I81" s="22" t="s">
        <v>101</v>
      </c>
    </row>
    <row r="82" spans="1:9" ht="26.4" customHeight="1" x14ac:dyDescent="0.3">
      <c r="A82" s="65" t="s">
        <v>110</v>
      </c>
      <c r="B82" s="22" t="s">
        <v>500</v>
      </c>
      <c r="C82" s="22" t="s">
        <v>138</v>
      </c>
      <c r="D82" s="22" t="s">
        <v>516</v>
      </c>
      <c r="E82" s="22" t="s">
        <v>646</v>
      </c>
      <c r="F82" s="22" t="s">
        <v>138</v>
      </c>
      <c r="G82" s="6">
        <v>16375</v>
      </c>
      <c r="H82" s="22" t="s">
        <v>478</v>
      </c>
      <c r="I82" s="22" t="s">
        <v>101</v>
      </c>
    </row>
    <row r="83" spans="1:9" ht="26.4" customHeight="1" x14ac:dyDescent="0.3">
      <c r="A83" s="65" t="s">
        <v>110</v>
      </c>
      <c r="B83" s="22" t="s">
        <v>500</v>
      </c>
      <c r="C83" s="22" t="s">
        <v>138</v>
      </c>
      <c r="D83" s="22" t="s">
        <v>651</v>
      </c>
      <c r="E83" s="22" t="s">
        <v>646</v>
      </c>
      <c r="F83" s="22" t="s">
        <v>138</v>
      </c>
      <c r="G83" s="6">
        <v>6157</v>
      </c>
      <c r="H83" s="22" t="s">
        <v>522</v>
      </c>
      <c r="I83" s="22" t="s">
        <v>101</v>
      </c>
    </row>
    <row r="84" spans="1:9" ht="26.4" customHeight="1" x14ac:dyDescent="0.3">
      <c r="A84" s="65" t="s">
        <v>110</v>
      </c>
      <c r="B84" s="22" t="s">
        <v>508</v>
      </c>
      <c r="C84" s="22" t="s">
        <v>138</v>
      </c>
      <c r="D84" s="22" t="s">
        <v>617</v>
      </c>
      <c r="E84" s="22" t="s">
        <v>653</v>
      </c>
      <c r="F84" s="22" t="s">
        <v>138</v>
      </c>
      <c r="G84" s="6">
        <v>29256</v>
      </c>
      <c r="H84" s="22" t="s">
        <v>478</v>
      </c>
      <c r="I84" s="22" t="s">
        <v>101</v>
      </c>
    </row>
    <row r="85" spans="1:9" ht="26.4" customHeight="1" x14ac:dyDescent="0.3">
      <c r="A85" s="65" t="s">
        <v>110</v>
      </c>
      <c r="B85" s="22" t="s">
        <v>508</v>
      </c>
      <c r="C85" s="22" t="s">
        <v>138</v>
      </c>
      <c r="D85" s="22" t="s">
        <v>674</v>
      </c>
      <c r="E85" s="22" t="s">
        <v>653</v>
      </c>
      <c r="F85" s="22" t="s">
        <v>138</v>
      </c>
      <c r="G85" s="6">
        <v>104272</v>
      </c>
      <c r="H85" s="22" t="s">
        <v>478</v>
      </c>
      <c r="I85" s="22" t="s">
        <v>101</v>
      </c>
    </row>
    <row r="86" spans="1:9" ht="26.4" customHeight="1" x14ac:dyDescent="0.3">
      <c r="A86" s="65" t="s">
        <v>110</v>
      </c>
      <c r="B86" s="22" t="s">
        <v>508</v>
      </c>
      <c r="C86" s="22" t="s">
        <v>138</v>
      </c>
      <c r="D86" s="22" t="s">
        <v>654</v>
      </c>
      <c r="E86" s="22" t="s">
        <v>653</v>
      </c>
      <c r="F86" s="22" t="s">
        <v>138</v>
      </c>
      <c r="G86" s="6">
        <v>35503</v>
      </c>
      <c r="H86" s="22" t="s">
        <v>478</v>
      </c>
      <c r="I86" s="22" t="s">
        <v>101</v>
      </c>
    </row>
    <row r="87" spans="1:9" ht="26.4" customHeight="1" x14ac:dyDescent="0.3">
      <c r="A87" s="65" t="s">
        <v>110</v>
      </c>
      <c r="B87" s="22" t="s">
        <v>508</v>
      </c>
      <c r="C87" s="22" t="s">
        <v>138</v>
      </c>
      <c r="D87" s="22" t="s">
        <v>679</v>
      </c>
      <c r="E87" s="22" t="s">
        <v>653</v>
      </c>
      <c r="F87" s="22" t="s">
        <v>138</v>
      </c>
      <c r="G87" s="6">
        <v>1829</v>
      </c>
      <c r="H87" s="22" t="s">
        <v>478</v>
      </c>
      <c r="I87" s="22" t="s">
        <v>101</v>
      </c>
    </row>
    <row r="88" spans="1:9" ht="26.4" customHeight="1" x14ac:dyDescent="0.3">
      <c r="A88" s="65" t="s">
        <v>110</v>
      </c>
      <c r="B88" s="22" t="s">
        <v>508</v>
      </c>
      <c r="C88" s="22" t="s">
        <v>138</v>
      </c>
      <c r="D88" s="22" t="s">
        <v>681</v>
      </c>
      <c r="E88" s="22" t="s">
        <v>653</v>
      </c>
      <c r="F88" s="22" t="s">
        <v>138</v>
      </c>
      <c r="G88" s="6">
        <v>14968</v>
      </c>
      <c r="H88" s="22" t="s">
        <v>478</v>
      </c>
      <c r="I88" s="22" t="s">
        <v>101</v>
      </c>
    </row>
    <row r="89" spans="1:9" ht="26.4" customHeight="1" x14ac:dyDescent="0.3">
      <c r="A89" s="65" t="s">
        <v>110</v>
      </c>
      <c r="B89" s="22" t="s">
        <v>538</v>
      </c>
      <c r="C89" s="22" t="s">
        <v>138</v>
      </c>
      <c r="D89" s="22" t="s">
        <v>710</v>
      </c>
      <c r="E89" s="22" t="s">
        <v>94</v>
      </c>
      <c r="F89" s="22" t="s">
        <v>711</v>
      </c>
      <c r="G89" s="6">
        <v>5833</v>
      </c>
      <c r="H89" s="64" t="s">
        <v>981</v>
      </c>
      <c r="I89" s="64" t="s">
        <v>982</v>
      </c>
    </row>
    <row r="90" spans="1:9" ht="26.4" customHeight="1" x14ac:dyDescent="0.3">
      <c r="A90" s="65" t="s">
        <v>110</v>
      </c>
      <c r="B90" s="22" t="s">
        <v>508</v>
      </c>
      <c r="C90" s="22" t="s">
        <v>138</v>
      </c>
      <c r="D90" s="22" t="s">
        <v>731</v>
      </c>
      <c r="E90" s="22" t="s">
        <v>94</v>
      </c>
      <c r="F90" s="22" t="s">
        <v>732</v>
      </c>
      <c r="G90" s="6">
        <v>10337</v>
      </c>
      <c r="H90" s="22" t="s">
        <v>478</v>
      </c>
      <c r="I90" s="22" t="s">
        <v>101</v>
      </c>
    </row>
    <row r="91" spans="1:9" ht="26.4" customHeight="1" x14ac:dyDescent="0.3">
      <c r="A91" s="65" t="s">
        <v>110</v>
      </c>
      <c r="B91" s="22" t="s">
        <v>477</v>
      </c>
      <c r="C91" s="22" t="s">
        <v>138</v>
      </c>
      <c r="D91" s="22" t="s">
        <v>684</v>
      </c>
      <c r="E91" s="22" t="s">
        <v>94</v>
      </c>
      <c r="F91" s="22" t="s">
        <v>732</v>
      </c>
      <c r="G91" s="6">
        <v>24425</v>
      </c>
      <c r="H91" s="22" t="s">
        <v>478</v>
      </c>
      <c r="I91" s="22" t="s">
        <v>101</v>
      </c>
    </row>
    <row r="92" spans="1:9" ht="26.4" customHeight="1" x14ac:dyDescent="0.3">
      <c r="A92" s="65" t="s">
        <v>110</v>
      </c>
      <c r="B92" s="22" t="s">
        <v>477</v>
      </c>
      <c r="C92" s="22" t="s">
        <v>138</v>
      </c>
      <c r="D92" s="22" t="s">
        <v>496</v>
      </c>
      <c r="E92" s="22" t="s">
        <v>94</v>
      </c>
      <c r="F92" s="22" t="s">
        <v>732</v>
      </c>
      <c r="G92" s="6">
        <v>4772</v>
      </c>
      <c r="H92" s="22" t="s">
        <v>478</v>
      </c>
      <c r="I92" s="22" t="s">
        <v>101</v>
      </c>
    </row>
    <row r="93" spans="1:9" ht="26.4" customHeight="1" x14ac:dyDescent="0.3">
      <c r="A93" s="65" t="s">
        <v>110</v>
      </c>
      <c r="B93" s="22" t="s">
        <v>477</v>
      </c>
      <c r="C93" s="22" t="s">
        <v>138</v>
      </c>
      <c r="D93" s="22" t="s">
        <v>497</v>
      </c>
      <c r="E93" s="22" t="s">
        <v>94</v>
      </c>
      <c r="F93" s="22" t="s">
        <v>732</v>
      </c>
      <c r="G93" s="6">
        <v>9600</v>
      </c>
      <c r="H93" s="22" t="s">
        <v>478</v>
      </c>
      <c r="I93" s="22" t="s">
        <v>101</v>
      </c>
    </row>
    <row r="94" spans="1:9" ht="26.4" customHeight="1" x14ac:dyDescent="0.3">
      <c r="A94" s="65" t="s">
        <v>110</v>
      </c>
      <c r="B94" s="22" t="s">
        <v>500</v>
      </c>
      <c r="C94" s="22" t="s">
        <v>138</v>
      </c>
      <c r="D94" s="22" t="s">
        <v>497</v>
      </c>
      <c r="E94" s="22" t="s">
        <v>94</v>
      </c>
      <c r="F94" s="22" t="s">
        <v>685</v>
      </c>
      <c r="G94" s="6">
        <v>300</v>
      </c>
      <c r="H94" s="22" t="s">
        <v>478</v>
      </c>
      <c r="I94" s="22" t="s">
        <v>101</v>
      </c>
    </row>
    <row r="95" spans="1:9" ht="26.4" customHeight="1" x14ac:dyDescent="0.3">
      <c r="A95" s="65" t="s">
        <v>110</v>
      </c>
      <c r="B95" s="22" t="s">
        <v>477</v>
      </c>
      <c r="C95" s="22" t="s">
        <v>138</v>
      </c>
      <c r="D95" s="22" t="s">
        <v>750</v>
      </c>
      <c r="E95" s="22" t="s">
        <v>94</v>
      </c>
      <c r="F95" s="22" t="s">
        <v>732</v>
      </c>
      <c r="G95" s="6">
        <v>19688</v>
      </c>
      <c r="H95" s="22" t="s">
        <v>478</v>
      </c>
      <c r="I95" s="22" t="s">
        <v>101</v>
      </c>
    </row>
    <row r="96" spans="1:9" ht="26.4" customHeight="1" x14ac:dyDescent="0.3">
      <c r="A96" s="65" t="s">
        <v>257</v>
      </c>
      <c r="B96" s="22" t="s">
        <v>500</v>
      </c>
      <c r="C96" s="22" t="s">
        <v>138</v>
      </c>
      <c r="D96" s="22" t="s">
        <v>516</v>
      </c>
      <c r="E96" s="22" t="s">
        <v>470</v>
      </c>
      <c r="F96" s="22" t="s">
        <v>138</v>
      </c>
      <c r="G96" s="6">
        <v>81395</v>
      </c>
      <c r="H96" s="22" t="s">
        <v>111</v>
      </c>
      <c r="I96" s="22" t="s">
        <v>98</v>
      </c>
    </row>
    <row r="97" spans="1:9" ht="26.4" customHeight="1" x14ac:dyDescent="0.3">
      <c r="A97" s="65" t="s">
        <v>257</v>
      </c>
      <c r="B97" s="22" t="s">
        <v>94</v>
      </c>
      <c r="C97" s="22" t="s">
        <v>570</v>
      </c>
      <c r="D97" s="64" t="s">
        <v>984</v>
      </c>
      <c r="E97" s="22" t="s">
        <v>470</v>
      </c>
      <c r="F97" s="22" t="s">
        <v>138</v>
      </c>
      <c r="G97" s="52">
        <v>2400</v>
      </c>
      <c r="H97" s="64" t="s">
        <v>986</v>
      </c>
      <c r="I97" s="22" t="s">
        <v>98</v>
      </c>
    </row>
    <row r="98" spans="1:9" ht="26.4" customHeight="1" x14ac:dyDescent="0.3">
      <c r="A98" s="65" t="s">
        <v>257</v>
      </c>
      <c r="B98" s="22" t="s">
        <v>94</v>
      </c>
      <c r="C98" s="22" t="s">
        <v>570</v>
      </c>
      <c r="D98" s="22" t="s">
        <v>571</v>
      </c>
      <c r="E98" s="22" t="s">
        <v>470</v>
      </c>
      <c r="F98" s="22" t="s">
        <v>138</v>
      </c>
      <c r="G98" s="52">
        <v>900</v>
      </c>
      <c r="H98" s="64" t="s">
        <v>985</v>
      </c>
      <c r="I98" s="22" t="s">
        <v>98</v>
      </c>
    </row>
    <row r="99" spans="1:9" ht="26.4" customHeight="1" x14ac:dyDescent="0.3">
      <c r="A99" s="65" t="s">
        <v>257</v>
      </c>
      <c r="B99" s="22" t="s">
        <v>94</v>
      </c>
      <c r="C99" s="22" t="s">
        <v>626</v>
      </c>
      <c r="D99" s="22" t="s">
        <v>645</v>
      </c>
      <c r="E99" s="22" t="s">
        <v>626</v>
      </c>
      <c r="F99" s="22" t="s">
        <v>138</v>
      </c>
      <c r="G99" s="6">
        <v>200</v>
      </c>
      <c r="H99" s="22" t="s">
        <v>111</v>
      </c>
      <c r="I99" s="22" t="s">
        <v>98</v>
      </c>
    </row>
    <row r="100" spans="1:9" ht="26.4" customHeight="1" x14ac:dyDescent="0.3">
      <c r="A100" s="65" t="s">
        <v>257</v>
      </c>
      <c r="B100" s="22" t="s">
        <v>508</v>
      </c>
      <c r="C100" s="22" t="s">
        <v>138</v>
      </c>
      <c r="D100" s="22" t="s">
        <v>669</v>
      </c>
      <c r="E100" s="22" t="s">
        <v>653</v>
      </c>
      <c r="F100" s="22" t="s">
        <v>138</v>
      </c>
      <c r="G100" s="6">
        <v>4130</v>
      </c>
      <c r="H100" s="22" t="s">
        <v>111</v>
      </c>
      <c r="I100" s="22" t="s">
        <v>98</v>
      </c>
    </row>
    <row r="101" spans="1:9" ht="26.4" customHeight="1" x14ac:dyDescent="0.3">
      <c r="A101" s="65" t="s">
        <v>95</v>
      </c>
      <c r="B101" s="22" t="s">
        <v>508</v>
      </c>
      <c r="C101" s="22" t="s">
        <v>138</v>
      </c>
      <c r="D101" s="22" t="s">
        <v>530</v>
      </c>
      <c r="E101" s="22" t="s">
        <v>470</v>
      </c>
      <c r="F101" s="22" t="s">
        <v>138</v>
      </c>
      <c r="G101" s="6">
        <v>4792</v>
      </c>
      <c r="H101" s="64" t="s">
        <v>988</v>
      </c>
      <c r="I101" s="22" t="s">
        <v>92</v>
      </c>
    </row>
    <row r="102" spans="1:9" ht="26.4" customHeight="1" x14ac:dyDescent="0.3">
      <c r="A102" s="65" t="s">
        <v>95</v>
      </c>
      <c r="B102" s="22" t="s">
        <v>538</v>
      </c>
      <c r="C102" s="22" t="s">
        <v>138</v>
      </c>
      <c r="D102" s="22" t="s">
        <v>546</v>
      </c>
      <c r="E102" s="22" t="s">
        <v>470</v>
      </c>
      <c r="F102" s="22" t="s">
        <v>138</v>
      </c>
      <c r="G102" s="52">
        <v>17850</v>
      </c>
      <c r="H102" s="64" t="s">
        <v>988</v>
      </c>
      <c r="I102" s="22" t="s">
        <v>92</v>
      </c>
    </row>
    <row r="103" spans="1:9" ht="26.4" customHeight="1" x14ac:dyDescent="0.3">
      <c r="A103" s="65" t="s">
        <v>95</v>
      </c>
      <c r="B103" s="22" t="s">
        <v>500</v>
      </c>
      <c r="C103" s="22" t="s">
        <v>138</v>
      </c>
      <c r="D103" s="22" t="s">
        <v>648</v>
      </c>
      <c r="E103" s="22" t="s">
        <v>646</v>
      </c>
      <c r="F103" s="22" t="s">
        <v>138</v>
      </c>
      <c r="G103" s="52">
        <v>13000</v>
      </c>
      <c r="H103" s="64" t="s">
        <v>827</v>
      </c>
      <c r="I103" s="22" t="s">
        <v>98</v>
      </c>
    </row>
    <row r="104" spans="1:9" ht="26.4" customHeight="1" x14ac:dyDescent="0.3">
      <c r="A104" s="65" t="s">
        <v>95</v>
      </c>
      <c r="B104" s="22" t="s">
        <v>468</v>
      </c>
      <c r="C104" s="22" t="s">
        <v>138</v>
      </c>
      <c r="D104" s="22" t="s">
        <v>691</v>
      </c>
      <c r="E104" s="22" t="s">
        <v>94</v>
      </c>
      <c r="F104" s="22" t="s">
        <v>138</v>
      </c>
      <c r="G104" s="52">
        <v>1773</v>
      </c>
      <c r="H104" s="64" t="s">
        <v>989</v>
      </c>
      <c r="I104" s="22" t="s">
        <v>92</v>
      </c>
    </row>
    <row r="105" spans="1:9" ht="26.4" customHeight="1" x14ac:dyDescent="0.3">
      <c r="A105" s="65" t="s">
        <v>95</v>
      </c>
      <c r="B105" s="22" t="s">
        <v>94</v>
      </c>
      <c r="C105" s="64" t="s">
        <v>712</v>
      </c>
      <c r="D105" s="22" t="s">
        <v>712</v>
      </c>
      <c r="E105" s="22" t="s">
        <v>94</v>
      </c>
      <c r="F105" s="22" t="s">
        <v>138</v>
      </c>
      <c r="G105" s="6">
        <v>2780</v>
      </c>
      <c r="H105" s="64" t="s">
        <v>987</v>
      </c>
      <c r="I105" s="22" t="s">
        <v>92</v>
      </c>
    </row>
    <row r="106" spans="1:9" ht="26.4" customHeight="1" x14ac:dyDescent="0.3">
      <c r="A106" s="65" t="s">
        <v>187</v>
      </c>
      <c r="B106" s="22" t="s">
        <v>479</v>
      </c>
      <c r="C106" s="22" t="s">
        <v>138</v>
      </c>
      <c r="D106" s="22" t="s">
        <v>229</v>
      </c>
      <c r="E106" s="22" t="s">
        <v>470</v>
      </c>
      <c r="F106" s="22" t="s">
        <v>138</v>
      </c>
      <c r="G106" s="6">
        <v>16008</v>
      </c>
      <c r="H106" s="64" t="s">
        <v>991</v>
      </c>
      <c r="I106" s="22" t="s">
        <v>56</v>
      </c>
    </row>
    <row r="107" spans="1:9" ht="26.4" customHeight="1" x14ac:dyDescent="0.3">
      <c r="A107" s="65" t="s">
        <v>187</v>
      </c>
      <c r="B107" s="22" t="s">
        <v>479</v>
      </c>
      <c r="C107" s="22" t="s">
        <v>138</v>
      </c>
      <c r="D107" s="22" t="s">
        <v>484</v>
      </c>
      <c r="E107" s="22" t="s">
        <v>470</v>
      </c>
      <c r="F107" s="22" t="s">
        <v>138</v>
      </c>
      <c r="G107" s="6">
        <v>3210</v>
      </c>
      <c r="H107" s="64" t="s">
        <v>967</v>
      </c>
      <c r="I107" s="22" t="s">
        <v>56</v>
      </c>
    </row>
    <row r="108" spans="1:9" ht="26.4" customHeight="1" x14ac:dyDescent="0.3">
      <c r="A108" s="65" t="s">
        <v>187</v>
      </c>
      <c r="B108" s="22" t="s">
        <v>94</v>
      </c>
      <c r="C108" s="64" t="s">
        <v>644</v>
      </c>
      <c r="D108" s="22" t="s">
        <v>644</v>
      </c>
      <c r="E108" s="22" t="s">
        <v>626</v>
      </c>
      <c r="F108" s="22" t="s">
        <v>138</v>
      </c>
      <c r="G108" s="6">
        <v>12600</v>
      </c>
      <c r="H108" s="64" t="s">
        <v>990</v>
      </c>
      <c r="I108" s="22" t="s">
        <v>56</v>
      </c>
    </row>
    <row r="109" spans="1:9" ht="26.4" customHeight="1" x14ac:dyDescent="0.3">
      <c r="A109" s="65" t="s">
        <v>187</v>
      </c>
      <c r="B109" s="22" t="s">
        <v>508</v>
      </c>
      <c r="C109" s="22" t="s">
        <v>138</v>
      </c>
      <c r="D109" s="22" t="s">
        <v>652</v>
      </c>
      <c r="E109" s="22" t="s">
        <v>653</v>
      </c>
      <c r="F109" s="22" t="s">
        <v>138</v>
      </c>
      <c r="G109" s="6">
        <v>8364</v>
      </c>
      <c r="H109" s="64" t="s">
        <v>965</v>
      </c>
      <c r="I109" s="22" t="s">
        <v>56</v>
      </c>
    </row>
    <row r="110" spans="1:9" ht="26.4" customHeight="1" x14ac:dyDescent="0.3">
      <c r="A110" s="65" t="s">
        <v>269</v>
      </c>
      <c r="B110" s="22" t="s">
        <v>479</v>
      </c>
      <c r="C110" s="22" t="s">
        <v>138</v>
      </c>
      <c r="D110" s="22" t="s">
        <v>481</v>
      </c>
      <c r="E110" s="22" t="s">
        <v>470</v>
      </c>
      <c r="F110" s="22" t="s">
        <v>138</v>
      </c>
      <c r="G110" s="6">
        <v>39000</v>
      </c>
      <c r="H110" s="22" t="s">
        <v>482</v>
      </c>
      <c r="I110" s="64" t="s">
        <v>98</v>
      </c>
    </row>
    <row r="111" spans="1:9" ht="26.4" customHeight="1" x14ac:dyDescent="0.3">
      <c r="A111" s="65" t="s">
        <v>269</v>
      </c>
      <c r="B111" s="22" t="s">
        <v>477</v>
      </c>
      <c r="C111" s="22" t="s">
        <v>138</v>
      </c>
      <c r="D111" s="22" t="s">
        <v>554</v>
      </c>
      <c r="E111" s="22" t="s">
        <v>470</v>
      </c>
      <c r="F111" s="22" t="s">
        <v>138</v>
      </c>
      <c r="G111" s="6">
        <v>99245</v>
      </c>
      <c r="H111" s="22" t="s">
        <v>108</v>
      </c>
      <c r="I111" s="22" t="s">
        <v>98</v>
      </c>
    </row>
    <row r="112" spans="1:9" ht="26.4" customHeight="1" x14ac:dyDescent="0.3">
      <c r="A112" s="65" t="s">
        <v>269</v>
      </c>
      <c r="B112" s="22" t="s">
        <v>508</v>
      </c>
      <c r="C112" s="22" t="s">
        <v>138</v>
      </c>
      <c r="D112" s="22" t="s">
        <v>616</v>
      </c>
      <c r="E112" s="22" t="s">
        <v>599</v>
      </c>
      <c r="F112" s="22" t="s">
        <v>138</v>
      </c>
      <c r="G112" s="6">
        <v>900</v>
      </c>
      <c r="H112" s="22" t="s">
        <v>108</v>
      </c>
      <c r="I112" s="22" t="s">
        <v>98</v>
      </c>
    </row>
    <row r="113" spans="1:9" ht="26.4" customHeight="1" x14ac:dyDescent="0.3">
      <c r="A113" s="65" t="s">
        <v>269</v>
      </c>
      <c r="B113" s="22" t="s">
        <v>508</v>
      </c>
      <c r="C113" s="22" t="s">
        <v>138</v>
      </c>
      <c r="D113" s="22" t="s">
        <v>675</v>
      </c>
      <c r="E113" s="22" t="s">
        <v>653</v>
      </c>
      <c r="F113" s="22" t="s">
        <v>138</v>
      </c>
      <c r="G113" s="6">
        <v>62885</v>
      </c>
      <c r="H113" s="22" t="s">
        <v>108</v>
      </c>
      <c r="I113" s="22" t="s">
        <v>98</v>
      </c>
    </row>
    <row r="114" spans="1:9" ht="26.4" customHeight="1" x14ac:dyDescent="0.3">
      <c r="A114" s="65" t="s">
        <v>256</v>
      </c>
      <c r="B114" s="22" t="s">
        <v>477</v>
      </c>
      <c r="C114" s="22" t="s">
        <v>138</v>
      </c>
      <c r="D114" s="22" t="s">
        <v>656</v>
      </c>
      <c r="E114" s="22" t="s">
        <v>653</v>
      </c>
      <c r="F114" s="22" t="s">
        <v>138</v>
      </c>
      <c r="G114" s="52">
        <v>100</v>
      </c>
      <c r="H114" s="22" t="s">
        <v>541</v>
      </c>
      <c r="I114" s="22" t="s">
        <v>98</v>
      </c>
    </row>
    <row r="115" spans="1:9" ht="26.4" customHeight="1" x14ac:dyDescent="0.3">
      <c r="A115" s="65" t="s">
        <v>256</v>
      </c>
      <c r="B115" s="22" t="s">
        <v>477</v>
      </c>
      <c r="C115" s="22" t="s">
        <v>138</v>
      </c>
      <c r="D115" s="22" t="s">
        <v>657</v>
      </c>
      <c r="E115" s="22" t="s">
        <v>653</v>
      </c>
      <c r="F115" s="22" t="s">
        <v>138</v>
      </c>
      <c r="G115" s="52">
        <v>216</v>
      </c>
      <c r="H115" s="22" t="s">
        <v>111</v>
      </c>
      <c r="I115" s="22" t="s">
        <v>98</v>
      </c>
    </row>
    <row r="116" spans="1:9" ht="26.4" customHeight="1" x14ac:dyDescent="0.3">
      <c r="A116" s="65" t="s">
        <v>256</v>
      </c>
      <c r="B116" s="22" t="s">
        <v>477</v>
      </c>
      <c r="C116" s="22" t="s">
        <v>138</v>
      </c>
      <c r="D116" s="22" t="s">
        <v>658</v>
      </c>
      <c r="E116" s="64" t="s">
        <v>94</v>
      </c>
      <c r="F116" s="64" t="s">
        <v>700</v>
      </c>
      <c r="G116" s="52">
        <v>30</v>
      </c>
      <c r="H116" s="22" t="s">
        <v>527</v>
      </c>
      <c r="I116" s="22" t="s">
        <v>98</v>
      </c>
    </row>
    <row r="117" spans="1:9" ht="26.4" customHeight="1" x14ac:dyDescent="0.3">
      <c r="A117" s="65" t="s">
        <v>256</v>
      </c>
      <c r="B117" s="22" t="s">
        <v>477</v>
      </c>
      <c r="C117" s="22" t="s">
        <v>138</v>
      </c>
      <c r="D117" s="22" t="s">
        <v>659</v>
      </c>
      <c r="E117" s="22" t="s">
        <v>653</v>
      </c>
      <c r="F117" s="22" t="s">
        <v>138</v>
      </c>
      <c r="G117" s="52">
        <v>100</v>
      </c>
      <c r="H117" s="22" t="s">
        <v>111</v>
      </c>
      <c r="I117" s="22" t="s">
        <v>98</v>
      </c>
    </row>
    <row r="118" spans="1:9" ht="26.4" customHeight="1" x14ac:dyDescent="0.3">
      <c r="A118" s="65" t="s">
        <v>256</v>
      </c>
      <c r="B118" s="22" t="s">
        <v>508</v>
      </c>
      <c r="C118" s="22" t="s">
        <v>138</v>
      </c>
      <c r="D118" s="22" t="s">
        <v>664</v>
      </c>
      <c r="E118" s="22" t="s">
        <v>653</v>
      </c>
      <c r="F118" s="22" t="s">
        <v>138</v>
      </c>
      <c r="G118" s="52">
        <v>2550</v>
      </c>
      <c r="H118" s="22" t="s">
        <v>111</v>
      </c>
      <c r="I118" s="22" t="s">
        <v>98</v>
      </c>
    </row>
    <row r="119" spans="1:9" ht="26.4" customHeight="1" x14ac:dyDescent="0.3">
      <c r="A119" s="65" t="s">
        <v>256</v>
      </c>
      <c r="B119" s="22" t="s">
        <v>508</v>
      </c>
      <c r="C119" s="22" t="s">
        <v>138</v>
      </c>
      <c r="D119" s="22" t="s">
        <v>665</v>
      </c>
      <c r="E119" s="22" t="s">
        <v>653</v>
      </c>
      <c r="F119" s="22" t="s">
        <v>138</v>
      </c>
      <c r="G119" s="52">
        <v>200</v>
      </c>
      <c r="H119" s="22" t="s">
        <v>111</v>
      </c>
      <c r="I119" s="22" t="s">
        <v>98</v>
      </c>
    </row>
    <row r="120" spans="1:9" ht="26.4" customHeight="1" x14ac:dyDescent="0.3">
      <c r="A120" s="65" t="s">
        <v>256</v>
      </c>
      <c r="B120" s="22" t="s">
        <v>477</v>
      </c>
      <c r="C120" s="22" t="s">
        <v>138</v>
      </c>
      <c r="D120" s="22" t="s">
        <v>689</v>
      </c>
      <c r="E120" s="22" t="s">
        <v>94</v>
      </c>
      <c r="F120" s="22" t="s">
        <v>690</v>
      </c>
      <c r="G120" s="52">
        <v>1000</v>
      </c>
      <c r="H120" s="64"/>
      <c r="I120" s="22" t="s">
        <v>98</v>
      </c>
    </row>
    <row r="121" spans="1:9" ht="26.4" customHeight="1" x14ac:dyDescent="0.3">
      <c r="A121" s="65" t="s">
        <v>256</v>
      </c>
      <c r="B121" s="22" t="s">
        <v>477</v>
      </c>
      <c r="C121" s="22" t="s">
        <v>138</v>
      </c>
      <c r="D121" s="22" t="s">
        <v>692</v>
      </c>
      <c r="E121" s="22" t="s">
        <v>94</v>
      </c>
      <c r="F121" s="22" t="s">
        <v>693</v>
      </c>
      <c r="G121" s="52">
        <v>660</v>
      </c>
      <c r="H121" s="64" t="s">
        <v>827</v>
      </c>
      <c r="I121" s="22" t="s">
        <v>98</v>
      </c>
    </row>
    <row r="122" spans="1:9" ht="26.4" customHeight="1" x14ac:dyDescent="0.3">
      <c r="A122" s="65" t="s">
        <v>256</v>
      </c>
      <c r="B122" s="22" t="s">
        <v>477</v>
      </c>
      <c r="C122" s="22" t="s">
        <v>138</v>
      </c>
      <c r="D122" s="22" t="s">
        <v>699</v>
      </c>
      <c r="E122" s="22" t="s">
        <v>94</v>
      </c>
      <c r="F122" s="22" t="s">
        <v>700</v>
      </c>
      <c r="G122" s="52">
        <v>600</v>
      </c>
      <c r="H122" s="64" t="s">
        <v>827</v>
      </c>
      <c r="I122" s="22" t="s">
        <v>98</v>
      </c>
    </row>
    <row r="123" spans="1:9" ht="26.4" customHeight="1" x14ac:dyDescent="0.3">
      <c r="A123" s="65" t="s">
        <v>256</v>
      </c>
      <c r="B123" s="22" t="s">
        <v>477</v>
      </c>
      <c r="C123" s="22" t="s">
        <v>138</v>
      </c>
      <c r="D123" s="22" t="s">
        <v>720</v>
      </c>
      <c r="E123" s="22" t="s">
        <v>94</v>
      </c>
      <c r="F123" s="22" t="s">
        <v>721</v>
      </c>
      <c r="G123" s="52">
        <v>200</v>
      </c>
      <c r="H123" s="22" t="s">
        <v>541</v>
      </c>
      <c r="I123" s="22" t="s">
        <v>98</v>
      </c>
    </row>
    <row r="124" spans="1:9" ht="26.4" customHeight="1" x14ac:dyDescent="0.3">
      <c r="A124" s="65" t="s">
        <v>256</v>
      </c>
      <c r="B124" s="22" t="s">
        <v>477</v>
      </c>
      <c r="C124" s="22" t="s">
        <v>138</v>
      </c>
      <c r="D124" s="22" t="s">
        <v>726</v>
      </c>
      <c r="E124" s="22" t="s">
        <v>94</v>
      </c>
      <c r="F124" s="22" t="s">
        <v>727</v>
      </c>
      <c r="G124" s="52">
        <v>50</v>
      </c>
      <c r="H124" s="64" t="s">
        <v>992</v>
      </c>
      <c r="I124" s="22" t="s">
        <v>98</v>
      </c>
    </row>
    <row r="125" spans="1:9" ht="26.4" customHeight="1" x14ac:dyDescent="0.3">
      <c r="A125" s="65" t="s">
        <v>256</v>
      </c>
      <c r="B125" s="64" t="s">
        <v>94</v>
      </c>
      <c r="C125" s="64" t="s">
        <v>993</v>
      </c>
      <c r="D125" s="22" t="s">
        <v>748</v>
      </c>
      <c r="E125" s="22" t="s">
        <v>94</v>
      </c>
      <c r="F125" s="22" t="s">
        <v>749</v>
      </c>
      <c r="G125" s="52">
        <v>1200</v>
      </c>
      <c r="H125" s="22" t="s">
        <v>111</v>
      </c>
      <c r="I125" s="22" t="s">
        <v>98</v>
      </c>
    </row>
    <row r="126" spans="1:9" ht="26.4" customHeight="1" x14ac:dyDescent="0.3">
      <c r="A126" s="65" t="s">
        <v>256</v>
      </c>
      <c r="B126" s="22" t="s">
        <v>477</v>
      </c>
      <c r="C126" s="22" t="s">
        <v>138</v>
      </c>
      <c r="D126" s="22" t="s">
        <v>752</v>
      </c>
      <c r="E126" s="22" t="s">
        <v>94</v>
      </c>
      <c r="F126" s="22" t="s">
        <v>693</v>
      </c>
      <c r="G126" s="52">
        <v>500</v>
      </c>
      <c r="H126" s="22" t="s">
        <v>111</v>
      </c>
      <c r="I126" s="22" t="s">
        <v>98</v>
      </c>
    </row>
    <row r="127" spans="1:9" ht="26.4" customHeight="1" x14ac:dyDescent="0.3">
      <c r="A127" s="65" t="s">
        <v>201</v>
      </c>
      <c r="B127" s="22" t="s">
        <v>94</v>
      </c>
      <c r="C127" s="22" t="s">
        <v>537</v>
      </c>
      <c r="D127" s="22" t="s">
        <v>537</v>
      </c>
      <c r="E127" s="22" t="s">
        <v>94</v>
      </c>
      <c r="F127" s="22" t="s">
        <v>703</v>
      </c>
      <c r="G127" s="6">
        <v>534358</v>
      </c>
      <c r="H127" s="22" t="s">
        <v>704</v>
      </c>
      <c r="I127" s="22" t="s">
        <v>116</v>
      </c>
    </row>
    <row r="128" spans="1:9" ht="26.4" customHeight="1" x14ac:dyDescent="0.3">
      <c r="A128" s="65" t="s">
        <v>201</v>
      </c>
      <c r="B128" s="22" t="s">
        <v>94</v>
      </c>
      <c r="C128" s="22" t="s">
        <v>537</v>
      </c>
      <c r="D128" s="22" t="s">
        <v>578</v>
      </c>
      <c r="E128" s="22" t="s">
        <v>94</v>
      </c>
      <c r="F128" s="22" t="s">
        <v>703</v>
      </c>
      <c r="G128" s="6">
        <v>500</v>
      </c>
      <c r="H128" s="22" t="s">
        <v>705</v>
      </c>
      <c r="I128" s="22" t="s">
        <v>116</v>
      </c>
    </row>
    <row r="129" spans="1:9" ht="26.4" customHeight="1" x14ac:dyDescent="0.3">
      <c r="A129" s="65" t="s">
        <v>127</v>
      </c>
      <c r="B129" s="22" t="s">
        <v>468</v>
      </c>
      <c r="C129" s="22" t="s">
        <v>138</v>
      </c>
      <c r="D129" s="22" t="s">
        <v>469</v>
      </c>
      <c r="E129" s="22" t="s">
        <v>470</v>
      </c>
      <c r="F129" s="22" t="s">
        <v>138</v>
      </c>
      <c r="G129" s="6">
        <v>13245</v>
      </c>
      <c r="H129" s="64" t="s">
        <v>994</v>
      </c>
      <c r="I129" s="22" t="s">
        <v>116</v>
      </c>
    </row>
    <row r="130" spans="1:9" ht="26.4" customHeight="1" x14ac:dyDescent="0.3">
      <c r="A130" s="65" t="s">
        <v>127</v>
      </c>
      <c r="B130" s="22" t="s">
        <v>500</v>
      </c>
      <c r="C130" s="22" t="s">
        <v>138</v>
      </c>
      <c r="D130" s="22" t="s">
        <v>510</v>
      </c>
      <c r="E130" s="22" t="s">
        <v>470</v>
      </c>
      <c r="F130" s="22" t="s">
        <v>138</v>
      </c>
      <c r="G130" s="6">
        <v>10640</v>
      </c>
      <c r="H130" s="22" t="s">
        <v>119</v>
      </c>
      <c r="I130" s="22" t="s">
        <v>116</v>
      </c>
    </row>
    <row r="131" spans="1:9" ht="26.4" customHeight="1" x14ac:dyDescent="0.3">
      <c r="A131" s="65" t="s">
        <v>127</v>
      </c>
      <c r="B131" s="22" t="s">
        <v>500</v>
      </c>
      <c r="C131" s="22" t="s">
        <v>138</v>
      </c>
      <c r="D131" s="22" t="s">
        <v>524</v>
      </c>
      <c r="E131" s="22" t="s">
        <v>470</v>
      </c>
      <c r="F131" s="22" t="s">
        <v>138</v>
      </c>
      <c r="G131" s="6">
        <v>27372</v>
      </c>
      <c r="H131" s="22" t="s">
        <v>525</v>
      </c>
      <c r="I131" s="64" t="s">
        <v>995</v>
      </c>
    </row>
    <row r="132" spans="1:9" ht="26.4" customHeight="1" x14ac:dyDescent="0.3">
      <c r="A132" s="65" t="s">
        <v>127</v>
      </c>
      <c r="B132" s="22" t="s">
        <v>528</v>
      </c>
      <c r="C132" s="22" t="s">
        <v>138</v>
      </c>
      <c r="D132" s="22" t="s">
        <v>534</v>
      </c>
      <c r="E132" s="22" t="s">
        <v>470</v>
      </c>
      <c r="F132" s="22" t="s">
        <v>138</v>
      </c>
      <c r="G132" s="6">
        <v>25400</v>
      </c>
      <c r="H132" s="64" t="s">
        <v>996</v>
      </c>
      <c r="I132" s="64" t="s">
        <v>116</v>
      </c>
    </row>
    <row r="133" spans="1:9" ht="26.4" customHeight="1" x14ac:dyDescent="0.3">
      <c r="A133" s="65" t="s">
        <v>127</v>
      </c>
      <c r="B133" s="22" t="s">
        <v>538</v>
      </c>
      <c r="C133" s="22" t="s">
        <v>138</v>
      </c>
      <c r="D133" s="22" t="s">
        <v>543</v>
      </c>
      <c r="E133" s="22" t="s">
        <v>470</v>
      </c>
      <c r="F133" s="22" t="s">
        <v>138</v>
      </c>
      <c r="G133" s="6">
        <v>70900</v>
      </c>
      <c r="H133" s="64"/>
      <c r="I133" s="64"/>
    </row>
    <row r="134" spans="1:9" ht="26.4" customHeight="1" x14ac:dyDescent="0.3">
      <c r="A134" s="65" t="s">
        <v>127</v>
      </c>
      <c r="B134" s="22" t="s">
        <v>94</v>
      </c>
      <c r="C134" s="22" t="s">
        <v>539</v>
      </c>
      <c r="D134" s="22" t="s">
        <v>620</v>
      </c>
      <c r="E134" s="22" t="s">
        <v>599</v>
      </c>
      <c r="F134" s="22" t="s">
        <v>138</v>
      </c>
      <c r="G134" s="6">
        <v>7310</v>
      </c>
      <c r="H134" s="22" t="s">
        <v>471</v>
      </c>
      <c r="I134" s="22" t="s">
        <v>116</v>
      </c>
    </row>
    <row r="135" spans="1:9" ht="26.4" customHeight="1" x14ac:dyDescent="0.3">
      <c r="A135" s="65" t="s">
        <v>127</v>
      </c>
      <c r="B135" s="22" t="s">
        <v>94</v>
      </c>
      <c r="C135" s="22" t="s">
        <v>608</v>
      </c>
      <c r="D135" s="22" t="s">
        <v>635</v>
      </c>
      <c r="E135" s="22" t="s">
        <v>626</v>
      </c>
      <c r="F135" s="22" t="s">
        <v>138</v>
      </c>
      <c r="G135" s="6">
        <v>35381</v>
      </c>
      <c r="H135" s="64" t="s">
        <v>997</v>
      </c>
      <c r="I135" s="22" t="s">
        <v>116</v>
      </c>
    </row>
    <row r="136" spans="1:9" ht="26.4" customHeight="1" x14ac:dyDescent="0.3">
      <c r="A136" s="65" t="s">
        <v>127</v>
      </c>
      <c r="B136" s="22" t="s">
        <v>508</v>
      </c>
      <c r="C136" s="22" t="s">
        <v>138</v>
      </c>
      <c r="D136" s="22" t="s">
        <v>682</v>
      </c>
      <c r="E136" s="22" t="s">
        <v>653</v>
      </c>
      <c r="F136" s="22" t="s">
        <v>138</v>
      </c>
      <c r="G136" s="6">
        <v>319713</v>
      </c>
      <c r="H136" s="64" t="s">
        <v>998</v>
      </c>
      <c r="I136" s="22" t="s">
        <v>98</v>
      </c>
    </row>
    <row r="137" spans="1:9" ht="26.4" customHeight="1" x14ac:dyDescent="0.3">
      <c r="A137" s="65" t="s">
        <v>127</v>
      </c>
      <c r="B137" s="22" t="s">
        <v>94</v>
      </c>
      <c r="C137" s="22" t="s">
        <v>578</v>
      </c>
      <c r="D137" s="22" t="s">
        <v>578</v>
      </c>
      <c r="E137" s="22" t="s">
        <v>94</v>
      </c>
      <c r="F137" s="22" t="s">
        <v>735</v>
      </c>
      <c r="G137" s="6">
        <v>20342</v>
      </c>
      <c r="H137" s="22" t="s">
        <v>471</v>
      </c>
      <c r="I137" s="22" t="s">
        <v>116</v>
      </c>
    </row>
    <row r="138" spans="1:9" ht="26.4" customHeight="1" x14ac:dyDescent="0.3">
      <c r="A138" s="65" t="s">
        <v>127</v>
      </c>
      <c r="B138" s="22" t="s">
        <v>94</v>
      </c>
      <c r="C138" s="22" t="s">
        <v>578</v>
      </c>
      <c r="D138" s="22" t="s">
        <v>578</v>
      </c>
      <c r="E138" s="22" t="s">
        <v>94</v>
      </c>
      <c r="F138" s="22" t="s">
        <v>736</v>
      </c>
      <c r="G138" s="6">
        <v>12500</v>
      </c>
      <c r="H138" s="22" t="s">
        <v>737</v>
      </c>
      <c r="I138" s="22" t="s">
        <v>84</v>
      </c>
    </row>
    <row r="139" spans="1:9" ht="26.4" customHeight="1" x14ac:dyDescent="0.3">
      <c r="A139" s="65" t="s">
        <v>117</v>
      </c>
      <c r="B139" s="22" t="s">
        <v>479</v>
      </c>
      <c r="C139" s="22" t="s">
        <v>138</v>
      </c>
      <c r="D139" s="22" t="s">
        <v>480</v>
      </c>
      <c r="E139" s="22" t="s">
        <v>470</v>
      </c>
      <c r="F139" s="22" t="s">
        <v>138</v>
      </c>
      <c r="G139" s="6">
        <v>36151</v>
      </c>
      <c r="H139" s="22" t="s">
        <v>124</v>
      </c>
      <c r="I139" s="22" t="s">
        <v>116</v>
      </c>
    </row>
    <row r="140" spans="1:9" ht="26.4" customHeight="1" x14ac:dyDescent="0.3">
      <c r="A140" s="65" t="s">
        <v>117</v>
      </c>
      <c r="B140" s="22" t="s">
        <v>500</v>
      </c>
      <c r="C140" s="22" t="s">
        <v>138</v>
      </c>
      <c r="D140" s="22" t="s">
        <v>502</v>
      </c>
      <c r="E140" s="22" t="s">
        <v>470</v>
      </c>
      <c r="F140" s="22" t="s">
        <v>138</v>
      </c>
      <c r="G140" s="6">
        <v>5822</v>
      </c>
      <c r="H140" s="22" t="s">
        <v>124</v>
      </c>
      <c r="I140" s="22" t="s">
        <v>116</v>
      </c>
    </row>
    <row r="141" spans="1:9" ht="26.4" customHeight="1" x14ac:dyDescent="0.3">
      <c r="A141" s="65" t="s">
        <v>117</v>
      </c>
      <c r="B141" s="22" t="s">
        <v>538</v>
      </c>
      <c r="C141" s="22" t="s">
        <v>138</v>
      </c>
      <c r="D141" s="22" t="s">
        <v>492</v>
      </c>
      <c r="E141" s="22" t="s">
        <v>470</v>
      </c>
      <c r="F141" s="22" t="s">
        <v>138</v>
      </c>
      <c r="G141" s="6">
        <v>185094</v>
      </c>
      <c r="H141" s="22" t="s">
        <v>124</v>
      </c>
      <c r="I141" s="22" t="s">
        <v>116</v>
      </c>
    </row>
    <row r="142" spans="1:9" ht="26.4" customHeight="1" x14ac:dyDescent="0.3">
      <c r="A142" s="65" t="s">
        <v>117</v>
      </c>
      <c r="B142" s="22" t="s">
        <v>94</v>
      </c>
      <c r="C142" s="22" t="s">
        <v>590</v>
      </c>
      <c r="D142" s="22" t="s">
        <v>591</v>
      </c>
      <c r="E142" s="22" t="s">
        <v>470</v>
      </c>
      <c r="F142" s="22" t="s">
        <v>138</v>
      </c>
      <c r="G142" s="6">
        <v>334500</v>
      </c>
      <c r="H142" s="22" t="s">
        <v>124</v>
      </c>
      <c r="I142" s="22" t="s">
        <v>116</v>
      </c>
    </row>
    <row r="143" spans="1:9" ht="26.4" customHeight="1" x14ac:dyDescent="0.3">
      <c r="A143" s="65" t="s">
        <v>117</v>
      </c>
      <c r="B143" s="22" t="s">
        <v>508</v>
      </c>
      <c r="C143" s="22" t="s">
        <v>138</v>
      </c>
      <c r="D143" s="22" t="s">
        <v>607</v>
      </c>
      <c r="E143" s="22" t="s">
        <v>653</v>
      </c>
      <c r="F143" s="22" t="s">
        <v>138</v>
      </c>
      <c r="G143" s="6">
        <v>220790</v>
      </c>
      <c r="H143" s="22" t="s">
        <v>124</v>
      </c>
      <c r="I143" s="22" t="s">
        <v>116</v>
      </c>
    </row>
    <row r="144" spans="1:9" ht="26.4" customHeight="1" x14ac:dyDescent="0.3">
      <c r="A144" s="65" t="s">
        <v>117</v>
      </c>
      <c r="B144" s="22" t="s">
        <v>94</v>
      </c>
      <c r="C144" s="22" t="s">
        <v>138</v>
      </c>
      <c r="D144" s="22" t="s">
        <v>753</v>
      </c>
      <c r="E144" s="22" t="s">
        <v>94</v>
      </c>
      <c r="F144" s="22" t="s">
        <v>138</v>
      </c>
      <c r="G144" s="6">
        <v>125994</v>
      </c>
      <c r="H144" s="22" t="s">
        <v>124</v>
      </c>
      <c r="I144" s="22" t="s">
        <v>116</v>
      </c>
    </row>
    <row r="145" spans="1:9" ht="26.4" customHeight="1" x14ac:dyDescent="0.3">
      <c r="A145" s="65" t="s">
        <v>184</v>
      </c>
      <c r="B145" s="22" t="s">
        <v>500</v>
      </c>
      <c r="C145" s="22" t="s">
        <v>138</v>
      </c>
      <c r="D145" s="22" t="s">
        <v>504</v>
      </c>
      <c r="E145" s="22" t="s">
        <v>470</v>
      </c>
      <c r="F145" s="22" t="s">
        <v>138</v>
      </c>
      <c r="G145" s="52">
        <v>750</v>
      </c>
      <c r="H145" s="67" t="s">
        <v>999</v>
      </c>
      <c r="I145" s="22" t="s">
        <v>56</v>
      </c>
    </row>
    <row r="146" spans="1:9" ht="26.4" customHeight="1" x14ac:dyDescent="0.3">
      <c r="A146" s="65" t="s">
        <v>184</v>
      </c>
      <c r="B146" s="22" t="s">
        <v>538</v>
      </c>
      <c r="C146" s="22" t="s">
        <v>138</v>
      </c>
      <c r="D146" s="22" t="s">
        <v>544</v>
      </c>
      <c r="E146" s="22" t="s">
        <v>470</v>
      </c>
      <c r="F146" s="22" t="s">
        <v>138</v>
      </c>
      <c r="G146" s="6">
        <v>0</v>
      </c>
      <c r="H146" s="64" t="s">
        <v>891</v>
      </c>
      <c r="I146" s="22" t="s">
        <v>56</v>
      </c>
    </row>
    <row r="147" spans="1:9" ht="26.4" customHeight="1" x14ac:dyDescent="0.3">
      <c r="A147" s="65" t="s">
        <v>184</v>
      </c>
      <c r="B147" s="22" t="s">
        <v>477</v>
      </c>
      <c r="C147" s="22" t="s">
        <v>138</v>
      </c>
      <c r="D147" s="22" t="s">
        <v>611</v>
      </c>
      <c r="E147" s="22" t="s">
        <v>599</v>
      </c>
      <c r="F147" s="22" t="s">
        <v>138</v>
      </c>
      <c r="G147" s="52">
        <v>230</v>
      </c>
      <c r="H147" s="64" t="s">
        <v>999</v>
      </c>
      <c r="I147" s="22" t="s">
        <v>56</v>
      </c>
    </row>
    <row r="148" spans="1:9" ht="26.4" customHeight="1" x14ac:dyDescent="0.3">
      <c r="A148" s="65" t="s">
        <v>184</v>
      </c>
      <c r="B148" s="64" t="s">
        <v>477</v>
      </c>
      <c r="C148" s="64">
        <v>0</v>
      </c>
      <c r="D148" s="64" t="s">
        <v>1000</v>
      </c>
      <c r="E148" s="64" t="s">
        <v>470</v>
      </c>
      <c r="F148" s="64"/>
      <c r="G148" s="52"/>
      <c r="H148" s="64" t="s">
        <v>999</v>
      </c>
      <c r="I148" s="64" t="s">
        <v>56</v>
      </c>
    </row>
    <row r="149" spans="1:9" ht="26.4" customHeight="1" x14ac:dyDescent="0.3">
      <c r="A149" s="65" t="s">
        <v>184</v>
      </c>
      <c r="B149" s="22" t="s">
        <v>538</v>
      </c>
      <c r="C149" s="22" t="s">
        <v>138</v>
      </c>
      <c r="D149" s="22" t="s">
        <v>619</v>
      </c>
      <c r="E149" s="22" t="s">
        <v>599</v>
      </c>
      <c r="F149" s="22" t="s">
        <v>138</v>
      </c>
      <c r="G149" s="52">
        <v>430</v>
      </c>
      <c r="H149" s="64" t="s">
        <v>999</v>
      </c>
      <c r="I149" s="22" t="s">
        <v>56</v>
      </c>
    </row>
    <row r="150" spans="1:9" ht="26.4" customHeight="1" x14ac:dyDescent="0.3">
      <c r="A150" s="65" t="s">
        <v>184</v>
      </c>
      <c r="B150" s="22" t="s">
        <v>538</v>
      </c>
      <c r="C150" s="22" t="s">
        <v>138</v>
      </c>
      <c r="D150" s="22" t="s">
        <v>623</v>
      </c>
      <c r="E150" s="22" t="s">
        <v>599</v>
      </c>
      <c r="F150" s="22" t="s">
        <v>138</v>
      </c>
      <c r="G150" s="52">
        <v>400</v>
      </c>
      <c r="H150" s="64" t="s">
        <v>37</v>
      </c>
      <c r="I150" s="64" t="s">
        <v>37</v>
      </c>
    </row>
    <row r="151" spans="1:9" ht="26.4" customHeight="1" x14ac:dyDescent="0.3">
      <c r="A151" s="65" t="s">
        <v>184</v>
      </c>
      <c r="B151" s="22" t="s">
        <v>477</v>
      </c>
      <c r="C151" s="22" t="s">
        <v>138</v>
      </c>
      <c r="D151" s="22" t="s">
        <v>660</v>
      </c>
      <c r="E151" s="22" t="s">
        <v>653</v>
      </c>
      <c r="F151" s="22" t="s">
        <v>138</v>
      </c>
      <c r="G151" s="52">
        <v>200</v>
      </c>
      <c r="H151" s="64" t="s">
        <v>999</v>
      </c>
      <c r="I151" s="22" t="s">
        <v>56</v>
      </c>
    </row>
    <row r="152" spans="1:9" ht="26.4" customHeight="1" x14ac:dyDescent="0.3">
      <c r="A152" s="65" t="s">
        <v>184</v>
      </c>
      <c r="B152" s="22" t="s">
        <v>477</v>
      </c>
      <c r="C152" s="22" t="s">
        <v>138</v>
      </c>
      <c r="D152" s="22" t="s">
        <v>661</v>
      </c>
      <c r="E152" s="22" t="s">
        <v>653</v>
      </c>
      <c r="F152" s="22" t="s">
        <v>138</v>
      </c>
      <c r="G152" s="52">
        <v>520</v>
      </c>
      <c r="H152" s="64" t="s">
        <v>999</v>
      </c>
      <c r="I152" s="22" t="s">
        <v>56</v>
      </c>
    </row>
    <row r="153" spans="1:9" ht="26.4" customHeight="1" x14ac:dyDescent="0.3">
      <c r="A153" s="65" t="s">
        <v>184</v>
      </c>
      <c r="B153" s="22" t="s">
        <v>477</v>
      </c>
      <c r="C153" s="22" t="s">
        <v>138</v>
      </c>
      <c r="D153" s="22" t="s">
        <v>718</v>
      </c>
      <c r="E153" s="22" t="s">
        <v>94</v>
      </c>
      <c r="F153" s="22" t="s">
        <v>719</v>
      </c>
      <c r="G153" s="52">
        <v>180</v>
      </c>
      <c r="H153" s="64" t="s">
        <v>999</v>
      </c>
      <c r="I153" s="22" t="s">
        <v>56</v>
      </c>
    </row>
    <row r="154" spans="1:9" ht="26.4" customHeight="1" x14ac:dyDescent="0.3">
      <c r="A154" s="65" t="s">
        <v>184</v>
      </c>
      <c r="B154" s="22" t="s">
        <v>538</v>
      </c>
      <c r="C154" s="22" t="s">
        <v>138</v>
      </c>
      <c r="D154" s="22" t="s">
        <v>722</v>
      </c>
      <c r="E154" s="22" t="s">
        <v>94</v>
      </c>
      <c r="F154" s="22" t="s">
        <v>723</v>
      </c>
      <c r="G154" s="52">
        <v>200</v>
      </c>
      <c r="H154" s="64" t="s">
        <v>37</v>
      </c>
      <c r="I154" s="64" t="s">
        <v>37</v>
      </c>
    </row>
    <row r="155" spans="1:9" ht="26.4" customHeight="1" x14ac:dyDescent="0.3">
      <c r="A155" s="65" t="s">
        <v>184</v>
      </c>
      <c r="B155" s="22" t="s">
        <v>538</v>
      </c>
      <c r="C155" s="22" t="s">
        <v>138</v>
      </c>
      <c r="D155" s="22" t="s">
        <v>724</v>
      </c>
      <c r="E155" s="22" t="s">
        <v>94</v>
      </c>
      <c r="F155" s="22" t="s">
        <v>725</v>
      </c>
      <c r="G155" s="52">
        <v>200</v>
      </c>
      <c r="H155" s="64" t="s">
        <v>37</v>
      </c>
      <c r="I155" s="64" t="s">
        <v>37</v>
      </c>
    </row>
    <row r="156" spans="1:9" ht="26.4" customHeight="1" x14ac:dyDescent="0.3">
      <c r="A156" s="65" t="s">
        <v>33</v>
      </c>
      <c r="B156" s="22" t="s">
        <v>468</v>
      </c>
      <c r="C156" s="22" t="s">
        <v>138</v>
      </c>
      <c r="D156" s="22" t="s">
        <v>475</v>
      </c>
      <c r="E156" s="22" t="s">
        <v>470</v>
      </c>
      <c r="F156" s="22" t="s">
        <v>138</v>
      </c>
      <c r="G156" s="6">
        <v>70363</v>
      </c>
      <c r="H156" s="64" t="s">
        <v>1001</v>
      </c>
      <c r="I156" s="22" t="s">
        <v>37</v>
      </c>
    </row>
    <row r="157" spans="1:9" ht="26.4" customHeight="1" x14ac:dyDescent="0.3">
      <c r="A157" s="65" t="s">
        <v>33</v>
      </c>
      <c r="B157" s="22" t="s">
        <v>468</v>
      </c>
      <c r="C157" s="22" t="s">
        <v>138</v>
      </c>
      <c r="D157" s="22" t="s">
        <v>476</v>
      </c>
      <c r="E157" s="22" t="s">
        <v>470</v>
      </c>
      <c r="F157" s="22" t="s">
        <v>138</v>
      </c>
      <c r="G157" s="6">
        <v>34910</v>
      </c>
      <c r="H157" s="22" t="s">
        <v>37</v>
      </c>
      <c r="I157" s="22" t="s">
        <v>37</v>
      </c>
    </row>
    <row r="158" spans="1:9" ht="26.4" customHeight="1" x14ac:dyDescent="0.3">
      <c r="A158" s="65" t="s">
        <v>33</v>
      </c>
      <c r="B158" s="22" t="s">
        <v>479</v>
      </c>
      <c r="C158" s="22" t="s">
        <v>138</v>
      </c>
      <c r="D158" s="22" t="s">
        <v>490</v>
      </c>
      <c r="E158" s="22" t="s">
        <v>470</v>
      </c>
      <c r="F158" s="22" t="s">
        <v>138</v>
      </c>
      <c r="G158" s="6">
        <v>17203</v>
      </c>
      <c r="H158" s="64" t="s">
        <v>1002</v>
      </c>
      <c r="I158" s="22" t="s">
        <v>491</v>
      </c>
    </row>
    <row r="159" spans="1:9" ht="26.4" customHeight="1" x14ac:dyDescent="0.3">
      <c r="A159" s="65" t="s">
        <v>33</v>
      </c>
      <c r="B159" s="22" t="s">
        <v>500</v>
      </c>
      <c r="C159" s="22" t="s">
        <v>138</v>
      </c>
      <c r="D159" s="22" t="s">
        <v>517</v>
      </c>
      <c r="E159" s="22" t="s">
        <v>470</v>
      </c>
      <c r="F159" s="22" t="s">
        <v>138</v>
      </c>
      <c r="G159" s="6">
        <v>10000</v>
      </c>
      <c r="H159" s="22" t="s">
        <v>39</v>
      </c>
      <c r="I159" s="22" t="s">
        <v>37</v>
      </c>
    </row>
    <row r="160" spans="1:9" ht="26.4" customHeight="1" x14ac:dyDescent="0.3">
      <c r="A160" s="65" t="s">
        <v>33</v>
      </c>
      <c r="B160" s="22" t="s">
        <v>500</v>
      </c>
      <c r="C160" s="22" t="s">
        <v>138</v>
      </c>
      <c r="D160" s="22" t="s">
        <v>518</v>
      </c>
      <c r="E160" s="22" t="s">
        <v>470</v>
      </c>
      <c r="F160" s="22" t="s">
        <v>138</v>
      </c>
      <c r="G160" s="6">
        <v>194000</v>
      </c>
      <c r="H160" s="22" t="s">
        <v>39</v>
      </c>
      <c r="I160" s="22" t="s">
        <v>37</v>
      </c>
    </row>
    <row r="161" spans="1:9" ht="26.4" customHeight="1" x14ac:dyDescent="0.3">
      <c r="A161" s="65" t="s">
        <v>33</v>
      </c>
      <c r="B161" s="22" t="s">
        <v>538</v>
      </c>
      <c r="C161" s="22" t="s">
        <v>138</v>
      </c>
      <c r="D161" s="22" t="s">
        <v>542</v>
      </c>
      <c r="E161" s="22" t="s">
        <v>470</v>
      </c>
      <c r="F161" s="22" t="s">
        <v>138</v>
      </c>
      <c r="G161" s="6">
        <v>20000</v>
      </c>
      <c r="H161" s="22" t="s">
        <v>39</v>
      </c>
      <c r="I161" s="22" t="s">
        <v>37</v>
      </c>
    </row>
    <row r="162" spans="1:9" ht="26.4" customHeight="1" x14ac:dyDescent="0.3">
      <c r="A162" s="65" t="s">
        <v>33</v>
      </c>
      <c r="B162" s="22" t="s">
        <v>538</v>
      </c>
      <c r="C162" s="22" t="s">
        <v>138</v>
      </c>
      <c r="D162" s="22" t="s">
        <v>547</v>
      </c>
      <c r="E162" s="22" t="s">
        <v>470</v>
      </c>
      <c r="F162" s="22" t="s">
        <v>138</v>
      </c>
      <c r="G162" s="6">
        <v>10000</v>
      </c>
      <c r="H162" s="22" t="s">
        <v>37</v>
      </c>
      <c r="I162" s="22" t="s">
        <v>37</v>
      </c>
    </row>
    <row r="163" spans="1:9" ht="26.4" customHeight="1" x14ac:dyDescent="0.3">
      <c r="A163" s="65" t="s">
        <v>33</v>
      </c>
      <c r="B163" s="22" t="s">
        <v>538</v>
      </c>
      <c r="C163" s="22" t="s">
        <v>138</v>
      </c>
      <c r="D163" s="22" t="s">
        <v>548</v>
      </c>
      <c r="E163" s="22" t="s">
        <v>470</v>
      </c>
      <c r="F163" s="22" t="s">
        <v>138</v>
      </c>
      <c r="G163" s="6">
        <v>10000</v>
      </c>
      <c r="H163" s="22" t="s">
        <v>39</v>
      </c>
      <c r="I163" s="22" t="s">
        <v>37</v>
      </c>
    </row>
    <row r="164" spans="1:9" ht="26.4" customHeight="1" x14ac:dyDescent="0.3">
      <c r="A164" s="65" t="s">
        <v>33</v>
      </c>
      <c r="B164" s="22" t="s">
        <v>538</v>
      </c>
      <c r="C164" s="22" t="s">
        <v>138</v>
      </c>
      <c r="D164" s="22" t="s">
        <v>550</v>
      </c>
      <c r="E164" s="22" t="s">
        <v>470</v>
      </c>
      <c r="F164" s="22" t="s">
        <v>138</v>
      </c>
      <c r="G164" s="6">
        <v>5353</v>
      </c>
      <c r="H164" s="22" t="s">
        <v>39</v>
      </c>
      <c r="I164" s="22" t="s">
        <v>37</v>
      </c>
    </row>
    <row r="165" spans="1:9" ht="26.4" customHeight="1" x14ac:dyDescent="0.3">
      <c r="A165" s="65" t="s">
        <v>33</v>
      </c>
      <c r="B165" s="22" t="s">
        <v>94</v>
      </c>
      <c r="C165" s="22" t="s">
        <v>572</v>
      </c>
      <c r="D165" s="22" t="s">
        <v>573</v>
      </c>
      <c r="E165" s="22" t="s">
        <v>470</v>
      </c>
      <c r="F165" s="22" t="s">
        <v>138</v>
      </c>
      <c r="G165" s="6">
        <v>19222</v>
      </c>
      <c r="H165" s="22" t="s">
        <v>37</v>
      </c>
      <c r="I165" s="22" t="s">
        <v>37</v>
      </c>
    </row>
    <row r="166" spans="1:9" ht="26.4" customHeight="1" x14ac:dyDescent="0.3">
      <c r="A166" s="65" t="s">
        <v>33</v>
      </c>
      <c r="B166" s="22" t="s">
        <v>538</v>
      </c>
      <c r="C166" s="22" t="s">
        <v>138</v>
      </c>
      <c r="D166" s="22" t="s">
        <v>594</v>
      </c>
      <c r="E166" s="22" t="s">
        <v>593</v>
      </c>
      <c r="F166" s="22" t="s">
        <v>138</v>
      </c>
      <c r="G166" s="6">
        <v>13019</v>
      </c>
      <c r="H166" s="64" t="s">
        <v>1003</v>
      </c>
      <c r="I166" s="22" t="s">
        <v>37</v>
      </c>
    </row>
    <row r="167" spans="1:9" ht="26.4" customHeight="1" x14ac:dyDescent="0.3">
      <c r="A167" s="65" t="s">
        <v>33</v>
      </c>
      <c r="B167" s="22" t="s">
        <v>468</v>
      </c>
      <c r="C167" s="22" t="s">
        <v>138</v>
      </c>
      <c r="D167" s="22" t="s">
        <v>595</v>
      </c>
      <c r="E167" s="22" t="s">
        <v>593</v>
      </c>
      <c r="F167" s="22" t="s">
        <v>138</v>
      </c>
      <c r="G167" s="6">
        <v>20000</v>
      </c>
      <c r="H167" s="64" t="s">
        <v>865</v>
      </c>
      <c r="I167" s="64" t="s">
        <v>865</v>
      </c>
    </row>
    <row r="168" spans="1:9" ht="26.4" customHeight="1" x14ac:dyDescent="0.3">
      <c r="A168" s="65" t="s">
        <v>33</v>
      </c>
      <c r="B168" s="22" t="s">
        <v>538</v>
      </c>
      <c r="C168" s="22" t="s">
        <v>138</v>
      </c>
      <c r="D168" s="22" t="s">
        <v>596</v>
      </c>
      <c r="E168" s="22" t="s">
        <v>593</v>
      </c>
      <c r="F168" s="22" t="s">
        <v>138</v>
      </c>
      <c r="G168" s="6">
        <v>30000</v>
      </c>
      <c r="H168" s="22" t="s">
        <v>37</v>
      </c>
      <c r="I168" s="22" t="s">
        <v>37</v>
      </c>
    </row>
    <row r="169" spans="1:9" ht="26.4" customHeight="1" x14ac:dyDescent="0.3">
      <c r="A169" s="65" t="s">
        <v>33</v>
      </c>
      <c r="B169" s="22" t="s">
        <v>508</v>
      </c>
      <c r="C169" s="22" t="s">
        <v>138</v>
      </c>
      <c r="D169" s="22" t="s">
        <v>612</v>
      </c>
      <c r="E169" s="22" t="s">
        <v>599</v>
      </c>
      <c r="F169" s="22" t="s">
        <v>138</v>
      </c>
      <c r="G169" s="6">
        <v>5000</v>
      </c>
      <c r="H169" s="22" t="s">
        <v>39</v>
      </c>
      <c r="I169" s="22" t="s">
        <v>37</v>
      </c>
    </row>
    <row r="170" spans="1:9" ht="26.4" customHeight="1" x14ac:dyDescent="0.3">
      <c r="A170" s="65" t="s">
        <v>33</v>
      </c>
      <c r="B170" s="22" t="s">
        <v>508</v>
      </c>
      <c r="C170" s="22" t="s">
        <v>138</v>
      </c>
      <c r="D170" s="22" t="s">
        <v>615</v>
      </c>
      <c r="E170" s="22" t="s">
        <v>599</v>
      </c>
      <c r="F170" s="22" t="s">
        <v>138</v>
      </c>
      <c r="G170" s="6">
        <v>36600</v>
      </c>
      <c r="H170" s="22" t="s">
        <v>37</v>
      </c>
      <c r="I170" s="22" t="s">
        <v>37</v>
      </c>
    </row>
    <row r="171" spans="1:9" ht="26.4" customHeight="1" x14ac:dyDescent="0.3">
      <c r="A171" s="65" t="s">
        <v>33</v>
      </c>
      <c r="B171" s="22" t="s">
        <v>508</v>
      </c>
      <c r="C171" s="22" t="s">
        <v>138</v>
      </c>
      <c r="D171" s="22" t="s">
        <v>618</v>
      </c>
      <c r="E171" s="22" t="s">
        <v>599</v>
      </c>
      <c r="F171" s="22" t="s">
        <v>138</v>
      </c>
      <c r="G171" s="6">
        <v>29000</v>
      </c>
      <c r="H171" s="22" t="s">
        <v>39</v>
      </c>
      <c r="I171" s="22" t="s">
        <v>37</v>
      </c>
    </row>
    <row r="172" spans="1:9" ht="26.4" customHeight="1" x14ac:dyDescent="0.3">
      <c r="A172" s="65" t="s">
        <v>33</v>
      </c>
      <c r="B172" s="22" t="s">
        <v>538</v>
      </c>
      <c r="C172" s="22" t="s">
        <v>138</v>
      </c>
      <c r="D172" s="22" t="s">
        <v>621</v>
      </c>
      <c r="E172" s="22" t="s">
        <v>599</v>
      </c>
      <c r="F172" s="22" t="s">
        <v>138</v>
      </c>
      <c r="G172" s="6">
        <v>30656</v>
      </c>
      <c r="H172" s="64" t="s">
        <v>1004</v>
      </c>
      <c r="I172" s="22" t="s">
        <v>37</v>
      </c>
    </row>
    <row r="173" spans="1:9" ht="26.4" customHeight="1" x14ac:dyDescent="0.3">
      <c r="A173" s="65" t="s">
        <v>33</v>
      </c>
      <c r="B173" s="22" t="s">
        <v>500</v>
      </c>
      <c r="C173" s="22" t="s">
        <v>138</v>
      </c>
      <c r="D173" s="22" t="s">
        <v>649</v>
      </c>
      <c r="E173" s="22" t="s">
        <v>646</v>
      </c>
      <c r="F173" s="22" t="s">
        <v>138</v>
      </c>
      <c r="G173" s="6">
        <v>15000</v>
      </c>
      <c r="H173" s="22" t="s">
        <v>39</v>
      </c>
      <c r="I173" s="22" t="s">
        <v>37</v>
      </c>
    </row>
    <row r="174" spans="1:9" ht="26.4" customHeight="1" x14ac:dyDescent="0.3">
      <c r="A174" s="65" t="s">
        <v>33</v>
      </c>
      <c r="B174" s="22" t="s">
        <v>508</v>
      </c>
      <c r="C174" s="22" t="s">
        <v>138</v>
      </c>
      <c r="D174" s="22" t="s">
        <v>662</v>
      </c>
      <c r="E174" s="22" t="s">
        <v>653</v>
      </c>
      <c r="F174" s="22" t="s">
        <v>138</v>
      </c>
      <c r="G174" s="6">
        <v>20000</v>
      </c>
      <c r="H174" s="22" t="s">
        <v>37</v>
      </c>
      <c r="I174" s="22" t="s">
        <v>37</v>
      </c>
    </row>
    <row r="175" spans="1:9" ht="26.4" customHeight="1" x14ac:dyDescent="0.3">
      <c r="A175" s="65" t="s">
        <v>33</v>
      </c>
      <c r="B175" s="22" t="s">
        <v>508</v>
      </c>
      <c r="C175" s="22" t="s">
        <v>138</v>
      </c>
      <c r="D175" s="22" t="s">
        <v>670</v>
      </c>
      <c r="E175" s="22" t="s">
        <v>653</v>
      </c>
      <c r="F175" s="22" t="s">
        <v>138</v>
      </c>
      <c r="G175" s="6">
        <v>21065</v>
      </c>
      <c r="H175" s="22" t="s">
        <v>37</v>
      </c>
      <c r="I175" s="22" t="s">
        <v>37</v>
      </c>
    </row>
    <row r="176" spans="1:9" ht="26.4" customHeight="1" x14ac:dyDescent="0.3">
      <c r="A176" s="65" t="s">
        <v>33</v>
      </c>
      <c r="B176" s="22" t="s">
        <v>508</v>
      </c>
      <c r="C176" s="22" t="s">
        <v>138</v>
      </c>
      <c r="D176" s="22" t="s">
        <v>672</v>
      </c>
      <c r="E176" s="22" t="s">
        <v>653</v>
      </c>
      <c r="F176" s="22" t="s">
        <v>138</v>
      </c>
      <c r="G176" s="6">
        <v>15000</v>
      </c>
      <c r="H176" s="22" t="s">
        <v>39</v>
      </c>
      <c r="I176" s="22" t="s">
        <v>37</v>
      </c>
    </row>
    <row r="177" spans="1:9" ht="26.4" customHeight="1" x14ac:dyDescent="0.3">
      <c r="A177" s="65" t="s">
        <v>33</v>
      </c>
      <c r="B177" s="22" t="s">
        <v>94</v>
      </c>
      <c r="C177" s="22" t="s">
        <v>554</v>
      </c>
      <c r="D177" s="22" t="s">
        <v>702</v>
      </c>
      <c r="E177" s="22" t="s">
        <v>94</v>
      </c>
      <c r="F177" s="22" t="s">
        <v>138</v>
      </c>
      <c r="G177" s="6">
        <v>23000</v>
      </c>
      <c r="H177" s="22" t="s">
        <v>39</v>
      </c>
      <c r="I177" s="22" t="s">
        <v>37</v>
      </c>
    </row>
    <row r="178" spans="1:9" ht="26.4" customHeight="1" x14ac:dyDescent="0.3">
      <c r="A178" s="65" t="s">
        <v>60</v>
      </c>
      <c r="B178" s="22" t="s">
        <v>468</v>
      </c>
      <c r="C178" s="22" t="s">
        <v>138</v>
      </c>
      <c r="D178" s="22" t="s">
        <v>474</v>
      </c>
      <c r="E178" s="22" t="s">
        <v>470</v>
      </c>
      <c r="F178" s="22" t="s">
        <v>138</v>
      </c>
      <c r="G178" s="6">
        <v>344236</v>
      </c>
      <c r="H178" s="22" t="s">
        <v>67</v>
      </c>
      <c r="I178" s="22" t="s">
        <v>56</v>
      </c>
    </row>
    <row r="179" spans="1:9" ht="26.4" customHeight="1" x14ac:dyDescent="0.3">
      <c r="A179" s="65" t="s">
        <v>60</v>
      </c>
      <c r="B179" s="22" t="s">
        <v>479</v>
      </c>
      <c r="C179" s="22" t="s">
        <v>138</v>
      </c>
      <c r="D179" s="22" t="s">
        <v>487</v>
      </c>
      <c r="E179" s="22" t="s">
        <v>470</v>
      </c>
      <c r="F179" s="22" t="s">
        <v>138</v>
      </c>
      <c r="G179" s="6">
        <v>47296</v>
      </c>
      <c r="H179" s="64" t="s">
        <v>1005</v>
      </c>
      <c r="I179" s="22" t="s">
        <v>56</v>
      </c>
    </row>
    <row r="180" spans="1:9" ht="26.4" customHeight="1" x14ac:dyDescent="0.3">
      <c r="A180" s="65" t="s">
        <v>60</v>
      </c>
      <c r="B180" s="22" t="s">
        <v>500</v>
      </c>
      <c r="C180" s="22" t="s">
        <v>138</v>
      </c>
      <c r="D180" s="22" t="s">
        <v>501</v>
      </c>
      <c r="E180" s="64" t="s">
        <v>94</v>
      </c>
      <c r="F180" s="64" t="s">
        <v>1006</v>
      </c>
      <c r="G180" s="6">
        <v>5000</v>
      </c>
      <c r="H180" s="22" t="s">
        <v>37</v>
      </c>
      <c r="I180" s="22" t="s">
        <v>37</v>
      </c>
    </row>
    <row r="181" spans="1:9" ht="26.4" customHeight="1" x14ac:dyDescent="0.3">
      <c r="A181" s="65" t="s">
        <v>60</v>
      </c>
      <c r="B181" s="22" t="s">
        <v>500</v>
      </c>
      <c r="C181" s="22" t="s">
        <v>138</v>
      </c>
      <c r="D181" s="64" t="s">
        <v>1010</v>
      </c>
      <c r="E181" s="64" t="s">
        <v>94</v>
      </c>
      <c r="F181" s="64" t="s">
        <v>1007</v>
      </c>
      <c r="G181" s="6">
        <v>0</v>
      </c>
      <c r="H181" s="64" t="s">
        <v>1008</v>
      </c>
      <c r="I181" s="22" t="s">
        <v>56</v>
      </c>
    </row>
    <row r="182" spans="1:9" ht="26.4" customHeight="1" x14ac:dyDescent="0.3">
      <c r="A182" s="65" t="s">
        <v>60</v>
      </c>
      <c r="B182" s="22" t="s">
        <v>500</v>
      </c>
      <c r="C182" s="22" t="s">
        <v>138</v>
      </c>
      <c r="D182" s="22" t="s">
        <v>507</v>
      </c>
      <c r="E182" s="64" t="s">
        <v>94</v>
      </c>
      <c r="F182" s="64" t="s">
        <v>1007</v>
      </c>
      <c r="G182" s="6">
        <v>0</v>
      </c>
      <c r="H182" s="64" t="s">
        <v>1009</v>
      </c>
      <c r="I182" s="22" t="s">
        <v>56</v>
      </c>
    </row>
    <row r="183" spans="1:9" ht="26.4" customHeight="1" x14ac:dyDescent="0.3">
      <c r="A183" s="65" t="s">
        <v>60</v>
      </c>
      <c r="B183" s="22" t="s">
        <v>500</v>
      </c>
      <c r="C183" s="22" t="s">
        <v>138</v>
      </c>
      <c r="D183" s="22" t="s">
        <v>509</v>
      </c>
      <c r="E183" s="22" t="s">
        <v>470</v>
      </c>
      <c r="F183" s="22" t="s">
        <v>138</v>
      </c>
      <c r="G183" s="6">
        <v>1296</v>
      </c>
      <c r="H183" s="22" t="s">
        <v>63</v>
      </c>
      <c r="I183" s="22" t="s">
        <v>56</v>
      </c>
    </row>
    <row r="184" spans="1:9" ht="26.4" customHeight="1" x14ac:dyDescent="0.3">
      <c r="A184" s="65" t="s">
        <v>60</v>
      </c>
      <c r="B184" s="22" t="s">
        <v>500</v>
      </c>
      <c r="C184" s="22" t="s">
        <v>138</v>
      </c>
      <c r="D184" s="22" t="s">
        <v>511</v>
      </c>
      <c r="E184" s="64" t="s">
        <v>593</v>
      </c>
      <c r="F184" s="22" t="s">
        <v>138</v>
      </c>
      <c r="G184" s="6">
        <v>1000</v>
      </c>
      <c r="H184" s="22" t="s">
        <v>37</v>
      </c>
      <c r="I184" s="22" t="s">
        <v>37</v>
      </c>
    </row>
    <row r="185" spans="1:9" ht="26.4" customHeight="1" x14ac:dyDescent="0.3">
      <c r="A185" s="65" t="s">
        <v>60</v>
      </c>
      <c r="B185" s="22" t="s">
        <v>500</v>
      </c>
      <c r="C185" s="22" t="s">
        <v>138</v>
      </c>
      <c r="D185" s="22" t="s">
        <v>512</v>
      </c>
      <c r="E185" s="22" t="s">
        <v>470</v>
      </c>
      <c r="F185" s="22" t="s">
        <v>138</v>
      </c>
      <c r="G185" s="6">
        <v>17480</v>
      </c>
      <c r="H185" s="22" t="s">
        <v>63</v>
      </c>
      <c r="I185" s="22" t="s">
        <v>56</v>
      </c>
    </row>
    <row r="186" spans="1:9" ht="26.4" customHeight="1" x14ac:dyDescent="0.3">
      <c r="A186" s="65" t="s">
        <v>60</v>
      </c>
      <c r="B186" s="22" t="s">
        <v>500</v>
      </c>
      <c r="C186" s="22" t="s">
        <v>138</v>
      </c>
      <c r="D186" s="22" t="s">
        <v>513</v>
      </c>
      <c r="E186" s="22" t="s">
        <v>470</v>
      </c>
      <c r="F186" s="22" t="s">
        <v>138</v>
      </c>
      <c r="G186" s="6">
        <v>5000</v>
      </c>
      <c r="H186" s="22" t="s">
        <v>67</v>
      </c>
      <c r="I186" s="22" t="s">
        <v>56</v>
      </c>
    </row>
    <row r="187" spans="1:9" ht="26.4" customHeight="1" x14ac:dyDescent="0.3">
      <c r="A187" s="65" t="s">
        <v>60</v>
      </c>
      <c r="B187" s="22" t="s">
        <v>500</v>
      </c>
      <c r="C187" s="22" t="s">
        <v>138</v>
      </c>
      <c r="D187" s="22" t="s">
        <v>514</v>
      </c>
      <c r="E187" s="22" t="s">
        <v>470</v>
      </c>
      <c r="F187" s="22" t="s">
        <v>138</v>
      </c>
      <c r="G187" s="6">
        <v>21731</v>
      </c>
      <c r="H187" s="64" t="s">
        <v>1011</v>
      </c>
      <c r="I187" s="64" t="s">
        <v>56</v>
      </c>
    </row>
    <row r="188" spans="1:9" ht="26.4" customHeight="1" x14ac:dyDescent="0.3">
      <c r="A188" s="65" t="s">
        <v>60</v>
      </c>
      <c r="B188" s="22" t="s">
        <v>500</v>
      </c>
      <c r="C188" s="22" t="s">
        <v>138</v>
      </c>
      <c r="D188" s="22" t="s">
        <v>521</v>
      </c>
      <c r="E188" s="64" t="s">
        <v>94</v>
      </c>
      <c r="F188" s="64" t="s">
        <v>1012</v>
      </c>
      <c r="G188" s="6">
        <v>0</v>
      </c>
      <c r="H188" s="22" t="s">
        <v>67</v>
      </c>
      <c r="I188" s="22" t="s">
        <v>56</v>
      </c>
    </row>
    <row r="189" spans="1:9" ht="26.4" customHeight="1" x14ac:dyDescent="0.3">
      <c r="A189" s="65" t="s">
        <v>60</v>
      </c>
      <c r="B189" s="22" t="s">
        <v>94</v>
      </c>
      <c r="C189" s="22" t="s">
        <v>557</v>
      </c>
      <c r="D189" s="64" t="s">
        <v>1014</v>
      </c>
      <c r="E189" s="22" t="s">
        <v>470</v>
      </c>
      <c r="F189" s="22" t="s">
        <v>138</v>
      </c>
      <c r="G189" s="6">
        <v>23500</v>
      </c>
      <c r="H189" s="64" t="s">
        <v>1013</v>
      </c>
      <c r="I189" s="22" t="s">
        <v>56</v>
      </c>
    </row>
    <row r="190" spans="1:9" ht="26.4" customHeight="1" x14ac:dyDescent="0.3">
      <c r="A190" s="65" t="s">
        <v>60</v>
      </c>
      <c r="B190" s="22" t="s">
        <v>94</v>
      </c>
      <c r="C190" s="22" t="s">
        <v>558</v>
      </c>
      <c r="D190" s="22" t="s">
        <v>559</v>
      </c>
      <c r="E190" s="22" t="s">
        <v>470</v>
      </c>
      <c r="F190" s="22" t="s">
        <v>138</v>
      </c>
      <c r="G190" s="6">
        <v>52842</v>
      </c>
      <c r="H190" s="64" t="s">
        <v>1016</v>
      </c>
      <c r="I190" s="22" t="s">
        <v>56</v>
      </c>
    </row>
    <row r="191" spans="1:9" ht="26.4" customHeight="1" x14ac:dyDescent="0.3">
      <c r="A191" s="65" t="s">
        <v>60</v>
      </c>
      <c r="B191" s="22" t="s">
        <v>94</v>
      </c>
      <c r="C191" s="22" t="s">
        <v>560</v>
      </c>
      <c r="D191" s="64" t="s">
        <v>1015</v>
      </c>
      <c r="E191" s="22" t="s">
        <v>470</v>
      </c>
      <c r="F191" s="22" t="s">
        <v>138</v>
      </c>
      <c r="G191" s="6">
        <v>16700</v>
      </c>
      <c r="H191" s="64" t="s">
        <v>1016</v>
      </c>
      <c r="I191" s="22" t="s">
        <v>56</v>
      </c>
    </row>
    <row r="192" spans="1:9" ht="26.4" customHeight="1" x14ac:dyDescent="0.3">
      <c r="A192" s="65" t="s">
        <v>60</v>
      </c>
      <c r="B192" s="22" t="s">
        <v>94</v>
      </c>
      <c r="C192" s="22" t="s">
        <v>138</v>
      </c>
      <c r="D192" s="22" t="s">
        <v>563</v>
      </c>
      <c r="E192" s="22" t="s">
        <v>470</v>
      </c>
      <c r="F192" s="22" t="s">
        <v>138</v>
      </c>
      <c r="G192" s="6">
        <v>15000</v>
      </c>
      <c r="H192" s="22" t="s">
        <v>67</v>
      </c>
      <c r="I192" s="22" t="s">
        <v>56</v>
      </c>
    </row>
    <row r="193" spans="1:9" ht="26.4" customHeight="1" x14ac:dyDescent="0.3">
      <c r="A193" s="65" t="s">
        <v>60</v>
      </c>
      <c r="B193" s="22" t="s">
        <v>94</v>
      </c>
      <c r="C193" s="22" t="s">
        <v>577</v>
      </c>
      <c r="D193" s="64" t="s">
        <v>1018</v>
      </c>
      <c r="E193" s="22" t="s">
        <v>94</v>
      </c>
      <c r="F193" s="22" t="s">
        <v>1017</v>
      </c>
      <c r="G193" s="6">
        <v>6950</v>
      </c>
      <c r="H193" s="64" t="s">
        <v>1016</v>
      </c>
      <c r="I193" s="22" t="s">
        <v>56</v>
      </c>
    </row>
    <row r="194" spans="1:9" ht="26.4" customHeight="1" x14ac:dyDescent="0.3">
      <c r="A194" s="65" t="s">
        <v>60</v>
      </c>
      <c r="B194" s="22" t="s">
        <v>477</v>
      </c>
      <c r="C194" s="22" t="s">
        <v>138</v>
      </c>
      <c r="D194" s="22" t="s">
        <v>582</v>
      </c>
      <c r="E194" s="22" t="s">
        <v>470</v>
      </c>
      <c r="F194" s="22" t="s">
        <v>138</v>
      </c>
      <c r="G194" s="6">
        <v>21100</v>
      </c>
      <c r="H194" s="64" t="s">
        <v>1019</v>
      </c>
      <c r="I194" s="22" t="s">
        <v>56</v>
      </c>
    </row>
    <row r="195" spans="1:9" ht="26.4" customHeight="1" x14ac:dyDescent="0.3">
      <c r="A195" s="65" t="s">
        <v>60</v>
      </c>
      <c r="B195" s="22" t="s">
        <v>94</v>
      </c>
      <c r="C195" s="22" t="s">
        <v>600</v>
      </c>
      <c r="D195" s="22" t="s">
        <v>601</v>
      </c>
      <c r="E195" s="22" t="s">
        <v>599</v>
      </c>
      <c r="F195" s="22" t="s">
        <v>138</v>
      </c>
      <c r="G195" s="6">
        <v>12197</v>
      </c>
      <c r="H195" s="22" t="s">
        <v>37</v>
      </c>
      <c r="I195" s="22" t="s">
        <v>37</v>
      </c>
    </row>
    <row r="196" spans="1:9" ht="26.4" customHeight="1" x14ac:dyDescent="0.3">
      <c r="A196" s="65" t="s">
        <v>60</v>
      </c>
      <c r="B196" s="22" t="s">
        <v>477</v>
      </c>
      <c r="C196" s="22" t="s">
        <v>138</v>
      </c>
      <c r="D196" s="22" t="s">
        <v>604</v>
      </c>
      <c r="E196" s="22" t="s">
        <v>599</v>
      </c>
      <c r="F196" s="22" t="s">
        <v>138</v>
      </c>
      <c r="G196" s="6">
        <v>36017</v>
      </c>
      <c r="H196" s="22" t="s">
        <v>37</v>
      </c>
      <c r="I196" s="22" t="s">
        <v>37</v>
      </c>
    </row>
    <row r="197" spans="1:9" ht="26.4" customHeight="1" x14ac:dyDescent="0.3">
      <c r="A197" s="65" t="s">
        <v>60</v>
      </c>
      <c r="B197" s="22" t="s">
        <v>94</v>
      </c>
      <c r="C197" s="22" t="s">
        <v>605</v>
      </c>
      <c r="D197" s="22" t="s">
        <v>606</v>
      </c>
      <c r="E197" s="22" t="s">
        <v>599</v>
      </c>
      <c r="F197" s="22" t="s">
        <v>138</v>
      </c>
      <c r="G197" s="6">
        <v>3265</v>
      </c>
      <c r="H197" s="64" t="s">
        <v>1020</v>
      </c>
      <c r="I197" s="22" t="s">
        <v>56</v>
      </c>
    </row>
    <row r="198" spans="1:9" ht="26.4" customHeight="1" x14ac:dyDescent="0.3">
      <c r="A198" s="65" t="s">
        <v>60</v>
      </c>
      <c r="B198" s="22" t="s">
        <v>508</v>
      </c>
      <c r="C198" s="22" t="s">
        <v>138</v>
      </c>
      <c r="D198" s="22" t="s">
        <v>622</v>
      </c>
      <c r="E198" s="22" t="s">
        <v>599</v>
      </c>
      <c r="F198" s="22" t="s">
        <v>138</v>
      </c>
      <c r="G198" s="6">
        <v>2000</v>
      </c>
      <c r="H198" s="22" t="s">
        <v>67</v>
      </c>
      <c r="I198" s="22" t="s">
        <v>56</v>
      </c>
    </row>
    <row r="199" spans="1:9" ht="26.4" customHeight="1" x14ac:dyDescent="0.3">
      <c r="A199" s="65" t="s">
        <v>60</v>
      </c>
      <c r="B199" s="22" t="s">
        <v>528</v>
      </c>
      <c r="C199" s="22" t="s">
        <v>138</v>
      </c>
      <c r="D199" s="22" t="s">
        <v>636</v>
      </c>
      <c r="E199" s="22" t="s">
        <v>626</v>
      </c>
      <c r="F199" s="22" t="s">
        <v>138</v>
      </c>
      <c r="G199" s="6">
        <v>12036</v>
      </c>
      <c r="H199" s="64" t="s">
        <v>1011</v>
      </c>
      <c r="I199" s="22" t="s">
        <v>56</v>
      </c>
    </row>
    <row r="200" spans="1:9" ht="26.4" customHeight="1" x14ac:dyDescent="0.3">
      <c r="A200" s="65" t="s">
        <v>60</v>
      </c>
      <c r="B200" s="22" t="s">
        <v>94</v>
      </c>
      <c r="C200" s="22" t="s">
        <v>640</v>
      </c>
      <c r="D200" s="64" t="s">
        <v>1021</v>
      </c>
      <c r="E200" s="22" t="s">
        <v>626</v>
      </c>
      <c r="F200" s="22" t="s">
        <v>138</v>
      </c>
      <c r="G200" s="6">
        <v>19639</v>
      </c>
      <c r="H200" s="22" t="s">
        <v>67</v>
      </c>
      <c r="I200" s="22" t="s">
        <v>56</v>
      </c>
    </row>
    <row r="201" spans="1:9" ht="26.4" customHeight="1" x14ac:dyDescent="0.3">
      <c r="A201" s="65" t="s">
        <v>60</v>
      </c>
      <c r="B201" s="22" t="s">
        <v>94</v>
      </c>
      <c r="C201" s="22" t="s">
        <v>642</v>
      </c>
      <c r="D201" s="64" t="s">
        <v>1022</v>
      </c>
      <c r="E201" s="22" t="s">
        <v>626</v>
      </c>
      <c r="F201" s="22" t="s">
        <v>138</v>
      </c>
      <c r="G201" s="6">
        <v>10000</v>
      </c>
      <c r="H201" s="22" t="s">
        <v>67</v>
      </c>
      <c r="I201" s="22" t="s">
        <v>56</v>
      </c>
    </row>
    <row r="202" spans="1:9" ht="26.4" customHeight="1" x14ac:dyDescent="0.3">
      <c r="A202" s="65" t="s">
        <v>60</v>
      </c>
      <c r="B202" s="22" t="s">
        <v>508</v>
      </c>
      <c r="C202" s="22" t="s">
        <v>138</v>
      </c>
      <c r="D202" s="22" t="s">
        <v>667</v>
      </c>
      <c r="E202" s="22" t="s">
        <v>653</v>
      </c>
      <c r="F202" s="22" t="s">
        <v>138</v>
      </c>
      <c r="G202" s="6">
        <v>24900</v>
      </c>
      <c r="H202" s="64" t="s">
        <v>1023</v>
      </c>
      <c r="I202" s="22" t="s">
        <v>56</v>
      </c>
    </row>
    <row r="203" spans="1:9" ht="26.4" customHeight="1" x14ac:dyDescent="0.3">
      <c r="A203" s="65" t="s">
        <v>60</v>
      </c>
      <c r="B203" s="22" t="s">
        <v>508</v>
      </c>
      <c r="C203" s="22" t="s">
        <v>138</v>
      </c>
      <c r="D203" s="22" t="s">
        <v>671</v>
      </c>
      <c r="E203" s="22" t="s">
        <v>653</v>
      </c>
      <c r="F203" s="22" t="s">
        <v>138</v>
      </c>
      <c r="G203" s="6">
        <v>43608</v>
      </c>
      <c r="H203" s="64" t="s">
        <v>1024</v>
      </c>
      <c r="I203" s="22" t="s">
        <v>56</v>
      </c>
    </row>
    <row r="204" spans="1:9" ht="26.4" customHeight="1" x14ac:dyDescent="0.3">
      <c r="A204" s="65" t="s">
        <v>60</v>
      </c>
      <c r="B204" s="22" t="s">
        <v>508</v>
      </c>
      <c r="C204" s="22" t="s">
        <v>138</v>
      </c>
      <c r="D204" s="22" t="s">
        <v>676</v>
      </c>
      <c r="E204" s="22" t="s">
        <v>653</v>
      </c>
      <c r="F204" s="22" t="s">
        <v>138</v>
      </c>
      <c r="G204" s="6">
        <v>3000</v>
      </c>
      <c r="H204" s="22" t="s">
        <v>67</v>
      </c>
      <c r="I204" s="22" t="s">
        <v>56</v>
      </c>
    </row>
    <row r="205" spans="1:9" ht="26.4" customHeight="1" x14ac:dyDescent="0.3">
      <c r="A205" s="65" t="s">
        <v>60</v>
      </c>
      <c r="B205" s="22" t="s">
        <v>94</v>
      </c>
      <c r="C205" s="22" t="s">
        <v>686</v>
      </c>
      <c r="D205" s="22" t="s">
        <v>687</v>
      </c>
      <c r="E205" s="22" t="s">
        <v>94</v>
      </c>
      <c r="F205" s="22" t="s">
        <v>688</v>
      </c>
      <c r="G205" s="6">
        <v>599144</v>
      </c>
      <c r="H205" s="64" t="s">
        <v>1025</v>
      </c>
      <c r="I205" s="67" t="s">
        <v>56</v>
      </c>
    </row>
    <row r="206" spans="1:9" ht="26.4" customHeight="1" x14ac:dyDescent="0.3">
      <c r="A206" s="65" t="s">
        <v>60</v>
      </c>
      <c r="B206" s="22" t="s">
        <v>479</v>
      </c>
      <c r="C206" s="22" t="s">
        <v>138</v>
      </c>
      <c r="D206" s="22" t="s">
        <v>694</v>
      </c>
      <c r="E206" s="22" t="s">
        <v>94</v>
      </c>
      <c r="F206" s="22" t="s">
        <v>695</v>
      </c>
      <c r="G206" s="52">
        <v>9358</v>
      </c>
      <c r="H206" s="22" t="s">
        <v>696</v>
      </c>
      <c r="I206" s="22" t="s">
        <v>697</v>
      </c>
    </row>
    <row r="207" spans="1:9" ht="26.4" customHeight="1" x14ac:dyDescent="0.3">
      <c r="A207" s="65" t="s">
        <v>60</v>
      </c>
      <c r="B207" s="22" t="s">
        <v>94</v>
      </c>
      <c r="C207" s="22" t="s">
        <v>698</v>
      </c>
      <c r="D207" s="22" t="s">
        <v>138</v>
      </c>
      <c r="E207" s="22" t="s">
        <v>94</v>
      </c>
      <c r="F207" s="22" t="s">
        <v>698</v>
      </c>
      <c r="G207" s="6">
        <v>284500</v>
      </c>
      <c r="H207" s="64" t="s">
        <v>1026</v>
      </c>
      <c r="I207" s="22" t="s">
        <v>56</v>
      </c>
    </row>
    <row r="208" spans="1:9" ht="26.4" customHeight="1" x14ac:dyDescent="0.3">
      <c r="A208" s="65" t="s">
        <v>60</v>
      </c>
      <c r="B208" s="22" t="s">
        <v>528</v>
      </c>
      <c r="C208" s="22" t="s">
        <v>138</v>
      </c>
      <c r="D208" s="22" t="s">
        <v>728</v>
      </c>
      <c r="E208" s="22" t="s">
        <v>94</v>
      </c>
      <c r="F208" s="22" t="s">
        <v>729</v>
      </c>
      <c r="G208" s="6">
        <v>106759</v>
      </c>
      <c r="H208" s="64" t="s">
        <v>1027</v>
      </c>
      <c r="I208" s="22" t="s">
        <v>56</v>
      </c>
    </row>
    <row r="209" spans="1:9" ht="26.4" customHeight="1" x14ac:dyDescent="0.3">
      <c r="A209" s="65" t="s">
        <v>60</v>
      </c>
      <c r="B209" s="22" t="s">
        <v>477</v>
      </c>
      <c r="C209" s="22" t="s">
        <v>138</v>
      </c>
      <c r="D209" s="22" t="s">
        <v>744</v>
      </c>
      <c r="E209" s="64" t="s">
        <v>470</v>
      </c>
      <c r="F209" s="64"/>
      <c r="G209" s="6">
        <v>6000</v>
      </c>
      <c r="H209" s="64" t="s">
        <v>1028</v>
      </c>
      <c r="I209" s="22" t="s">
        <v>56</v>
      </c>
    </row>
    <row r="210" spans="1:9" ht="26.4" customHeight="1" x14ac:dyDescent="0.3">
      <c r="A210" s="65" t="s">
        <v>71</v>
      </c>
      <c r="B210" s="22" t="s">
        <v>94</v>
      </c>
      <c r="C210" s="22" t="s">
        <v>498</v>
      </c>
      <c r="D210" s="22" t="s">
        <v>569</v>
      </c>
      <c r="E210" s="22" t="s">
        <v>470</v>
      </c>
      <c r="F210" s="22" t="s">
        <v>138</v>
      </c>
      <c r="G210" s="52">
        <v>3264</v>
      </c>
      <c r="H210" s="64" t="s">
        <v>1033</v>
      </c>
      <c r="I210" s="22" t="s">
        <v>56</v>
      </c>
    </row>
    <row r="211" spans="1:9" ht="26.4" customHeight="1" x14ac:dyDescent="0.3">
      <c r="A211" s="65" t="s">
        <v>71</v>
      </c>
      <c r="B211" s="22" t="s">
        <v>94</v>
      </c>
      <c r="C211" s="22" t="s">
        <v>715</v>
      </c>
      <c r="D211" s="22" t="s">
        <v>716</v>
      </c>
      <c r="E211" s="22" t="s">
        <v>94</v>
      </c>
      <c r="F211" s="22" t="s">
        <v>717</v>
      </c>
      <c r="G211" s="52">
        <v>7000</v>
      </c>
      <c r="H211" s="64" t="s">
        <v>1032</v>
      </c>
      <c r="I211" s="22" t="s">
        <v>56</v>
      </c>
    </row>
    <row r="212" spans="1:9" ht="26.4" customHeight="1" x14ac:dyDescent="0.3">
      <c r="A212" s="65" t="s">
        <v>104</v>
      </c>
      <c r="B212" s="22" t="s">
        <v>500</v>
      </c>
      <c r="C212" s="22" t="s">
        <v>138</v>
      </c>
      <c r="D212" s="22" t="s">
        <v>526</v>
      </c>
      <c r="E212" s="22" t="s">
        <v>470</v>
      </c>
      <c r="F212" s="22" t="s">
        <v>138</v>
      </c>
      <c r="G212" s="6">
        <v>0</v>
      </c>
      <c r="H212" s="22" t="s">
        <v>527</v>
      </c>
      <c r="I212" s="22" t="s">
        <v>98</v>
      </c>
    </row>
    <row r="213" spans="1:9" ht="26.4" customHeight="1" x14ac:dyDescent="0.3">
      <c r="A213" s="65" t="s">
        <v>104</v>
      </c>
      <c r="B213" s="22" t="s">
        <v>528</v>
      </c>
      <c r="C213" s="22" t="s">
        <v>138</v>
      </c>
      <c r="D213" s="22" t="s">
        <v>533</v>
      </c>
      <c r="E213" s="22" t="s">
        <v>470</v>
      </c>
      <c r="F213" s="22" t="s">
        <v>138</v>
      </c>
      <c r="G213" s="6">
        <v>0</v>
      </c>
      <c r="H213" s="22" t="s">
        <v>100</v>
      </c>
      <c r="I213" s="64" t="s">
        <v>98</v>
      </c>
    </row>
    <row r="214" spans="1:9" ht="26.4" customHeight="1" x14ac:dyDescent="0.3">
      <c r="A214" s="65" t="s">
        <v>104</v>
      </c>
      <c r="B214" s="22" t="s">
        <v>538</v>
      </c>
      <c r="C214" s="22" t="s">
        <v>138</v>
      </c>
      <c r="D214" s="22" t="s">
        <v>549</v>
      </c>
      <c r="E214" s="22" t="s">
        <v>470</v>
      </c>
      <c r="F214" s="22" t="s">
        <v>138</v>
      </c>
      <c r="G214" s="6">
        <v>0</v>
      </c>
      <c r="H214" s="22" t="s">
        <v>100</v>
      </c>
      <c r="I214" s="64" t="s">
        <v>98</v>
      </c>
    </row>
    <row r="215" spans="1:9" ht="26.4" customHeight="1" x14ac:dyDescent="0.3">
      <c r="A215" s="65" t="s">
        <v>104</v>
      </c>
      <c r="B215" s="22" t="s">
        <v>538</v>
      </c>
      <c r="C215" s="22" t="s">
        <v>138</v>
      </c>
      <c r="D215" s="22" t="s">
        <v>603</v>
      </c>
      <c r="E215" s="22" t="s">
        <v>599</v>
      </c>
      <c r="F215" s="22" t="s">
        <v>138</v>
      </c>
      <c r="G215" s="6">
        <v>0</v>
      </c>
      <c r="H215" s="22" t="s">
        <v>527</v>
      </c>
      <c r="I215" s="22" t="s">
        <v>98</v>
      </c>
    </row>
    <row r="216" spans="1:9" ht="26.4" customHeight="1" x14ac:dyDescent="0.3">
      <c r="A216" s="65" t="s">
        <v>104</v>
      </c>
      <c r="B216" s="22" t="s">
        <v>538</v>
      </c>
      <c r="C216" s="22" t="s">
        <v>138</v>
      </c>
      <c r="D216" s="22" t="s">
        <v>643</v>
      </c>
      <c r="E216" s="22" t="s">
        <v>626</v>
      </c>
      <c r="F216" s="22" t="s">
        <v>138</v>
      </c>
      <c r="G216" s="6">
        <v>0</v>
      </c>
      <c r="H216" s="22" t="s">
        <v>527</v>
      </c>
      <c r="I216" s="22" t="s">
        <v>98</v>
      </c>
    </row>
    <row r="217" spans="1:9" ht="26.4" customHeight="1" x14ac:dyDescent="0.3">
      <c r="A217" s="65" t="s">
        <v>104</v>
      </c>
      <c r="B217" s="22" t="s">
        <v>508</v>
      </c>
      <c r="C217" s="22" t="s">
        <v>138</v>
      </c>
      <c r="D217" s="22" t="s">
        <v>674</v>
      </c>
      <c r="E217" s="22" t="s">
        <v>653</v>
      </c>
      <c r="F217" s="22" t="s">
        <v>138</v>
      </c>
      <c r="G217" s="6">
        <v>0</v>
      </c>
      <c r="H217" s="22" t="s">
        <v>100</v>
      </c>
      <c r="I217" s="64" t="s">
        <v>98</v>
      </c>
    </row>
    <row r="218" spans="1:9" ht="26.4" customHeight="1" x14ac:dyDescent="0.3">
      <c r="A218" s="65" t="s">
        <v>114</v>
      </c>
      <c r="B218" s="22" t="s">
        <v>500</v>
      </c>
      <c r="C218" s="22" t="s">
        <v>138</v>
      </c>
      <c r="D218" s="22" t="s">
        <v>477</v>
      </c>
      <c r="E218" s="22" t="s">
        <v>470</v>
      </c>
      <c r="F218" s="22" t="s">
        <v>138</v>
      </c>
      <c r="G218" s="6">
        <v>43874</v>
      </c>
      <c r="H218" s="64" t="s">
        <v>1029</v>
      </c>
      <c r="I218" s="22" t="s">
        <v>116</v>
      </c>
    </row>
    <row r="219" spans="1:9" ht="26.4" customHeight="1" x14ac:dyDescent="0.3">
      <c r="A219" s="65" t="s">
        <v>114</v>
      </c>
      <c r="B219" s="22" t="s">
        <v>508</v>
      </c>
      <c r="C219" s="22" t="s">
        <v>138</v>
      </c>
      <c r="D219" s="22" t="s">
        <v>663</v>
      </c>
      <c r="E219" s="22" t="s">
        <v>653</v>
      </c>
      <c r="F219" s="22" t="s">
        <v>138</v>
      </c>
      <c r="G219" s="6">
        <v>599</v>
      </c>
      <c r="H219" s="64" t="s">
        <v>1029</v>
      </c>
      <c r="I219" s="22" t="s">
        <v>116</v>
      </c>
    </row>
    <row r="220" spans="1:9" ht="26.4" customHeight="1" x14ac:dyDescent="0.3">
      <c r="A220" s="65" t="s">
        <v>114</v>
      </c>
      <c r="B220" s="22" t="s">
        <v>94</v>
      </c>
      <c r="C220" s="22" t="s">
        <v>138</v>
      </c>
      <c r="D220" s="22" t="s">
        <v>740</v>
      </c>
      <c r="E220" s="22" t="s">
        <v>94</v>
      </c>
      <c r="F220" s="22" t="s">
        <v>741</v>
      </c>
      <c r="G220" s="6">
        <v>3750</v>
      </c>
      <c r="H220" s="64" t="s">
        <v>1029</v>
      </c>
      <c r="I220" s="22" t="s">
        <v>116</v>
      </c>
    </row>
    <row r="221" spans="1:9" ht="26.4" customHeight="1" x14ac:dyDescent="0.3">
      <c r="A221" s="65" t="s">
        <v>114</v>
      </c>
      <c r="B221" s="22" t="s">
        <v>94</v>
      </c>
      <c r="C221" s="22" t="s">
        <v>138</v>
      </c>
      <c r="D221" s="22" t="s">
        <v>742</v>
      </c>
      <c r="E221" s="22" t="s">
        <v>94</v>
      </c>
      <c r="F221" s="22" t="s">
        <v>743</v>
      </c>
      <c r="G221" s="6">
        <v>12080</v>
      </c>
      <c r="H221" s="64" t="s">
        <v>1029</v>
      </c>
      <c r="I221" s="22" t="s">
        <v>116</v>
      </c>
    </row>
    <row r="222" spans="1:9" ht="26.4" customHeight="1" x14ac:dyDescent="0.3">
      <c r="A222" s="65" t="s">
        <v>65</v>
      </c>
      <c r="B222" s="22" t="s">
        <v>508</v>
      </c>
      <c r="C222" s="22" t="s">
        <v>138</v>
      </c>
      <c r="D222" s="22" t="s">
        <v>532</v>
      </c>
      <c r="E222" s="22" t="s">
        <v>470</v>
      </c>
      <c r="F222" s="22" t="s">
        <v>138</v>
      </c>
      <c r="G222" s="52">
        <v>3000</v>
      </c>
      <c r="H222" s="64" t="s">
        <v>858</v>
      </c>
      <c r="I222" s="22" t="s">
        <v>56</v>
      </c>
    </row>
    <row r="223" spans="1:9" ht="26.4" customHeight="1" x14ac:dyDescent="0.3">
      <c r="A223" s="65" t="s">
        <v>65</v>
      </c>
      <c r="B223" s="22" t="s">
        <v>538</v>
      </c>
      <c r="C223" s="22" t="s">
        <v>138</v>
      </c>
      <c r="D223" s="22" t="s">
        <v>602</v>
      </c>
      <c r="E223" s="22" t="s">
        <v>599</v>
      </c>
      <c r="F223" s="22" t="s">
        <v>138</v>
      </c>
      <c r="G223" s="52">
        <v>500</v>
      </c>
      <c r="H223" s="64" t="s">
        <v>858</v>
      </c>
      <c r="I223" s="22" t="s">
        <v>56</v>
      </c>
    </row>
    <row r="224" spans="1:9" ht="26.4" customHeight="1" x14ac:dyDescent="0.3">
      <c r="A224" s="65" t="s">
        <v>270</v>
      </c>
      <c r="B224" s="22" t="s">
        <v>500</v>
      </c>
      <c r="C224" s="22" t="s">
        <v>138</v>
      </c>
      <c r="D224" s="22" t="s">
        <v>519</v>
      </c>
      <c r="E224" s="22" t="s">
        <v>470</v>
      </c>
      <c r="F224" s="22" t="s">
        <v>138</v>
      </c>
      <c r="G224" s="6">
        <v>19617</v>
      </c>
      <c r="H224" s="64" t="s">
        <v>1030</v>
      </c>
      <c r="I224" s="22" t="s">
        <v>21</v>
      </c>
    </row>
    <row r="225" spans="1:9" ht="26.4" customHeight="1" x14ac:dyDescent="0.3">
      <c r="A225" s="65" t="s">
        <v>270</v>
      </c>
      <c r="B225" s="22" t="s">
        <v>94</v>
      </c>
      <c r="C225" s="22" t="s">
        <v>575</v>
      </c>
      <c r="D225" s="22" t="s">
        <v>576</v>
      </c>
      <c r="E225" s="22" t="s">
        <v>470</v>
      </c>
      <c r="F225" s="22" t="s">
        <v>138</v>
      </c>
      <c r="G225" s="6">
        <v>645439</v>
      </c>
      <c r="H225" s="64" t="s">
        <v>1031</v>
      </c>
      <c r="I225" s="64" t="s">
        <v>1031</v>
      </c>
    </row>
    <row r="226" spans="1:9" ht="26.4" customHeight="1" x14ac:dyDescent="0.3">
      <c r="A226" s="65" t="s">
        <v>270</v>
      </c>
      <c r="B226" s="22" t="s">
        <v>94</v>
      </c>
      <c r="C226" s="22" t="s">
        <v>138</v>
      </c>
      <c r="D226" s="22" t="s">
        <v>597</v>
      </c>
      <c r="E226" s="22" t="s">
        <v>593</v>
      </c>
      <c r="F226" s="22" t="s">
        <v>138</v>
      </c>
      <c r="G226" s="6">
        <v>595880</v>
      </c>
      <c r="H226" s="64" t="s">
        <v>1030</v>
      </c>
      <c r="I226" s="22" t="s">
        <v>21</v>
      </c>
    </row>
    <row r="227" spans="1:9" ht="26.4" customHeight="1" x14ac:dyDescent="0.3">
      <c r="A227" s="65" t="s">
        <v>270</v>
      </c>
      <c r="B227" s="22" t="s">
        <v>508</v>
      </c>
      <c r="C227" s="22" t="s">
        <v>138</v>
      </c>
      <c r="D227" s="22" t="s">
        <v>673</v>
      </c>
      <c r="E227" s="22" t="s">
        <v>653</v>
      </c>
      <c r="F227" s="22" t="s">
        <v>138</v>
      </c>
      <c r="G227" s="6">
        <v>10124</v>
      </c>
      <c r="H227" s="64" t="s">
        <v>1030</v>
      </c>
      <c r="I227" s="22" t="s">
        <v>21</v>
      </c>
    </row>
    <row r="228" spans="1:9" ht="26.4" customHeight="1" x14ac:dyDescent="0.3">
      <c r="A228" s="65" t="s">
        <v>249</v>
      </c>
      <c r="B228" s="22" t="s">
        <v>528</v>
      </c>
      <c r="C228" s="22" t="s">
        <v>138</v>
      </c>
      <c r="D228" s="22" t="s">
        <v>138</v>
      </c>
      <c r="E228" s="22" t="s">
        <v>470</v>
      </c>
      <c r="F228" s="22" t="s">
        <v>138</v>
      </c>
      <c r="G228" s="6">
        <v>26968</v>
      </c>
      <c r="H228" s="64"/>
      <c r="I228" s="22" t="s">
        <v>205</v>
      </c>
    </row>
    <row r="229" spans="1:9" ht="26.4" customHeight="1" x14ac:dyDescent="0.3">
      <c r="A229" s="65" t="s">
        <v>249</v>
      </c>
      <c r="B229" s="22" t="s">
        <v>538</v>
      </c>
      <c r="C229" s="22" t="s">
        <v>138</v>
      </c>
      <c r="D229" s="22" t="s">
        <v>138</v>
      </c>
      <c r="E229" s="22" t="s">
        <v>470</v>
      </c>
      <c r="F229" s="22" t="s">
        <v>138</v>
      </c>
      <c r="G229" s="6">
        <v>97451</v>
      </c>
      <c r="H229" s="64"/>
      <c r="I229" s="22" t="s">
        <v>205</v>
      </c>
    </row>
    <row r="230" spans="1:9" ht="26.4" customHeight="1" x14ac:dyDescent="0.3">
      <c r="A230" s="65" t="s">
        <v>249</v>
      </c>
      <c r="B230" s="22" t="s">
        <v>94</v>
      </c>
      <c r="C230" s="22" t="s">
        <v>138</v>
      </c>
      <c r="D230" s="22" t="s">
        <v>138</v>
      </c>
      <c r="E230" s="22" t="s">
        <v>470</v>
      </c>
      <c r="F230" s="22" t="s">
        <v>138</v>
      </c>
      <c r="G230" s="6">
        <v>12901</v>
      </c>
      <c r="H230" s="64"/>
      <c r="I230" s="22" t="s">
        <v>205</v>
      </c>
    </row>
    <row r="231" spans="1:9" ht="26.4" customHeight="1" x14ac:dyDescent="0.3">
      <c r="A231" s="65" t="s">
        <v>249</v>
      </c>
      <c r="B231" s="22" t="s">
        <v>508</v>
      </c>
      <c r="C231" s="22" t="s">
        <v>138</v>
      </c>
      <c r="D231" s="22" t="s">
        <v>138</v>
      </c>
      <c r="E231" s="22" t="s">
        <v>653</v>
      </c>
      <c r="F231" s="22" t="s">
        <v>138</v>
      </c>
      <c r="G231" s="6">
        <v>30840</v>
      </c>
      <c r="H231" s="64"/>
      <c r="I231" s="22" t="s">
        <v>205</v>
      </c>
    </row>
    <row r="232" spans="1:9" ht="26.4" customHeight="1" x14ac:dyDescent="0.3">
      <c r="A232" s="65" t="s">
        <v>42</v>
      </c>
      <c r="B232" s="22" t="s">
        <v>479</v>
      </c>
      <c r="C232" s="22" t="s">
        <v>138</v>
      </c>
      <c r="D232" s="22" t="s">
        <v>520</v>
      </c>
      <c r="E232" s="22" t="s">
        <v>470</v>
      </c>
      <c r="F232" s="22" t="s">
        <v>138</v>
      </c>
      <c r="G232" s="6">
        <v>346</v>
      </c>
      <c r="H232" s="22" t="s">
        <v>39</v>
      </c>
      <c r="I232" s="22" t="s">
        <v>37</v>
      </c>
    </row>
    <row r="233" spans="1:9" ht="26.4" customHeight="1" x14ac:dyDescent="0.3">
      <c r="A233" s="65" t="s">
        <v>42</v>
      </c>
      <c r="B233" s="22" t="s">
        <v>528</v>
      </c>
      <c r="C233" s="22" t="s">
        <v>138</v>
      </c>
      <c r="D233" s="22" t="s">
        <v>536</v>
      </c>
      <c r="E233" s="22" t="s">
        <v>470</v>
      </c>
      <c r="F233" s="22" t="s">
        <v>138</v>
      </c>
      <c r="G233" s="6">
        <v>1500</v>
      </c>
      <c r="H233" s="22" t="s">
        <v>39</v>
      </c>
      <c r="I233" s="22" t="s">
        <v>37</v>
      </c>
    </row>
    <row r="234" spans="1:9" ht="26.4" customHeight="1" x14ac:dyDescent="0.3">
      <c r="A234" s="65" t="s">
        <v>42</v>
      </c>
      <c r="B234" s="22" t="s">
        <v>94</v>
      </c>
      <c r="C234" s="22" t="s">
        <v>138</v>
      </c>
      <c r="D234" s="22" t="s">
        <v>552</v>
      </c>
      <c r="E234" s="22" t="s">
        <v>470</v>
      </c>
      <c r="F234" s="22" t="s">
        <v>138</v>
      </c>
      <c r="G234" s="6">
        <v>2500</v>
      </c>
      <c r="H234" s="22" t="s">
        <v>39</v>
      </c>
      <c r="I234" s="22" t="s">
        <v>37</v>
      </c>
    </row>
    <row r="235" spans="1:9" ht="26.4" customHeight="1" x14ac:dyDescent="0.3">
      <c r="A235" s="65" t="s">
        <v>42</v>
      </c>
      <c r="B235" s="22" t="s">
        <v>508</v>
      </c>
      <c r="C235" s="22" t="s">
        <v>138</v>
      </c>
      <c r="D235" s="22" t="s">
        <v>625</v>
      </c>
      <c r="E235" s="22" t="s">
        <v>599</v>
      </c>
      <c r="F235" s="22" t="s">
        <v>138</v>
      </c>
      <c r="G235" s="6">
        <v>20</v>
      </c>
      <c r="H235" s="22" t="s">
        <v>39</v>
      </c>
      <c r="I235" s="22" t="s">
        <v>37</v>
      </c>
    </row>
    <row r="236" spans="1:9" ht="26.4" customHeight="1" x14ac:dyDescent="0.3">
      <c r="A236" s="65" t="s">
        <v>42</v>
      </c>
      <c r="B236" s="22" t="s">
        <v>538</v>
      </c>
      <c r="C236" s="22" t="s">
        <v>138</v>
      </c>
      <c r="D236" s="22" t="s">
        <v>707</v>
      </c>
      <c r="E236" s="22" t="s">
        <v>94</v>
      </c>
      <c r="F236" s="22" t="s">
        <v>708</v>
      </c>
      <c r="G236" s="6">
        <v>125</v>
      </c>
      <c r="H236" s="22" t="s">
        <v>39</v>
      </c>
      <c r="I236" s="22" t="s">
        <v>37</v>
      </c>
    </row>
    <row r="237" spans="1:9" ht="26.4" customHeight="1" x14ac:dyDescent="0.3">
      <c r="A237" s="65" t="s">
        <v>42</v>
      </c>
      <c r="B237" s="22" t="s">
        <v>538</v>
      </c>
      <c r="C237" s="22" t="s">
        <v>556</v>
      </c>
      <c r="D237" s="22" t="s">
        <v>709</v>
      </c>
      <c r="E237" s="22" t="s">
        <v>94</v>
      </c>
      <c r="F237" s="22" t="s">
        <v>708</v>
      </c>
      <c r="G237" s="6">
        <v>150</v>
      </c>
      <c r="H237" s="22" t="s">
        <v>39</v>
      </c>
      <c r="I237" s="22" t="s">
        <v>37</v>
      </c>
    </row>
    <row r="238" spans="1:9" ht="26.4" customHeight="1" x14ac:dyDescent="0.3">
      <c r="A238" s="65" t="s">
        <v>112</v>
      </c>
      <c r="B238" s="22" t="s">
        <v>508</v>
      </c>
      <c r="C238" s="22" t="s">
        <v>138</v>
      </c>
      <c r="D238" s="22" t="s">
        <v>614</v>
      </c>
      <c r="E238" s="22" t="s">
        <v>599</v>
      </c>
      <c r="F238" s="22" t="s">
        <v>138</v>
      </c>
      <c r="G238" s="6">
        <v>30000</v>
      </c>
      <c r="H238" s="64" t="s">
        <v>1029</v>
      </c>
      <c r="I238" s="22" t="s">
        <v>116</v>
      </c>
    </row>
    <row r="239" spans="1:9" ht="26.4" customHeight="1" x14ac:dyDescent="0.3">
      <c r="A239" s="65" t="s">
        <v>220</v>
      </c>
      <c r="B239" s="22" t="s">
        <v>500</v>
      </c>
      <c r="C239" s="22" t="s">
        <v>138</v>
      </c>
      <c r="D239" s="22" t="s">
        <v>138</v>
      </c>
      <c r="E239" s="22" t="s">
        <v>470</v>
      </c>
      <c r="F239" s="22" t="s">
        <v>138</v>
      </c>
      <c r="G239" s="6">
        <v>4800</v>
      </c>
      <c r="H239" s="64"/>
      <c r="I239" s="22" t="s">
        <v>56</v>
      </c>
    </row>
    <row r="240" spans="1:9" ht="26.4" customHeight="1" x14ac:dyDescent="0.3">
      <c r="A240" s="65" t="s">
        <v>220</v>
      </c>
      <c r="B240" s="22" t="s">
        <v>508</v>
      </c>
      <c r="C240" s="22" t="s">
        <v>138</v>
      </c>
      <c r="D240" s="22" t="s">
        <v>138</v>
      </c>
      <c r="E240" s="22" t="s">
        <v>470</v>
      </c>
      <c r="F240" s="22" t="s">
        <v>138</v>
      </c>
      <c r="G240" s="6">
        <v>6481</v>
      </c>
      <c r="H240" s="64"/>
      <c r="I240" s="22" t="s">
        <v>56</v>
      </c>
    </row>
    <row r="241" spans="1:9" ht="26.4" customHeight="1" x14ac:dyDescent="0.3">
      <c r="A241" s="65" t="s">
        <v>220</v>
      </c>
      <c r="B241" s="22" t="s">
        <v>94</v>
      </c>
      <c r="C241" s="22" t="s">
        <v>555</v>
      </c>
      <c r="D241" s="22" t="s">
        <v>556</v>
      </c>
      <c r="E241" s="22" t="s">
        <v>470</v>
      </c>
      <c r="F241" s="22" t="s">
        <v>138</v>
      </c>
      <c r="G241" s="6">
        <v>33306</v>
      </c>
      <c r="H241" s="22" t="s">
        <v>59</v>
      </c>
      <c r="I241" s="22" t="s">
        <v>56</v>
      </c>
    </row>
    <row r="242" spans="1:9" ht="26.4" customHeight="1" x14ac:dyDescent="0.3">
      <c r="A242" s="65" t="s">
        <v>220</v>
      </c>
      <c r="B242" s="22" t="s">
        <v>538</v>
      </c>
      <c r="C242" s="22" t="s">
        <v>138</v>
      </c>
      <c r="D242" s="22" t="s">
        <v>138</v>
      </c>
      <c r="E242" s="22" t="s">
        <v>593</v>
      </c>
      <c r="F242" s="22" t="s">
        <v>138</v>
      </c>
      <c r="G242" s="6">
        <v>3000</v>
      </c>
      <c r="H242" s="64"/>
      <c r="I242" s="22" t="s">
        <v>56</v>
      </c>
    </row>
    <row r="243" spans="1:9" ht="26.4" customHeight="1" x14ac:dyDescent="0.3">
      <c r="A243" s="65" t="s">
        <v>220</v>
      </c>
      <c r="B243" s="22" t="s">
        <v>538</v>
      </c>
      <c r="C243" s="22" t="s">
        <v>138</v>
      </c>
      <c r="D243" s="22" t="s">
        <v>138</v>
      </c>
      <c r="E243" s="22" t="s">
        <v>599</v>
      </c>
      <c r="F243" s="22" t="s">
        <v>138</v>
      </c>
      <c r="G243" s="6">
        <v>405</v>
      </c>
      <c r="H243" s="64"/>
      <c r="I243" s="22" t="s">
        <v>56</v>
      </c>
    </row>
    <row r="244" spans="1:9" ht="26.4" customHeight="1" x14ac:dyDescent="0.3">
      <c r="A244" s="65" t="s">
        <v>220</v>
      </c>
      <c r="B244" s="22" t="s">
        <v>500</v>
      </c>
      <c r="C244" s="22" t="s">
        <v>138</v>
      </c>
      <c r="D244" s="22" t="s">
        <v>138</v>
      </c>
      <c r="E244" s="22" t="s">
        <v>646</v>
      </c>
      <c r="F244" s="22" t="s">
        <v>138</v>
      </c>
      <c r="G244" s="6">
        <v>2505</v>
      </c>
      <c r="H244" s="64"/>
      <c r="I244" s="22" t="s">
        <v>56</v>
      </c>
    </row>
    <row r="245" spans="1:9" ht="26.4" customHeight="1" x14ac:dyDescent="0.3">
      <c r="A245" s="65" t="s">
        <v>220</v>
      </c>
      <c r="B245" s="22" t="s">
        <v>508</v>
      </c>
      <c r="C245" s="22" t="s">
        <v>138</v>
      </c>
      <c r="D245" s="22" t="s">
        <v>607</v>
      </c>
      <c r="E245" s="22" t="s">
        <v>653</v>
      </c>
      <c r="F245" s="22" t="s">
        <v>138</v>
      </c>
      <c r="G245" s="6">
        <v>2385</v>
      </c>
      <c r="H245" s="64"/>
      <c r="I245" s="22" t="s">
        <v>56</v>
      </c>
    </row>
    <row r="246" spans="1:9" ht="26.4" customHeight="1" x14ac:dyDescent="0.3">
      <c r="A246" s="65" t="s">
        <v>220</v>
      </c>
      <c r="B246" s="22" t="s">
        <v>508</v>
      </c>
      <c r="C246" s="22" t="s">
        <v>138</v>
      </c>
      <c r="D246" s="22" t="s">
        <v>138</v>
      </c>
      <c r="E246" s="22" t="s">
        <v>653</v>
      </c>
      <c r="F246" s="22" t="s">
        <v>138</v>
      </c>
      <c r="G246" s="6">
        <v>900</v>
      </c>
      <c r="H246" s="64"/>
      <c r="I246" s="22" t="s">
        <v>56</v>
      </c>
    </row>
    <row r="247" spans="1:9" ht="26.4" customHeight="1" x14ac:dyDescent="0.3">
      <c r="A247" s="65" t="s">
        <v>220</v>
      </c>
      <c r="B247" s="22" t="s">
        <v>477</v>
      </c>
      <c r="C247" s="22" t="s">
        <v>138</v>
      </c>
      <c r="D247" s="22" t="s">
        <v>706</v>
      </c>
      <c r="E247" s="22" t="s">
        <v>94</v>
      </c>
      <c r="F247" s="22" t="s">
        <v>138</v>
      </c>
      <c r="G247" s="6">
        <v>135</v>
      </c>
      <c r="H247" s="64"/>
      <c r="I247" s="22" t="s">
        <v>56</v>
      </c>
    </row>
    <row r="248" spans="1:9" ht="26.4" customHeight="1" x14ac:dyDescent="0.3">
      <c r="A248" s="65" t="s">
        <v>220</v>
      </c>
      <c r="B248" s="22" t="s">
        <v>94</v>
      </c>
      <c r="C248" s="22" t="s">
        <v>745</v>
      </c>
      <c r="D248" s="22" t="s">
        <v>746</v>
      </c>
      <c r="E248" s="22" t="s">
        <v>94</v>
      </c>
      <c r="F248" s="22" t="s">
        <v>747</v>
      </c>
      <c r="G248" s="6">
        <v>4873</v>
      </c>
      <c r="H248" s="22" t="s">
        <v>59</v>
      </c>
      <c r="I248" s="22" t="s">
        <v>56</v>
      </c>
    </row>
    <row r="249" spans="1:9" ht="26.4" customHeight="1" x14ac:dyDescent="0.3">
      <c r="A249" s="65" t="s">
        <v>260</v>
      </c>
      <c r="B249" s="22" t="s">
        <v>477</v>
      </c>
      <c r="C249" s="22" t="s">
        <v>138</v>
      </c>
      <c r="D249" s="22" t="s">
        <v>585</v>
      </c>
      <c r="E249" s="22" t="s">
        <v>470</v>
      </c>
      <c r="F249" s="22" t="s">
        <v>138</v>
      </c>
      <c r="G249" s="6">
        <v>12000</v>
      </c>
      <c r="H249" s="64" t="s">
        <v>865</v>
      </c>
      <c r="I249" s="64" t="s">
        <v>865</v>
      </c>
    </row>
    <row r="250" spans="1:9" ht="26.4" customHeight="1" x14ac:dyDescent="0.3">
      <c r="A250" s="65" t="s">
        <v>260</v>
      </c>
      <c r="B250" s="22" t="s">
        <v>477</v>
      </c>
      <c r="C250" s="22" t="s">
        <v>138</v>
      </c>
      <c r="D250" s="22" t="s">
        <v>585</v>
      </c>
      <c r="E250" s="22" t="s">
        <v>470</v>
      </c>
      <c r="F250" s="22" t="s">
        <v>138</v>
      </c>
      <c r="G250" s="6">
        <v>3000</v>
      </c>
      <c r="H250" s="22" t="s">
        <v>111</v>
      </c>
      <c r="I250" s="22" t="s">
        <v>98</v>
      </c>
    </row>
    <row r="251" spans="1:9" ht="26.4" customHeight="1" x14ac:dyDescent="0.3">
      <c r="A251" s="65" t="s">
        <v>260</v>
      </c>
      <c r="B251" s="22" t="s">
        <v>538</v>
      </c>
      <c r="C251" s="22" t="s">
        <v>138</v>
      </c>
      <c r="D251" s="22" t="s">
        <v>499</v>
      </c>
      <c r="E251" s="22" t="s">
        <v>593</v>
      </c>
      <c r="F251" s="22" t="s">
        <v>138</v>
      </c>
      <c r="G251" s="6">
        <v>900</v>
      </c>
      <c r="H251" s="22" t="s">
        <v>111</v>
      </c>
      <c r="I251" s="22" t="s">
        <v>98</v>
      </c>
    </row>
    <row r="252" spans="1:9" ht="26.4" customHeight="1" x14ac:dyDescent="0.3">
      <c r="A252" s="65" t="s">
        <v>260</v>
      </c>
      <c r="B252" s="22" t="s">
        <v>508</v>
      </c>
      <c r="C252" s="22" t="s">
        <v>138</v>
      </c>
      <c r="D252" s="22" t="s">
        <v>655</v>
      </c>
      <c r="E252" s="22" t="s">
        <v>653</v>
      </c>
      <c r="F252" s="22" t="s">
        <v>138</v>
      </c>
      <c r="G252" s="6">
        <v>500</v>
      </c>
      <c r="H252" s="22" t="s">
        <v>111</v>
      </c>
      <c r="I252" s="22" t="s">
        <v>98</v>
      </c>
    </row>
    <row r="253" spans="1:9" ht="26.4" customHeight="1" x14ac:dyDescent="0.3">
      <c r="A253" s="65" t="s">
        <v>260</v>
      </c>
      <c r="B253" s="22" t="s">
        <v>479</v>
      </c>
      <c r="C253" s="22" t="s">
        <v>138</v>
      </c>
      <c r="D253" s="22" t="s">
        <v>499</v>
      </c>
      <c r="E253" s="22" t="s">
        <v>94</v>
      </c>
      <c r="F253" s="22" t="s">
        <v>701</v>
      </c>
      <c r="G253" s="6">
        <v>200</v>
      </c>
      <c r="H253" s="22" t="s">
        <v>541</v>
      </c>
      <c r="I253" s="22" t="s">
        <v>98</v>
      </c>
    </row>
    <row r="254" spans="1:9" ht="26.4" customHeight="1" x14ac:dyDescent="0.3">
      <c r="A254" s="65" t="s">
        <v>260</v>
      </c>
      <c r="B254" s="22" t="s">
        <v>468</v>
      </c>
      <c r="C254" s="22" t="s">
        <v>138</v>
      </c>
      <c r="D254" s="22" t="s">
        <v>713</v>
      </c>
      <c r="E254" s="22" t="s">
        <v>94</v>
      </c>
      <c r="F254" s="22" t="s">
        <v>714</v>
      </c>
      <c r="G254" s="6">
        <v>25000</v>
      </c>
      <c r="H254" s="22" t="s">
        <v>111</v>
      </c>
      <c r="I254" s="22" t="s">
        <v>98</v>
      </c>
    </row>
    <row r="255" spans="1:9" ht="26.4" customHeight="1" x14ac:dyDescent="0.3">
      <c r="A255" s="65" t="s">
        <v>260</v>
      </c>
      <c r="B255" s="22" t="s">
        <v>500</v>
      </c>
      <c r="C255" s="22" t="s">
        <v>138</v>
      </c>
      <c r="D255" s="22" t="s">
        <v>738</v>
      </c>
      <c r="E255" s="22" t="s">
        <v>94</v>
      </c>
      <c r="F255" s="22" t="s">
        <v>739</v>
      </c>
      <c r="G255" s="6">
        <v>1000</v>
      </c>
      <c r="H255" s="22" t="s">
        <v>541</v>
      </c>
      <c r="I255" s="22" t="s">
        <v>98</v>
      </c>
    </row>
    <row r="256" spans="1:9" ht="26.4" customHeight="1" x14ac:dyDescent="0.3">
      <c r="A256" s="65" t="s">
        <v>260</v>
      </c>
      <c r="B256" s="22" t="s">
        <v>477</v>
      </c>
      <c r="C256" s="22" t="s">
        <v>138</v>
      </c>
      <c r="D256" s="22" t="s">
        <v>751</v>
      </c>
      <c r="E256" s="22" t="s">
        <v>94</v>
      </c>
      <c r="F256" s="22" t="s">
        <v>714</v>
      </c>
      <c r="G256" s="6">
        <v>7500</v>
      </c>
      <c r="H256" s="22" t="s">
        <v>111</v>
      </c>
      <c r="I256" s="22" t="s">
        <v>98</v>
      </c>
    </row>
    <row r="257" spans="1:9" ht="26.4" customHeight="1" x14ac:dyDescent="0.3">
      <c r="A257" s="65" t="s">
        <v>264</v>
      </c>
      <c r="B257" s="22" t="s">
        <v>94</v>
      </c>
      <c r="C257" s="22" t="s">
        <v>138</v>
      </c>
      <c r="D257" s="22" t="s">
        <v>554</v>
      </c>
      <c r="E257" s="22" t="s">
        <v>470</v>
      </c>
      <c r="F257" s="22" t="s">
        <v>138</v>
      </c>
      <c r="G257" s="6">
        <v>17796</v>
      </c>
      <c r="H257" s="22" t="s">
        <v>471</v>
      </c>
      <c r="I257" s="22" t="s">
        <v>116</v>
      </c>
    </row>
    <row r="258" spans="1:9" x14ac:dyDescent="0.3">
      <c r="G258" s="5">
        <f>SUM(G2:G257)</f>
        <v>9349220.8000000007</v>
      </c>
    </row>
  </sheetData>
  <autoFilter ref="A1:I258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6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M2" sqref="M2"/>
    </sheetView>
  </sheetViews>
  <sheetFormatPr baseColWidth="10" defaultRowHeight="14.4" x14ac:dyDescent="0.3"/>
  <cols>
    <col min="1" max="1" width="29.44140625" customWidth="1"/>
    <col min="2" max="57" width="20" style="5" customWidth="1"/>
  </cols>
  <sheetData>
    <row r="1" spans="1:57" ht="27.6" x14ac:dyDescent="0.3">
      <c r="A1" s="17" t="s">
        <v>0</v>
      </c>
      <c r="B1" s="19" t="s">
        <v>409</v>
      </c>
      <c r="C1" s="19" t="s">
        <v>410</v>
      </c>
      <c r="D1" s="19" t="s">
        <v>411</v>
      </c>
      <c r="E1" s="19" t="s">
        <v>412</v>
      </c>
      <c r="F1" s="19" t="s">
        <v>413</v>
      </c>
      <c r="G1" s="19" t="s">
        <v>414</v>
      </c>
      <c r="H1" s="19" t="s">
        <v>415</v>
      </c>
      <c r="I1" s="19" t="s">
        <v>416</v>
      </c>
      <c r="J1" s="19" t="s">
        <v>417</v>
      </c>
      <c r="K1" s="19" t="s">
        <v>418</v>
      </c>
      <c r="L1" s="19" t="s">
        <v>419</v>
      </c>
      <c r="M1" s="19" t="s">
        <v>420</v>
      </c>
      <c r="N1" s="19" t="s">
        <v>421</v>
      </c>
      <c r="O1" s="19" t="s">
        <v>422</v>
      </c>
      <c r="P1" s="19" t="s">
        <v>423</v>
      </c>
      <c r="Q1" s="19" t="s">
        <v>424</v>
      </c>
      <c r="R1" s="19" t="s">
        <v>425</v>
      </c>
      <c r="S1" s="19" t="s">
        <v>426</v>
      </c>
      <c r="T1" s="19" t="s">
        <v>427</v>
      </c>
      <c r="U1" s="19" t="s">
        <v>428</v>
      </c>
      <c r="V1" s="19" t="s">
        <v>429</v>
      </c>
      <c r="W1" s="19" t="s">
        <v>430</v>
      </c>
      <c r="X1" s="19" t="s">
        <v>431</v>
      </c>
      <c r="Y1" s="19" t="s">
        <v>432</v>
      </c>
      <c r="Z1" s="19" t="s">
        <v>433</v>
      </c>
      <c r="AA1" s="19" t="s">
        <v>434</v>
      </c>
      <c r="AB1" s="19" t="s">
        <v>435</v>
      </c>
      <c r="AC1" s="19" t="s">
        <v>436</v>
      </c>
      <c r="AD1" s="19" t="s">
        <v>437</v>
      </c>
      <c r="AE1" s="19" t="s">
        <v>438</v>
      </c>
      <c r="AF1" s="19" t="s">
        <v>439</v>
      </c>
      <c r="AG1" s="19" t="s">
        <v>440</v>
      </c>
      <c r="AH1" s="19" t="s">
        <v>441</v>
      </c>
      <c r="AI1" s="19" t="s">
        <v>442</v>
      </c>
      <c r="AJ1" s="19" t="s">
        <v>443</v>
      </c>
      <c r="AK1" s="19" t="s">
        <v>444</v>
      </c>
      <c r="AL1" s="19" t="s">
        <v>445</v>
      </c>
      <c r="AM1" s="19" t="s">
        <v>446</v>
      </c>
      <c r="AN1" s="19" t="s">
        <v>447</v>
      </c>
      <c r="AO1" s="86"/>
      <c r="AP1" s="86"/>
      <c r="AQ1" s="19"/>
      <c r="AR1" s="19" t="s">
        <v>448</v>
      </c>
      <c r="AS1" s="19" t="s">
        <v>449</v>
      </c>
      <c r="AT1" s="19" t="s">
        <v>450</v>
      </c>
      <c r="AU1" s="19" t="s">
        <v>451</v>
      </c>
      <c r="AV1" s="19" t="s">
        <v>452</v>
      </c>
      <c r="AW1" s="19" t="s">
        <v>453</v>
      </c>
      <c r="AX1" s="19" t="s">
        <v>454</v>
      </c>
      <c r="AY1" s="19" t="s">
        <v>455</v>
      </c>
      <c r="AZ1" s="19" t="s">
        <v>456</v>
      </c>
      <c r="BA1" s="19" t="s">
        <v>457</v>
      </c>
      <c r="BB1" s="19" t="s">
        <v>458</v>
      </c>
      <c r="BC1" s="19" t="s">
        <v>459</v>
      </c>
      <c r="BD1" s="19" t="s">
        <v>460</v>
      </c>
      <c r="BE1" s="19" t="s">
        <v>461</v>
      </c>
    </row>
    <row r="2" spans="1:57" x14ac:dyDescent="0.3">
      <c r="A2" s="18" t="s">
        <v>138</v>
      </c>
      <c r="B2" s="20">
        <v>0</v>
      </c>
      <c r="C2" s="20">
        <v>0</v>
      </c>
      <c r="D2" s="20">
        <v>0</v>
      </c>
      <c r="E2" s="20">
        <v>2</v>
      </c>
      <c r="F2" s="20">
        <v>48000</v>
      </c>
      <c r="G2" s="20">
        <v>253</v>
      </c>
      <c r="H2" s="20">
        <v>1</v>
      </c>
      <c r="I2" s="20">
        <v>1</v>
      </c>
      <c r="J2" s="20">
        <v>21600</v>
      </c>
      <c r="K2" s="20">
        <v>0</v>
      </c>
      <c r="L2" s="20">
        <v>0</v>
      </c>
      <c r="M2" s="20">
        <v>0</v>
      </c>
      <c r="N2" s="20">
        <v>253</v>
      </c>
      <c r="O2" s="20">
        <v>0</v>
      </c>
      <c r="P2" s="20">
        <v>1</v>
      </c>
      <c r="Q2" s="20">
        <v>2160</v>
      </c>
      <c r="R2" s="20">
        <v>0</v>
      </c>
      <c r="S2" s="20">
        <v>0</v>
      </c>
      <c r="T2" s="20">
        <v>0</v>
      </c>
      <c r="U2" s="20">
        <v>253</v>
      </c>
      <c r="V2" s="20">
        <v>3</v>
      </c>
      <c r="W2" s="20">
        <v>40</v>
      </c>
      <c r="X2" s="20">
        <v>44354</v>
      </c>
      <c r="Y2" s="20">
        <v>0</v>
      </c>
      <c r="Z2" s="20">
        <v>0</v>
      </c>
      <c r="AA2" s="20">
        <v>0</v>
      </c>
      <c r="AB2" s="20">
        <v>253</v>
      </c>
      <c r="AC2" s="20">
        <v>4</v>
      </c>
      <c r="AD2" s="20">
        <v>42</v>
      </c>
      <c r="AE2" s="20">
        <v>68114</v>
      </c>
      <c r="AF2" s="20">
        <v>0</v>
      </c>
      <c r="AG2" s="20">
        <v>2</v>
      </c>
      <c r="AH2" s="20">
        <v>48000</v>
      </c>
      <c r="AI2" s="20">
        <v>1012</v>
      </c>
      <c r="AJ2" s="20">
        <v>0</v>
      </c>
      <c r="AK2" s="20">
        <v>0</v>
      </c>
      <c r="AL2" s="20">
        <v>0</v>
      </c>
      <c r="AM2" s="20">
        <v>0</v>
      </c>
      <c r="AN2" s="20">
        <v>0</v>
      </c>
      <c r="AO2" s="20" t="str">
        <f>+C1</f>
        <v>cadr_hom_sen</v>
      </c>
      <c r="AP2" s="20"/>
      <c r="AQ2" s="20"/>
      <c r="AR2" s="20">
        <v>0</v>
      </c>
      <c r="AS2" s="20">
        <v>0</v>
      </c>
      <c r="AT2" s="20">
        <v>0</v>
      </c>
      <c r="AU2" s="20">
        <v>0</v>
      </c>
      <c r="AV2" s="20">
        <v>0</v>
      </c>
      <c r="AW2" s="20">
        <v>0</v>
      </c>
      <c r="AX2" s="20">
        <v>0</v>
      </c>
      <c r="AY2" s="20">
        <v>0</v>
      </c>
      <c r="AZ2" s="20">
        <v>0</v>
      </c>
      <c r="BA2" s="20">
        <v>0</v>
      </c>
      <c r="BB2" s="20">
        <v>0</v>
      </c>
      <c r="BC2" s="20">
        <v>0</v>
      </c>
      <c r="BD2" s="20">
        <v>0</v>
      </c>
      <c r="BE2" s="20">
        <v>0</v>
      </c>
    </row>
    <row r="3" spans="1:57" x14ac:dyDescent="0.3">
      <c r="A3" s="18" t="s">
        <v>309</v>
      </c>
      <c r="B3" s="20">
        <v>0</v>
      </c>
      <c r="C3" s="20">
        <v>1</v>
      </c>
      <c r="D3" s="20">
        <v>0</v>
      </c>
      <c r="E3" s="20">
        <v>0</v>
      </c>
      <c r="F3" s="20">
        <v>0</v>
      </c>
      <c r="G3" s="20">
        <v>0</v>
      </c>
      <c r="H3" s="20">
        <v>0</v>
      </c>
      <c r="I3" s="20">
        <v>2</v>
      </c>
      <c r="J3" s="20">
        <v>16400000</v>
      </c>
      <c r="K3" s="20">
        <v>0</v>
      </c>
      <c r="L3" s="20">
        <v>0</v>
      </c>
      <c r="M3" s="20">
        <v>0</v>
      </c>
      <c r="N3" s="20">
        <v>0</v>
      </c>
      <c r="O3" s="20">
        <v>0</v>
      </c>
      <c r="P3" s="20">
        <v>11</v>
      </c>
      <c r="Q3" s="20">
        <v>66104000</v>
      </c>
      <c r="R3" s="20">
        <v>0</v>
      </c>
      <c r="S3" s="20">
        <v>0</v>
      </c>
      <c r="T3" s="20">
        <v>0</v>
      </c>
      <c r="U3" s="20">
        <v>0</v>
      </c>
      <c r="V3" s="20">
        <v>3</v>
      </c>
      <c r="W3" s="20">
        <v>3</v>
      </c>
      <c r="X3" s="20">
        <v>8104000</v>
      </c>
      <c r="Y3" s="20">
        <v>0</v>
      </c>
      <c r="Z3" s="20">
        <v>0</v>
      </c>
      <c r="AA3" s="20">
        <v>0</v>
      </c>
      <c r="AB3" s="20">
        <v>0</v>
      </c>
      <c r="AC3" s="20">
        <v>3</v>
      </c>
      <c r="AD3" s="20">
        <v>17</v>
      </c>
      <c r="AE3" s="20">
        <v>120608000</v>
      </c>
      <c r="AF3" s="20">
        <v>0</v>
      </c>
      <c r="AG3" s="20">
        <v>0</v>
      </c>
      <c r="AH3" s="20">
        <v>0</v>
      </c>
      <c r="AI3" s="20">
        <v>0</v>
      </c>
      <c r="AJ3" s="20">
        <v>3</v>
      </c>
      <c r="AK3" s="20">
        <v>17</v>
      </c>
      <c r="AL3" s="20">
        <v>120608000</v>
      </c>
      <c r="AM3" s="20">
        <v>0</v>
      </c>
      <c r="AN3" s="20">
        <v>0</v>
      </c>
      <c r="AO3" s="20"/>
      <c r="AP3" s="20"/>
      <c r="AQ3" s="20"/>
      <c r="AR3" s="20">
        <v>0</v>
      </c>
      <c r="AS3" s="20">
        <v>0</v>
      </c>
      <c r="AT3" s="20">
        <v>0</v>
      </c>
      <c r="AU3" s="20">
        <v>0</v>
      </c>
      <c r="AV3" s="20">
        <v>0</v>
      </c>
      <c r="AW3" s="20">
        <v>0</v>
      </c>
      <c r="AX3" s="20">
        <v>0</v>
      </c>
      <c r="AY3" s="20">
        <v>0</v>
      </c>
      <c r="AZ3" s="20">
        <v>0</v>
      </c>
      <c r="BA3" s="20">
        <v>5831000</v>
      </c>
      <c r="BB3" s="20">
        <v>0</v>
      </c>
      <c r="BC3" s="20">
        <v>0</v>
      </c>
      <c r="BD3" s="20">
        <v>0</v>
      </c>
      <c r="BE3" s="20">
        <v>0</v>
      </c>
    </row>
    <row r="4" spans="1:57" x14ac:dyDescent="0.3">
      <c r="A4" s="18" t="s">
        <v>245</v>
      </c>
      <c r="B4" s="20">
        <v>0</v>
      </c>
      <c r="C4" s="20">
        <v>2</v>
      </c>
      <c r="D4" s="20">
        <v>0</v>
      </c>
      <c r="E4" s="20">
        <v>0</v>
      </c>
      <c r="F4" s="20">
        <v>0</v>
      </c>
      <c r="G4" s="20">
        <v>0</v>
      </c>
      <c r="H4" s="20">
        <v>0</v>
      </c>
      <c r="I4" s="20">
        <v>12</v>
      </c>
      <c r="J4" s="20">
        <v>117000000</v>
      </c>
      <c r="K4" s="20">
        <v>0</v>
      </c>
      <c r="L4" s="20">
        <v>0</v>
      </c>
      <c r="M4" s="20">
        <v>0</v>
      </c>
      <c r="N4" s="20">
        <v>0</v>
      </c>
      <c r="O4" s="20">
        <v>2</v>
      </c>
      <c r="P4" s="20">
        <v>23</v>
      </c>
      <c r="Q4" s="20">
        <v>20828000</v>
      </c>
      <c r="R4" s="20">
        <v>0</v>
      </c>
      <c r="S4" s="20">
        <v>0</v>
      </c>
      <c r="T4" s="20">
        <v>0</v>
      </c>
      <c r="U4" s="20">
        <v>0</v>
      </c>
      <c r="V4" s="20">
        <v>3</v>
      </c>
      <c r="W4" s="20">
        <v>139</v>
      </c>
      <c r="X4" s="20">
        <v>77559000</v>
      </c>
      <c r="Y4" s="20">
        <v>0</v>
      </c>
      <c r="Z4" s="20">
        <v>0</v>
      </c>
      <c r="AA4" s="20">
        <v>0</v>
      </c>
      <c r="AB4" s="20">
        <v>0</v>
      </c>
      <c r="AC4" s="20">
        <v>5</v>
      </c>
      <c r="AD4" s="20">
        <v>176</v>
      </c>
      <c r="AE4" s="20">
        <v>244387000</v>
      </c>
      <c r="AF4" s="20">
        <v>0</v>
      </c>
      <c r="AG4" s="20">
        <v>0</v>
      </c>
      <c r="AH4" s="20">
        <v>0</v>
      </c>
      <c r="AI4" s="20">
        <v>0</v>
      </c>
      <c r="AJ4" s="20">
        <v>5</v>
      </c>
      <c r="AK4" s="20">
        <v>156</v>
      </c>
      <c r="AL4" s="20">
        <v>0</v>
      </c>
      <c r="AM4" s="20">
        <v>0</v>
      </c>
      <c r="AN4" s="20">
        <v>0</v>
      </c>
      <c r="AO4" s="20"/>
      <c r="AP4" s="20"/>
      <c r="AQ4" s="20"/>
      <c r="AR4" s="20">
        <v>0</v>
      </c>
      <c r="AS4" s="20">
        <v>0</v>
      </c>
      <c r="AT4" s="20">
        <v>20</v>
      </c>
      <c r="AU4" s="20">
        <v>0</v>
      </c>
      <c r="AV4" s="20">
        <v>0</v>
      </c>
      <c r="AW4" s="20">
        <v>0</v>
      </c>
      <c r="AX4" s="20">
        <v>0</v>
      </c>
      <c r="AY4" s="20">
        <v>2</v>
      </c>
      <c r="AZ4" s="20">
        <v>1638000</v>
      </c>
      <c r="BA4" s="20">
        <v>8765035</v>
      </c>
      <c r="BB4" s="20">
        <v>0</v>
      </c>
      <c r="BC4" s="20">
        <v>0</v>
      </c>
      <c r="BD4" s="20">
        <v>0</v>
      </c>
      <c r="BE4" s="20">
        <v>0</v>
      </c>
    </row>
    <row r="5" spans="1:57" ht="27.6" x14ac:dyDescent="0.3">
      <c r="A5" s="18" t="s">
        <v>57</v>
      </c>
      <c r="B5" s="20">
        <v>0</v>
      </c>
      <c r="C5" s="20">
        <v>2</v>
      </c>
      <c r="D5" s="20">
        <v>0</v>
      </c>
      <c r="E5" s="20">
        <v>3</v>
      </c>
      <c r="F5" s="20">
        <v>251882</v>
      </c>
      <c r="G5" s="20">
        <v>0</v>
      </c>
      <c r="H5" s="20">
        <v>3</v>
      </c>
      <c r="I5" s="20">
        <v>4</v>
      </c>
      <c r="J5" s="20">
        <v>191543</v>
      </c>
      <c r="K5" s="20">
        <v>0</v>
      </c>
      <c r="L5" s="20">
        <v>0</v>
      </c>
      <c r="M5" s="20">
        <v>0</v>
      </c>
      <c r="N5" s="20">
        <v>0</v>
      </c>
      <c r="O5" s="20">
        <v>0</v>
      </c>
      <c r="P5" s="20">
        <v>6</v>
      </c>
      <c r="Q5" s="20">
        <v>64153</v>
      </c>
      <c r="R5" s="20">
        <v>0</v>
      </c>
      <c r="S5" s="20">
        <v>0</v>
      </c>
      <c r="T5" s="20">
        <v>0</v>
      </c>
      <c r="U5" s="20">
        <v>0</v>
      </c>
      <c r="V5" s="20">
        <v>27</v>
      </c>
      <c r="W5" s="20">
        <v>216</v>
      </c>
      <c r="X5" s="20">
        <v>188361</v>
      </c>
      <c r="Y5" s="20">
        <v>0</v>
      </c>
      <c r="Z5" s="20">
        <v>0</v>
      </c>
      <c r="AA5" s="20">
        <v>0</v>
      </c>
      <c r="AB5" s="20">
        <v>0</v>
      </c>
      <c r="AC5" s="20">
        <v>30</v>
      </c>
      <c r="AD5" s="20">
        <v>228</v>
      </c>
      <c r="AE5" s="20">
        <v>636749</v>
      </c>
      <c r="AF5" s="20">
        <v>0</v>
      </c>
      <c r="AG5" s="20">
        <v>3</v>
      </c>
      <c r="AH5" s="20">
        <v>251882</v>
      </c>
      <c r="AI5" s="20">
        <v>0</v>
      </c>
      <c r="AJ5" s="20">
        <v>7</v>
      </c>
      <c r="AK5" s="20">
        <v>42</v>
      </c>
      <c r="AL5" s="20">
        <v>461056</v>
      </c>
      <c r="AM5" s="20">
        <v>0</v>
      </c>
      <c r="AN5" s="20">
        <v>3</v>
      </c>
      <c r="AO5" s="20"/>
      <c r="AP5" s="20"/>
      <c r="AQ5" s="20"/>
      <c r="AR5" s="20">
        <v>0</v>
      </c>
      <c r="AS5" s="20">
        <v>23</v>
      </c>
      <c r="AT5" s="20">
        <v>186</v>
      </c>
      <c r="AU5" s="20">
        <v>62559</v>
      </c>
      <c r="AV5" s="20">
        <v>0</v>
      </c>
      <c r="AW5" s="20">
        <v>0</v>
      </c>
      <c r="AX5" s="20">
        <v>0</v>
      </c>
      <c r="AY5" s="20">
        <v>1</v>
      </c>
      <c r="AZ5" s="20">
        <v>5817</v>
      </c>
      <c r="BA5" s="20">
        <v>43408</v>
      </c>
      <c r="BB5" s="20">
        <v>0</v>
      </c>
      <c r="BC5" s="20">
        <v>0</v>
      </c>
      <c r="BD5" s="20">
        <v>0</v>
      </c>
      <c r="BE5" s="20">
        <v>0</v>
      </c>
    </row>
    <row r="6" spans="1:57" x14ac:dyDescent="0.3">
      <c r="A6" s="18" t="s">
        <v>211</v>
      </c>
      <c r="B6" s="20">
        <v>1</v>
      </c>
      <c r="C6" s="20">
        <v>2</v>
      </c>
      <c r="D6" s="20">
        <v>0</v>
      </c>
      <c r="E6" s="20">
        <v>0</v>
      </c>
      <c r="F6" s="20">
        <v>0</v>
      </c>
      <c r="G6" s="20">
        <v>288</v>
      </c>
      <c r="H6" s="20">
        <v>0</v>
      </c>
      <c r="I6" s="20">
        <v>0</v>
      </c>
      <c r="J6" s="20">
        <v>0</v>
      </c>
      <c r="K6" s="20">
        <v>0</v>
      </c>
      <c r="L6" s="20">
        <v>0</v>
      </c>
      <c r="M6" s="20">
        <v>0</v>
      </c>
      <c r="N6" s="20">
        <v>0</v>
      </c>
      <c r="O6" s="20">
        <v>0</v>
      </c>
      <c r="P6" s="20">
        <v>0</v>
      </c>
      <c r="Q6" s="20">
        <v>0</v>
      </c>
      <c r="R6" s="20">
        <v>0</v>
      </c>
      <c r="S6" s="20">
        <v>0</v>
      </c>
      <c r="T6" s="20">
        <v>0</v>
      </c>
      <c r="U6" s="20">
        <v>0</v>
      </c>
      <c r="V6" s="20">
        <v>0</v>
      </c>
      <c r="W6" s="20">
        <v>0</v>
      </c>
      <c r="X6" s="20">
        <v>0</v>
      </c>
      <c r="Y6" s="20">
        <v>0</v>
      </c>
      <c r="Z6" s="20">
        <v>0</v>
      </c>
      <c r="AA6" s="20">
        <v>0</v>
      </c>
      <c r="AB6" s="20">
        <v>0</v>
      </c>
      <c r="AC6" s="20">
        <v>1</v>
      </c>
      <c r="AD6" s="20">
        <v>2</v>
      </c>
      <c r="AE6" s="20">
        <v>37754724</v>
      </c>
      <c r="AF6" s="20">
        <v>0</v>
      </c>
      <c r="AG6" s="20">
        <v>0</v>
      </c>
      <c r="AH6" s="20">
        <v>0</v>
      </c>
      <c r="AI6" s="20">
        <v>288</v>
      </c>
      <c r="AJ6" s="20">
        <v>1</v>
      </c>
      <c r="AK6" s="20">
        <v>2</v>
      </c>
      <c r="AL6" s="20">
        <v>0</v>
      </c>
      <c r="AM6" s="20">
        <v>0</v>
      </c>
      <c r="AN6" s="20">
        <v>0</v>
      </c>
      <c r="AO6" s="20"/>
      <c r="AP6" s="20"/>
      <c r="AQ6" s="20"/>
      <c r="AR6" s="20">
        <v>0</v>
      </c>
      <c r="AS6" s="20">
        <v>0</v>
      </c>
      <c r="AT6" s="20">
        <v>0</v>
      </c>
      <c r="AU6" s="20">
        <v>0</v>
      </c>
      <c r="AV6" s="20">
        <v>0</v>
      </c>
      <c r="AW6" s="20">
        <v>0</v>
      </c>
      <c r="AX6" s="20">
        <v>0</v>
      </c>
      <c r="AY6" s="20">
        <v>2</v>
      </c>
      <c r="AZ6" s="20">
        <v>6526</v>
      </c>
      <c r="BA6" s="20">
        <v>1782</v>
      </c>
      <c r="BB6" s="20">
        <v>0</v>
      </c>
      <c r="BC6" s="20">
        <v>0</v>
      </c>
      <c r="BD6" s="20">
        <v>0</v>
      </c>
      <c r="BE6" s="20">
        <v>0</v>
      </c>
    </row>
    <row r="7" spans="1:57" x14ac:dyDescent="0.3">
      <c r="A7" s="18" t="s">
        <v>40</v>
      </c>
      <c r="B7" s="20">
        <v>1</v>
      </c>
      <c r="C7" s="20">
        <v>3</v>
      </c>
      <c r="D7" s="20">
        <v>0</v>
      </c>
      <c r="E7" s="20">
        <v>0</v>
      </c>
      <c r="F7" s="20">
        <v>0</v>
      </c>
      <c r="G7" s="20">
        <v>0</v>
      </c>
      <c r="H7" s="20">
        <v>0</v>
      </c>
      <c r="I7" s="20">
        <v>0</v>
      </c>
      <c r="J7" s="20">
        <v>25024</v>
      </c>
      <c r="K7" s="20">
        <v>0</v>
      </c>
      <c r="L7" s="20">
        <v>0</v>
      </c>
      <c r="M7" s="20">
        <v>0</v>
      </c>
      <c r="N7" s="20">
        <v>0</v>
      </c>
      <c r="O7" s="20">
        <v>0</v>
      </c>
      <c r="P7" s="20">
        <v>3</v>
      </c>
      <c r="Q7" s="20">
        <v>4628</v>
      </c>
      <c r="R7" s="20">
        <v>0</v>
      </c>
      <c r="S7" s="20">
        <v>0</v>
      </c>
      <c r="T7" s="20">
        <v>0</v>
      </c>
      <c r="U7" s="20">
        <v>0</v>
      </c>
      <c r="V7" s="20">
        <v>1</v>
      </c>
      <c r="W7" s="20">
        <v>31</v>
      </c>
      <c r="X7" s="20">
        <v>7573</v>
      </c>
      <c r="Y7" s="20">
        <v>0</v>
      </c>
      <c r="Z7" s="20">
        <v>0</v>
      </c>
      <c r="AA7" s="20">
        <v>0</v>
      </c>
      <c r="AB7" s="20">
        <v>0</v>
      </c>
      <c r="AC7" s="20">
        <v>2</v>
      </c>
      <c r="AD7" s="20">
        <v>37</v>
      </c>
      <c r="AE7" s="20">
        <v>37225</v>
      </c>
      <c r="AF7" s="20">
        <v>0</v>
      </c>
      <c r="AG7" s="20">
        <v>0</v>
      </c>
      <c r="AH7" s="20">
        <v>0</v>
      </c>
      <c r="AI7" s="20">
        <v>0</v>
      </c>
      <c r="AJ7" s="20">
        <v>0</v>
      </c>
      <c r="AK7" s="20">
        <v>16</v>
      </c>
      <c r="AL7" s="20">
        <v>0</v>
      </c>
      <c r="AM7" s="20">
        <v>0</v>
      </c>
      <c r="AN7" s="20">
        <v>0</v>
      </c>
      <c r="AO7" s="20"/>
      <c r="AP7" s="20"/>
      <c r="AQ7" s="20"/>
      <c r="AR7" s="20">
        <v>0</v>
      </c>
      <c r="AS7" s="20">
        <v>0</v>
      </c>
      <c r="AT7" s="20">
        <v>23</v>
      </c>
      <c r="AU7" s="20">
        <v>0</v>
      </c>
      <c r="AV7" s="20">
        <v>0</v>
      </c>
      <c r="AW7" s="20">
        <v>0</v>
      </c>
      <c r="AX7" s="20">
        <v>0</v>
      </c>
      <c r="AY7" s="20">
        <v>0</v>
      </c>
      <c r="AZ7" s="20">
        <v>0</v>
      </c>
      <c r="BA7" s="20">
        <v>0</v>
      </c>
      <c r="BB7" s="20">
        <v>0</v>
      </c>
      <c r="BC7" s="20">
        <v>0</v>
      </c>
      <c r="BD7" s="20">
        <v>0</v>
      </c>
      <c r="BE7" s="20">
        <v>0</v>
      </c>
    </row>
    <row r="8" spans="1:57" x14ac:dyDescent="0.3">
      <c r="A8" s="18" t="s">
        <v>122</v>
      </c>
      <c r="B8" s="20">
        <v>2</v>
      </c>
      <c r="C8" s="20">
        <v>5</v>
      </c>
      <c r="D8" s="20">
        <v>0</v>
      </c>
      <c r="E8" s="20">
        <v>0</v>
      </c>
      <c r="F8" s="20">
        <v>0</v>
      </c>
      <c r="G8" s="20">
        <v>0</v>
      </c>
      <c r="H8" s="20">
        <v>1</v>
      </c>
      <c r="I8" s="20">
        <v>3</v>
      </c>
      <c r="J8" s="20">
        <v>14400</v>
      </c>
      <c r="K8" s="20">
        <v>0</v>
      </c>
      <c r="L8" s="20">
        <v>0</v>
      </c>
      <c r="M8" s="20">
        <v>0</v>
      </c>
      <c r="N8" s="20">
        <v>0</v>
      </c>
      <c r="O8" s="20">
        <v>0</v>
      </c>
      <c r="P8" s="20">
        <v>19</v>
      </c>
      <c r="Q8" s="20">
        <v>34200</v>
      </c>
      <c r="R8" s="20">
        <v>0</v>
      </c>
      <c r="S8" s="20">
        <v>0</v>
      </c>
      <c r="T8" s="20">
        <v>0</v>
      </c>
      <c r="U8" s="20">
        <v>0</v>
      </c>
      <c r="V8" s="20">
        <v>0</v>
      </c>
      <c r="W8" s="20">
        <v>10</v>
      </c>
      <c r="X8" s="20">
        <v>15840</v>
      </c>
      <c r="Y8" s="20">
        <v>0</v>
      </c>
      <c r="Z8" s="20">
        <v>0</v>
      </c>
      <c r="AA8" s="20">
        <v>0</v>
      </c>
      <c r="AB8" s="20">
        <v>0</v>
      </c>
      <c r="AC8" s="20">
        <v>3</v>
      </c>
      <c r="AD8" s="20">
        <v>37</v>
      </c>
      <c r="AE8" s="20">
        <v>112440</v>
      </c>
      <c r="AF8" s="20">
        <v>0</v>
      </c>
      <c r="AG8" s="20">
        <v>0</v>
      </c>
      <c r="AH8" s="20">
        <v>0</v>
      </c>
      <c r="AI8" s="20">
        <v>0</v>
      </c>
      <c r="AJ8" s="20">
        <v>0</v>
      </c>
      <c r="AK8" s="20">
        <v>2</v>
      </c>
      <c r="AL8" s="20">
        <v>6000</v>
      </c>
      <c r="AM8" s="20">
        <v>0</v>
      </c>
      <c r="AN8" s="20">
        <v>0</v>
      </c>
      <c r="AO8" s="20"/>
      <c r="AP8" s="20"/>
      <c r="AQ8" s="20"/>
      <c r="AR8" s="20">
        <v>0</v>
      </c>
      <c r="AS8" s="20">
        <v>0</v>
      </c>
      <c r="AT8" s="20">
        <v>0</v>
      </c>
      <c r="AU8" s="20">
        <v>0</v>
      </c>
      <c r="AV8" s="20">
        <v>0</v>
      </c>
      <c r="AW8" s="20">
        <v>0</v>
      </c>
      <c r="AX8" s="20">
        <v>0</v>
      </c>
      <c r="AY8" s="20">
        <v>0</v>
      </c>
      <c r="AZ8" s="20">
        <v>0</v>
      </c>
      <c r="BA8" s="20">
        <v>1260</v>
      </c>
      <c r="BB8" s="20">
        <v>6</v>
      </c>
      <c r="BC8" s="20">
        <v>1</v>
      </c>
      <c r="BD8" s="20">
        <v>0</v>
      </c>
      <c r="BE8" s="20">
        <v>20</v>
      </c>
    </row>
    <row r="9" spans="1:57" x14ac:dyDescent="0.3">
      <c r="A9" s="18" t="s">
        <v>191</v>
      </c>
      <c r="B9" s="20">
        <v>0</v>
      </c>
      <c r="C9" s="20">
        <v>5</v>
      </c>
      <c r="D9" s="20">
        <v>0</v>
      </c>
      <c r="E9" s="20">
        <v>0</v>
      </c>
      <c r="F9" s="20">
        <v>0</v>
      </c>
      <c r="G9" s="20">
        <v>0</v>
      </c>
      <c r="H9" s="20">
        <v>1</v>
      </c>
      <c r="I9" s="20">
        <v>4</v>
      </c>
      <c r="J9" s="20">
        <v>48318</v>
      </c>
      <c r="K9" s="20">
        <v>0</v>
      </c>
      <c r="L9" s="20">
        <v>0</v>
      </c>
      <c r="M9" s="20">
        <v>0</v>
      </c>
      <c r="N9" s="20">
        <v>0</v>
      </c>
      <c r="O9" s="20">
        <v>1</v>
      </c>
      <c r="P9" s="20">
        <v>20</v>
      </c>
      <c r="Q9" s="20">
        <v>119993</v>
      </c>
      <c r="R9" s="20">
        <v>0</v>
      </c>
      <c r="S9" s="20">
        <v>0</v>
      </c>
      <c r="T9" s="20">
        <v>0</v>
      </c>
      <c r="U9" s="20">
        <v>0</v>
      </c>
      <c r="V9" s="20">
        <v>0</v>
      </c>
      <c r="W9" s="20">
        <v>90</v>
      </c>
      <c r="X9" s="20">
        <v>133159</v>
      </c>
      <c r="Y9" s="20">
        <v>0</v>
      </c>
      <c r="Z9" s="20">
        <v>0</v>
      </c>
      <c r="AA9" s="20">
        <v>0</v>
      </c>
      <c r="AB9" s="20">
        <v>0</v>
      </c>
      <c r="AC9" s="20">
        <v>2</v>
      </c>
      <c r="AD9" s="20">
        <v>119</v>
      </c>
      <c r="AE9" s="20">
        <v>512665</v>
      </c>
      <c r="AF9" s="20">
        <v>0</v>
      </c>
      <c r="AG9" s="20">
        <v>0</v>
      </c>
      <c r="AH9" s="20">
        <v>0</v>
      </c>
      <c r="AI9" s="20">
        <v>0</v>
      </c>
      <c r="AJ9" s="20">
        <v>2</v>
      </c>
      <c r="AK9" s="20">
        <v>21</v>
      </c>
      <c r="AL9" s="20">
        <v>294103</v>
      </c>
      <c r="AM9" s="20">
        <v>0</v>
      </c>
      <c r="AN9" s="20">
        <v>0</v>
      </c>
      <c r="AO9" s="20"/>
      <c r="AP9" s="20"/>
      <c r="AQ9" s="20"/>
      <c r="AR9" s="20">
        <v>0</v>
      </c>
      <c r="AS9" s="20">
        <v>0</v>
      </c>
      <c r="AT9" s="20">
        <v>97</v>
      </c>
      <c r="AU9" s="20">
        <v>163436</v>
      </c>
      <c r="AV9" s="20">
        <v>0</v>
      </c>
      <c r="AW9" s="20">
        <v>0</v>
      </c>
      <c r="AX9" s="20">
        <v>0</v>
      </c>
      <c r="AY9" s="20">
        <v>0</v>
      </c>
      <c r="AZ9" s="20">
        <v>0</v>
      </c>
      <c r="BA9" s="20">
        <v>164402</v>
      </c>
      <c r="BB9" s="20">
        <v>0</v>
      </c>
      <c r="BC9" s="20">
        <v>0</v>
      </c>
      <c r="BD9" s="20">
        <v>0</v>
      </c>
      <c r="BE9" s="20">
        <v>0</v>
      </c>
    </row>
    <row r="10" spans="1:57" ht="27.6" x14ac:dyDescent="0.3">
      <c r="A10" s="18" t="s">
        <v>22</v>
      </c>
      <c r="B10" s="20">
        <v>0</v>
      </c>
      <c r="C10" s="20">
        <v>1</v>
      </c>
      <c r="D10" s="20">
        <v>0</v>
      </c>
      <c r="E10" s="20">
        <v>0</v>
      </c>
      <c r="F10" s="20">
        <v>0</v>
      </c>
      <c r="G10" s="20">
        <v>0</v>
      </c>
      <c r="H10" s="20">
        <v>3</v>
      </c>
      <c r="I10" s="20">
        <v>3</v>
      </c>
      <c r="J10" s="20">
        <v>0</v>
      </c>
      <c r="K10" s="20">
        <v>0</v>
      </c>
      <c r="L10" s="20">
        <v>0</v>
      </c>
      <c r="M10" s="20">
        <v>0</v>
      </c>
      <c r="N10" s="20">
        <v>0</v>
      </c>
      <c r="O10" s="20">
        <v>0</v>
      </c>
      <c r="P10" s="20">
        <v>14</v>
      </c>
      <c r="Q10" s="20">
        <v>0</v>
      </c>
      <c r="R10" s="20">
        <v>0</v>
      </c>
      <c r="S10" s="20">
        <v>0</v>
      </c>
      <c r="T10" s="20">
        <v>0</v>
      </c>
      <c r="U10" s="20">
        <v>0</v>
      </c>
      <c r="V10" s="20">
        <v>0</v>
      </c>
      <c r="W10" s="20">
        <v>3</v>
      </c>
      <c r="X10" s="20">
        <v>0</v>
      </c>
      <c r="Y10" s="20">
        <v>0</v>
      </c>
      <c r="Z10" s="20">
        <v>0</v>
      </c>
      <c r="AA10" s="20">
        <v>0</v>
      </c>
      <c r="AB10" s="20">
        <v>0</v>
      </c>
      <c r="AC10" s="20">
        <v>3</v>
      </c>
      <c r="AD10" s="20">
        <v>21</v>
      </c>
      <c r="AE10" s="20">
        <v>422166</v>
      </c>
      <c r="AF10" s="20">
        <v>0</v>
      </c>
      <c r="AG10" s="20">
        <v>0</v>
      </c>
      <c r="AH10" s="20">
        <v>0</v>
      </c>
      <c r="AI10" s="20">
        <v>0</v>
      </c>
      <c r="AJ10" s="20">
        <v>0</v>
      </c>
      <c r="AK10" s="20">
        <v>0</v>
      </c>
      <c r="AL10" s="20">
        <v>0</v>
      </c>
      <c r="AM10" s="20">
        <v>0</v>
      </c>
      <c r="AN10" s="20">
        <v>0</v>
      </c>
      <c r="AO10" s="20"/>
      <c r="AP10" s="20"/>
      <c r="AQ10" s="20"/>
      <c r="AR10" s="20">
        <v>0</v>
      </c>
      <c r="AS10" s="20">
        <v>0</v>
      </c>
      <c r="AT10" s="20">
        <v>0</v>
      </c>
      <c r="AU10" s="20">
        <v>0</v>
      </c>
      <c r="AV10" s="20">
        <v>0</v>
      </c>
      <c r="AW10" s="20">
        <v>0</v>
      </c>
      <c r="AX10" s="20">
        <v>0</v>
      </c>
      <c r="AY10" s="20">
        <v>0</v>
      </c>
      <c r="AZ10" s="20">
        <v>1006</v>
      </c>
      <c r="BA10" s="20">
        <v>199</v>
      </c>
      <c r="BB10" s="20">
        <v>4</v>
      </c>
      <c r="BC10" s="20">
        <v>0</v>
      </c>
      <c r="BD10" s="20">
        <v>0</v>
      </c>
      <c r="BE10" s="20">
        <v>0</v>
      </c>
    </row>
    <row r="11" spans="1:57" x14ac:dyDescent="0.3">
      <c r="A11" s="18" t="s">
        <v>188</v>
      </c>
      <c r="B11" s="20">
        <v>1</v>
      </c>
      <c r="C11" s="20">
        <v>3</v>
      </c>
      <c r="D11" s="20">
        <v>0</v>
      </c>
      <c r="E11" s="20">
        <v>0</v>
      </c>
      <c r="F11" s="20">
        <v>0</v>
      </c>
      <c r="G11" s="20">
        <v>0</v>
      </c>
      <c r="H11" s="20">
        <v>0</v>
      </c>
      <c r="I11" s="20">
        <v>1</v>
      </c>
      <c r="J11" s="20">
        <v>11913</v>
      </c>
      <c r="K11" s="20">
        <v>0</v>
      </c>
      <c r="L11" s="20">
        <v>0</v>
      </c>
      <c r="M11" s="20">
        <v>0</v>
      </c>
      <c r="N11" s="20">
        <v>0</v>
      </c>
      <c r="O11" s="20">
        <v>0</v>
      </c>
      <c r="P11" s="20">
        <v>5</v>
      </c>
      <c r="Q11" s="20">
        <v>33496</v>
      </c>
      <c r="R11" s="20">
        <v>0</v>
      </c>
      <c r="S11" s="20">
        <v>0</v>
      </c>
      <c r="T11" s="20">
        <v>0</v>
      </c>
      <c r="U11" s="20">
        <v>0</v>
      </c>
      <c r="V11" s="20">
        <v>0</v>
      </c>
      <c r="W11" s="20">
        <v>27</v>
      </c>
      <c r="X11" s="20">
        <v>28732</v>
      </c>
      <c r="Y11" s="20">
        <v>0</v>
      </c>
      <c r="Z11" s="20">
        <v>0</v>
      </c>
      <c r="AA11" s="20">
        <v>0</v>
      </c>
      <c r="AB11" s="20">
        <v>0</v>
      </c>
      <c r="AC11" s="20">
        <v>1</v>
      </c>
      <c r="AD11" s="20">
        <v>36</v>
      </c>
      <c r="AE11" s="20">
        <v>163635</v>
      </c>
      <c r="AF11" s="20">
        <v>0</v>
      </c>
      <c r="AG11" s="20">
        <v>0</v>
      </c>
      <c r="AH11" s="20">
        <v>0</v>
      </c>
      <c r="AI11" s="20">
        <v>0</v>
      </c>
      <c r="AJ11" s="20">
        <v>0</v>
      </c>
      <c r="AK11" s="20">
        <v>7</v>
      </c>
      <c r="AL11" s="20">
        <v>73765</v>
      </c>
      <c r="AM11" s="20">
        <v>0</v>
      </c>
      <c r="AN11" s="20">
        <v>0</v>
      </c>
      <c r="AO11" s="20"/>
      <c r="AP11" s="20"/>
      <c r="AQ11" s="20"/>
      <c r="AR11" s="20">
        <v>0</v>
      </c>
      <c r="AS11" s="20">
        <v>0</v>
      </c>
      <c r="AT11" s="20">
        <v>28</v>
      </c>
      <c r="AU11" s="20">
        <v>34744</v>
      </c>
      <c r="AV11" s="20">
        <v>0</v>
      </c>
      <c r="AW11" s="20">
        <v>0</v>
      </c>
      <c r="AX11" s="20">
        <v>0</v>
      </c>
      <c r="AY11" s="20">
        <v>0</v>
      </c>
      <c r="AZ11" s="20">
        <v>0</v>
      </c>
      <c r="BA11" s="20">
        <v>56499</v>
      </c>
      <c r="BB11" s="20">
        <v>0</v>
      </c>
      <c r="BC11" s="20">
        <v>0</v>
      </c>
      <c r="BD11" s="20">
        <v>0</v>
      </c>
      <c r="BE11" s="20">
        <v>0</v>
      </c>
    </row>
    <row r="12" spans="1:57" ht="27.6" x14ac:dyDescent="0.3">
      <c r="A12" s="18" t="s">
        <v>200</v>
      </c>
      <c r="B12" s="20">
        <v>0</v>
      </c>
      <c r="C12" s="20">
        <v>0</v>
      </c>
      <c r="D12" s="20">
        <v>0</v>
      </c>
      <c r="E12" s="20">
        <v>0</v>
      </c>
      <c r="F12" s="20">
        <v>0</v>
      </c>
      <c r="G12" s="20">
        <v>0</v>
      </c>
      <c r="H12" s="20">
        <v>0</v>
      </c>
      <c r="I12" s="20">
        <v>0</v>
      </c>
      <c r="J12" s="20">
        <v>0</v>
      </c>
      <c r="K12" s="20">
        <v>0</v>
      </c>
      <c r="L12" s="20">
        <v>0</v>
      </c>
      <c r="M12" s="20">
        <v>0</v>
      </c>
      <c r="N12" s="20">
        <v>0</v>
      </c>
      <c r="O12" s="20">
        <v>0</v>
      </c>
      <c r="P12" s="20">
        <v>0</v>
      </c>
      <c r="Q12" s="20">
        <v>0</v>
      </c>
      <c r="R12" s="20">
        <v>0</v>
      </c>
      <c r="S12" s="20">
        <v>0</v>
      </c>
      <c r="T12" s="20">
        <v>0</v>
      </c>
      <c r="U12" s="20">
        <v>0</v>
      </c>
      <c r="V12" s="20">
        <v>0</v>
      </c>
      <c r="W12" s="20">
        <v>0</v>
      </c>
      <c r="X12" s="20">
        <v>0</v>
      </c>
      <c r="Y12" s="20">
        <v>0</v>
      </c>
      <c r="Z12" s="20">
        <v>0</v>
      </c>
      <c r="AA12" s="20">
        <v>0</v>
      </c>
      <c r="AB12" s="20">
        <v>0</v>
      </c>
      <c r="AC12" s="20">
        <v>0</v>
      </c>
      <c r="AD12" s="20">
        <v>0</v>
      </c>
      <c r="AE12" s="20">
        <v>0</v>
      </c>
      <c r="AF12" s="20">
        <v>0</v>
      </c>
      <c r="AG12" s="20">
        <v>0</v>
      </c>
      <c r="AH12" s="20">
        <v>0</v>
      </c>
      <c r="AI12" s="20">
        <v>0</v>
      </c>
      <c r="AJ12" s="20">
        <v>0</v>
      </c>
      <c r="AK12" s="20">
        <v>0</v>
      </c>
      <c r="AL12" s="20">
        <v>0</v>
      </c>
      <c r="AM12" s="20">
        <v>0</v>
      </c>
      <c r="AN12" s="20">
        <v>0</v>
      </c>
      <c r="AO12" s="20"/>
      <c r="AP12" s="20"/>
      <c r="AQ12" s="20"/>
      <c r="AR12" s="20">
        <v>0</v>
      </c>
      <c r="AS12" s="20">
        <v>0</v>
      </c>
      <c r="AT12" s="20">
        <v>0</v>
      </c>
      <c r="AU12" s="20">
        <v>0</v>
      </c>
      <c r="AV12" s="20">
        <v>0</v>
      </c>
      <c r="AW12" s="20">
        <v>0</v>
      </c>
      <c r="AX12" s="20">
        <v>0</v>
      </c>
      <c r="AY12" s="20">
        <v>0</v>
      </c>
      <c r="AZ12" s="20">
        <v>0</v>
      </c>
      <c r="BA12" s="20">
        <v>0</v>
      </c>
      <c r="BB12" s="20">
        <v>0</v>
      </c>
      <c r="BC12" s="20">
        <v>0</v>
      </c>
      <c r="BD12" s="20">
        <v>0</v>
      </c>
      <c r="BE12" s="20">
        <v>0</v>
      </c>
    </row>
    <row r="13" spans="1:57" x14ac:dyDescent="0.3">
      <c r="A13" s="18" t="s">
        <v>46</v>
      </c>
      <c r="B13" s="20">
        <v>0</v>
      </c>
      <c r="C13" s="20">
        <v>0</v>
      </c>
      <c r="D13" s="20">
        <v>0</v>
      </c>
      <c r="E13" s="20">
        <v>2</v>
      </c>
      <c r="F13" s="20">
        <v>3200</v>
      </c>
      <c r="G13" s="20">
        <v>240</v>
      </c>
      <c r="H13" s="20">
        <v>0</v>
      </c>
      <c r="I13" s="20">
        <v>0</v>
      </c>
      <c r="J13" s="20">
        <v>0</v>
      </c>
      <c r="K13" s="20">
        <v>0</v>
      </c>
      <c r="L13" s="20">
        <v>0</v>
      </c>
      <c r="M13" s="20">
        <v>0</v>
      </c>
      <c r="N13" s="20">
        <v>0</v>
      </c>
      <c r="O13" s="20">
        <v>0</v>
      </c>
      <c r="P13" s="20">
        <v>2</v>
      </c>
      <c r="Q13" s="20">
        <v>17984</v>
      </c>
      <c r="R13" s="20">
        <v>0</v>
      </c>
      <c r="S13" s="20">
        <v>0</v>
      </c>
      <c r="T13" s="20">
        <v>0</v>
      </c>
      <c r="U13" s="20">
        <v>0</v>
      </c>
      <c r="V13" s="20">
        <v>0</v>
      </c>
      <c r="W13" s="20">
        <v>10</v>
      </c>
      <c r="X13" s="20">
        <v>9548</v>
      </c>
      <c r="Y13" s="20">
        <v>0</v>
      </c>
      <c r="Z13" s="20">
        <v>0</v>
      </c>
      <c r="AA13" s="20">
        <v>0</v>
      </c>
      <c r="AB13" s="20">
        <v>0</v>
      </c>
      <c r="AC13" s="20">
        <v>0</v>
      </c>
      <c r="AD13" s="20">
        <v>12</v>
      </c>
      <c r="AE13" s="20">
        <v>27532</v>
      </c>
      <c r="AF13" s="20">
        <v>0</v>
      </c>
      <c r="AG13" s="20">
        <v>2</v>
      </c>
      <c r="AH13" s="20">
        <v>3200</v>
      </c>
      <c r="AI13" s="20">
        <v>240</v>
      </c>
      <c r="AJ13" s="20">
        <v>0</v>
      </c>
      <c r="AK13" s="20">
        <v>2</v>
      </c>
      <c r="AL13" s="20">
        <v>0</v>
      </c>
      <c r="AM13" s="20">
        <v>0</v>
      </c>
      <c r="AN13" s="20">
        <v>2</v>
      </c>
      <c r="AO13" s="20"/>
      <c r="AP13" s="20"/>
      <c r="AQ13" s="20"/>
      <c r="AR13" s="20">
        <v>0</v>
      </c>
      <c r="AS13" s="20">
        <v>0</v>
      </c>
      <c r="AT13" s="20">
        <v>10</v>
      </c>
      <c r="AU13" s="20">
        <v>0</v>
      </c>
      <c r="AV13" s="20">
        <v>0</v>
      </c>
      <c r="AW13" s="20">
        <v>0</v>
      </c>
      <c r="AX13" s="20">
        <v>0</v>
      </c>
      <c r="AY13" s="20">
        <v>0</v>
      </c>
      <c r="AZ13" s="20">
        <v>0</v>
      </c>
      <c r="BA13" s="20">
        <v>0</v>
      </c>
      <c r="BB13" s="20">
        <v>0</v>
      </c>
      <c r="BC13" s="20">
        <v>0</v>
      </c>
      <c r="BD13" s="20">
        <v>0</v>
      </c>
      <c r="BE13" s="20">
        <v>0</v>
      </c>
    </row>
    <row r="14" spans="1:57" x14ac:dyDescent="0.3">
      <c r="A14" s="18" t="s">
        <v>253</v>
      </c>
      <c r="B14" s="20">
        <v>0</v>
      </c>
      <c r="C14" s="20">
        <v>0</v>
      </c>
      <c r="D14" s="20">
        <v>0</v>
      </c>
      <c r="E14" s="20">
        <v>8</v>
      </c>
      <c r="F14" s="20">
        <v>73855</v>
      </c>
      <c r="G14" s="20">
        <v>0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0">
        <v>0</v>
      </c>
      <c r="N14" s="20">
        <v>0</v>
      </c>
      <c r="O14" s="20">
        <v>0</v>
      </c>
      <c r="P14" s="20">
        <v>0</v>
      </c>
      <c r="Q14" s="20">
        <v>0</v>
      </c>
      <c r="R14" s="20">
        <v>0</v>
      </c>
      <c r="S14" s="20">
        <v>0</v>
      </c>
      <c r="T14" s="20">
        <v>0</v>
      </c>
      <c r="U14" s="20">
        <v>0</v>
      </c>
      <c r="V14" s="20">
        <v>2</v>
      </c>
      <c r="W14" s="20">
        <v>75</v>
      </c>
      <c r="X14" s="20">
        <v>162234</v>
      </c>
      <c r="Y14" s="20">
        <v>0</v>
      </c>
      <c r="Z14" s="20">
        <v>0</v>
      </c>
      <c r="AA14" s="20">
        <v>0</v>
      </c>
      <c r="AB14" s="20">
        <v>0</v>
      </c>
      <c r="AC14" s="20">
        <v>2</v>
      </c>
      <c r="AD14" s="20">
        <v>75</v>
      </c>
      <c r="AE14" s="20">
        <v>162234</v>
      </c>
      <c r="AF14" s="20">
        <v>0</v>
      </c>
      <c r="AG14" s="20">
        <v>8</v>
      </c>
      <c r="AH14" s="20">
        <v>73855</v>
      </c>
      <c r="AI14" s="20">
        <v>0</v>
      </c>
      <c r="AJ14" s="20">
        <v>2</v>
      </c>
      <c r="AK14" s="20">
        <v>75</v>
      </c>
      <c r="AL14" s="20">
        <v>162234</v>
      </c>
      <c r="AM14" s="20">
        <v>0</v>
      </c>
      <c r="AN14" s="20">
        <v>8</v>
      </c>
      <c r="AO14" s="20"/>
      <c r="AP14" s="20"/>
      <c r="AQ14" s="20"/>
      <c r="AR14" s="20">
        <v>0</v>
      </c>
      <c r="AS14" s="20">
        <v>0</v>
      </c>
      <c r="AT14" s="20">
        <v>0</v>
      </c>
      <c r="AU14" s="20">
        <v>0</v>
      </c>
      <c r="AV14" s="20">
        <v>0</v>
      </c>
      <c r="AW14" s="20">
        <v>0</v>
      </c>
      <c r="AX14" s="20">
        <v>0</v>
      </c>
      <c r="AY14" s="20">
        <v>0</v>
      </c>
      <c r="AZ14" s="20">
        <v>42642</v>
      </c>
      <c r="BA14" s="20">
        <v>42065</v>
      </c>
      <c r="BB14" s="20">
        <v>0</v>
      </c>
      <c r="BC14" s="20">
        <v>0</v>
      </c>
      <c r="BD14" s="20">
        <v>0</v>
      </c>
      <c r="BE14" s="20">
        <v>0</v>
      </c>
    </row>
    <row r="15" spans="1:57" x14ac:dyDescent="0.3">
      <c r="A15" s="18" t="s">
        <v>194</v>
      </c>
      <c r="B15" s="20">
        <v>2</v>
      </c>
      <c r="C15" s="20">
        <v>1</v>
      </c>
      <c r="D15" s="20">
        <v>0</v>
      </c>
      <c r="E15" s="20">
        <v>3</v>
      </c>
      <c r="F15" s="20">
        <v>349</v>
      </c>
      <c r="G15" s="20">
        <v>0</v>
      </c>
      <c r="H15" s="20">
        <v>1</v>
      </c>
      <c r="I15" s="20">
        <v>12</v>
      </c>
      <c r="J15" s="20">
        <v>438</v>
      </c>
      <c r="K15" s="20">
        <v>0</v>
      </c>
      <c r="L15" s="20">
        <v>2</v>
      </c>
      <c r="M15" s="20">
        <v>57</v>
      </c>
      <c r="N15" s="20">
        <v>0</v>
      </c>
      <c r="O15" s="20">
        <v>0</v>
      </c>
      <c r="P15" s="20">
        <v>5</v>
      </c>
      <c r="Q15" s="20">
        <v>32</v>
      </c>
      <c r="R15" s="20">
        <v>0</v>
      </c>
      <c r="S15" s="20">
        <v>1</v>
      </c>
      <c r="T15" s="20">
        <v>10</v>
      </c>
      <c r="U15" s="20">
        <v>0</v>
      </c>
      <c r="V15" s="20">
        <v>5</v>
      </c>
      <c r="W15" s="20">
        <v>42</v>
      </c>
      <c r="X15" s="20">
        <v>201</v>
      </c>
      <c r="Y15" s="20">
        <v>0</v>
      </c>
      <c r="Z15" s="20">
        <v>0</v>
      </c>
      <c r="AA15" s="20">
        <v>0</v>
      </c>
      <c r="AB15" s="20">
        <v>0</v>
      </c>
      <c r="AC15" s="20">
        <v>8</v>
      </c>
      <c r="AD15" s="20">
        <v>60</v>
      </c>
      <c r="AE15" s="20">
        <v>885</v>
      </c>
      <c r="AF15" s="20">
        <v>0</v>
      </c>
      <c r="AG15" s="20">
        <v>6</v>
      </c>
      <c r="AH15" s="20">
        <v>416</v>
      </c>
      <c r="AI15" s="20">
        <v>0</v>
      </c>
      <c r="AJ15" s="20">
        <v>0</v>
      </c>
      <c r="AK15" s="20">
        <v>0</v>
      </c>
      <c r="AL15" s="20">
        <v>0</v>
      </c>
      <c r="AM15" s="20">
        <v>0</v>
      </c>
      <c r="AN15" s="20">
        <v>0</v>
      </c>
      <c r="AO15" s="20"/>
      <c r="AP15" s="20"/>
      <c r="AQ15" s="20"/>
      <c r="AR15" s="20">
        <v>0</v>
      </c>
      <c r="AS15" s="20">
        <v>0</v>
      </c>
      <c r="AT15" s="20">
        <v>0</v>
      </c>
      <c r="AU15" s="20">
        <v>0</v>
      </c>
      <c r="AV15" s="20">
        <v>0</v>
      </c>
      <c r="AW15" s="20">
        <v>0</v>
      </c>
      <c r="AX15" s="20">
        <v>0</v>
      </c>
      <c r="AY15" s="20">
        <v>6</v>
      </c>
      <c r="AZ15" s="20">
        <v>30</v>
      </c>
      <c r="BA15" s="20">
        <v>0</v>
      </c>
      <c r="BB15" s="20">
        <v>0</v>
      </c>
      <c r="BC15" s="20">
        <v>0</v>
      </c>
      <c r="BD15" s="20">
        <v>0</v>
      </c>
      <c r="BE15" s="20">
        <v>0</v>
      </c>
    </row>
    <row r="16" spans="1:57" x14ac:dyDescent="0.3">
      <c r="A16" s="18" t="s">
        <v>68</v>
      </c>
      <c r="B16" s="20">
        <v>5</v>
      </c>
      <c r="C16" s="20">
        <v>9</v>
      </c>
      <c r="D16" s="20">
        <v>0</v>
      </c>
      <c r="E16" s="20">
        <v>8</v>
      </c>
      <c r="F16" s="20">
        <v>490048</v>
      </c>
      <c r="G16" s="20">
        <v>0</v>
      </c>
      <c r="H16" s="20">
        <v>0</v>
      </c>
      <c r="I16" s="20">
        <v>0</v>
      </c>
      <c r="J16" s="20">
        <v>0</v>
      </c>
      <c r="K16" s="20">
        <v>0</v>
      </c>
      <c r="L16" s="20">
        <v>0</v>
      </c>
      <c r="M16" s="20">
        <v>0</v>
      </c>
      <c r="N16" s="20">
        <v>0</v>
      </c>
      <c r="O16" s="20">
        <v>2</v>
      </c>
      <c r="P16" s="20">
        <v>11</v>
      </c>
      <c r="Q16" s="20">
        <v>71470</v>
      </c>
      <c r="R16" s="20">
        <v>0</v>
      </c>
      <c r="S16" s="20">
        <v>1</v>
      </c>
      <c r="T16" s="20">
        <v>22618</v>
      </c>
      <c r="U16" s="20">
        <v>0</v>
      </c>
      <c r="V16" s="20">
        <v>4</v>
      </c>
      <c r="W16" s="20">
        <v>57</v>
      </c>
      <c r="X16" s="20">
        <v>145343</v>
      </c>
      <c r="Y16" s="20">
        <v>0</v>
      </c>
      <c r="Z16" s="20">
        <v>3</v>
      </c>
      <c r="AA16" s="20">
        <v>6294</v>
      </c>
      <c r="AB16" s="20">
        <v>0</v>
      </c>
      <c r="AC16" s="20">
        <v>11</v>
      </c>
      <c r="AD16" s="20">
        <v>77</v>
      </c>
      <c r="AE16" s="20">
        <v>594435</v>
      </c>
      <c r="AF16" s="20">
        <v>0</v>
      </c>
      <c r="AG16" s="20">
        <v>12</v>
      </c>
      <c r="AH16" s="20">
        <v>518960</v>
      </c>
      <c r="AI16" s="20">
        <v>0</v>
      </c>
      <c r="AJ16" s="20">
        <v>8</v>
      </c>
      <c r="AK16" s="20">
        <v>26</v>
      </c>
      <c r="AL16" s="20">
        <v>461354</v>
      </c>
      <c r="AM16" s="20">
        <v>0</v>
      </c>
      <c r="AN16" s="20">
        <v>4</v>
      </c>
      <c r="AO16" s="20"/>
      <c r="AP16" s="20"/>
      <c r="AQ16" s="20"/>
      <c r="AR16" s="20">
        <v>0</v>
      </c>
      <c r="AS16" s="20">
        <v>3</v>
      </c>
      <c r="AT16" s="20">
        <v>47</v>
      </c>
      <c r="AU16" s="20">
        <v>129764</v>
      </c>
      <c r="AV16" s="20">
        <v>0</v>
      </c>
      <c r="AW16" s="20">
        <v>6</v>
      </c>
      <c r="AX16" s="20">
        <v>0</v>
      </c>
      <c r="AY16" s="20">
        <v>77</v>
      </c>
      <c r="AZ16" s="20">
        <v>185329</v>
      </c>
      <c r="BA16" s="20">
        <v>35984</v>
      </c>
      <c r="BB16" s="20">
        <v>0</v>
      </c>
      <c r="BC16" s="20">
        <v>0</v>
      </c>
      <c r="BD16" s="20">
        <v>0</v>
      </c>
      <c r="BE16" s="20">
        <v>0</v>
      </c>
    </row>
    <row r="17" spans="1:57" x14ac:dyDescent="0.3">
      <c r="A17" s="18" t="s">
        <v>212</v>
      </c>
      <c r="B17" s="20">
        <v>0</v>
      </c>
      <c r="C17" s="20">
        <v>0</v>
      </c>
      <c r="D17" s="20">
        <v>0</v>
      </c>
      <c r="E17" s="20">
        <v>2</v>
      </c>
      <c r="F17" s="20">
        <v>18748</v>
      </c>
      <c r="G17" s="21"/>
      <c r="H17" s="20">
        <v>0</v>
      </c>
      <c r="I17" s="20">
        <v>0</v>
      </c>
      <c r="J17" s="20">
        <v>0</v>
      </c>
      <c r="K17" s="20">
        <v>0</v>
      </c>
      <c r="L17" s="20">
        <v>0</v>
      </c>
      <c r="M17" s="20">
        <v>0</v>
      </c>
      <c r="N17" s="20">
        <v>0</v>
      </c>
      <c r="O17" s="20">
        <v>0</v>
      </c>
      <c r="P17" s="20">
        <v>2</v>
      </c>
      <c r="Q17" s="20">
        <v>2033</v>
      </c>
      <c r="R17" s="20">
        <v>0</v>
      </c>
      <c r="S17" s="21"/>
      <c r="T17" s="20">
        <v>0</v>
      </c>
      <c r="U17" s="20">
        <v>0</v>
      </c>
      <c r="V17" s="20">
        <v>0</v>
      </c>
      <c r="W17" s="20">
        <v>2</v>
      </c>
      <c r="X17" s="20">
        <v>32777</v>
      </c>
      <c r="Y17" s="20">
        <v>0</v>
      </c>
      <c r="Z17" s="20">
        <v>0</v>
      </c>
      <c r="AA17" s="20">
        <v>0</v>
      </c>
      <c r="AB17" s="20">
        <v>0</v>
      </c>
      <c r="AC17" s="20">
        <v>0</v>
      </c>
      <c r="AD17" s="20">
        <v>4</v>
      </c>
      <c r="AE17" s="20">
        <v>5310</v>
      </c>
      <c r="AF17" s="20">
        <v>0</v>
      </c>
      <c r="AG17" s="20">
        <v>2</v>
      </c>
      <c r="AH17" s="20">
        <v>18748</v>
      </c>
      <c r="AI17" s="20">
        <v>0</v>
      </c>
      <c r="AJ17" s="20">
        <v>0</v>
      </c>
      <c r="AK17" s="20">
        <v>0</v>
      </c>
      <c r="AL17" s="20">
        <v>0</v>
      </c>
      <c r="AM17" s="20">
        <v>0</v>
      </c>
      <c r="AN17" s="20">
        <v>0</v>
      </c>
      <c r="AO17" s="20"/>
      <c r="AP17" s="20"/>
      <c r="AQ17" s="20"/>
      <c r="AR17" s="20">
        <v>0</v>
      </c>
      <c r="AS17" s="20">
        <v>0</v>
      </c>
      <c r="AT17" s="20">
        <v>0</v>
      </c>
      <c r="AU17" s="20">
        <v>0</v>
      </c>
      <c r="AV17" s="20">
        <v>0</v>
      </c>
      <c r="AW17" s="20">
        <v>0</v>
      </c>
      <c r="AX17" s="20">
        <v>0</v>
      </c>
      <c r="AY17" s="20">
        <v>5</v>
      </c>
      <c r="AZ17" s="20">
        <v>9735</v>
      </c>
      <c r="BA17" s="20">
        <v>0</v>
      </c>
      <c r="BB17" s="20">
        <v>0</v>
      </c>
      <c r="BC17" s="20">
        <v>0</v>
      </c>
      <c r="BD17" s="20">
        <v>0</v>
      </c>
      <c r="BE17" s="20">
        <v>0</v>
      </c>
    </row>
    <row r="18" spans="1:57" x14ac:dyDescent="0.3">
      <c r="A18" s="18" t="s">
        <v>383</v>
      </c>
      <c r="B18" s="20">
        <v>0</v>
      </c>
      <c r="C18" s="20">
        <v>1</v>
      </c>
      <c r="D18" s="20">
        <v>0</v>
      </c>
      <c r="E18" s="20">
        <v>2</v>
      </c>
      <c r="F18" s="20">
        <v>1500</v>
      </c>
      <c r="G18" s="20">
        <v>20</v>
      </c>
      <c r="H18" s="20">
        <v>0</v>
      </c>
      <c r="I18" s="20">
        <v>0</v>
      </c>
      <c r="J18" s="20">
        <v>0</v>
      </c>
      <c r="K18" s="20">
        <v>0</v>
      </c>
      <c r="L18" s="20">
        <v>15</v>
      </c>
      <c r="M18" s="20">
        <v>9000</v>
      </c>
      <c r="N18" s="20">
        <v>20</v>
      </c>
      <c r="O18" s="20">
        <v>0</v>
      </c>
      <c r="P18" s="20">
        <v>0</v>
      </c>
      <c r="Q18" s="20">
        <v>1200</v>
      </c>
      <c r="R18" s="20">
        <v>0</v>
      </c>
      <c r="S18" s="20">
        <v>22</v>
      </c>
      <c r="T18" s="20">
        <v>6800</v>
      </c>
      <c r="U18" s="20">
        <v>20</v>
      </c>
      <c r="V18" s="20">
        <v>0</v>
      </c>
      <c r="W18" s="20">
        <v>0</v>
      </c>
      <c r="X18" s="20">
        <v>3150</v>
      </c>
      <c r="Y18" s="20">
        <v>0</v>
      </c>
      <c r="Z18" s="20">
        <v>2</v>
      </c>
      <c r="AA18" s="20">
        <v>250</v>
      </c>
      <c r="AB18" s="20">
        <v>20</v>
      </c>
      <c r="AC18" s="20">
        <v>0</v>
      </c>
      <c r="AD18" s="20">
        <v>1</v>
      </c>
      <c r="AE18" s="20">
        <v>4850</v>
      </c>
      <c r="AF18" s="20">
        <v>0</v>
      </c>
      <c r="AG18" s="20">
        <v>41</v>
      </c>
      <c r="AH18" s="20">
        <v>17550</v>
      </c>
      <c r="AI18" s="20">
        <v>80</v>
      </c>
      <c r="AJ18" s="20">
        <v>0</v>
      </c>
      <c r="AK18" s="20">
        <v>0</v>
      </c>
      <c r="AL18" s="20">
        <v>0</v>
      </c>
      <c r="AM18" s="20">
        <v>0</v>
      </c>
      <c r="AN18" s="20">
        <v>0</v>
      </c>
      <c r="AO18" s="20"/>
      <c r="AP18" s="20"/>
      <c r="AQ18" s="20"/>
      <c r="AR18" s="20">
        <v>0</v>
      </c>
      <c r="AS18" s="20">
        <v>0</v>
      </c>
      <c r="AT18" s="20">
        <v>0</v>
      </c>
      <c r="AU18" s="20">
        <v>0</v>
      </c>
      <c r="AV18" s="20">
        <v>0</v>
      </c>
      <c r="AW18" s="20">
        <v>0</v>
      </c>
      <c r="AX18" s="20">
        <v>0</v>
      </c>
      <c r="AY18" s="20">
        <v>0</v>
      </c>
      <c r="AZ18" s="20">
        <v>0</v>
      </c>
      <c r="BA18" s="20">
        <v>57036</v>
      </c>
      <c r="BB18" s="20">
        <v>0</v>
      </c>
      <c r="BC18" s="20">
        <v>0</v>
      </c>
      <c r="BD18" s="20">
        <v>0</v>
      </c>
      <c r="BE18" s="20">
        <v>0</v>
      </c>
    </row>
    <row r="19" spans="1:57" ht="27.6" x14ac:dyDescent="0.3">
      <c r="A19" s="18" t="s">
        <v>206</v>
      </c>
      <c r="B19" s="20">
        <v>1</v>
      </c>
      <c r="C19" s="20">
        <v>0</v>
      </c>
      <c r="D19" s="20">
        <v>0</v>
      </c>
      <c r="E19" s="20">
        <v>4</v>
      </c>
      <c r="F19" s="20">
        <v>161718</v>
      </c>
      <c r="G19" s="20">
        <v>1186</v>
      </c>
      <c r="H19" s="20">
        <v>0</v>
      </c>
      <c r="I19" s="20">
        <v>2</v>
      </c>
      <c r="J19" s="20">
        <v>11308</v>
      </c>
      <c r="K19" s="20">
        <v>0</v>
      </c>
      <c r="L19" s="20">
        <v>7</v>
      </c>
      <c r="M19" s="20">
        <v>90581</v>
      </c>
      <c r="N19" s="20">
        <v>1331</v>
      </c>
      <c r="O19" s="20">
        <v>6</v>
      </c>
      <c r="P19" s="20">
        <v>39</v>
      </c>
      <c r="Q19" s="20">
        <v>87477</v>
      </c>
      <c r="R19" s="20">
        <v>0</v>
      </c>
      <c r="S19" s="20">
        <v>2</v>
      </c>
      <c r="T19" s="20">
        <v>54199</v>
      </c>
      <c r="U19" s="20">
        <v>3790</v>
      </c>
      <c r="V19" s="20">
        <v>0</v>
      </c>
      <c r="W19" s="20">
        <v>7</v>
      </c>
      <c r="X19" s="20">
        <v>12349</v>
      </c>
      <c r="Y19" s="20">
        <v>0</v>
      </c>
      <c r="Z19" s="20">
        <v>0</v>
      </c>
      <c r="AA19" s="20">
        <v>0</v>
      </c>
      <c r="AB19" s="20">
        <v>1320</v>
      </c>
      <c r="AC19" s="20">
        <v>7</v>
      </c>
      <c r="AD19" s="20">
        <v>48</v>
      </c>
      <c r="AE19" s="20">
        <v>112211</v>
      </c>
      <c r="AF19" s="20">
        <v>0</v>
      </c>
      <c r="AG19" s="20">
        <v>13</v>
      </c>
      <c r="AH19" s="20">
        <v>306498</v>
      </c>
      <c r="AI19" s="20">
        <v>7627</v>
      </c>
      <c r="AJ19" s="20">
        <v>1</v>
      </c>
      <c r="AK19" s="20">
        <v>2</v>
      </c>
      <c r="AL19" s="20">
        <v>12385</v>
      </c>
      <c r="AM19" s="20">
        <v>0</v>
      </c>
      <c r="AN19" s="20">
        <v>11</v>
      </c>
      <c r="AO19" s="20"/>
      <c r="AP19" s="20"/>
      <c r="AQ19" s="20"/>
      <c r="AR19" s="20">
        <v>0</v>
      </c>
      <c r="AS19" s="20">
        <v>6</v>
      </c>
      <c r="AT19" s="20">
        <v>46</v>
      </c>
      <c r="AU19" s="20">
        <v>99826</v>
      </c>
      <c r="AV19" s="20">
        <v>0</v>
      </c>
      <c r="AW19" s="20">
        <v>2</v>
      </c>
      <c r="AX19" s="20">
        <v>0</v>
      </c>
      <c r="AY19" s="20">
        <v>54</v>
      </c>
      <c r="AZ19" s="20">
        <v>158964</v>
      </c>
      <c r="BA19" s="20">
        <v>10364</v>
      </c>
      <c r="BB19" s="20">
        <v>0</v>
      </c>
      <c r="BC19" s="20">
        <v>0</v>
      </c>
      <c r="BD19" s="20">
        <v>0</v>
      </c>
      <c r="BE19" s="20">
        <v>0</v>
      </c>
    </row>
    <row r="20" spans="1:57" x14ac:dyDescent="0.3">
      <c r="A20" s="18" t="s">
        <v>110</v>
      </c>
      <c r="B20" s="20">
        <v>16</v>
      </c>
      <c r="C20" s="20">
        <v>132</v>
      </c>
      <c r="D20" s="20">
        <v>1</v>
      </c>
      <c r="E20" s="20">
        <v>19</v>
      </c>
      <c r="F20" s="20">
        <v>322103</v>
      </c>
      <c r="G20" s="20">
        <v>0</v>
      </c>
      <c r="H20" s="20">
        <v>56</v>
      </c>
      <c r="I20" s="20">
        <v>312</v>
      </c>
      <c r="J20" s="20">
        <v>1896030</v>
      </c>
      <c r="K20" s="20">
        <v>0</v>
      </c>
      <c r="L20" s="20">
        <v>0</v>
      </c>
      <c r="M20" s="20">
        <v>0</v>
      </c>
      <c r="N20" s="20">
        <v>0</v>
      </c>
      <c r="O20" s="20">
        <v>28</v>
      </c>
      <c r="P20" s="20">
        <v>625</v>
      </c>
      <c r="Q20" s="20">
        <v>1564572</v>
      </c>
      <c r="R20" s="20">
        <v>0</v>
      </c>
      <c r="S20" s="20">
        <v>0</v>
      </c>
      <c r="T20" s="20">
        <v>0</v>
      </c>
      <c r="U20" s="20">
        <v>0</v>
      </c>
      <c r="V20" s="20">
        <v>4</v>
      </c>
      <c r="W20" s="20">
        <v>19</v>
      </c>
      <c r="X20" s="20">
        <v>42923</v>
      </c>
      <c r="Y20" s="20">
        <v>0</v>
      </c>
      <c r="Z20" s="20">
        <v>0</v>
      </c>
      <c r="AA20" s="20">
        <v>0</v>
      </c>
      <c r="AB20" s="20">
        <v>0</v>
      </c>
      <c r="AC20" s="20">
        <v>104</v>
      </c>
      <c r="AD20" s="20">
        <v>1088</v>
      </c>
      <c r="AE20" s="20">
        <v>8470204</v>
      </c>
      <c r="AF20" s="20">
        <v>1</v>
      </c>
      <c r="AG20" s="20">
        <v>19</v>
      </c>
      <c r="AH20" s="20">
        <v>322103</v>
      </c>
      <c r="AI20" s="20">
        <v>0</v>
      </c>
      <c r="AJ20" s="20">
        <v>104</v>
      </c>
      <c r="AK20" s="20">
        <v>1088</v>
      </c>
      <c r="AL20" s="20">
        <v>8470204</v>
      </c>
      <c r="AM20" s="20">
        <v>1</v>
      </c>
      <c r="AN20" s="20">
        <v>19</v>
      </c>
      <c r="AO20" s="20"/>
      <c r="AP20" s="20"/>
      <c r="AQ20" s="20"/>
      <c r="AR20" s="20">
        <v>0</v>
      </c>
      <c r="AS20" s="20">
        <v>0</v>
      </c>
      <c r="AT20" s="20">
        <v>0</v>
      </c>
      <c r="AU20" s="20">
        <v>0</v>
      </c>
      <c r="AV20" s="20">
        <v>0</v>
      </c>
      <c r="AW20" s="20">
        <v>0</v>
      </c>
      <c r="AX20" s="20">
        <v>0</v>
      </c>
      <c r="AY20" s="20">
        <v>0</v>
      </c>
      <c r="AZ20" s="20">
        <v>0</v>
      </c>
      <c r="BA20" s="20">
        <v>876729</v>
      </c>
      <c r="BB20" s="20">
        <v>53</v>
      </c>
      <c r="BC20" s="20">
        <v>0</v>
      </c>
      <c r="BD20" s="20">
        <v>0</v>
      </c>
      <c r="BE20" s="20">
        <v>0</v>
      </c>
    </row>
    <row r="21" spans="1:57" x14ac:dyDescent="0.3">
      <c r="A21" s="18" t="s">
        <v>257</v>
      </c>
      <c r="B21" s="20">
        <v>0</v>
      </c>
      <c r="C21" s="20">
        <v>1</v>
      </c>
      <c r="D21" s="20">
        <v>0</v>
      </c>
      <c r="E21" s="20">
        <v>0</v>
      </c>
      <c r="F21" s="20">
        <v>0</v>
      </c>
      <c r="G21" s="20">
        <v>0</v>
      </c>
      <c r="H21" s="20">
        <v>1</v>
      </c>
      <c r="I21" s="20">
        <v>4</v>
      </c>
      <c r="J21" s="20">
        <v>88723</v>
      </c>
      <c r="K21" s="20">
        <v>0</v>
      </c>
      <c r="L21" s="20">
        <v>3</v>
      </c>
      <c r="M21" s="20">
        <v>54007</v>
      </c>
      <c r="N21" s="20">
        <v>0</v>
      </c>
      <c r="O21" s="20">
        <v>9</v>
      </c>
      <c r="P21" s="20">
        <v>93</v>
      </c>
      <c r="Q21" s="20">
        <v>624395</v>
      </c>
      <c r="R21" s="21"/>
      <c r="S21" s="20">
        <v>5</v>
      </c>
      <c r="T21" s="20">
        <v>32281</v>
      </c>
      <c r="U21" s="20">
        <v>0</v>
      </c>
      <c r="V21" s="20">
        <v>6</v>
      </c>
      <c r="W21" s="20">
        <v>619</v>
      </c>
      <c r="X21" s="20">
        <v>1522347</v>
      </c>
      <c r="Y21" s="20">
        <v>0</v>
      </c>
      <c r="Z21" s="20">
        <v>4</v>
      </c>
      <c r="AA21" s="20">
        <v>9877</v>
      </c>
      <c r="AB21" s="20">
        <v>0</v>
      </c>
      <c r="AC21" s="20">
        <v>16</v>
      </c>
      <c r="AD21" s="20">
        <v>717</v>
      </c>
      <c r="AE21" s="20">
        <v>2293101</v>
      </c>
      <c r="AF21" s="21"/>
      <c r="AG21" s="20">
        <v>12</v>
      </c>
      <c r="AH21" s="20">
        <v>96165</v>
      </c>
      <c r="AI21" s="20">
        <v>0</v>
      </c>
      <c r="AJ21" s="20">
        <v>16</v>
      </c>
      <c r="AK21" s="20">
        <v>581</v>
      </c>
      <c r="AL21" s="20">
        <v>2114388</v>
      </c>
      <c r="AM21" s="20">
        <v>0</v>
      </c>
      <c r="AN21" s="20">
        <v>12</v>
      </c>
      <c r="AO21" s="20"/>
      <c r="AP21" s="20"/>
      <c r="AQ21" s="20"/>
      <c r="AR21" s="20">
        <v>0</v>
      </c>
      <c r="AS21" s="20">
        <v>0</v>
      </c>
      <c r="AT21" s="20">
        <v>136</v>
      </c>
      <c r="AU21" s="20">
        <v>178713</v>
      </c>
      <c r="AV21" s="20">
        <v>0</v>
      </c>
      <c r="AW21" s="20">
        <v>0</v>
      </c>
      <c r="AX21" s="20">
        <v>0</v>
      </c>
      <c r="AY21" s="20">
        <v>0</v>
      </c>
      <c r="AZ21" s="20">
        <v>0</v>
      </c>
      <c r="BA21" s="20">
        <v>299573</v>
      </c>
      <c r="BB21" s="20">
        <v>0</v>
      </c>
      <c r="BC21" s="20">
        <v>0</v>
      </c>
      <c r="BD21" s="20">
        <v>0</v>
      </c>
      <c r="BE21" s="20">
        <v>0</v>
      </c>
    </row>
    <row r="22" spans="1:57" ht="41.4" x14ac:dyDescent="0.3">
      <c r="A22" s="18" t="s">
        <v>252</v>
      </c>
      <c r="B22" s="20">
        <v>0</v>
      </c>
      <c r="C22" s="20">
        <v>0</v>
      </c>
      <c r="D22" s="20">
        <v>0</v>
      </c>
      <c r="E22" s="20">
        <v>0</v>
      </c>
      <c r="F22" s="20">
        <v>0</v>
      </c>
      <c r="G22" s="20">
        <v>0</v>
      </c>
      <c r="H22" s="20">
        <v>0</v>
      </c>
      <c r="I22" s="20">
        <v>0</v>
      </c>
      <c r="J22" s="20">
        <v>0</v>
      </c>
      <c r="K22" s="20">
        <v>0</v>
      </c>
      <c r="L22" s="20">
        <v>0</v>
      </c>
      <c r="M22" s="20">
        <v>0</v>
      </c>
      <c r="N22" s="20">
        <v>0</v>
      </c>
      <c r="O22" s="20">
        <v>0</v>
      </c>
      <c r="P22" s="20">
        <v>0</v>
      </c>
      <c r="Q22" s="20">
        <v>0</v>
      </c>
      <c r="R22" s="20">
        <v>0</v>
      </c>
      <c r="S22" s="20">
        <v>0</v>
      </c>
      <c r="T22" s="20">
        <v>0</v>
      </c>
      <c r="U22" s="20">
        <v>0</v>
      </c>
      <c r="V22" s="20">
        <v>0</v>
      </c>
      <c r="W22" s="20">
        <v>0</v>
      </c>
      <c r="X22" s="20">
        <v>0</v>
      </c>
      <c r="Y22" s="20">
        <v>0</v>
      </c>
      <c r="Z22" s="20">
        <v>0</v>
      </c>
      <c r="AA22" s="20">
        <v>0</v>
      </c>
      <c r="AB22" s="20">
        <v>0</v>
      </c>
      <c r="AC22" s="20">
        <v>0</v>
      </c>
      <c r="AD22" s="20">
        <v>0</v>
      </c>
      <c r="AE22" s="20">
        <v>0</v>
      </c>
      <c r="AF22" s="20">
        <v>0</v>
      </c>
      <c r="AG22" s="20">
        <v>0</v>
      </c>
      <c r="AH22" s="20">
        <v>0</v>
      </c>
      <c r="AI22" s="20">
        <v>0</v>
      </c>
      <c r="AJ22" s="20">
        <v>0</v>
      </c>
      <c r="AK22" s="20">
        <v>0</v>
      </c>
      <c r="AL22" s="20">
        <v>0</v>
      </c>
      <c r="AM22" s="20">
        <v>0</v>
      </c>
      <c r="AN22" s="20">
        <v>0</v>
      </c>
      <c r="AO22" s="20"/>
      <c r="AP22" s="20"/>
      <c r="AQ22" s="20"/>
      <c r="AR22" s="20">
        <v>0</v>
      </c>
      <c r="AS22" s="20">
        <v>0</v>
      </c>
      <c r="AT22" s="20">
        <v>0</v>
      </c>
      <c r="AU22" s="20">
        <v>0</v>
      </c>
      <c r="AV22" s="20">
        <v>0</v>
      </c>
      <c r="AW22" s="20">
        <v>0</v>
      </c>
      <c r="AX22" s="20">
        <v>0</v>
      </c>
      <c r="AY22" s="20">
        <v>0</v>
      </c>
      <c r="AZ22" s="20">
        <v>0</v>
      </c>
      <c r="BA22" s="20">
        <v>0</v>
      </c>
      <c r="BB22" s="20">
        <v>0</v>
      </c>
      <c r="BC22" s="20">
        <v>0</v>
      </c>
      <c r="BD22" s="20">
        <v>0</v>
      </c>
      <c r="BE22" s="20">
        <v>0</v>
      </c>
    </row>
    <row r="23" spans="1:57" x14ac:dyDescent="0.3">
      <c r="A23" s="18" t="s">
        <v>95</v>
      </c>
      <c r="B23" s="20">
        <v>3</v>
      </c>
      <c r="C23" s="20">
        <v>12</v>
      </c>
      <c r="D23" s="20">
        <v>0</v>
      </c>
      <c r="E23" s="20">
        <v>0</v>
      </c>
      <c r="F23" s="20">
        <v>0</v>
      </c>
      <c r="G23" s="20">
        <v>0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0">
        <v>0</v>
      </c>
      <c r="N23" s="20">
        <v>0</v>
      </c>
      <c r="O23" s="20">
        <v>4</v>
      </c>
      <c r="P23" s="20">
        <v>376</v>
      </c>
      <c r="Q23" s="20">
        <v>1205741200</v>
      </c>
      <c r="R23" s="20">
        <v>0</v>
      </c>
      <c r="S23" s="20">
        <v>0</v>
      </c>
      <c r="T23" s="20">
        <v>0</v>
      </c>
      <c r="U23" s="20">
        <v>0</v>
      </c>
      <c r="V23" s="20">
        <v>0</v>
      </c>
      <c r="W23" s="20">
        <v>0</v>
      </c>
      <c r="X23" s="20">
        <v>0</v>
      </c>
      <c r="Y23" s="20">
        <v>0</v>
      </c>
      <c r="Z23" s="20">
        <v>0</v>
      </c>
      <c r="AA23" s="20">
        <v>0</v>
      </c>
      <c r="AB23" s="20">
        <v>0</v>
      </c>
      <c r="AC23" s="20">
        <v>7</v>
      </c>
      <c r="AD23" s="20">
        <v>388</v>
      </c>
      <c r="AE23" s="20">
        <v>1482815662</v>
      </c>
      <c r="AF23" s="20">
        <v>0</v>
      </c>
      <c r="AG23" s="20">
        <v>0</v>
      </c>
      <c r="AH23" s="20">
        <v>0</v>
      </c>
      <c r="AI23" s="20">
        <v>0</v>
      </c>
      <c r="AJ23" s="20">
        <v>0</v>
      </c>
      <c r="AK23" s="20">
        <v>0</v>
      </c>
      <c r="AL23" s="20">
        <v>0</v>
      </c>
      <c r="AM23" s="20">
        <v>0</v>
      </c>
      <c r="AN23" s="20">
        <v>0</v>
      </c>
      <c r="AO23" s="20"/>
      <c r="AP23" s="20"/>
      <c r="AQ23" s="20"/>
      <c r="AR23" s="20">
        <v>0</v>
      </c>
      <c r="AS23" s="20">
        <v>0</v>
      </c>
      <c r="AT23" s="20">
        <v>0</v>
      </c>
      <c r="AU23" s="20">
        <v>0</v>
      </c>
      <c r="AV23" s="20">
        <v>0</v>
      </c>
      <c r="AW23" s="20">
        <v>0</v>
      </c>
      <c r="AX23" s="20">
        <v>0</v>
      </c>
      <c r="AY23" s="20">
        <v>0</v>
      </c>
      <c r="AZ23" s="20">
        <v>0</v>
      </c>
      <c r="BA23" s="20">
        <v>161460829</v>
      </c>
      <c r="BB23" s="20">
        <v>0</v>
      </c>
      <c r="BC23" s="20">
        <v>0</v>
      </c>
      <c r="BD23" s="20">
        <v>0</v>
      </c>
      <c r="BE23" s="20">
        <v>0</v>
      </c>
    </row>
    <row r="24" spans="1:57" x14ac:dyDescent="0.3">
      <c r="A24" s="18" t="s">
        <v>187</v>
      </c>
      <c r="B24" s="20">
        <v>1</v>
      </c>
      <c r="C24" s="20">
        <v>5</v>
      </c>
      <c r="D24" s="20">
        <v>0</v>
      </c>
      <c r="E24" s="20">
        <v>0</v>
      </c>
      <c r="F24" s="20">
        <v>0</v>
      </c>
      <c r="G24" s="20">
        <v>0</v>
      </c>
      <c r="H24" s="20">
        <v>1</v>
      </c>
      <c r="I24" s="20">
        <v>1</v>
      </c>
      <c r="J24" s="20">
        <v>17119</v>
      </c>
      <c r="K24" s="20">
        <v>0</v>
      </c>
      <c r="L24" s="20">
        <v>0</v>
      </c>
      <c r="M24" s="20">
        <v>0</v>
      </c>
      <c r="N24" s="20">
        <v>0</v>
      </c>
      <c r="O24" s="20">
        <v>0</v>
      </c>
      <c r="P24" s="20">
        <v>6</v>
      </c>
      <c r="Q24" s="20">
        <v>33615</v>
      </c>
      <c r="R24" s="20">
        <v>0</v>
      </c>
      <c r="S24" s="20">
        <v>0</v>
      </c>
      <c r="T24" s="20">
        <v>0</v>
      </c>
      <c r="U24" s="20">
        <v>0</v>
      </c>
      <c r="V24" s="20">
        <v>0</v>
      </c>
      <c r="W24" s="20">
        <v>19</v>
      </c>
      <c r="X24" s="20">
        <v>26169</v>
      </c>
      <c r="Y24" s="20">
        <v>0</v>
      </c>
      <c r="Z24" s="20">
        <v>0</v>
      </c>
      <c r="AA24" s="20">
        <v>0</v>
      </c>
      <c r="AB24" s="20">
        <v>0</v>
      </c>
      <c r="AC24" s="20">
        <v>2</v>
      </c>
      <c r="AD24" s="20">
        <v>30</v>
      </c>
      <c r="AE24" s="20">
        <v>159931</v>
      </c>
      <c r="AF24" s="20">
        <v>0</v>
      </c>
      <c r="AG24" s="20">
        <v>0</v>
      </c>
      <c r="AH24" s="20">
        <v>0</v>
      </c>
      <c r="AI24" s="20">
        <v>0</v>
      </c>
      <c r="AJ24" s="20">
        <v>1</v>
      </c>
      <c r="AK24" s="20">
        <v>5</v>
      </c>
      <c r="AL24" s="20">
        <v>87833</v>
      </c>
      <c r="AM24" s="20">
        <v>0</v>
      </c>
      <c r="AN24" s="20">
        <v>0</v>
      </c>
      <c r="AO24" s="20"/>
      <c r="AP24" s="20"/>
      <c r="AQ24" s="20"/>
      <c r="AR24" s="20">
        <v>0</v>
      </c>
      <c r="AS24" s="20">
        <v>1</v>
      </c>
      <c r="AT24" s="20">
        <v>25</v>
      </c>
      <c r="AU24" s="20">
        <v>7210</v>
      </c>
      <c r="AV24" s="20">
        <v>0</v>
      </c>
      <c r="AW24" s="20">
        <v>0</v>
      </c>
      <c r="AX24" s="20">
        <v>0</v>
      </c>
      <c r="AY24" s="20">
        <v>0</v>
      </c>
      <c r="AZ24" s="20">
        <v>0</v>
      </c>
      <c r="BA24" s="20">
        <v>73059</v>
      </c>
      <c r="BB24" s="20">
        <v>0</v>
      </c>
      <c r="BC24" s="20">
        <v>0</v>
      </c>
      <c r="BD24" s="20">
        <v>0</v>
      </c>
      <c r="BE24" s="20">
        <v>0</v>
      </c>
    </row>
    <row r="25" spans="1:57" x14ac:dyDescent="0.3">
      <c r="A25" s="18" t="s">
        <v>78</v>
      </c>
      <c r="B25" s="20">
        <v>0</v>
      </c>
      <c r="C25" s="20">
        <v>2</v>
      </c>
      <c r="D25" s="20">
        <v>0</v>
      </c>
      <c r="E25" s="20">
        <v>1</v>
      </c>
      <c r="F25" s="20">
        <v>7200</v>
      </c>
      <c r="G25" s="20">
        <v>0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>
        <v>0</v>
      </c>
      <c r="N25" s="20">
        <v>0</v>
      </c>
      <c r="O25" s="20">
        <v>0</v>
      </c>
      <c r="P25" s="20">
        <v>1</v>
      </c>
      <c r="Q25" s="20">
        <v>4200</v>
      </c>
      <c r="R25" s="20">
        <v>0</v>
      </c>
      <c r="S25" s="20">
        <v>0</v>
      </c>
      <c r="T25" s="20">
        <v>0</v>
      </c>
      <c r="U25" s="20">
        <v>0</v>
      </c>
      <c r="V25" s="20">
        <v>0</v>
      </c>
      <c r="W25" s="20">
        <v>0</v>
      </c>
      <c r="X25" s="20">
        <v>0</v>
      </c>
      <c r="Y25" s="20">
        <v>0</v>
      </c>
      <c r="Z25" s="20">
        <v>0</v>
      </c>
      <c r="AA25" s="20">
        <v>0</v>
      </c>
      <c r="AB25" s="20">
        <v>0</v>
      </c>
      <c r="AC25" s="20">
        <v>0</v>
      </c>
      <c r="AD25" s="20">
        <v>3</v>
      </c>
      <c r="AE25" s="20">
        <v>18600</v>
      </c>
      <c r="AF25" s="20">
        <v>0</v>
      </c>
      <c r="AG25" s="20">
        <v>1</v>
      </c>
      <c r="AH25" s="20">
        <v>7200</v>
      </c>
      <c r="AI25" s="20">
        <v>0</v>
      </c>
      <c r="AJ25" s="20">
        <v>0</v>
      </c>
      <c r="AK25" s="20">
        <v>2</v>
      </c>
      <c r="AL25" s="20">
        <v>1400</v>
      </c>
      <c r="AM25" s="20">
        <v>0</v>
      </c>
      <c r="AN25" s="20">
        <v>1</v>
      </c>
      <c r="AO25" s="20"/>
      <c r="AP25" s="20"/>
      <c r="AQ25" s="20"/>
      <c r="AR25" s="20">
        <v>0</v>
      </c>
      <c r="AS25" s="20">
        <v>0</v>
      </c>
      <c r="AT25" s="20">
        <v>1</v>
      </c>
      <c r="AU25" s="20">
        <v>4200</v>
      </c>
      <c r="AV25" s="20">
        <v>0</v>
      </c>
      <c r="AW25" s="20">
        <v>0</v>
      </c>
      <c r="AX25" s="20">
        <v>0</v>
      </c>
      <c r="AY25" s="20">
        <v>0</v>
      </c>
      <c r="AZ25" s="20">
        <v>0</v>
      </c>
      <c r="BA25" s="20">
        <v>0</v>
      </c>
      <c r="BB25" s="20">
        <v>0</v>
      </c>
      <c r="BC25" s="20">
        <v>0</v>
      </c>
      <c r="BD25" s="20">
        <v>0</v>
      </c>
      <c r="BE25" s="20">
        <v>0</v>
      </c>
    </row>
    <row r="26" spans="1:57" x14ac:dyDescent="0.3">
      <c r="A26" s="18" t="s">
        <v>269</v>
      </c>
      <c r="B26" s="20">
        <v>2</v>
      </c>
      <c r="C26" s="20">
        <v>15</v>
      </c>
      <c r="D26" s="20">
        <v>4</v>
      </c>
      <c r="E26" s="20">
        <v>8</v>
      </c>
      <c r="F26" s="20">
        <v>921309</v>
      </c>
      <c r="G26" s="20">
        <v>0</v>
      </c>
      <c r="H26" s="20">
        <v>6</v>
      </c>
      <c r="I26" s="20">
        <v>77</v>
      </c>
      <c r="J26" s="20">
        <v>2824694</v>
      </c>
      <c r="K26" s="20">
        <v>0</v>
      </c>
      <c r="L26" s="20">
        <v>3</v>
      </c>
      <c r="M26" s="20">
        <v>0</v>
      </c>
      <c r="N26" s="20">
        <v>0</v>
      </c>
      <c r="O26" s="20">
        <v>28</v>
      </c>
      <c r="P26" s="20">
        <v>200</v>
      </c>
      <c r="Q26" s="20">
        <v>1450448</v>
      </c>
      <c r="R26" s="20">
        <v>0</v>
      </c>
      <c r="S26" s="20">
        <v>0</v>
      </c>
      <c r="T26" s="20">
        <v>0</v>
      </c>
      <c r="U26" s="20">
        <v>0</v>
      </c>
      <c r="V26" s="20">
        <v>3</v>
      </c>
      <c r="W26" s="20">
        <v>288</v>
      </c>
      <c r="X26" s="20">
        <v>1015962</v>
      </c>
      <c r="Y26" s="20">
        <v>0</v>
      </c>
      <c r="Z26" s="20">
        <v>0</v>
      </c>
      <c r="AA26" s="20">
        <v>0</v>
      </c>
      <c r="AB26" s="20">
        <v>0</v>
      </c>
      <c r="AC26" s="20">
        <v>39</v>
      </c>
      <c r="AD26" s="20">
        <v>504</v>
      </c>
      <c r="AE26" s="20">
        <v>5685841</v>
      </c>
      <c r="AF26" s="20">
        <v>4</v>
      </c>
      <c r="AG26" s="20">
        <v>11</v>
      </c>
      <c r="AH26" s="20">
        <v>921309</v>
      </c>
      <c r="AI26" s="20">
        <v>0</v>
      </c>
      <c r="AJ26" s="20">
        <v>0</v>
      </c>
      <c r="AK26" s="20">
        <v>0</v>
      </c>
      <c r="AL26" s="20">
        <v>0</v>
      </c>
      <c r="AM26" s="20">
        <v>0</v>
      </c>
      <c r="AN26" s="20">
        <v>0</v>
      </c>
      <c r="AO26" s="20"/>
      <c r="AP26" s="20"/>
      <c r="AQ26" s="20"/>
      <c r="AR26" s="20">
        <v>0</v>
      </c>
      <c r="AS26" s="20">
        <v>0</v>
      </c>
      <c r="AT26" s="20">
        <v>0</v>
      </c>
      <c r="AU26" s="20">
        <v>0</v>
      </c>
      <c r="AV26" s="20">
        <v>0</v>
      </c>
      <c r="AW26" s="20">
        <v>0</v>
      </c>
      <c r="AX26" s="20">
        <v>0</v>
      </c>
      <c r="AY26" s="20">
        <v>350</v>
      </c>
      <c r="AZ26" s="20">
        <v>1637201</v>
      </c>
      <c r="BA26" s="20">
        <v>0</v>
      </c>
      <c r="BB26" s="20">
        <v>0</v>
      </c>
      <c r="BC26" s="20">
        <v>0</v>
      </c>
      <c r="BD26" s="20">
        <v>0</v>
      </c>
      <c r="BE26" s="20">
        <v>0</v>
      </c>
    </row>
    <row r="27" spans="1:57" x14ac:dyDescent="0.3">
      <c r="A27" s="18" t="s">
        <v>262</v>
      </c>
      <c r="B27" s="20">
        <v>0</v>
      </c>
      <c r="C27" s="20">
        <v>0</v>
      </c>
      <c r="D27" s="20">
        <v>0</v>
      </c>
      <c r="E27" s="20">
        <v>0</v>
      </c>
      <c r="F27" s="20">
        <v>0</v>
      </c>
      <c r="G27" s="20">
        <v>0</v>
      </c>
      <c r="H27" s="20">
        <v>0</v>
      </c>
      <c r="I27" s="20">
        <v>0</v>
      </c>
      <c r="J27" s="20">
        <v>0</v>
      </c>
      <c r="K27" s="20">
        <v>0</v>
      </c>
      <c r="L27" s="20">
        <v>0</v>
      </c>
      <c r="M27" s="20">
        <v>0</v>
      </c>
      <c r="N27" s="20">
        <v>0</v>
      </c>
      <c r="O27" s="20">
        <v>0</v>
      </c>
      <c r="P27" s="20">
        <v>4</v>
      </c>
      <c r="Q27" s="20">
        <v>1540000</v>
      </c>
      <c r="R27" s="20">
        <v>0</v>
      </c>
      <c r="S27" s="20">
        <v>0</v>
      </c>
      <c r="T27" s="20">
        <v>0</v>
      </c>
      <c r="U27" s="20">
        <v>0</v>
      </c>
      <c r="V27" s="20">
        <v>0</v>
      </c>
      <c r="W27" s="20">
        <v>9</v>
      </c>
      <c r="X27" s="20">
        <v>680000</v>
      </c>
      <c r="Y27" s="20">
        <v>0</v>
      </c>
      <c r="Z27" s="20">
        <v>0</v>
      </c>
      <c r="AA27" s="20">
        <v>0</v>
      </c>
      <c r="AB27" s="20">
        <v>0</v>
      </c>
      <c r="AC27" s="20">
        <v>0</v>
      </c>
      <c r="AD27" s="20">
        <v>13</v>
      </c>
      <c r="AE27" s="20">
        <v>2220000</v>
      </c>
      <c r="AF27" s="20">
        <v>0</v>
      </c>
      <c r="AG27" s="20">
        <v>0</v>
      </c>
      <c r="AH27" s="20">
        <v>0</v>
      </c>
      <c r="AI27" s="20">
        <v>0</v>
      </c>
      <c r="AJ27" s="20">
        <v>0</v>
      </c>
      <c r="AK27" s="20">
        <v>11</v>
      </c>
      <c r="AL27" s="20">
        <v>6511532</v>
      </c>
      <c r="AM27" s="20">
        <v>0</v>
      </c>
      <c r="AN27" s="20">
        <v>0</v>
      </c>
      <c r="AO27" s="20"/>
      <c r="AP27" s="20"/>
      <c r="AQ27" s="20"/>
      <c r="AR27" s="20">
        <v>0</v>
      </c>
      <c r="AS27" s="20">
        <v>2</v>
      </c>
      <c r="AT27" s="20">
        <v>0</v>
      </c>
      <c r="AU27" s="20">
        <v>1200000</v>
      </c>
      <c r="AV27" s="20">
        <v>0</v>
      </c>
      <c r="AW27" s="20">
        <v>0</v>
      </c>
      <c r="AX27" s="20">
        <v>0</v>
      </c>
      <c r="AY27" s="20">
        <v>0</v>
      </c>
      <c r="AZ27" s="20">
        <v>0</v>
      </c>
      <c r="BA27" s="20">
        <v>0</v>
      </c>
      <c r="BB27" s="20">
        <v>0</v>
      </c>
      <c r="BC27" s="20">
        <v>0</v>
      </c>
      <c r="BD27" s="20">
        <v>0</v>
      </c>
      <c r="BE27" s="20">
        <v>0</v>
      </c>
    </row>
    <row r="28" spans="1:57" x14ac:dyDescent="0.3">
      <c r="A28" s="18" t="s">
        <v>256</v>
      </c>
      <c r="B28" s="20">
        <v>0</v>
      </c>
      <c r="C28" s="20">
        <v>6</v>
      </c>
      <c r="D28" s="20">
        <v>4</v>
      </c>
      <c r="E28" s="20">
        <v>33</v>
      </c>
      <c r="F28" s="20">
        <v>256090</v>
      </c>
      <c r="G28" s="20">
        <v>0</v>
      </c>
      <c r="H28" s="20">
        <v>8</v>
      </c>
      <c r="I28" s="20">
        <v>31</v>
      </c>
      <c r="J28" s="20">
        <v>138474</v>
      </c>
      <c r="K28" s="20">
        <v>0</v>
      </c>
      <c r="L28" s="20">
        <v>9</v>
      </c>
      <c r="M28" s="20">
        <v>45751</v>
      </c>
      <c r="N28" s="20">
        <v>0</v>
      </c>
      <c r="O28" s="20">
        <v>36</v>
      </c>
      <c r="P28" s="20">
        <v>144</v>
      </c>
      <c r="Q28" s="20">
        <v>258934</v>
      </c>
      <c r="R28" s="20">
        <v>0</v>
      </c>
      <c r="S28" s="20">
        <v>5</v>
      </c>
      <c r="T28" s="20">
        <v>4646</v>
      </c>
      <c r="U28" s="20">
        <v>0</v>
      </c>
      <c r="V28" s="20">
        <v>114</v>
      </c>
      <c r="W28" s="20">
        <v>1203</v>
      </c>
      <c r="X28" s="20">
        <v>543106</v>
      </c>
      <c r="Y28" s="20">
        <v>0</v>
      </c>
      <c r="Z28" s="20">
        <v>0</v>
      </c>
      <c r="AA28" s="20">
        <v>0</v>
      </c>
      <c r="AB28" s="20">
        <v>0</v>
      </c>
      <c r="AC28" s="20">
        <v>158</v>
      </c>
      <c r="AD28" s="20">
        <v>1384</v>
      </c>
      <c r="AE28" s="20">
        <v>959042</v>
      </c>
      <c r="AF28" s="20">
        <v>4</v>
      </c>
      <c r="AG28" s="20">
        <v>43</v>
      </c>
      <c r="AH28" s="20">
        <v>306487</v>
      </c>
      <c r="AI28" s="20">
        <v>0</v>
      </c>
      <c r="AJ28" s="20">
        <v>158</v>
      </c>
      <c r="AK28" s="20">
        <v>1384</v>
      </c>
      <c r="AL28" s="20">
        <v>959042</v>
      </c>
      <c r="AM28" s="20">
        <v>4</v>
      </c>
      <c r="AN28" s="20">
        <v>46</v>
      </c>
      <c r="AO28" s="20"/>
      <c r="AP28" s="20"/>
      <c r="AQ28" s="20"/>
      <c r="AR28" s="20">
        <v>0</v>
      </c>
      <c r="AS28" s="20">
        <v>5</v>
      </c>
      <c r="AT28" s="20">
        <v>1</v>
      </c>
      <c r="AU28" s="20">
        <v>853</v>
      </c>
      <c r="AV28" s="20">
        <v>0</v>
      </c>
      <c r="AW28" s="20">
        <v>0</v>
      </c>
      <c r="AX28" s="20">
        <v>0</v>
      </c>
      <c r="AY28" s="20">
        <v>34</v>
      </c>
      <c r="AZ28" s="20">
        <v>50556296</v>
      </c>
      <c r="BA28" s="20">
        <v>489285356</v>
      </c>
      <c r="BB28" s="20">
        <v>50</v>
      </c>
      <c r="BC28" s="20">
        <v>0</v>
      </c>
      <c r="BD28" s="20">
        <v>0</v>
      </c>
      <c r="BE28" s="20">
        <v>8</v>
      </c>
    </row>
    <row r="29" spans="1:57" ht="27.6" x14ac:dyDescent="0.3">
      <c r="A29" s="18" t="s">
        <v>310</v>
      </c>
      <c r="B29" s="20">
        <v>0</v>
      </c>
      <c r="C29" s="20">
        <v>1</v>
      </c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20">
        <v>1</v>
      </c>
      <c r="J29" s="20">
        <v>12000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2</v>
      </c>
      <c r="Q29" s="20">
        <v>14400</v>
      </c>
      <c r="R29" s="20">
        <v>0</v>
      </c>
      <c r="S29" s="20">
        <v>0</v>
      </c>
      <c r="T29" s="20">
        <v>0</v>
      </c>
      <c r="U29" s="20">
        <v>0</v>
      </c>
      <c r="V29" s="20">
        <v>0</v>
      </c>
      <c r="W29" s="20">
        <v>4</v>
      </c>
      <c r="X29" s="20">
        <v>9000</v>
      </c>
      <c r="Y29" s="20">
        <v>0</v>
      </c>
      <c r="Z29" s="20">
        <v>0</v>
      </c>
      <c r="AA29" s="20">
        <v>0</v>
      </c>
      <c r="AB29" s="20">
        <v>0</v>
      </c>
      <c r="AC29" s="20">
        <v>0</v>
      </c>
      <c r="AD29" s="20">
        <v>8</v>
      </c>
      <c r="AE29" s="20">
        <v>53400</v>
      </c>
      <c r="AF29" s="20">
        <v>0</v>
      </c>
      <c r="AG29" s="20">
        <v>0</v>
      </c>
      <c r="AH29" s="20">
        <v>0</v>
      </c>
      <c r="AI29" s="20">
        <v>0</v>
      </c>
      <c r="AJ29" s="20">
        <v>0</v>
      </c>
      <c r="AK29" s="20">
        <v>0</v>
      </c>
      <c r="AL29" s="20">
        <v>53400</v>
      </c>
      <c r="AM29" s="20">
        <v>0</v>
      </c>
      <c r="AN29" s="20">
        <v>0</v>
      </c>
      <c r="AO29" s="20"/>
      <c r="AP29" s="20"/>
      <c r="AQ29" s="20"/>
      <c r="AR29" s="20">
        <v>0</v>
      </c>
      <c r="AS29" s="20">
        <v>0</v>
      </c>
      <c r="AT29" s="20">
        <v>0</v>
      </c>
      <c r="AU29" s="20">
        <v>0</v>
      </c>
      <c r="AV29" s="20">
        <v>0</v>
      </c>
      <c r="AW29" s="20">
        <v>0</v>
      </c>
      <c r="AX29" s="20">
        <v>0</v>
      </c>
      <c r="AY29" s="20">
        <v>0</v>
      </c>
      <c r="AZ29" s="20">
        <v>0</v>
      </c>
      <c r="BA29" s="20">
        <v>2688</v>
      </c>
      <c r="BB29" s="20">
        <v>0</v>
      </c>
      <c r="BC29" s="20">
        <v>0</v>
      </c>
      <c r="BD29" s="20">
        <v>0</v>
      </c>
      <c r="BE29" s="20">
        <v>0</v>
      </c>
    </row>
    <row r="30" spans="1:57" x14ac:dyDescent="0.3">
      <c r="A30" s="18" t="s">
        <v>127</v>
      </c>
      <c r="B30" s="20">
        <v>24</v>
      </c>
      <c r="C30" s="20">
        <v>102</v>
      </c>
      <c r="D30" s="20">
        <v>0</v>
      </c>
      <c r="E30" s="20">
        <v>0</v>
      </c>
      <c r="F30" s="20">
        <v>8434744</v>
      </c>
      <c r="G30" s="20">
        <v>0</v>
      </c>
      <c r="H30" s="20">
        <v>19</v>
      </c>
      <c r="I30" s="20">
        <v>56</v>
      </c>
      <c r="J30" s="20">
        <v>1285215</v>
      </c>
      <c r="K30" s="20">
        <v>0</v>
      </c>
      <c r="L30" s="20">
        <v>0</v>
      </c>
      <c r="M30" s="20">
        <v>0</v>
      </c>
      <c r="N30" s="20">
        <v>0</v>
      </c>
      <c r="O30" s="20">
        <v>40</v>
      </c>
      <c r="P30" s="20">
        <v>319</v>
      </c>
      <c r="Q30" s="20">
        <v>4809225</v>
      </c>
      <c r="R30" s="20">
        <v>0</v>
      </c>
      <c r="S30" s="20">
        <v>0</v>
      </c>
      <c r="T30" s="20">
        <v>0</v>
      </c>
      <c r="U30" s="20">
        <v>0</v>
      </c>
      <c r="V30" s="20">
        <v>11</v>
      </c>
      <c r="W30" s="20">
        <v>232</v>
      </c>
      <c r="X30" s="20">
        <v>2473923</v>
      </c>
      <c r="Y30" s="20">
        <v>0</v>
      </c>
      <c r="Z30" s="20">
        <v>0</v>
      </c>
      <c r="AA30" s="20">
        <v>0</v>
      </c>
      <c r="AB30" s="20">
        <v>0</v>
      </c>
      <c r="AC30" s="20">
        <v>94</v>
      </c>
      <c r="AD30" s="20">
        <v>709</v>
      </c>
      <c r="AE30" s="20">
        <v>12548802</v>
      </c>
      <c r="AF30" s="20">
        <v>0</v>
      </c>
      <c r="AG30" s="20">
        <v>0</v>
      </c>
      <c r="AH30" s="20">
        <v>0</v>
      </c>
      <c r="AI30" s="20">
        <v>0</v>
      </c>
      <c r="AJ30" s="20">
        <v>0</v>
      </c>
      <c r="AK30" s="20">
        <v>0</v>
      </c>
      <c r="AL30" s="20">
        <v>0</v>
      </c>
      <c r="AM30" s="20">
        <v>0</v>
      </c>
      <c r="AN30" s="20">
        <v>0</v>
      </c>
      <c r="AO30" s="20"/>
      <c r="AP30" s="20"/>
      <c r="AQ30" s="20"/>
      <c r="AR30" s="20">
        <v>0</v>
      </c>
      <c r="AS30" s="20">
        <v>0</v>
      </c>
      <c r="AT30" s="20">
        <v>0</v>
      </c>
      <c r="AU30" s="20">
        <v>0</v>
      </c>
      <c r="AV30" s="20">
        <v>0</v>
      </c>
      <c r="AW30" s="20">
        <v>0</v>
      </c>
      <c r="AX30" s="20">
        <v>0</v>
      </c>
      <c r="AY30" s="20">
        <v>0</v>
      </c>
      <c r="AZ30" s="20">
        <v>0</v>
      </c>
      <c r="BA30" s="20">
        <v>0</v>
      </c>
      <c r="BB30" s="20">
        <v>0</v>
      </c>
      <c r="BC30" s="20">
        <v>0</v>
      </c>
      <c r="BD30" s="20">
        <v>0</v>
      </c>
      <c r="BE30" s="20">
        <v>0</v>
      </c>
    </row>
    <row r="31" spans="1:57" ht="27.6" x14ac:dyDescent="0.3">
      <c r="A31" s="18" t="s">
        <v>384</v>
      </c>
      <c r="B31" s="20">
        <v>0</v>
      </c>
      <c r="C31" s="20">
        <v>1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0">
        <v>0</v>
      </c>
      <c r="N31" s="20">
        <v>0</v>
      </c>
      <c r="O31" s="20">
        <v>0</v>
      </c>
      <c r="P31" s="20">
        <v>1</v>
      </c>
      <c r="Q31" s="20">
        <v>3400000</v>
      </c>
      <c r="R31" s="20">
        <v>0</v>
      </c>
      <c r="S31" s="20">
        <v>0</v>
      </c>
      <c r="T31" s="20">
        <v>0</v>
      </c>
      <c r="U31" s="20">
        <v>0</v>
      </c>
      <c r="V31" s="20">
        <v>0</v>
      </c>
      <c r="W31" s="20">
        <v>0</v>
      </c>
      <c r="X31" s="20">
        <v>0</v>
      </c>
      <c r="Y31" s="20">
        <v>0</v>
      </c>
      <c r="Z31" s="20">
        <v>0</v>
      </c>
      <c r="AA31" s="20">
        <v>0</v>
      </c>
      <c r="AB31" s="20">
        <v>0</v>
      </c>
      <c r="AC31" s="20">
        <v>0</v>
      </c>
      <c r="AD31" s="20">
        <v>0</v>
      </c>
      <c r="AE31" s="20">
        <v>39400000</v>
      </c>
      <c r="AF31" s="20">
        <v>0</v>
      </c>
      <c r="AG31" s="20">
        <v>0</v>
      </c>
      <c r="AH31" s="20">
        <v>0</v>
      </c>
      <c r="AI31" s="20">
        <v>0</v>
      </c>
      <c r="AJ31" s="20">
        <v>0</v>
      </c>
      <c r="AK31" s="20">
        <v>3</v>
      </c>
      <c r="AL31" s="20">
        <v>0</v>
      </c>
      <c r="AM31" s="20">
        <v>0</v>
      </c>
      <c r="AN31" s="20">
        <v>0</v>
      </c>
      <c r="AO31" s="20"/>
      <c r="AP31" s="20"/>
      <c r="AQ31" s="20"/>
      <c r="AR31" s="20">
        <v>0</v>
      </c>
      <c r="AS31" s="20">
        <v>0</v>
      </c>
      <c r="AT31" s="20">
        <v>10</v>
      </c>
      <c r="AU31" s="20">
        <v>0</v>
      </c>
      <c r="AV31" s="20">
        <v>0</v>
      </c>
      <c r="AW31" s="20">
        <v>0</v>
      </c>
      <c r="AX31" s="20">
        <v>0</v>
      </c>
      <c r="AY31" s="20">
        <v>0</v>
      </c>
      <c r="AZ31" s="20">
        <v>0</v>
      </c>
      <c r="BA31" s="20">
        <v>0</v>
      </c>
      <c r="BB31" s="20">
        <v>0</v>
      </c>
      <c r="BC31" s="20">
        <v>0</v>
      </c>
      <c r="BD31" s="20">
        <v>0</v>
      </c>
      <c r="BE31" s="20">
        <v>0</v>
      </c>
    </row>
    <row r="32" spans="1:57" ht="27.6" x14ac:dyDescent="0.3">
      <c r="A32" s="18" t="s">
        <v>199</v>
      </c>
      <c r="B32" s="20">
        <v>0</v>
      </c>
      <c r="C32" s="20">
        <v>5</v>
      </c>
      <c r="D32" s="20">
        <v>0</v>
      </c>
      <c r="E32" s="20">
        <v>0</v>
      </c>
      <c r="F32" s="20">
        <v>0</v>
      </c>
      <c r="G32" s="20">
        <v>12</v>
      </c>
      <c r="H32" s="20">
        <v>3</v>
      </c>
      <c r="I32" s="20">
        <v>4</v>
      </c>
      <c r="J32" s="20">
        <v>35400</v>
      </c>
      <c r="K32" s="20">
        <v>0</v>
      </c>
      <c r="L32" s="20">
        <v>0</v>
      </c>
      <c r="M32" s="20">
        <v>0</v>
      </c>
      <c r="N32" s="20">
        <v>12</v>
      </c>
      <c r="O32" s="20">
        <v>0</v>
      </c>
      <c r="P32" s="20">
        <v>17</v>
      </c>
      <c r="Q32" s="20">
        <v>21870</v>
      </c>
      <c r="R32" s="20">
        <v>0</v>
      </c>
      <c r="S32" s="20">
        <v>0</v>
      </c>
      <c r="T32" s="20">
        <v>0</v>
      </c>
      <c r="U32" s="20">
        <v>12</v>
      </c>
      <c r="V32" s="20">
        <v>0</v>
      </c>
      <c r="W32" s="20">
        <v>0</v>
      </c>
      <c r="X32" s="20">
        <v>0</v>
      </c>
      <c r="Y32" s="20">
        <v>0</v>
      </c>
      <c r="Z32" s="20">
        <v>0</v>
      </c>
      <c r="AA32" s="20">
        <v>0</v>
      </c>
      <c r="AB32" s="20">
        <v>0</v>
      </c>
      <c r="AC32" s="20">
        <v>3</v>
      </c>
      <c r="AD32" s="20">
        <v>26</v>
      </c>
      <c r="AE32" s="20">
        <v>95670</v>
      </c>
      <c r="AF32" s="20">
        <v>0</v>
      </c>
      <c r="AG32" s="20">
        <v>0</v>
      </c>
      <c r="AH32" s="20">
        <v>0</v>
      </c>
      <c r="AI32" s="20">
        <v>12</v>
      </c>
      <c r="AJ32" s="20">
        <v>0</v>
      </c>
      <c r="AK32" s="20">
        <v>0</v>
      </c>
      <c r="AL32" s="20">
        <v>0</v>
      </c>
      <c r="AM32" s="20">
        <v>0</v>
      </c>
      <c r="AN32" s="20">
        <v>0</v>
      </c>
      <c r="AO32" s="20"/>
      <c r="AP32" s="20"/>
      <c r="AQ32" s="20"/>
      <c r="AR32" s="20">
        <v>0</v>
      </c>
      <c r="AS32" s="20">
        <v>0</v>
      </c>
      <c r="AT32" s="20">
        <v>4</v>
      </c>
      <c r="AU32" s="20">
        <v>62372</v>
      </c>
      <c r="AV32" s="20">
        <v>0</v>
      </c>
      <c r="AW32" s="20">
        <v>0</v>
      </c>
      <c r="AX32" s="20">
        <v>0</v>
      </c>
      <c r="AY32" s="20">
        <v>0</v>
      </c>
      <c r="AZ32" s="20">
        <v>0</v>
      </c>
      <c r="BA32" s="20">
        <v>0</v>
      </c>
      <c r="BB32" s="20">
        <v>0</v>
      </c>
      <c r="BC32" s="20">
        <v>0</v>
      </c>
      <c r="BD32" s="20">
        <v>0</v>
      </c>
      <c r="BE32" s="20">
        <v>0</v>
      </c>
    </row>
    <row r="33" spans="1:57" ht="27.6" x14ac:dyDescent="0.3">
      <c r="A33" s="18" t="s">
        <v>117</v>
      </c>
      <c r="B33" s="20">
        <v>0</v>
      </c>
      <c r="C33" s="20">
        <v>7</v>
      </c>
      <c r="D33" s="20">
        <v>0</v>
      </c>
      <c r="E33" s="20">
        <v>14</v>
      </c>
      <c r="F33" s="20">
        <v>888309</v>
      </c>
      <c r="G33" s="20">
        <v>0</v>
      </c>
      <c r="H33" s="20">
        <v>25</v>
      </c>
      <c r="I33" s="20">
        <v>187</v>
      </c>
      <c r="J33" s="20">
        <v>3348965</v>
      </c>
      <c r="K33" s="20">
        <v>0</v>
      </c>
      <c r="L33" s="20">
        <v>54</v>
      </c>
      <c r="M33" s="20">
        <v>1665753</v>
      </c>
      <c r="N33" s="20">
        <v>0</v>
      </c>
      <c r="O33" s="20">
        <v>30</v>
      </c>
      <c r="P33" s="20">
        <v>465</v>
      </c>
      <c r="Q33" s="20">
        <v>6443400</v>
      </c>
      <c r="R33" s="20">
        <v>0</v>
      </c>
      <c r="S33" s="20">
        <v>2</v>
      </c>
      <c r="T33" s="20">
        <v>27587</v>
      </c>
      <c r="U33" s="20">
        <v>0</v>
      </c>
      <c r="V33" s="20">
        <v>9</v>
      </c>
      <c r="W33" s="20">
        <v>622</v>
      </c>
      <c r="X33" s="20">
        <v>6252985</v>
      </c>
      <c r="Y33" s="20">
        <v>0</v>
      </c>
      <c r="Z33" s="20">
        <v>0</v>
      </c>
      <c r="AA33" s="20">
        <v>0</v>
      </c>
      <c r="AB33" s="20">
        <v>0</v>
      </c>
      <c r="AC33" s="20">
        <v>64</v>
      </c>
      <c r="AD33" s="20">
        <v>1281</v>
      </c>
      <c r="AE33" s="20">
        <v>16700244</v>
      </c>
      <c r="AF33" s="20">
        <v>0</v>
      </c>
      <c r="AG33" s="20">
        <v>70</v>
      </c>
      <c r="AH33" s="20">
        <v>2581649</v>
      </c>
      <c r="AI33" s="20">
        <v>0</v>
      </c>
      <c r="AJ33" s="20">
        <v>0</v>
      </c>
      <c r="AK33" s="20">
        <v>0</v>
      </c>
      <c r="AL33" s="20">
        <v>0</v>
      </c>
      <c r="AM33" s="20">
        <v>0</v>
      </c>
      <c r="AN33" s="20">
        <v>0</v>
      </c>
      <c r="AO33" s="20"/>
      <c r="AP33" s="20"/>
      <c r="AQ33" s="20"/>
      <c r="AR33" s="20">
        <v>0</v>
      </c>
      <c r="AS33" s="20">
        <v>0</v>
      </c>
      <c r="AT33" s="20">
        <v>0</v>
      </c>
      <c r="AU33" s="20">
        <v>0</v>
      </c>
      <c r="AV33" s="20">
        <v>0</v>
      </c>
      <c r="AW33" s="20">
        <v>0</v>
      </c>
      <c r="AX33" s="20">
        <v>0</v>
      </c>
      <c r="AY33" s="20">
        <v>0</v>
      </c>
      <c r="AZ33" s="20">
        <v>0</v>
      </c>
      <c r="BA33" s="20">
        <v>0</v>
      </c>
      <c r="BB33" s="20">
        <v>0</v>
      </c>
      <c r="BC33" s="20">
        <v>0</v>
      </c>
      <c r="BD33" s="20">
        <v>0</v>
      </c>
      <c r="BE33" s="20">
        <v>0</v>
      </c>
    </row>
    <row r="34" spans="1:57" ht="27.6" x14ac:dyDescent="0.3">
      <c r="A34" s="18" t="s">
        <v>184</v>
      </c>
      <c r="B34" s="20">
        <v>1</v>
      </c>
      <c r="C34" s="20">
        <v>4</v>
      </c>
      <c r="D34" s="20">
        <v>0</v>
      </c>
      <c r="E34" s="20">
        <v>1</v>
      </c>
      <c r="F34" s="20">
        <v>0</v>
      </c>
      <c r="G34" s="20">
        <v>0</v>
      </c>
      <c r="H34" s="20">
        <v>0</v>
      </c>
      <c r="I34" s="20">
        <v>0</v>
      </c>
      <c r="J34" s="20">
        <v>0</v>
      </c>
      <c r="K34" s="20">
        <v>0</v>
      </c>
      <c r="L34" s="20">
        <v>0</v>
      </c>
      <c r="M34" s="20">
        <v>0</v>
      </c>
      <c r="N34" s="20">
        <v>0</v>
      </c>
      <c r="O34" s="20">
        <v>2</v>
      </c>
      <c r="P34" s="20">
        <v>6</v>
      </c>
      <c r="Q34" s="20">
        <v>0</v>
      </c>
      <c r="R34" s="20">
        <v>0</v>
      </c>
      <c r="S34" s="20">
        <v>0</v>
      </c>
      <c r="T34" s="20">
        <v>0</v>
      </c>
      <c r="U34" s="20">
        <v>0</v>
      </c>
      <c r="V34" s="20">
        <v>13</v>
      </c>
      <c r="W34" s="20">
        <v>57</v>
      </c>
      <c r="X34" s="20">
        <v>0</v>
      </c>
      <c r="Y34" s="20">
        <v>0</v>
      </c>
      <c r="Z34" s="20">
        <v>0</v>
      </c>
      <c r="AA34" s="20">
        <v>0</v>
      </c>
      <c r="AB34" s="20">
        <v>0</v>
      </c>
      <c r="AC34" s="20">
        <v>16</v>
      </c>
      <c r="AD34" s="20">
        <v>67</v>
      </c>
      <c r="AE34" s="20">
        <v>572904</v>
      </c>
      <c r="AF34" s="20">
        <v>0</v>
      </c>
      <c r="AG34" s="20">
        <v>1</v>
      </c>
      <c r="AH34" s="20">
        <v>0</v>
      </c>
      <c r="AI34" s="20">
        <v>0</v>
      </c>
      <c r="AJ34" s="20">
        <v>7</v>
      </c>
      <c r="AK34" s="20">
        <v>44</v>
      </c>
      <c r="AL34" s="20">
        <v>527290</v>
      </c>
      <c r="AM34" s="20">
        <v>0</v>
      </c>
      <c r="AN34" s="20">
        <v>0</v>
      </c>
      <c r="AO34" s="20"/>
      <c r="AP34" s="20"/>
      <c r="AQ34" s="20"/>
      <c r="AR34" s="20">
        <v>0</v>
      </c>
      <c r="AS34" s="20">
        <v>9</v>
      </c>
      <c r="AT34" s="20">
        <v>23</v>
      </c>
      <c r="AU34" s="20">
        <v>45614</v>
      </c>
      <c r="AV34" s="20">
        <v>0</v>
      </c>
      <c r="AW34" s="20">
        <v>0</v>
      </c>
      <c r="AX34" s="20">
        <v>0</v>
      </c>
      <c r="AY34" s="20">
        <v>0</v>
      </c>
      <c r="AZ34" s="20">
        <v>0</v>
      </c>
      <c r="BA34" s="20">
        <v>154961551</v>
      </c>
      <c r="BB34" s="20">
        <v>0</v>
      </c>
      <c r="BC34" s="20">
        <v>0</v>
      </c>
      <c r="BD34" s="20">
        <v>0</v>
      </c>
      <c r="BE34" s="20">
        <v>0</v>
      </c>
    </row>
    <row r="35" spans="1:57" x14ac:dyDescent="0.3">
      <c r="A35" s="18" t="s">
        <v>259</v>
      </c>
      <c r="B35" s="20">
        <v>1</v>
      </c>
      <c r="C35" s="20">
        <v>0</v>
      </c>
      <c r="D35" s="20">
        <v>0</v>
      </c>
      <c r="E35" s="20">
        <v>0</v>
      </c>
      <c r="F35" s="20">
        <v>0</v>
      </c>
      <c r="G35" s="20">
        <v>0</v>
      </c>
      <c r="H35" s="20">
        <v>1</v>
      </c>
      <c r="I35" s="20">
        <v>0</v>
      </c>
      <c r="J35" s="20">
        <v>1347</v>
      </c>
      <c r="K35" s="20">
        <v>0</v>
      </c>
      <c r="L35" s="20">
        <v>0</v>
      </c>
      <c r="M35" s="20">
        <v>0</v>
      </c>
      <c r="N35" s="20">
        <v>0</v>
      </c>
      <c r="O35" s="20">
        <v>1</v>
      </c>
      <c r="P35" s="20">
        <v>0</v>
      </c>
      <c r="Q35" s="20">
        <v>0</v>
      </c>
      <c r="R35" s="20">
        <v>0</v>
      </c>
      <c r="S35" s="20">
        <v>0</v>
      </c>
      <c r="T35" s="20">
        <v>0</v>
      </c>
      <c r="U35" s="20">
        <v>0</v>
      </c>
      <c r="V35" s="20">
        <v>1</v>
      </c>
      <c r="W35" s="20">
        <v>49</v>
      </c>
      <c r="X35" s="20">
        <v>87457</v>
      </c>
      <c r="Y35" s="20">
        <v>0</v>
      </c>
      <c r="Z35" s="20">
        <v>0</v>
      </c>
      <c r="AA35" s="20">
        <v>0</v>
      </c>
      <c r="AB35" s="20">
        <v>0</v>
      </c>
      <c r="AC35" s="20">
        <v>4</v>
      </c>
      <c r="AD35" s="20">
        <v>49</v>
      </c>
      <c r="AE35" s="20">
        <v>93197</v>
      </c>
      <c r="AF35" s="20">
        <v>0</v>
      </c>
      <c r="AG35" s="20">
        <v>0</v>
      </c>
      <c r="AH35" s="20">
        <v>0</v>
      </c>
      <c r="AI35" s="20">
        <v>0</v>
      </c>
      <c r="AJ35" s="20">
        <v>2</v>
      </c>
      <c r="AK35" s="20">
        <v>0</v>
      </c>
      <c r="AL35" s="20">
        <v>5740</v>
      </c>
      <c r="AM35" s="20">
        <v>0</v>
      </c>
      <c r="AN35" s="20">
        <v>0</v>
      </c>
      <c r="AO35" s="20"/>
      <c r="AP35" s="20"/>
      <c r="AQ35" s="20"/>
      <c r="AR35" s="20">
        <v>0</v>
      </c>
      <c r="AS35" s="20">
        <v>1</v>
      </c>
      <c r="AT35" s="20">
        <v>51</v>
      </c>
      <c r="AU35" s="20">
        <v>97681</v>
      </c>
      <c r="AV35" s="20">
        <v>0</v>
      </c>
      <c r="AW35" s="20">
        <v>0</v>
      </c>
      <c r="AX35" s="20">
        <v>0</v>
      </c>
      <c r="AY35" s="20">
        <v>0</v>
      </c>
      <c r="AZ35" s="20">
        <v>0</v>
      </c>
      <c r="BA35" s="20">
        <v>0</v>
      </c>
      <c r="BB35" s="20">
        <v>0</v>
      </c>
      <c r="BC35" s="20">
        <v>0</v>
      </c>
      <c r="BD35" s="20">
        <v>0</v>
      </c>
      <c r="BE35" s="20">
        <v>0</v>
      </c>
    </row>
    <row r="36" spans="1:57" ht="27.6" x14ac:dyDescent="0.3">
      <c r="A36" s="18" t="s">
        <v>217</v>
      </c>
      <c r="B36" s="20">
        <v>0</v>
      </c>
      <c r="C36" s="20">
        <v>3</v>
      </c>
      <c r="D36" s="20">
        <v>0</v>
      </c>
      <c r="E36" s="20">
        <v>0</v>
      </c>
      <c r="F36" s="20">
        <v>0</v>
      </c>
      <c r="G36" s="20">
        <v>0</v>
      </c>
      <c r="H36" s="20">
        <v>1</v>
      </c>
      <c r="I36" s="20">
        <v>12</v>
      </c>
      <c r="J36" s="20">
        <v>2373736</v>
      </c>
      <c r="K36" s="20">
        <v>0</v>
      </c>
      <c r="L36" s="20">
        <v>0</v>
      </c>
      <c r="M36" s="20">
        <v>0</v>
      </c>
      <c r="N36" s="20">
        <v>0</v>
      </c>
      <c r="O36" s="20">
        <v>1</v>
      </c>
      <c r="P36" s="20">
        <v>8</v>
      </c>
      <c r="Q36" s="20">
        <v>5999</v>
      </c>
      <c r="R36" s="20">
        <v>0</v>
      </c>
      <c r="S36" s="20">
        <v>0</v>
      </c>
      <c r="T36" s="20">
        <v>0</v>
      </c>
      <c r="U36" s="20">
        <v>0</v>
      </c>
      <c r="V36" s="20">
        <v>2</v>
      </c>
      <c r="W36" s="20">
        <v>48</v>
      </c>
      <c r="X36" s="20">
        <v>2225516</v>
      </c>
      <c r="Y36" s="20">
        <v>0</v>
      </c>
      <c r="Z36" s="20">
        <v>0</v>
      </c>
      <c r="AA36" s="20">
        <v>0</v>
      </c>
      <c r="AB36" s="20">
        <v>0</v>
      </c>
      <c r="AC36" s="20">
        <v>4</v>
      </c>
      <c r="AD36" s="20">
        <v>71</v>
      </c>
      <c r="AE36" s="20">
        <v>623606</v>
      </c>
      <c r="AF36" s="20">
        <v>0</v>
      </c>
      <c r="AG36" s="20">
        <v>0</v>
      </c>
      <c r="AH36" s="20">
        <v>0</v>
      </c>
      <c r="AI36" s="20">
        <v>0</v>
      </c>
      <c r="AJ36" s="20">
        <v>2</v>
      </c>
      <c r="AK36" s="20">
        <v>78</v>
      </c>
      <c r="AL36" s="20">
        <v>611761</v>
      </c>
      <c r="AM36" s="20">
        <v>0</v>
      </c>
      <c r="AN36" s="20">
        <v>0</v>
      </c>
      <c r="AO36" s="20"/>
      <c r="AP36" s="20"/>
      <c r="AQ36" s="20"/>
      <c r="AR36" s="20">
        <v>0</v>
      </c>
      <c r="AS36" s="20">
        <v>0</v>
      </c>
      <c r="AT36" s="20">
        <v>0</v>
      </c>
      <c r="AU36" s="20">
        <v>0</v>
      </c>
      <c r="AV36" s="20">
        <v>0</v>
      </c>
      <c r="AW36" s="20">
        <v>0</v>
      </c>
      <c r="AX36" s="20">
        <v>0</v>
      </c>
      <c r="AY36" s="20">
        <v>0</v>
      </c>
      <c r="AZ36" s="20">
        <v>0</v>
      </c>
      <c r="BA36" s="20">
        <v>270226</v>
      </c>
      <c r="BB36" s="20">
        <v>0</v>
      </c>
      <c r="BC36" s="20">
        <v>0</v>
      </c>
      <c r="BD36" s="20">
        <v>0</v>
      </c>
      <c r="BE36" s="20">
        <v>0</v>
      </c>
    </row>
    <row r="37" spans="1:57" x14ac:dyDescent="0.3">
      <c r="A37" s="18" t="s">
        <v>75</v>
      </c>
      <c r="B37" s="20">
        <v>0</v>
      </c>
      <c r="C37" s="20">
        <v>1</v>
      </c>
      <c r="D37" s="20">
        <v>0</v>
      </c>
      <c r="E37" s="20">
        <v>1</v>
      </c>
      <c r="F37" s="20">
        <v>19600000</v>
      </c>
      <c r="G37" s="20">
        <v>0</v>
      </c>
      <c r="H37" s="20">
        <v>1</v>
      </c>
      <c r="I37" s="20">
        <v>0</v>
      </c>
      <c r="J37" s="20">
        <v>7500000</v>
      </c>
      <c r="K37" s="20">
        <v>0</v>
      </c>
      <c r="L37" s="20">
        <v>0</v>
      </c>
      <c r="M37" s="20">
        <v>0</v>
      </c>
      <c r="N37" s="20">
        <v>0</v>
      </c>
      <c r="O37" s="20">
        <v>0</v>
      </c>
      <c r="P37" s="20">
        <v>3</v>
      </c>
      <c r="Q37" s="20">
        <v>20100000</v>
      </c>
      <c r="R37" s="20">
        <v>0</v>
      </c>
      <c r="S37" s="20">
        <v>0</v>
      </c>
      <c r="T37" s="20">
        <v>0</v>
      </c>
      <c r="U37" s="20">
        <v>0</v>
      </c>
      <c r="V37" s="20">
        <v>0</v>
      </c>
      <c r="W37" s="20">
        <v>3</v>
      </c>
      <c r="X37" s="20">
        <v>7000000</v>
      </c>
      <c r="Y37" s="20">
        <v>0</v>
      </c>
      <c r="Z37" s="20">
        <v>0</v>
      </c>
      <c r="AA37" s="20">
        <v>0</v>
      </c>
      <c r="AB37" s="20">
        <v>0</v>
      </c>
      <c r="AC37" s="20">
        <v>0</v>
      </c>
      <c r="AD37" s="20">
        <v>0</v>
      </c>
      <c r="AE37" s="20">
        <v>65600000</v>
      </c>
      <c r="AF37" s="20">
        <v>0</v>
      </c>
      <c r="AG37" s="20">
        <v>0</v>
      </c>
      <c r="AH37" s="20">
        <v>19600000</v>
      </c>
      <c r="AI37" s="20">
        <v>0</v>
      </c>
      <c r="AJ37" s="20">
        <v>0</v>
      </c>
      <c r="AK37" s="20">
        <v>8</v>
      </c>
      <c r="AL37" s="20">
        <v>0</v>
      </c>
      <c r="AM37" s="20">
        <v>0</v>
      </c>
      <c r="AN37" s="20">
        <v>0</v>
      </c>
      <c r="AO37" s="20"/>
      <c r="AP37" s="20"/>
      <c r="AQ37" s="20"/>
      <c r="AR37" s="20">
        <v>0</v>
      </c>
      <c r="AS37" s="20">
        <v>0</v>
      </c>
      <c r="AT37" s="20">
        <v>0</v>
      </c>
      <c r="AU37" s="20">
        <v>0</v>
      </c>
      <c r="AV37" s="20">
        <v>0</v>
      </c>
      <c r="AW37" s="20">
        <v>1</v>
      </c>
      <c r="AX37" s="20">
        <v>0</v>
      </c>
      <c r="AY37" s="20">
        <v>6</v>
      </c>
      <c r="AZ37" s="20">
        <v>21600000</v>
      </c>
      <c r="BA37" s="20">
        <v>0</v>
      </c>
      <c r="BB37" s="20">
        <v>0</v>
      </c>
      <c r="BC37" s="20">
        <v>0</v>
      </c>
      <c r="BD37" s="20">
        <v>0</v>
      </c>
      <c r="BE37" s="20">
        <v>0</v>
      </c>
    </row>
    <row r="38" spans="1:57" x14ac:dyDescent="0.3">
      <c r="A38" s="18" t="s">
        <v>53</v>
      </c>
      <c r="B38" s="20">
        <v>0</v>
      </c>
      <c r="C38" s="20">
        <v>0</v>
      </c>
      <c r="D38" s="20">
        <v>0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  <c r="U38" s="20">
        <v>0</v>
      </c>
      <c r="V38" s="20">
        <v>0</v>
      </c>
      <c r="W38" s="20">
        <v>0</v>
      </c>
      <c r="X38" s="20">
        <v>0</v>
      </c>
      <c r="Y38" s="20">
        <v>0</v>
      </c>
      <c r="Z38" s="20">
        <v>0</v>
      </c>
      <c r="AA38" s="20">
        <v>0</v>
      </c>
      <c r="AB38" s="20">
        <v>0</v>
      </c>
      <c r="AC38" s="20">
        <v>0</v>
      </c>
      <c r="AD38" s="20">
        <v>0</v>
      </c>
      <c r="AE38" s="20">
        <v>0</v>
      </c>
      <c r="AF38" s="20">
        <v>0</v>
      </c>
      <c r="AG38" s="20">
        <v>0</v>
      </c>
      <c r="AH38" s="20">
        <v>0</v>
      </c>
      <c r="AI38" s="20">
        <v>0</v>
      </c>
      <c r="AJ38" s="20">
        <v>0</v>
      </c>
      <c r="AK38" s="20">
        <v>0</v>
      </c>
      <c r="AL38" s="20">
        <v>0</v>
      </c>
      <c r="AM38" s="20">
        <v>0</v>
      </c>
      <c r="AN38" s="20">
        <v>0</v>
      </c>
      <c r="AO38" s="20"/>
      <c r="AP38" s="20"/>
      <c r="AQ38" s="20"/>
      <c r="AR38" s="20">
        <v>0</v>
      </c>
      <c r="AS38" s="20">
        <v>0</v>
      </c>
      <c r="AT38" s="20">
        <v>0</v>
      </c>
      <c r="AU38" s="20">
        <v>0</v>
      </c>
      <c r="AV38" s="20">
        <v>0</v>
      </c>
      <c r="AW38" s="20">
        <v>0</v>
      </c>
      <c r="AX38" s="20">
        <v>0</v>
      </c>
      <c r="AY38" s="20">
        <v>0</v>
      </c>
      <c r="AZ38" s="20">
        <v>0</v>
      </c>
      <c r="BA38" s="20">
        <v>5</v>
      </c>
      <c r="BB38" s="20">
        <v>0</v>
      </c>
      <c r="BC38" s="20">
        <v>0</v>
      </c>
      <c r="BD38" s="20">
        <v>0</v>
      </c>
      <c r="BE38" s="20">
        <v>0</v>
      </c>
    </row>
    <row r="39" spans="1:57" ht="27.6" x14ac:dyDescent="0.3">
      <c r="A39" s="18" t="s">
        <v>33</v>
      </c>
      <c r="B39" s="20">
        <v>2</v>
      </c>
      <c r="C39" s="20">
        <v>39</v>
      </c>
      <c r="D39" s="20">
        <v>2</v>
      </c>
      <c r="E39" s="20">
        <v>39</v>
      </c>
      <c r="F39" s="20">
        <v>3225000</v>
      </c>
      <c r="G39" s="20">
        <v>0</v>
      </c>
      <c r="H39" s="20">
        <v>4</v>
      </c>
      <c r="I39" s="20">
        <v>30</v>
      </c>
      <c r="J39" s="20">
        <v>746</v>
      </c>
      <c r="K39" s="20">
        <v>0</v>
      </c>
      <c r="L39" s="20">
        <v>0</v>
      </c>
      <c r="M39" s="20">
        <v>0</v>
      </c>
      <c r="N39" s="20">
        <v>0</v>
      </c>
      <c r="O39" s="20">
        <v>12</v>
      </c>
      <c r="P39" s="20">
        <v>97</v>
      </c>
      <c r="Q39" s="20">
        <v>1064000</v>
      </c>
      <c r="R39" s="20">
        <v>0</v>
      </c>
      <c r="S39" s="20">
        <v>0</v>
      </c>
      <c r="T39" s="20">
        <v>0</v>
      </c>
      <c r="U39" s="20">
        <v>0</v>
      </c>
      <c r="V39" s="20">
        <v>9</v>
      </c>
      <c r="W39" s="20">
        <v>91</v>
      </c>
      <c r="X39" s="20">
        <v>675000</v>
      </c>
      <c r="Y39" s="20">
        <v>0</v>
      </c>
      <c r="Z39" s="20">
        <v>0</v>
      </c>
      <c r="AA39" s="20">
        <v>0</v>
      </c>
      <c r="AB39" s="20">
        <v>0</v>
      </c>
      <c r="AC39" s="20">
        <v>27</v>
      </c>
      <c r="AD39" s="20">
        <v>257</v>
      </c>
      <c r="AE39" s="20">
        <v>4015000</v>
      </c>
      <c r="AF39" s="20">
        <v>2</v>
      </c>
      <c r="AG39" s="20">
        <v>39</v>
      </c>
      <c r="AH39" s="20">
        <v>3225000</v>
      </c>
      <c r="AI39" s="20">
        <v>0</v>
      </c>
      <c r="AJ39" s="20">
        <v>26</v>
      </c>
      <c r="AK39" s="20">
        <v>254</v>
      </c>
      <c r="AL39" s="20">
        <v>4001000</v>
      </c>
      <c r="AM39" s="20">
        <v>0</v>
      </c>
      <c r="AN39" s="20">
        <v>0</v>
      </c>
      <c r="AO39" s="20"/>
      <c r="AP39" s="20"/>
      <c r="AQ39" s="20"/>
      <c r="AR39" s="20">
        <v>0</v>
      </c>
      <c r="AS39" s="20">
        <v>1</v>
      </c>
      <c r="AT39" s="20">
        <v>3</v>
      </c>
      <c r="AU39" s="20">
        <v>14</v>
      </c>
      <c r="AV39" s="20">
        <v>0</v>
      </c>
      <c r="AW39" s="20">
        <v>0</v>
      </c>
      <c r="AX39" s="20">
        <v>0</v>
      </c>
      <c r="AY39" s="20">
        <v>741</v>
      </c>
      <c r="AZ39" s="20">
        <v>1356127</v>
      </c>
      <c r="BA39" s="20">
        <v>262964</v>
      </c>
      <c r="BB39" s="20">
        <v>19</v>
      </c>
      <c r="BC39" s="20">
        <v>0</v>
      </c>
      <c r="BD39" s="20">
        <v>0</v>
      </c>
      <c r="BE39" s="20">
        <v>0</v>
      </c>
    </row>
    <row r="40" spans="1:57" x14ac:dyDescent="0.3">
      <c r="A40" s="18" t="s">
        <v>105</v>
      </c>
      <c r="B40" s="20">
        <v>0</v>
      </c>
      <c r="C40" s="20">
        <v>1</v>
      </c>
      <c r="D40" s="20">
        <v>0</v>
      </c>
      <c r="E40" s="20">
        <v>0</v>
      </c>
      <c r="F40" s="20">
        <v>0</v>
      </c>
      <c r="G40" s="20">
        <v>0</v>
      </c>
      <c r="H40" s="20">
        <v>1</v>
      </c>
      <c r="I40" s="20">
        <v>2</v>
      </c>
      <c r="J40" s="20">
        <v>44533</v>
      </c>
      <c r="K40" s="20">
        <v>0</v>
      </c>
      <c r="L40" s="20">
        <v>0</v>
      </c>
      <c r="M40" s="20">
        <v>0</v>
      </c>
      <c r="N40" s="20">
        <v>0</v>
      </c>
      <c r="O40" s="20">
        <v>1</v>
      </c>
      <c r="P40" s="20">
        <v>8</v>
      </c>
      <c r="Q40" s="20">
        <v>31050</v>
      </c>
      <c r="R40" s="20">
        <v>0</v>
      </c>
      <c r="S40" s="20">
        <v>0</v>
      </c>
      <c r="T40" s="20">
        <v>0</v>
      </c>
      <c r="U40" s="20">
        <v>0</v>
      </c>
      <c r="V40" s="20">
        <v>2</v>
      </c>
      <c r="W40" s="20">
        <v>172</v>
      </c>
      <c r="X40" s="20">
        <v>27497</v>
      </c>
      <c r="Y40" s="20">
        <v>0</v>
      </c>
      <c r="Z40" s="20">
        <v>0</v>
      </c>
      <c r="AA40" s="20">
        <v>0</v>
      </c>
      <c r="AB40" s="20">
        <v>0</v>
      </c>
      <c r="AC40" s="20">
        <v>4</v>
      </c>
      <c r="AD40" s="20">
        <v>183</v>
      </c>
      <c r="AE40" s="20">
        <v>193080</v>
      </c>
      <c r="AF40" s="20">
        <v>0</v>
      </c>
      <c r="AG40" s="20">
        <v>0</v>
      </c>
      <c r="AH40" s="20">
        <v>0</v>
      </c>
      <c r="AI40" s="20">
        <v>0</v>
      </c>
      <c r="AJ40" s="20">
        <v>4</v>
      </c>
      <c r="AK40" s="20">
        <v>16</v>
      </c>
      <c r="AL40" s="20">
        <v>158404</v>
      </c>
      <c r="AM40" s="20">
        <v>0</v>
      </c>
      <c r="AN40" s="20">
        <v>0</v>
      </c>
      <c r="AO40" s="20"/>
      <c r="AP40" s="20"/>
      <c r="AQ40" s="20"/>
      <c r="AR40" s="20">
        <v>0</v>
      </c>
      <c r="AS40" s="20">
        <v>0</v>
      </c>
      <c r="AT40" s="20">
        <v>167</v>
      </c>
      <c r="AU40" s="20">
        <v>11360</v>
      </c>
      <c r="AV40" s="20">
        <v>0</v>
      </c>
      <c r="AW40" s="20">
        <v>0</v>
      </c>
      <c r="AX40" s="20">
        <v>0</v>
      </c>
      <c r="AY40" s="20">
        <v>4</v>
      </c>
      <c r="AZ40" s="20">
        <v>7475</v>
      </c>
      <c r="BA40" s="20">
        <v>13746</v>
      </c>
      <c r="BB40" s="20">
        <v>0</v>
      </c>
      <c r="BC40" s="20">
        <v>0</v>
      </c>
      <c r="BD40" s="20">
        <v>0</v>
      </c>
      <c r="BE40" s="20">
        <v>0</v>
      </c>
    </row>
    <row r="41" spans="1:57" x14ac:dyDescent="0.3">
      <c r="A41" s="18" t="s">
        <v>50</v>
      </c>
      <c r="B41" s="20">
        <v>1</v>
      </c>
      <c r="C41" s="20">
        <v>3</v>
      </c>
      <c r="D41" s="20">
        <v>0</v>
      </c>
      <c r="E41" s="20">
        <v>0</v>
      </c>
      <c r="F41" s="20">
        <v>0</v>
      </c>
      <c r="G41" s="20">
        <v>0</v>
      </c>
      <c r="H41" s="20">
        <v>0</v>
      </c>
      <c r="I41" s="20">
        <v>0</v>
      </c>
      <c r="J41" s="20">
        <v>0</v>
      </c>
      <c r="K41" s="20">
        <v>0</v>
      </c>
      <c r="L41" s="20">
        <v>0</v>
      </c>
      <c r="M41" s="20">
        <v>0</v>
      </c>
      <c r="N41" s="20">
        <v>0</v>
      </c>
      <c r="O41" s="20">
        <v>0</v>
      </c>
      <c r="P41" s="20">
        <v>7</v>
      </c>
      <c r="Q41" s="20">
        <v>0</v>
      </c>
      <c r="R41" s="20">
        <v>0</v>
      </c>
      <c r="S41" s="20">
        <v>0</v>
      </c>
      <c r="T41" s="20">
        <v>0</v>
      </c>
      <c r="U41" s="20">
        <v>0</v>
      </c>
      <c r="V41" s="20">
        <v>1</v>
      </c>
      <c r="W41" s="20">
        <v>23</v>
      </c>
      <c r="X41" s="20">
        <v>0</v>
      </c>
      <c r="Y41" s="20">
        <v>0</v>
      </c>
      <c r="Z41" s="20">
        <v>0</v>
      </c>
      <c r="AA41" s="20">
        <v>0</v>
      </c>
      <c r="AB41" s="20">
        <v>0</v>
      </c>
      <c r="AC41" s="20">
        <v>2</v>
      </c>
      <c r="AD41" s="20">
        <v>33</v>
      </c>
      <c r="AE41" s="20">
        <v>0</v>
      </c>
      <c r="AF41" s="20">
        <v>0</v>
      </c>
      <c r="AG41" s="20">
        <v>0</v>
      </c>
      <c r="AH41" s="20">
        <v>0</v>
      </c>
      <c r="AI41" s="20">
        <v>0</v>
      </c>
      <c r="AJ41" s="20">
        <v>2</v>
      </c>
      <c r="AK41" s="20">
        <v>11</v>
      </c>
      <c r="AL41" s="20">
        <v>0</v>
      </c>
      <c r="AM41" s="20">
        <v>0</v>
      </c>
      <c r="AN41" s="20">
        <v>0</v>
      </c>
      <c r="AO41" s="20"/>
      <c r="AP41" s="20"/>
      <c r="AQ41" s="20"/>
      <c r="AR41" s="20">
        <v>0</v>
      </c>
      <c r="AS41" s="20">
        <v>0</v>
      </c>
      <c r="AT41" s="20">
        <v>22</v>
      </c>
      <c r="AU41" s="20">
        <v>0</v>
      </c>
      <c r="AV41" s="20">
        <v>0</v>
      </c>
      <c r="AW41" s="20">
        <v>0</v>
      </c>
      <c r="AX41" s="20">
        <v>0</v>
      </c>
      <c r="AY41" s="20">
        <v>0</v>
      </c>
      <c r="AZ41" s="20">
        <v>0</v>
      </c>
      <c r="BA41" s="20">
        <v>0</v>
      </c>
      <c r="BB41" s="20">
        <v>0</v>
      </c>
      <c r="BC41" s="20">
        <v>0</v>
      </c>
      <c r="BD41" s="20">
        <v>0</v>
      </c>
      <c r="BE41" s="20">
        <v>0</v>
      </c>
    </row>
    <row r="42" spans="1:57" ht="27.6" x14ac:dyDescent="0.3">
      <c r="A42" s="18" t="s">
        <v>255</v>
      </c>
      <c r="B42" s="20">
        <v>0</v>
      </c>
      <c r="C42" s="20">
        <v>0</v>
      </c>
      <c r="D42" s="20">
        <v>0</v>
      </c>
      <c r="E42" s="20">
        <v>2</v>
      </c>
      <c r="F42" s="20">
        <v>48000</v>
      </c>
      <c r="G42" s="20">
        <v>253</v>
      </c>
      <c r="H42" s="20">
        <v>0</v>
      </c>
      <c r="I42" s="20">
        <v>0</v>
      </c>
      <c r="J42" s="20">
        <v>0</v>
      </c>
      <c r="K42" s="20">
        <v>0</v>
      </c>
      <c r="L42" s="20">
        <v>1</v>
      </c>
      <c r="M42" s="20">
        <v>12000</v>
      </c>
      <c r="N42" s="20">
        <v>253</v>
      </c>
      <c r="O42" s="20">
        <v>0</v>
      </c>
      <c r="P42" s="20">
        <v>2</v>
      </c>
      <c r="Q42" s="20">
        <v>4704204</v>
      </c>
      <c r="R42" s="20">
        <v>0</v>
      </c>
      <c r="S42" s="20">
        <v>0</v>
      </c>
      <c r="T42" s="20">
        <v>0</v>
      </c>
      <c r="U42" s="20">
        <v>0</v>
      </c>
      <c r="V42" s="20">
        <v>0</v>
      </c>
      <c r="W42" s="20">
        <v>48</v>
      </c>
      <c r="X42" s="20">
        <v>0</v>
      </c>
      <c r="Y42" s="20">
        <v>0</v>
      </c>
      <c r="Z42" s="20">
        <v>0</v>
      </c>
      <c r="AA42" s="20">
        <v>0</v>
      </c>
      <c r="AB42" s="20">
        <v>0</v>
      </c>
      <c r="AC42" s="20">
        <v>0</v>
      </c>
      <c r="AD42" s="20">
        <v>50</v>
      </c>
      <c r="AE42" s="20">
        <v>70664</v>
      </c>
      <c r="AF42" s="20">
        <v>0</v>
      </c>
      <c r="AG42" s="20">
        <v>0</v>
      </c>
      <c r="AH42" s="20">
        <v>0</v>
      </c>
      <c r="AI42" s="20">
        <v>253</v>
      </c>
      <c r="AJ42" s="20">
        <v>0</v>
      </c>
      <c r="AK42" s="20">
        <v>0</v>
      </c>
      <c r="AL42" s="20">
        <v>0</v>
      </c>
      <c r="AM42" s="20">
        <v>0</v>
      </c>
      <c r="AN42" s="20">
        <v>0</v>
      </c>
      <c r="AO42" s="20"/>
      <c r="AP42" s="20"/>
      <c r="AQ42" s="20"/>
      <c r="AR42" s="20">
        <v>0</v>
      </c>
      <c r="AS42" s="20">
        <v>0</v>
      </c>
      <c r="AT42" s="20">
        <v>0</v>
      </c>
      <c r="AU42" s="20">
        <v>0</v>
      </c>
      <c r="AV42" s="20">
        <v>0</v>
      </c>
      <c r="AW42" s="20">
        <v>0</v>
      </c>
      <c r="AX42" s="20">
        <v>0</v>
      </c>
      <c r="AY42" s="20">
        <v>0</v>
      </c>
      <c r="AZ42" s="20">
        <v>0</v>
      </c>
      <c r="BA42" s="20">
        <v>0</v>
      </c>
      <c r="BB42" s="20">
        <v>1</v>
      </c>
      <c r="BC42" s="20">
        <v>0</v>
      </c>
      <c r="BD42" s="20">
        <v>0</v>
      </c>
      <c r="BE42" s="20">
        <v>0</v>
      </c>
    </row>
    <row r="43" spans="1:57" ht="27.6" x14ac:dyDescent="0.3">
      <c r="A43" s="18" t="s">
        <v>60</v>
      </c>
      <c r="B43" s="20">
        <v>10</v>
      </c>
      <c r="C43" s="20">
        <v>68</v>
      </c>
      <c r="D43" s="20">
        <v>1</v>
      </c>
      <c r="E43" s="20">
        <v>11</v>
      </c>
      <c r="F43" s="20">
        <v>2397340</v>
      </c>
      <c r="G43" s="20">
        <v>0</v>
      </c>
      <c r="H43" s="20">
        <v>20</v>
      </c>
      <c r="I43" s="20">
        <v>113</v>
      </c>
      <c r="J43" s="20">
        <v>3228611</v>
      </c>
      <c r="K43" s="20">
        <v>0</v>
      </c>
      <c r="L43" s="20">
        <v>50</v>
      </c>
      <c r="M43" s="20">
        <v>5418659</v>
      </c>
      <c r="N43" s="20">
        <v>0</v>
      </c>
      <c r="O43" s="20">
        <v>30</v>
      </c>
      <c r="P43" s="20">
        <v>461</v>
      </c>
      <c r="Q43" s="20">
        <v>8379136</v>
      </c>
      <c r="R43" s="20">
        <v>0</v>
      </c>
      <c r="S43" s="20">
        <v>0</v>
      </c>
      <c r="T43" s="20">
        <v>0</v>
      </c>
      <c r="U43" s="20">
        <v>0</v>
      </c>
      <c r="V43" s="20">
        <v>47</v>
      </c>
      <c r="W43" s="20">
        <v>428</v>
      </c>
      <c r="X43" s="20">
        <v>4881775</v>
      </c>
      <c r="Y43" s="20">
        <v>0</v>
      </c>
      <c r="Z43" s="20">
        <v>0</v>
      </c>
      <c r="AA43" s="20">
        <v>0</v>
      </c>
      <c r="AB43" s="20">
        <v>0</v>
      </c>
      <c r="AC43" s="20">
        <v>107</v>
      </c>
      <c r="AD43" s="20">
        <v>1070</v>
      </c>
      <c r="AE43" s="20">
        <v>20056661</v>
      </c>
      <c r="AF43" s="20">
        <v>1</v>
      </c>
      <c r="AG43" s="20">
        <v>61</v>
      </c>
      <c r="AH43" s="20">
        <v>7815999</v>
      </c>
      <c r="AI43" s="20">
        <v>0</v>
      </c>
      <c r="AJ43" s="20">
        <v>0</v>
      </c>
      <c r="AK43" s="20">
        <v>0</v>
      </c>
      <c r="AL43" s="20">
        <v>0</v>
      </c>
      <c r="AM43" s="20">
        <v>0</v>
      </c>
      <c r="AN43" s="20">
        <v>0</v>
      </c>
      <c r="AO43" s="20"/>
      <c r="AP43" s="20"/>
      <c r="AQ43" s="20"/>
      <c r="AR43" s="20">
        <v>0</v>
      </c>
      <c r="AS43" s="20">
        <v>0</v>
      </c>
      <c r="AT43" s="20">
        <v>0</v>
      </c>
      <c r="AU43" s="20">
        <v>0</v>
      </c>
      <c r="AV43" s="20">
        <v>0</v>
      </c>
      <c r="AW43" s="20">
        <v>0</v>
      </c>
      <c r="AX43" s="20">
        <v>0</v>
      </c>
      <c r="AY43" s="20">
        <v>621</v>
      </c>
      <c r="AZ43" s="20">
        <v>4741470</v>
      </c>
      <c r="BA43" s="20">
        <v>692456</v>
      </c>
      <c r="BB43" s="20">
        <v>14</v>
      </c>
      <c r="BC43" s="20">
        <v>0</v>
      </c>
      <c r="BD43" s="20">
        <v>0</v>
      </c>
      <c r="BE43" s="20">
        <v>75</v>
      </c>
    </row>
    <row r="44" spans="1:57" ht="27.6" x14ac:dyDescent="0.3">
      <c r="A44" s="18" t="s">
        <v>272</v>
      </c>
      <c r="B44" s="20">
        <v>0</v>
      </c>
      <c r="C44" s="20">
        <v>10</v>
      </c>
      <c r="D44" s="20">
        <v>0</v>
      </c>
      <c r="E44" s="20">
        <v>0</v>
      </c>
      <c r="F44" s="20">
        <v>0</v>
      </c>
      <c r="G44" s="20">
        <v>0</v>
      </c>
      <c r="H44" s="20">
        <v>1</v>
      </c>
      <c r="I44" s="20">
        <v>3</v>
      </c>
      <c r="J44" s="20">
        <v>102118</v>
      </c>
      <c r="K44" s="20">
        <v>0</v>
      </c>
      <c r="L44" s="20">
        <v>0</v>
      </c>
      <c r="M44" s="20">
        <v>0</v>
      </c>
      <c r="N44" s="20">
        <v>0</v>
      </c>
      <c r="O44" s="20">
        <v>0</v>
      </c>
      <c r="P44" s="20">
        <v>6</v>
      </c>
      <c r="Q44" s="20">
        <v>139395</v>
      </c>
      <c r="R44" s="20">
        <v>0</v>
      </c>
      <c r="S44" s="20">
        <v>0</v>
      </c>
      <c r="T44" s="20">
        <v>0</v>
      </c>
      <c r="U44" s="20">
        <v>0</v>
      </c>
      <c r="V44" s="20">
        <v>1</v>
      </c>
      <c r="W44" s="20">
        <v>16</v>
      </c>
      <c r="X44" s="20">
        <v>157860</v>
      </c>
      <c r="Y44" s="20">
        <v>0</v>
      </c>
      <c r="Z44" s="20">
        <v>0</v>
      </c>
      <c r="AA44" s="20">
        <v>0</v>
      </c>
      <c r="AB44" s="20">
        <v>0</v>
      </c>
      <c r="AC44" s="20">
        <v>2</v>
      </c>
      <c r="AD44" s="20">
        <v>35</v>
      </c>
      <c r="AE44" s="20">
        <v>769795</v>
      </c>
      <c r="AF44" s="20">
        <v>0</v>
      </c>
      <c r="AG44" s="20">
        <v>0</v>
      </c>
      <c r="AH44" s="20">
        <v>0</v>
      </c>
      <c r="AI44" s="20">
        <v>0</v>
      </c>
      <c r="AJ44" s="20">
        <v>0</v>
      </c>
      <c r="AK44" s="20">
        <v>0</v>
      </c>
      <c r="AL44" s="20">
        <v>0</v>
      </c>
      <c r="AM44" s="20">
        <v>0</v>
      </c>
      <c r="AN44" s="20">
        <v>0</v>
      </c>
      <c r="AO44" s="20"/>
      <c r="AP44" s="20"/>
      <c r="AQ44" s="20"/>
      <c r="AR44" s="20">
        <v>0</v>
      </c>
      <c r="AS44" s="20">
        <v>0</v>
      </c>
      <c r="AT44" s="20">
        <v>0</v>
      </c>
      <c r="AU44" s="20">
        <v>0</v>
      </c>
      <c r="AV44" s="20">
        <v>0</v>
      </c>
      <c r="AW44" s="20">
        <v>0</v>
      </c>
      <c r="AX44" s="20">
        <v>0</v>
      </c>
      <c r="AY44" s="20">
        <v>49</v>
      </c>
      <c r="AZ44" s="20">
        <v>503522</v>
      </c>
      <c r="BA44" s="20">
        <v>27243</v>
      </c>
      <c r="BB44" s="20">
        <v>1</v>
      </c>
      <c r="BC44" s="20">
        <v>0</v>
      </c>
      <c r="BD44" s="20">
        <v>0</v>
      </c>
      <c r="BE44" s="20">
        <v>0</v>
      </c>
    </row>
    <row r="45" spans="1:57" x14ac:dyDescent="0.3">
      <c r="A45" s="18" t="s">
        <v>71</v>
      </c>
      <c r="B45" s="20">
        <v>0</v>
      </c>
      <c r="C45" s="20">
        <v>1</v>
      </c>
      <c r="D45" s="20">
        <v>0</v>
      </c>
      <c r="E45" s="20">
        <v>0</v>
      </c>
      <c r="F45" s="20">
        <v>0</v>
      </c>
      <c r="G45" s="20">
        <v>0</v>
      </c>
      <c r="H45" s="20">
        <v>0</v>
      </c>
      <c r="I45" s="20">
        <v>2</v>
      </c>
      <c r="J45" s="20">
        <v>2250000</v>
      </c>
      <c r="K45" s="20">
        <v>0</v>
      </c>
      <c r="L45" s="20">
        <v>12</v>
      </c>
      <c r="M45" s="20">
        <v>37150000</v>
      </c>
      <c r="N45" s="20">
        <v>0</v>
      </c>
      <c r="O45" s="20">
        <v>0</v>
      </c>
      <c r="P45" s="20">
        <v>2</v>
      </c>
      <c r="Q45" s="20">
        <v>1110000</v>
      </c>
      <c r="R45" s="20">
        <v>0</v>
      </c>
      <c r="S45" s="20">
        <v>0</v>
      </c>
      <c r="T45" s="20">
        <v>0</v>
      </c>
      <c r="U45" s="20">
        <v>0</v>
      </c>
      <c r="V45" s="20">
        <v>0</v>
      </c>
      <c r="W45" s="20">
        <v>4</v>
      </c>
      <c r="X45" s="20">
        <v>1824000</v>
      </c>
      <c r="Y45" s="20">
        <v>0</v>
      </c>
      <c r="Z45" s="20">
        <v>0</v>
      </c>
      <c r="AA45" s="20">
        <v>0</v>
      </c>
      <c r="AB45" s="20">
        <v>0</v>
      </c>
      <c r="AC45" s="20">
        <v>0</v>
      </c>
      <c r="AD45" s="20">
        <v>9</v>
      </c>
      <c r="AE45" s="20">
        <v>5634000</v>
      </c>
      <c r="AF45" s="20">
        <v>0</v>
      </c>
      <c r="AG45" s="20">
        <v>12</v>
      </c>
      <c r="AH45" s="20">
        <v>37150000</v>
      </c>
      <c r="AI45" s="20">
        <v>0</v>
      </c>
      <c r="AJ45" s="20">
        <v>0</v>
      </c>
      <c r="AK45" s="20">
        <v>0</v>
      </c>
      <c r="AL45" s="20">
        <v>0</v>
      </c>
      <c r="AM45" s="20">
        <v>0</v>
      </c>
      <c r="AN45" s="20">
        <v>0</v>
      </c>
      <c r="AO45" s="20"/>
      <c r="AP45" s="20"/>
      <c r="AQ45" s="20"/>
      <c r="AR45" s="20">
        <v>0</v>
      </c>
      <c r="AS45" s="20">
        <v>0</v>
      </c>
      <c r="AT45" s="20">
        <v>0</v>
      </c>
      <c r="AU45" s="20">
        <v>0</v>
      </c>
      <c r="AV45" s="20">
        <v>0</v>
      </c>
      <c r="AW45" s="20">
        <v>0</v>
      </c>
      <c r="AX45" s="20">
        <v>0</v>
      </c>
      <c r="AY45" s="20">
        <v>5</v>
      </c>
      <c r="AZ45" s="20">
        <v>3500000</v>
      </c>
      <c r="BA45" s="20">
        <v>0</v>
      </c>
      <c r="BB45" s="20">
        <v>0</v>
      </c>
      <c r="BC45" s="20">
        <v>0</v>
      </c>
      <c r="BD45" s="20">
        <v>0</v>
      </c>
      <c r="BE45" s="20">
        <v>0</v>
      </c>
    </row>
    <row r="46" spans="1:57" x14ac:dyDescent="0.3">
      <c r="A46" s="18" t="s">
        <v>104</v>
      </c>
      <c r="B46" s="20">
        <v>0</v>
      </c>
      <c r="C46" s="20">
        <v>2</v>
      </c>
      <c r="D46" s="20">
        <v>0</v>
      </c>
      <c r="E46" s="20">
        <v>1</v>
      </c>
      <c r="F46" s="20">
        <v>29663</v>
      </c>
      <c r="G46" s="20">
        <v>0</v>
      </c>
      <c r="H46" s="20">
        <v>0</v>
      </c>
      <c r="I46" s="20">
        <v>6</v>
      </c>
      <c r="J46" s="20">
        <v>69386</v>
      </c>
      <c r="K46" s="20">
        <v>0</v>
      </c>
      <c r="L46" s="20">
        <v>0</v>
      </c>
      <c r="M46" s="20">
        <v>0</v>
      </c>
      <c r="N46" s="20">
        <v>0</v>
      </c>
      <c r="O46" s="20">
        <v>1</v>
      </c>
      <c r="P46" s="20">
        <v>17</v>
      </c>
      <c r="Q46" s="20">
        <v>122413</v>
      </c>
      <c r="R46" s="20">
        <v>0</v>
      </c>
      <c r="S46" s="20">
        <v>0</v>
      </c>
      <c r="T46" s="20">
        <v>0</v>
      </c>
      <c r="U46" s="20">
        <v>0</v>
      </c>
      <c r="V46" s="20">
        <v>2</v>
      </c>
      <c r="W46" s="20">
        <v>56</v>
      </c>
      <c r="X46" s="20">
        <v>212456</v>
      </c>
      <c r="Y46" s="20">
        <v>0</v>
      </c>
      <c r="Z46" s="20">
        <v>0</v>
      </c>
      <c r="AA46" s="20">
        <v>0</v>
      </c>
      <c r="AB46" s="20">
        <v>0</v>
      </c>
      <c r="AC46" s="20">
        <v>3</v>
      </c>
      <c r="AD46" s="20">
        <v>81</v>
      </c>
      <c r="AE46" s="20">
        <v>449538</v>
      </c>
      <c r="AF46" s="20">
        <v>0</v>
      </c>
      <c r="AG46" s="20">
        <v>1</v>
      </c>
      <c r="AH46" s="20">
        <v>29663</v>
      </c>
      <c r="AI46" s="20">
        <v>0</v>
      </c>
      <c r="AJ46" s="20">
        <v>0</v>
      </c>
      <c r="AK46" s="20">
        <v>0</v>
      </c>
      <c r="AL46" s="20">
        <v>0</v>
      </c>
      <c r="AM46" s="20">
        <v>0</v>
      </c>
      <c r="AN46" s="20">
        <v>0</v>
      </c>
      <c r="AO46" s="20"/>
      <c r="AP46" s="20"/>
      <c r="AQ46" s="20"/>
      <c r="AR46" s="20">
        <v>0</v>
      </c>
      <c r="AS46" s="20">
        <v>0</v>
      </c>
      <c r="AT46" s="20">
        <v>0</v>
      </c>
      <c r="AU46" s="20">
        <v>0</v>
      </c>
      <c r="AV46" s="20">
        <v>0</v>
      </c>
      <c r="AW46" s="20">
        <v>0</v>
      </c>
      <c r="AX46" s="20">
        <v>0</v>
      </c>
      <c r="AY46" s="20">
        <v>0</v>
      </c>
      <c r="AZ46" s="20">
        <v>0</v>
      </c>
      <c r="BA46" s="20">
        <v>59958</v>
      </c>
      <c r="BB46" s="20">
        <v>1</v>
      </c>
      <c r="BC46" s="20">
        <v>0</v>
      </c>
      <c r="BD46" s="20">
        <v>0</v>
      </c>
      <c r="BE46" s="20">
        <v>0</v>
      </c>
    </row>
    <row r="47" spans="1:57" x14ac:dyDescent="0.3">
      <c r="A47" s="18" t="s">
        <v>83</v>
      </c>
      <c r="B47" s="20">
        <v>0</v>
      </c>
      <c r="C47" s="20">
        <v>0</v>
      </c>
      <c r="D47" s="20">
        <v>0</v>
      </c>
      <c r="E47" s="20">
        <v>0</v>
      </c>
      <c r="F47" s="20">
        <v>0</v>
      </c>
      <c r="G47" s="20">
        <v>0</v>
      </c>
      <c r="H47" s="20">
        <v>1</v>
      </c>
      <c r="I47" s="20">
        <v>1</v>
      </c>
      <c r="J47" s="20">
        <v>30426</v>
      </c>
      <c r="K47" s="20">
        <v>0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Q47" s="20">
        <v>0</v>
      </c>
      <c r="R47" s="20">
        <v>0</v>
      </c>
      <c r="S47" s="20">
        <v>0</v>
      </c>
      <c r="T47" s="20">
        <v>0</v>
      </c>
      <c r="U47" s="20">
        <v>0</v>
      </c>
      <c r="V47" s="20">
        <v>1</v>
      </c>
      <c r="W47" s="20">
        <v>64</v>
      </c>
      <c r="X47" s="20">
        <v>152929</v>
      </c>
      <c r="Y47" s="20">
        <v>0</v>
      </c>
      <c r="Z47" s="20">
        <v>0</v>
      </c>
      <c r="AA47" s="20">
        <v>0</v>
      </c>
      <c r="AB47" s="20">
        <v>0</v>
      </c>
      <c r="AC47" s="20">
        <v>0</v>
      </c>
      <c r="AD47" s="20">
        <v>0</v>
      </c>
      <c r="AE47" s="20">
        <v>0</v>
      </c>
      <c r="AF47" s="20">
        <v>0</v>
      </c>
      <c r="AG47" s="20">
        <v>0</v>
      </c>
      <c r="AH47" s="20">
        <v>0</v>
      </c>
      <c r="AI47" s="20">
        <v>0</v>
      </c>
      <c r="AJ47" s="20">
        <v>0</v>
      </c>
      <c r="AK47" s="20">
        <v>0</v>
      </c>
      <c r="AL47" s="20">
        <v>0</v>
      </c>
      <c r="AM47" s="20">
        <v>0</v>
      </c>
      <c r="AN47" s="20">
        <v>0</v>
      </c>
      <c r="AO47" s="20"/>
      <c r="AP47" s="20"/>
      <c r="AQ47" s="20"/>
      <c r="AR47" s="20">
        <v>0</v>
      </c>
      <c r="AS47" s="20">
        <v>0</v>
      </c>
      <c r="AT47" s="20">
        <v>0</v>
      </c>
      <c r="AU47" s="20">
        <v>0</v>
      </c>
      <c r="AV47" s="20">
        <v>0</v>
      </c>
      <c r="AW47" s="20">
        <v>0</v>
      </c>
      <c r="AX47" s="20">
        <v>0</v>
      </c>
      <c r="AY47" s="20">
        <v>0</v>
      </c>
      <c r="AZ47" s="20">
        <v>48149</v>
      </c>
      <c r="BA47" s="20">
        <v>16556</v>
      </c>
      <c r="BB47" s="20">
        <v>0</v>
      </c>
      <c r="BC47" s="20">
        <v>0</v>
      </c>
      <c r="BD47" s="20">
        <v>0</v>
      </c>
      <c r="BE47" s="20">
        <v>0</v>
      </c>
    </row>
    <row r="48" spans="1:57" x14ac:dyDescent="0.3">
      <c r="A48" s="18" t="s">
        <v>114</v>
      </c>
      <c r="B48" s="20">
        <v>0</v>
      </c>
      <c r="C48" s="20">
        <v>0</v>
      </c>
      <c r="D48" s="20">
        <v>0</v>
      </c>
      <c r="E48" s="20">
        <v>0</v>
      </c>
      <c r="F48" s="20">
        <v>0</v>
      </c>
      <c r="G48" s="20">
        <v>0</v>
      </c>
      <c r="H48" s="20">
        <v>2</v>
      </c>
      <c r="I48" s="20">
        <v>4</v>
      </c>
      <c r="J48" s="20">
        <v>79069</v>
      </c>
      <c r="K48" s="20">
        <v>0</v>
      </c>
      <c r="L48" s="20">
        <v>0</v>
      </c>
      <c r="M48" s="20">
        <v>0</v>
      </c>
      <c r="N48" s="20">
        <v>0</v>
      </c>
      <c r="O48" s="20">
        <v>3</v>
      </c>
      <c r="P48" s="20">
        <v>25</v>
      </c>
      <c r="Q48" s="20">
        <v>280498</v>
      </c>
      <c r="R48" s="20">
        <v>0</v>
      </c>
      <c r="S48" s="20">
        <v>0</v>
      </c>
      <c r="T48" s="20">
        <v>0</v>
      </c>
      <c r="U48" s="20">
        <v>0</v>
      </c>
      <c r="V48" s="20">
        <v>1</v>
      </c>
      <c r="W48" s="20">
        <v>18</v>
      </c>
      <c r="X48" s="20">
        <v>152511</v>
      </c>
      <c r="Y48" s="20">
        <v>0</v>
      </c>
      <c r="Z48" s="20">
        <v>0</v>
      </c>
      <c r="AA48" s="20">
        <v>0</v>
      </c>
      <c r="AB48" s="20">
        <v>0</v>
      </c>
      <c r="AC48" s="20">
        <v>5</v>
      </c>
      <c r="AD48" s="20">
        <v>47</v>
      </c>
      <c r="AE48" s="20">
        <v>512078</v>
      </c>
      <c r="AF48" s="20">
        <v>0</v>
      </c>
      <c r="AG48" s="20">
        <v>0</v>
      </c>
      <c r="AH48" s="20">
        <v>0</v>
      </c>
      <c r="AI48" s="20">
        <v>0</v>
      </c>
      <c r="AJ48" s="20">
        <v>5</v>
      </c>
      <c r="AK48" s="20">
        <v>42</v>
      </c>
      <c r="AL48" s="20">
        <v>499558</v>
      </c>
      <c r="AM48" s="20">
        <v>0</v>
      </c>
      <c r="AN48" s="20">
        <v>0</v>
      </c>
      <c r="AO48" s="20"/>
      <c r="AP48" s="20"/>
      <c r="AQ48" s="20"/>
      <c r="AR48" s="20">
        <v>0</v>
      </c>
      <c r="AS48" s="20">
        <v>0</v>
      </c>
      <c r="AT48" s="20">
        <v>5</v>
      </c>
      <c r="AU48" s="20">
        <v>12520</v>
      </c>
      <c r="AV48" s="20">
        <v>0</v>
      </c>
      <c r="AW48" s="20">
        <v>0</v>
      </c>
      <c r="AX48" s="20">
        <v>0</v>
      </c>
      <c r="AY48" s="20">
        <v>8</v>
      </c>
      <c r="AZ48" s="20">
        <v>57417</v>
      </c>
      <c r="BA48" s="20">
        <v>30440</v>
      </c>
      <c r="BB48" s="20">
        <v>1</v>
      </c>
      <c r="BC48" s="20">
        <v>0</v>
      </c>
      <c r="BD48" s="20">
        <v>0</v>
      </c>
      <c r="BE48" s="20">
        <v>7</v>
      </c>
    </row>
    <row r="49" spans="1:57" ht="27.6" x14ac:dyDescent="0.3">
      <c r="A49" s="18" t="s">
        <v>65</v>
      </c>
      <c r="B49" s="20">
        <v>0</v>
      </c>
      <c r="C49" s="20">
        <v>2</v>
      </c>
      <c r="D49" s="20">
        <v>0</v>
      </c>
      <c r="E49" s="20">
        <v>3</v>
      </c>
      <c r="F49" s="20">
        <v>18000</v>
      </c>
      <c r="G49" s="20">
        <v>0</v>
      </c>
      <c r="H49" s="20">
        <v>1</v>
      </c>
      <c r="I49" s="20">
        <v>2</v>
      </c>
      <c r="J49" s="20">
        <v>2700</v>
      </c>
      <c r="K49" s="20">
        <v>0</v>
      </c>
      <c r="L49" s="20">
        <v>0</v>
      </c>
      <c r="M49" s="20">
        <v>0</v>
      </c>
      <c r="N49" s="20">
        <v>0</v>
      </c>
      <c r="O49" s="20">
        <v>0</v>
      </c>
      <c r="P49" s="20">
        <v>7</v>
      </c>
      <c r="Q49" s="20">
        <v>6300</v>
      </c>
      <c r="R49" s="20">
        <v>0</v>
      </c>
      <c r="S49" s="20">
        <v>2</v>
      </c>
      <c r="T49" s="20">
        <v>12000</v>
      </c>
      <c r="U49" s="20">
        <v>0</v>
      </c>
      <c r="V49" s="20">
        <v>0</v>
      </c>
      <c r="W49" s="20">
        <v>21</v>
      </c>
      <c r="X49" s="20">
        <v>9450</v>
      </c>
      <c r="Y49" s="20">
        <v>0</v>
      </c>
      <c r="Z49" s="20">
        <v>0</v>
      </c>
      <c r="AA49" s="20">
        <v>0</v>
      </c>
      <c r="AB49" s="20">
        <v>0</v>
      </c>
      <c r="AC49" s="20">
        <v>1</v>
      </c>
      <c r="AD49" s="20">
        <v>33</v>
      </c>
      <c r="AE49" s="20">
        <v>23550</v>
      </c>
      <c r="AF49" s="20">
        <v>0</v>
      </c>
      <c r="AG49" s="20">
        <v>6</v>
      </c>
      <c r="AH49" s="20">
        <v>30000</v>
      </c>
      <c r="AI49" s="20">
        <v>0</v>
      </c>
      <c r="AJ49" s="20">
        <v>0</v>
      </c>
      <c r="AK49" s="20">
        <v>12</v>
      </c>
      <c r="AL49" s="20">
        <v>21120</v>
      </c>
      <c r="AM49" s="20">
        <v>0</v>
      </c>
      <c r="AN49" s="20">
        <v>0</v>
      </c>
      <c r="AO49" s="20"/>
      <c r="AP49" s="20"/>
      <c r="AQ49" s="20"/>
      <c r="AR49" s="20">
        <v>0</v>
      </c>
      <c r="AS49" s="20">
        <v>0</v>
      </c>
      <c r="AT49" s="20">
        <v>21</v>
      </c>
      <c r="AU49" s="20">
        <v>9450</v>
      </c>
      <c r="AV49" s="20">
        <v>0</v>
      </c>
      <c r="AW49" s="20">
        <v>0</v>
      </c>
      <c r="AX49" s="20">
        <v>0</v>
      </c>
      <c r="AY49" s="20">
        <v>1</v>
      </c>
      <c r="AZ49" s="20">
        <v>2000</v>
      </c>
      <c r="BA49" s="20">
        <v>0</v>
      </c>
      <c r="BB49" s="20">
        <v>0</v>
      </c>
      <c r="BC49" s="20">
        <v>0</v>
      </c>
      <c r="BD49" s="20">
        <v>0</v>
      </c>
      <c r="BE49" s="20">
        <v>0</v>
      </c>
    </row>
    <row r="50" spans="1:57" x14ac:dyDescent="0.3">
      <c r="A50" s="18" t="s">
        <v>32</v>
      </c>
      <c r="B50" s="20">
        <v>0</v>
      </c>
      <c r="C50" s="20">
        <v>3</v>
      </c>
      <c r="D50" s="20">
        <v>0</v>
      </c>
      <c r="E50" s="20">
        <v>0</v>
      </c>
      <c r="F50" s="20">
        <v>0</v>
      </c>
      <c r="G50" s="20">
        <v>0</v>
      </c>
      <c r="H50" s="20">
        <v>0</v>
      </c>
      <c r="I50" s="20">
        <v>0</v>
      </c>
      <c r="J50" s="20">
        <v>0</v>
      </c>
      <c r="K50" s="20">
        <v>0</v>
      </c>
      <c r="L50" s="20">
        <v>0</v>
      </c>
      <c r="M50" s="20">
        <v>0</v>
      </c>
      <c r="N50" s="20">
        <v>0</v>
      </c>
      <c r="O50" s="20">
        <v>0</v>
      </c>
      <c r="P50" s="20">
        <v>0</v>
      </c>
      <c r="Q50" s="20">
        <v>0</v>
      </c>
      <c r="R50" s="20">
        <v>0</v>
      </c>
      <c r="S50" s="20">
        <v>0</v>
      </c>
      <c r="T50" s="20">
        <v>0</v>
      </c>
      <c r="U50" s="20">
        <v>0</v>
      </c>
      <c r="V50" s="20">
        <v>0</v>
      </c>
      <c r="W50" s="20">
        <v>6</v>
      </c>
      <c r="X50" s="20">
        <v>2855370</v>
      </c>
      <c r="Y50" s="20">
        <v>0</v>
      </c>
      <c r="Z50" s="20">
        <v>0</v>
      </c>
      <c r="AA50" s="20">
        <v>0</v>
      </c>
      <c r="AB50" s="20">
        <v>0</v>
      </c>
      <c r="AC50" s="20">
        <v>0</v>
      </c>
      <c r="AD50" s="20">
        <v>9</v>
      </c>
      <c r="AE50" s="20">
        <v>21754086</v>
      </c>
      <c r="AF50" s="20">
        <v>0</v>
      </c>
      <c r="AG50" s="20">
        <v>0</v>
      </c>
      <c r="AH50" s="20">
        <v>0</v>
      </c>
      <c r="AI50" s="20">
        <v>0</v>
      </c>
      <c r="AJ50" s="20">
        <v>0</v>
      </c>
      <c r="AK50" s="20">
        <v>3</v>
      </c>
      <c r="AL50" s="20">
        <v>0</v>
      </c>
      <c r="AM50" s="20">
        <v>0</v>
      </c>
      <c r="AN50" s="20">
        <v>0</v>
      </c>
      <c r="AO50" s="20"/>
      <c r="AP50" s="20"/>
      <c r="AQ50" s="20"/>
      <c r="AR50" s="20">
        <v>0</v>
      </c>
      <c r="AS50" s="20">
        <v>0</v>
      </c>
      <c r="AT50" s="20">
        <v>6</v>
      </c>
      <c r="AU50" s="20">
        <v>0</v>
      </c>
      <c r="AV50" s="20">
        <v>0</v>
      </c>
      <c r="AW50" s="20">
        <v>0</v>
      </c>
      <c r="AX50" s="20">
        <v>0</v>
      </c>
      <c r="AY50" s="20">
        <v>2</v>
      </c>
      <c r="AZ50" s="20">
        <v>20838726</v>
      </c>
      <c r="BA50" s="20">
        <v>0</v>
      </c>
      <c r="BB50" s="20">
        <v>0</v>
      </c>
      <c r="BC50" s="20">
        <v>0</v>
      </c>
      <c r="BD50" s="20">
        <v>0</v>
      </c>
      <c r="BE50" s="20">
        <v>0</v>
      </c>
    </row>
    <row r="51" spans="1:57" ht="41.4" x14ac:dyDescent="0.3">
      <c r="A51" s="18" t="s">
        <v>270</v>
      </c>
      <c r="B51" s="20">
        <v>1</v>
      </c>
      <c r="C51" s="20">
        <v>13</v>
      </c>
      <c r="D51" s="20">
        <v>2</v>
      </c>
      <c r="E51" s="20">
        <v>11</v>
      </c>
      <c r="F51" s="20">
        <v>407221</v>
      </c>
      <c r="G51" s="20">
        <v>0</v>
      </c>
      <c r="H51" s="20">
        <v>11</v>
      </c>
      <c r="I51" s="20">
        <v>47</v>
      </c>
      <c r="J51" s="20">
        <v>1854344</v>
      </c>
      <c r="K51" s="20">
        <v>4</v>
      </c>
      <c r="L51" s="20">
        <v>8</v>
      </c>
      <c r="M51" s="20">
        <v>187783</v>
      </c>
      <c r="N51" s="20">
        <v>0</v>
      </c>
      <c r="O51" s="20">
        <v>15</v>
      </c>
      <c r="P51" s="20">
        <v>174</v>
      </c>
      <c r="Q51" s="20">
        <v>3104107</v>
      </c>
      <c r="R51" s="20">
        <v>0</v>
      </c>
      <c r="S51" s="20">
        <v>0</v>
      </c>
      <c r="T51" s="20">
        <v>0</v>
      </c>
      <c r="U51" s="20">
        <v>0</v>
      </c>
      <c r="V51" s="20">
        <v>4</v>
      </c>
      <c r="W51" s="20">
        <v>88</v>
      </c>
      <c r="X51" s="20">
        <v>1264032</v>
      </c>
      <c r="Y51" s="20">
        <v>0</v>
      </c>
      <c r="Z51" s="20">
        <v>0</v>
      </c>
      <c r="AA51" s="20">
        <v>0</v>
      </c>
      <c r="AB51" s="20">
        <v>0</v>
      </c>
      <c r="AC51" s="20">
        <v>31</v>
      </c>
      <c r="AD51" s="20">
        <v>322</v>
      </c>
      <c r="AE51" s="20">
        <v>7231263</v>
      </c>
      <c r="AF51" s="20">
        <v>6</v>
      </c>
      <c r="AG51" s="20">
        <v>19</v>
      </c>
      <c r="AH51" s="20">
        <v>595004</v>
      </c>
      <c r="AI51" s="20">
        <v>0</v>
      </c>
      <c r="AJ51" s="20">
        <v>31</v>
      </c>
      <c r="AK51" s="20">
        <v>322</v>
      </c>
      <c r="AL51" s="20">
        <v>7231263</v>
      </c>
      <c r="AM51" s="20">
        <v>6</v>
      </c>
      <c r="AN51" s="20">
        <v>19</v>
      </c>
      <c r="AO51" s="20"/>
      <c r="AP51" s="20"/>
      <c r="AQ51" s="20"/>
      <c r="AR51" s="20">
        <v>0</v>
      </c>
      <c r="AS51" s="20">
        <v>0</v>
      </c>
      <c r="AT51" s="20">
        <v>0</v>
      </c>
      <c r="AU51" s="20">
        <v>0</v>
      </c>
      <c r="AV51" s="20">
        <v>0</v>
      </c>
      <c r="AW51" s="20">
        <v>0</v>
      </c>
      <c r="AX51" s="20">
        <v>0</v>
      </c>
      <c r="AY51" s="20">
        <v>384</v>
      </c>
      <c r="AZ51" s="20">
        <v>2387</v>
      </c>
      <c r="BA51" s="20">
        <v>595</v>
      </c>
      <c r="BB51" s="20">
        <v>0</v>
      </c>
      <c r="BC51" s="20">
        <v>0</v>
      </c>
      <c r="BD51" s="20">
        <v>0</v>
      </c>
      <c r="BE51" s="20">
        <v>0</v>
      </c>
    </row>
    <row r="52" spans="1:57" ht="27.6" x14ac:dyDescent="0.3">
      <c r="A52" s="18" t="s">
        <v>218</v>
      </c>
      <c r="B52" s="20">
        <v>0</v>
      </c>
      <c r="C52" s="20">
        <v>0</v>
      </c>
      <c r="D52" s="20">
        <v>0</v>
      </c>
      <c r="E52" s="20">
        <v>0</v>
      </c>
      <c r="F52" s="20">
        <v>0</v>
      </c>
      <c r="G52" s="20">
        <v>0</v>
      </c>
      <c r="H52" s="20">
        <v>0</v>
      </c>
      <c r="I52" s="20">
        <v>0</v>
      </c>
      <c r="J52" s="20">
        <v>0</v>
      </c>
      <c r="K52" s="20">
        <v>0</v>
      </c>
      <c r="L52" s="20">
        <v>0</v>
      </c>
      <c r="M52" s="20">
        <v>0</v>
      </c>
      <c r="N52" s="20">
        <v>0</v>
      </c>
      <c r="O52" s="20">
        <v>0</v>
      </c>
      <c r="P52" s="20">
        <v>0</v>
      </c>
      <c r="Q52" s="20">
        <v>0</v>
      </c>
      <c r="R52" s="20">
        <v>0</v>
      </c>
      <c r="S52" s="20">
        <v>0</v>
      </c>
      <c r="T52" s="20">
        <v>0</v>
      </c>
      <c r="U52" s="20">
        <v>0</v>
      </c>
      <c r="V52" s="20">
        <v>4</v>
      </c>
      <c r="W52" s="20">
        <v>64</v>
      </c>
      <c r="X52" s="20">
        <v>167774102</v>
      </c>
      <c r="Y52" s="20">
        <v>0</v>
      </c>
      <c r="Z52" s="20">
        <v>0</v>
      </c>
      <c r="AA52" s="20">
        <v>0</v>
      </c>
      <c r="AB52" s="20">
        <v>0</v>
      </c>
      <c r="AC52" s="20">
        <v>4</v>
      </c>
      <c r="AD52" s="20">
        <v>64</v>
      </c>
      <c r="AE52" s="20">
        <v>167774102</v>
      </c>
      <c r="AF52" s="20">
        <v>0</v>
      </c>
      <c r="AG52" s="20">
        <v>0</v>
      </c>
      <c r="AH52" s="20">
        <v>0</v>
      </c>
      <c r="AI52" s="20">
        <v>0</v>
      </c>
      <c r="AJ52" s="20">
        <v>4</v>
      </c>
      <c r="AK52" s="20">
        <v>64</v>
      </c>
      <c r="AL52" s="20">
        <v>167774102</v>
      </c>
      <c r="AM52" s="20">
        <v>0</v>
      </c>
      <c r="AN52" s="20">
        <v>0</v>
      </c>
      <c r="AO52" s="20"/>
      <c r="AP52" s="20"/>
      <c r="AQ52" s="20"/>
      <c r="AR52" s="20">
        <v>0</v>
      </c>
      <c r="AS52" s="20">
        <v>0</v>
      </c>
      <c r="AT52" s="20">
        <v>0</v>
      </c>
      <c r="AU52" s="20">
        <v>0</v>
      </c>
      <c r="AV52" s="20">
        <v>0</v>
      </c>
      <c r="AW52" s="20">
        <v>0</v>
      </c>
      <c r="AX52" s="20">
        <v>0</v>
      </c>
      <c r="AY52" s="20">
        <v>68</v>
      </c>
      <c r="AZ52" s="20">
        <v>167774102</v>
      </c>
      <c r="BA52" s="20">
        <v>19524424</v>
      </c>
      <c r="BB52" s="20">
        <v>0</v>
      </c>
      <c r="BC52" s="20">
        <v>0</v>
      </c>
      <c r="BD52" s="20">
        <v>0</v>
      </c>
      <c r="BE52" s="20">
        <v>0</v>
      </c>
    </row>
    <row r="53" spans="1:57" ht="41.4" x14ac:dyDescent="0.3">
      <c r="A53" s="18" t="s">
        <v>249</v>
      </c>
      <c r="B53" s="20">
        <v>0</v>
      </c>
      <c r="C53" s="20">
        <v>2</v>
      </c>
      <c r="D53" s="20">
        <v>1</v>
      </c>
      <c r="E53" s="20">
        <v>5</v>
      </c>
      <c r="F53" s="20">
        <v>468082</v>
      </c>
      <c r="G53" s="20">
        <v>0</v>
      </c>
      <c r="H53" s="20">
        <v>3</v>
      </c>
      <c r="I53" s="20">
        <v>7</v>
      </c>
      <c r="J53" s="20">
        <v>206269</v>
      </c>
      <c r="K53" s="20">
        <v>0</v>
      </c>
      <c r="L53" s="20">
        <v>0</v>
      </c>
      <c r="M53" s="20">
        <v>0</v>
      </c>
      <c r="N53" s="20">
        <v>0</v>
      </c>
      <c r="O53" s="20">
        <v>3</v>
      </c>
      <c r="P53" s="20">
        <v>8</v>
      </c>
      <c r="Q53" s="20">
        <v>144273</v>
      </c>
      <c r="R53" s="20">
        <v>0</v>
      </c>
      <c r="S53" s="20">
        <v>0</v>
      </c>
      <c r="T53" s="20">
        <v>0</v>
      </c>
      <c r="U53" s="20">
        <v>0</v>
      </c>
      <c r="V53" s="20">
        <v>31</v>
      </c>
      <c r="W53" s="20">
        <v>144</v>
      </c>
      <c r="X53" s="20">
        <v>1030442</v>
      </c>
      <c r="Y53" s="20">
        <v>0</v>
      </c>
      <c r="Z53" s="20">
        <v>0</v>
      </c>
      <c r="AA53" s="20">
        <v>0</v>
      </c>
      <c r="AB53" s="20">
        <v>0</v>
      </c>
      <c r="AC53" s="20">
        <v>37</v>
      </c>
      <c r="AD53" s="20">
        <v>161</v>
      </c>
      <c r="AE53" s="20">
        <v>1752273</v>
      </c>
      <c r="AF53" s="20">
        <v>1</v>
      </c>
      <c r="AG53" s="20">
        <v>5</v>
      </c>
      <c r="AH53" s="20">
        <v>468082</v>
      </c>
      <c r="AI53" s="20">
        <v>0</v>
      </c>
      <c r="AJ53" s="20">
        <v>37</v>
      </c>
      <c r="AK53" s="20">
        <v>161</v>
      </c>
      <c r="AL53" s="20">
        <v>1752272</v>
      </c>
      <c r="AM53" s="20">
        <v>1</v>
      </c>
      <c r="AN53" s="20">
        <v>5</v>
      </c>
      <c r="AO53" s="20"/>
      <c r="AP53" s="20"/>
      <c r="AQ53" s="20"/>
      <c r="AR53" s="20">
        <v>0</v>
      </c>
      <c r="AS53" s="20">
        <v>728</v>
      </c>
      <c r="AT53" s="20">
        <v>3306</v>
      </c>
      <c r="AU53" s="20">
        <v>138427</v>
      </c>
      <c r="AV53" s="20">
        <v>0</v>
      </c>
      <c r="AW53" s="20">
        <v>0</v>
      </c>
      <c r="AX53" s="20">
        <v>0</v>
      </c>
      <c r="AY53" s="20">
        <v>27</v>
      </c>
      <c r="AZ53" s="20">
        <v>237858</v>
      </c>
      <c r="BA53" s="20">
        <v>125345</v>
      </c>
      <c r="BB53" s="20">
        <v>0</v>
      </c>
      <c r="BC53" s="20">
        <v>0</v>
      </c>
      <c r="BD53" s="20">
        <v>0</v>
      </c>
      <c r="BE53" s="20">
        <v>0</v>
      </c>
    </row>
    <row r="54" spans="1:57" ht="41.4" x14ac:dyDescent="0.3">
      <c r="A54" s="18" t="s">
        <v>42</v>
      </c>
      <c r="B54" s="20">
        <v>0</v>
      </c>
      <c r="C54" s="20">
        <v>0</v>
      </c>
      <c r="D54" s="20">
        <v>0</v>
      </c>
      <c r="E54" s="20">
        <v>0</v>
      </c>
      <c r="F54" s="20">
        <v>1</v>
      </c>
      <c r="G54" s="20">
        <v>36000</v>
      </c>
      <c r="H54" s="20">
        <v>0</v>
      </c>
      <c r="I54" s="20">
        <v>3</v>
      </c>
      <c r="J54" s="20">
        <v>29511</v>
      </c>
      <c r="K54" s="20">
        <v>0</v>
      </c>
      <c r="L54" s="20">
        <v>0</v>
      </c>
      <c r="M54" s="20">
        <v>0</v>
      </c>
      <c r="N54" s="20">
        <v>0</v>
      </c>
      <c r="O54" s="20">
        <v>1</v>
      </c>
      <c r="P54" s="20">
        <v>4</v>
      </c>
      <c r="Q54" s="20">
        <v>25032</v>
      </c>
      <c r="R54" s="20">
        <v>0</v>
      </c>
      <c r="S54" s="20">
        <v>0</v>
      </c>
      <c r="T54" s="20">
        <v>0</v>
      </c>
      <c r="U54" s="20">
        <v>0</v>
      </c>
      <c r="V54" s="20">
        <v>5</v>
      </c>
      <c r="W54" s="20">
        <v>37</v>
      </c>
      <c r="X54" s="20">
        <v>18413</v>
      </c>
      <c r="Y54" s="20">
        <v>0</v>
      </c>
      <c r="Z54" s="20">
        <v>0</v>
      </c>
      <c r="AA54" s="20">
        <v>0</v>
      </c>
      <c r="AB54" s="20">
        <v>0</v>
      </c>
      <c r="AC54" s="20">
        <v>6</v>
      </c>
      <c r="AD54" s="20">
        <v>44</v>
      </c>
      <c r="AE54" s="20">
        <v>72956</v>
      </c>
      <c r="AF54" s="20">
        <v>0</v>
      </c>
      <c r="AG54" s="20">
        <v>0</v>
      </c>
      <c r="AH54" s="20">
        <v>1</v>
      </c>
      <c r="AI54" s="20">
        <v>36000</v>
      </c>
      <c r="AJ54" s="20">
        <v>1</v>
      </c>
      <c r="AK54" s="20">
        <v>7</v>
      </c>
      <c r="AL54" s="20">
        <v>54544</v>
      </c>
      <c r="AM54" s="20">
        <v>0</v>
      </c>
      <c r="AN54" s="20">
        <v>0</v>
      </c>
      <c r="AO54" s="20"/>
      <c r="AP54" s="20"/>
      <c r="AQ54" s="20"/>
      <c r="AR54" s="20">
        <v>0</v>
      </c>
      <c r="AS54" s="20">
        <v>5</v>
      </c>
      <c r="AT54" s="20">
        <v>37</v>
      </c>
      <c r="AU54" s="20">
        <v>18413</v>
      </c>
      <c r="AV54" s="20">
        <v>0</v>
      </c>
      <c r="AW54" s="20">
        <v>0</v>
      </c>
      <c r="AX54" s="20">
        <v>0</v>
      </c>
      <c r="AY54" s="20">
        <v>42</v>
      </c>
      <c r="AZ54" s="20">
        <v>18413</v>
      </c>
      <c r="BA54" s="20">
        <v>5071</v>
      </c>
      <c r="BB54" s="20">
        <v>0</v>
      </c>
      <c r="BC54" s="20">
        <v>0</v>
      </c>
      <c r="BD54" s="20">
        <v>0</v>
      </c>
      <c r="BE54" s="20">
        <v>0</v>
      </c>
    </row>
    <row r="55" spans="1:57" ht="41.4" x14ac:dyDescent="0.3">
      <c r="A55" s="18" t="s">
        <v>112</v>
      </c>
      <c r="B55" s="20">
        <v>1</v>
      </c>
      <c r="C55" s="20">
        <v>2</v>
      </c>
      <c r="D55" s="20">
        <v>0</v>
      </c>
      <c r="E55" s="20">
        <v>3</v>
      </c>
      <c r="F55" s="20">
        <v>197467</v>
      </c>
      <c r="G55" s="20">
        <v>0</v>
      </c>
      <c r="H55" s="20">
        <v>3</v>
      </c>
      <c r="I55" s="20">
        <v>5</v>
      </c>
      <c r="J55" s="20">
        <v>117381</v>
      </c>
      <c r="K55" s="20">
        <v>1</v>
      </c>
      <c r="L55" s="20">
        <v>1</v>
      </c>
      <c r="M55" s="20">
        <v>20228</v>
      </c>
      <c r="N55" s="20">
        <v>0</v>
      </c>
      <c r="O55" s="20">
        <v>1</v>
      </c>
      <c r="P55" s="20">
        <v>11</v>
      </c>
      <c r="Q55" s="20">
        <v>128181</v>
      </c>
      <c r="R55" s="20">
        <v>0</v>
      </c>
      <c r="S55" s="20">
        <v>0</v>
      </c>
      <c r="T55" s="20">
        <v>0</v>
      </c>
      <c r="U55" s="20">
        <v>0</v>
      </c>
      <c r="V55" s="20">
        <v>0</v>
      </c>
      <c r="W55" s="20">
        <v>48</v>
      </c>
      <c r="X55" s="20">
        <v>232574</v>
      </c>
      <c r="Y55" s="20">
        <v>0</v>
      </c>
      <c r="Z55" s="20">
        <v>0</v>
      </c>
      <c r="AA55" s="20">
        <v>0</v>
      </c>
      <c r="AB55" s="20">
        <v>0</v>
      </c>
      <c r="AC55" s="20">
        <v>5</v>
      </c>
      <c r="AD55" s="20">
        <v>66</v>
      </c>
      <c r="AE55" s="20">
        <v>562723</v>
      </c>
      <c r="AF55" s="20">
        <v>1</v>
      </c>
      <c r="AG55" s="20">
        <v>4</v>
      </c>
      <c r="AH55" s="20">
        <v>217695</v>
      </c>
      <c r="AI55" s="20">
        <v>0</v>
      </c>
      <c r="AJ55" s="20">
        <v>0</v>
      </c>
      <c r="AK55" s="20">
        <v>0</v>
      </c>
      <c r="AL55" s="20">
        <v>0</v>
      </c>
      <c r="AM55" s="20">
        <v>0</v>
      </c>
      <c r="AN55" s="20">
        <v>0</v>
      </c>
      <c r="AO55" s="20"/>
      <c r="AP55" s="20"/>
      <c r="AQ55" s="20"/>
      <c r="AR55" s="20">
        <v>0</v>
      </c>
      <c r="AS55" s="20">
        <v>0</v>
      </c>
      <c r="AT55" s="20">
        <v>0</v>
      </c>
      <c r="AU55" s="20">
        <v>0</v>
      </c>
      <c r="AV55" s="20">
        <v>0</v>
      </c>
      <c r="AW55" s="20">
        <v>0</v>
      </c>
      <c r="AX55" s="20">
        <v>0</v>
      </c>
      <c r="AY55" s="20">
        <v>71</v>
      </c>
      <c r="AZ55" s="20">
        <v>235972</v>
      </c>
      <c r="BA55" s="20">
        <v>53854</v>
      </c>
      <c r="BB55" s="20">
        <v>0</v>
      </c>
      <c r="BC55" s="20">
        <v>0</v>
      </c>
      <c r="BD55" s="20">
        <v>0</v>
      </c>
      <c r="BE55" s="20">
        <v>0</v>
      </c>
    </row>
    <row r="56" spans="1:57" x14ac:dyDescent="0.3">
      <c r="A56" s="18" t="s">
        <v>382</v>
      </c>
      <c r="B56" s="20">
        <v>0</v>
      </c>
      <c r="C56" s="20">
        <v>2</v>
      </c>
      <c r="D56" s="20">
        <v>0</v>
      </c>
      <c r="E56" s="20">
        <v>0</v>
      </c>
      <c r="F56" s="20">
        <v>0</v>
      </c>
      <c r="G56" s="20">
        <v>0</v>
      </c>
      <c r="H56" s="20">
        <v>0</v>
      </c>
      <c r="I56" s="20">
        <v>4</v>
      </c>
      <c r="J56" s="20">
        <v>3900000</v>
      </c>
      <c r="K56" s="20">
        <v>0</v>
      </c>
      <c r="L56" s="20">
        <v>0</v>
      </c>
      <c r="M56" s="20">
        <v>0</v>
      </c>
      <c r="N56" s="20">
        <v>0</v>
      </c>
      <c r="O56" s="20">
        <v>4</v>
      </c>
      <c r="P56" s="20">
        <v>6</v>
      </c>
      <c r="Q56" s="20">
        <v>3600000</v>
      </c>
      <c r="R56" s="20">
        <v>0</v>
      </c>
      <c r="S56" s="20">
        <v>0</v>
      </c>
      <c r="T56" s="20">
        <v>0</v>
      </c>
      <c r="U56" s="20">
        <v>0</v>
      </c>
      <c r="V56" s="20">
        <v>0</v>
      </c>
      <c r="W56" s="20">
        <v>30</v>
      </c>
      <c r="X56" s="20">
        <v>27000000</v>
      </c>
      <c r="Y56" s="20">
        <v>0</v>
      </c>
      <c r="Z56" s="20">
        <v>0</v>
      </c>
      <c r="AA56" s="20">
        <v>0</v>
      </c>
      <c r="AB56" s="20">
        <v>0</v>
      </c>
      <c r="AC56" s="20">
        <v>4</v>
      </c>
      <c r="AD56" s="20">
        <v>42</v>
      </c>
      <c r="AE56" s="20">
        <v>37620000</v>
      </c>
      <c r="AF56" s="20">
        <v>0</v>
      </c>
      <c r="AG56" s="20">
        <v>0</v>
      </c>
      <c r="AH56" s="20">
        <v>0</v>
      </c>
      <c r="AI56" s="20">
        <v>0</v>
      </c>
      <c r="AJ56" s="20">
        <v>4</v>
      </c>
      <c r="AK56" s="20">
        <v>12</v>
      </c>
      <c r="AL56" s="20">
        <v>0</v>
      </c>
      <c r="AM56" s="20">
        <v>0</v>
      </c>
      <c r="AN56" s="20">
        <v>0</v>
      </c>
      <c r="AO56" s="20"/>
      <c r="AP56" s="20"/>
      <c r="AQ56" s="20"/>
      <c r="AR56" s="20">
        <v>0</v>
      </c>
      <c r="AS56" s="20">
        <v>0</v>
      </c>
      <c r="AT56" s="20">
        <v>30</v>
      </c>
      <c r="AU56" s="20">
        <v>0</v>
      </c>
      <c r="AV56" s="20">
        <v>0</v>
      </c>
      <c r="AW56" s="20">
        <v>0</v>
      </c>
      <c r="AX56" s="20">
        <v>0</v>
      </c>
      <c r="AY56" s="20">
        <v>0</v>
      </c>
      <c r="AZ56" s="20">
        <v>0</v>
      </c>
      <c r="BA56" s="20">
        <v>0</v>
      </c>
      <c r="BB56" s="20">
        <v>0</v>
      </c>
      <c r="BC56" s="20">
        <v>0</v>
      </c>
      <c r="BD56" s="20">
        <v>0</v>
      </c>
      <c r="BE56" s="20">
        <v>0</v>
      </c>
    </row>
    <row r="57" spans="1:57" x14ac:dyDescent="0.3">
      <c r="A57" s="18" t="s">
        <v>220</v>
      </c>
      <c r="B57" s="20">
        <v>0</v>
      </c>
      <c r="C57" s="20">
        <v>0</v>
      </c>
      <c r="D57" s="20">
        <v>0</v>
      </c>
      <c r="E57" s="20">
        <v>0</v>
      </c>
      <c r="F57" s="20">
        <v>0</v>
      </c>
      <c r="G57" s="20">
        <v>0</v>
      </c>
      <c r="H57" s="20">
        <v>0</v>
      </c>
      <c r="I57" s="20">
        <v>0</v>
      </c>
      <c r="J57" s="20">
        <v>0</v>
      </c>
      <c r="K57" s="20">
        <v>0</v>
      </c>
      <c r="L57" s="20">
        <v>0</v>
      </c>
      <c r="M57" s="20">
        <v>0</v>
      </c>
      <c r="N57" s="20">
        <v>0</v>
      </c>
      <c r="O57" s="20">
        <v>0</v>
      </c>
      <c r="P57" s="20">
        <v>0</v>
      </c>
      <c r="Q57" s="20">
        <v>0</v>
      </c>
      <c r="R57" s="20">
        <v>0</v>
      </c>
      <c r="S57" s="20">
        <v>0</v>
      </c>
      <c r="T57" s="20">
        <v>0</v>
      </c>
      <c r="U57" s="20">
        <v>0</v>
      </c>
      <c r="V57" s="20">
        <v>0</v>
      </c>
      <c r="W57" s="20">
        <v>0</v>
      </c>
      <c r="X57" s="20">
        <v>0</v>
      </c>
      <c r="Y57" s="20">
        <v>0</v>
      </c>
      <c r="Z57" s="20">
        <v>0</v>
      </c>
      <c r="AA57" s="20">
        <v>0</v>
      </c>
      <c r="AB57" s="20">
        <v>0</v>
      </c>
      <c r="AC57" s="20">
        <v>0</v>
      </c>
      <c r="AD57" s="20">
        <v>0</v>
      </c>
      <c r="AE57" s="20">
        <v>0</v>
      </c>
      <c r="AF57" s="20">
        <v>0</v>
      </c>
      <c r="AG57" s="20">
        <v>0</v>
      </c>
      <c r="AH57" s="20">
        <v>0</v>
      </c>
      <c r="AI57" s="20">
        <v>0</v>
      </c>
      <c r="AJ57" s="20">
        <v>0</v>
      </c>
      <c r="AK57" s="20">
        <v>0</v>
      </c>
      <c r="AL57" s="20">
        <v>0</v>
      </c>
      <c r="AM57" s="20">
        <v>0</v>
      </c>
      <c r="AN57" s="20">
        <v>0</v>
      </c>
      <c r="AO57" s="20"/>
      <c r="AP57" s="20"/>
      <c r="AQ57" s="20"/>
      <c r="AR57" s="20">
        <v>0</v>
      </c>
      <c r="AS57" s="20">
        <v>0</v>
      </c>
      <c r="AT57" s="20">
        <v>0</v>
      </c>
      <c r="AU57" s="20">
        <v>0</v>
      </c>
      <c r="AV57" s="20">
        <v>0</v>
      </c>
      <c r="AW57" s="20">
        <v>0</v>
      </c>
      <c r="AX57" s="20">
        <v>0</v>
      </c>
      <c r="AY57" s="20">
        <v>0</v>
      </c>
      <c r="AZ57" s="20">
        <v>0</v>
      </c>
      <c r="BA57" s="20">
        <v>0</v>
      </c>
      <c r="BB57" s="20">
        <v>0</v>
      </c>
      <c r="BC57" s="20">
        <v>0</v>
      </c>
      <c r="BD57" s="20">
        <v>0</v>
      </c>
      <c r="BE57" s="20">
        <v>0</v>
      </c>
    </row>
    <row r="58" spans="1:57" x14ac:dyDescent="0.3">
      <c r="A58" s="18" t="s">
        <v>265</v>
      </c>
      <c r="B58" s="20">
        <v>0</v>
      </c>
      <c r="C58" s="20">
        <v>1</v>
      </c>
      <c r="D58" s="20">
        <v>0</v>
      </c>
      <c r="E58" s="20">
        <v>1</v>
      </c>
      <c r="F58" s="20">
        <v>12631584</v>
      </c>
      <c r="G58" s="20">
        <v>0</v>
      </c>
      <c r="H58" s="20">
        <v>0</v>
      </c>
      <c r="I58" s="20">
        <v>0</v>
      </c>
      <c r="J58" s="20">
        <v>0</v>
      </c>
      <c r="K58" s="20">
        <v>0</v>
      </c>
      <c r="L58" s="20">
        <v>0</v>
      </c>
      <c r="M58" s="20">
        <v>0</v>
      </c>
      <c r="N58" s="20">
        <v>0</v>
      </c>
      <c r="O58" s="20">
        <v>1</v>
      </c>
      <c r="P58" s="20">
        <v>5</v>
      </c>
      <c r="Q58" s="20">
        <v>13705236</v>
      </c>
      <c r="R58" s="20">
        <v>0</v>
      </c>
      <c r="S58" s="20">
        <v>18</v>
      </c>
      <c r="T58" s="20">
        <v>52103727</v>
      </c>
      <c r="U58" s="20">
        <v>0</v>
      </c>
      <c r="V58" s="20">
        <v>0</v>
      </c>
      <c r="W58" s="20">
        <v>89</v>
      </c>
      <c r="X58" s="20">
        <v>153724514</v>
      </c>
      <c r="Y58" s="20">
        <v>0</v>
      </c>
      <c r="Z58" s="20">
        <v>0</v>
      </c>
      <c r="AA58" s="20">
        <v>0</v>
      </c>
      <c r="AB58" s="20">
        <v>0</v>
      </c>
      <c r="AC58" s="20">
        <v>1</v>
      </c>
      <c r="AD58" s="20">
        <v>95</v>
      </c>
      <c r="AE58" s="20">
        <v>172482386</v>
      </c>
      <c r="AF58" s="20">
        <v>0</v>
      </c>
      <c r="AG58" s="20">
        <v>19</v>
      </c>
      <c r="AH58" s="20">
        <v>64735311</v>
      </c>
      <c r="AI58" s="20">
        <v>0</v>
      </c>
      <c r="AJ58" s="20">
        <v>0</v>
      </c>
      <c r="AK58" s="20">
        <v>0</v>
      </c>
      <c r="AL58" s="20">
        <v>0</v>
      </c>
      <c r="AM58" s="20">
        <v>0</v>
      </c>
      <c r="AN58" s="20">
        <v>0</v>
      </c>
      <c r="AO58" s="20"/>
      <c r="AP58" s="20"/>
      <c r="AQ58" s="20"/>
      <c r="AR58" s="20">
        <v>0</v>
      </c>
      <c r="AS58" s="20">
        <v>0</v>
      </c>
      <c r="AT58" s="20">
        <v>0</v>
      </c>
      <c r="AU58" s="20">
        <v>0</v>
      </c>
      <c r="AV58" s="20">
        <v>0</v>
      </c>
      <c r="AW58" s="20">
        <v>0</v>
      </c>
      <c r="AX58" s="20">
        <v>0</v>
      </c>
      <c r="AY58" s="20">
        <v>0</v>
      </c>
      <c r="AZ58" s="20">
        <v>0</v>
      </c>
      <c r="BA58" s="20">
        <v>0</v>
      </c>
      <c r="BB58" s="20">
        <v>0</v>
      </c>
      <c r="BC58" s="20">
        <v>0</v>
      </c>
      <c r="BD58" s="20">
        <v>0</v>
      </c>
      <c r="BE58" s="20">
        <v>0</v>
      </c>
    </row>
    <row r="59" spans="1:57" x14ac:dyDescent="0.3">
      <c r="A59" s="18" t="s">
        <v>260</v>
      </c>
      <c r="B59" s="20">
        <v>0</v>
      </c>
      <c r="C59" s="20">
        <v>4</v>
      </c>
      <c r="D59" s="20">
        <v>0</v>
      </c>
      <c r="E59" s="20">
        <v>0</v>
      </c>
      <c r="F59" s="20">
        <v>0</v>
      </c>
      <c r="G59" s="20">
        <v>0</v>
      </c>
      <c r="H59" s="20">
        <v>0</v>
      </c>
      <c r="I59" s="20">
        <v>6</v>
      </c>
      <c r="J59" s="20">
        <v>36923</v>
      </c>
      <c r="K59" s="20">
        <v>0</v>
      </c>
      <c r="L59" s="20">
        <v>0</v>
      </c>
      <c r="M59" s="20">
        <v>0</v>
      </c>
      <c r="N59" s="20">
        <v>0</v>
      </c>
      <c r="O59" s="20">
        <v>0</v>
      </c>
      <c r="P59" s="20">
        <v>0</v>
      </c>
      <c r="Q59" s="20">
        <v>0</v>
      </c>
      <c r="R59" s="20">
        <v>0</v>
      </c>
      <c r="S59" s="20">
        <v>0</v>
      </c>
      <c r="T59" s="20">
        <v>0</v>
      </c>
      <c r="U59" s="20">
        <v>0</v>
      </c>
      <c r="V59" s="20">
        <v>2</v>
      </c>
      <c r="W59" s="20">
        <v>82</v>
      </c>
      <c r="X59" s="20">
        <v>258936</v>
      </c>
      <c r="Y59" s="20">
        <v>0</v>
      </c>
      <c r="Z59" s="20">
        <v>0</v>
      </c>
      <c r="AA59" s="20">
        <v>0</v>
      </c>
      <c r="AB59" s="20">
        <v>0</v>
      </c>
      <c r="AC59" s="20">
        <v>2</v>
      </c>
      <c r="AD59" s="20">
        <v>82</v>
      </c>
      <c r="AE59" s="20">
        <v>258936</v>
      </c>
      <c r="AF59" s="20">
        <v>0</v>
      </c>
      <c r="AG59" s="20">
        <v>0</v>
      </c>
      <c r="AH59" s="20">
        <v>0</v>
      </c>
      <c r="AI59" s="20">
        <v>0</v>
      </c>
      <c r="AJ59" s="20">
        <v>1</v>
      </c>
      <c r="AK59" s="20">
        <v>82</v>
      </c>
      <c r="AL59" s="20">
        <v>0</v>
      </c>
      <c r="AM59" s="20">
        <v>0</v>
      </c>
      <c r="AN59" s="20">
        <v>0</v>
      </c>
      <c r="AO59" s="20"/>
      <c r="AP59" s="20"/>
      <c r="AQ59" s="20"/>
      <c r="AR59" s="20">
        <v>0</v>
      </c>
      <c r="AS59" s="20">
        <v>1</v>
      </c>
      <c r="AT59" s="20">
        <v>0</v>
      </c>
      <c r="AU59" s="20">
        <v>0</v>
      </c>
      <c r="AV59" s="20">
        <v>0</v>
      </c>
      <c r="AW59" s="20">
        <v>0</v>
      </c>
      <c r="AX59" s="20">
        <v>0</v>
      </c>
      <c r="AY59" s="20">
        <v>0</v>
      </c>
      <c r="AZ59" s="20">
        <v>0</v>
      </c>
      <c r="BA59" s="20">
        <v>0</v>
      </c>
      <c r="BB59" s="20">
        <v>0</v>
      </c>
      <c r="BC59" s="20">
        <v>0</v>
      </c>
      <c r="BD59" s="20">
        <v>0</v>
      </c>
      <c r="BE59" s="20">
        <v>0</v>
      </c>
    </row>
    <row r="60" spans="1:57" x14ac:dyDescent="0.3">
      <c r="A60" s="18" t="s">
        <v>264</v>
      </c>
      <c r="B60" s="20">
        <v>1</v>
      </c>
      <c r="C60" s="20">
        <v>2</v>
      </c>
      <c r="D60" s="20">
        <v>0</v>
      </c>
      <c r="E60" s="20">
        <v>0</v>
      </c>
      <c r="F60" s="20">
        <v>0</v>
      </c>
      <c r="G60" s="20">
        <v>0</v>
      </c>
      <c r="H60" s="20">
        <v>3</v>
      </c>
      <c r="I60" s="20">
        <v>6</v>
      </c>
      <c r="J60" s="20">
        <v>37125</v>
      </c>
      <c r="K60" s="20">
        <v>0</v>
      </c>
      <c r="L60" s="20">
        <v>0</v>
      </c>
      <c r="M60" s="20">
        <v>0</v>
      </c>
      <c r="N60" s="20">
        <v>0</v>
      </c>
      <c r="O60" s="20">
        <v>1</v>
      </c>
      <c r="P60" s="20">
        <v>33</v>
      </c>
      <c r="Q60" s="20">
        <v>70433</v>
      </c>
      <c r="R60" s="20">
        <v>0</v>
      </c>
      <c r="S60" s="20">
        <v>0</v>
      </c>
      <c r="T60" s="20">
        <v>3</v>
      </c>
      <c r="U60" s="20">
        <v>3504</v>
      </c>
      <c r="V60" s="20">
        <v>0</v>
      </c>
      <c r="W60" s="20">
        <v>74</v>
      </c>
      <c r="X60" s="20">
        <v>30304</v>
      </c>
      <c r="Y60" s="20">
        <v>0</v>
      </c>
      <c r="Z60" s="20">
        <v>0</v>
      </c>
      <c r="AA60" s="20">
        <v>0</v>
      </c>
      <c r="AB60" s="20">
        <v>0</v>
      </c>
      <c r="AC60" s="20">
        <v>5</v>
      </c>
      <c r="AD60" s="20">
        <v>115</v>
      </c>
      <c r="AE60" s="20">
        <v>233451</v>
      </c>
      <c r="AF60" s="20">
        <v>0</v>
      </c>
      <c r="AG60" s="20">
        <v>0</v>
      </c>
      <c r="AH60" s="20">
        <v>3</v>
      </c>
      <c r="AI60" s="20">
        <v>3504</v>
      </c>
      <c r="AJ60" s="20">
        <v>5</v>
      </c>
      <c r="AK60" s="20">
        <v>41</v>
      </c>
      <c r="AL60" s="20">
        <v>203146</v>
      </c>
      <c r="AM60" s="20">
        <v>0</v>
      </c>
      <c r="AN60" s="20">
        <v>0</v>
      </c>
      <c r="AO60" s="20"/>
      <c r="AP60" s="20"/>
      <c r="AQ60" s="20"/>
      <c r="AR60" s="20">
        <v>0</v>
      </c>
      <c r="AS60" s="20">
        <v>0</v>
      </c>
      <c r="AT60" s="20">
        <v>74</v>
      </c>
      <c r="AU60" s="20">
        <v>30304</v>
      </c>
      <c r="AV60" s="20">
        <v>0</v>
      </c>
      <c r="AW60" s="20">
        <v>0</v>
      </c>
      <c r="AX60" s="20">
        <v>0</v>
      </c>
      <c r="AY60" s="20">
        <v>0</v>
      </c>
      <c r="AZ60" s="20">
        <v>0</v>
      </c>
      <c r="BA60" s="20">
        <v>21487</v>
      </c>
      <c r="BB60" s="20">
        <v>0</v>
      </c>
      <c r="BC60" s="20">
        <v>0</v>
      </c>
      <c r="BD60" s="20">
        <v>0</v>
      </c>
      <c r="BE60" s="20">
        <v>0</v>
      </c>
    </row>
    <row r="61" spans="1:57" x14ac:dyDescent="0.3">
      <c r="A61" s="18" t="s">
        <v>254</v>
      </c>
      <c r="B61" s="20">
        <v>2</v>
      </c>
      <c r="C61" s="20">
        <v>3</v>
      </c>
      <c r="D61" s="20">
        <v>0</v>
      </c>
      <c r="E61" s="20">
        <v>0</v>
      </c>
      <c r="F61" s="20">
        <v>0</v>
      </c>
      <c r="G61" s="20">
        <v>228</v>
      </c>
      <c r="H61" s="20">
        <v>0</v>
      </c>
      <c r="I61" s="20">
        <v>0</v>
      </c>
      <c r="J61" s="20">
        <v>0</v>
      </c>
      <c r="K61" s="20">
        <v>0</v>
      </c>
      <c r="L61" s="20">
        <v>0</v>
      </c>
      <c r="M61" s="20">
        <v>0</v>
      </c>
      <c r="N61" s="20">
        <v>0</v>
      </c>
      <c r="O61" s="20">
        <v>0</v>
      </c>
      <c r="P61" s="20">
        <v>0</v>
      </c>
      <c r="Q61" s="20">
        <v>0</v>
      </c>
      <c r="R61" s="20">
        <v>0</v>
      </c>
      <c r="S61" s="20">
        <v>0</v>
      </c>
      <c r="T61" s="20">
        <v>0</v>
      </c>
      <c r="U61" s="20">
        <v>0</v>
      </c>
      <c r="V61" s="20">
        <v>0</v>
      </c>
      <c r="W61" s="20">
        <v>5</v>
      </c>
      <c r="X61" s="20">
        <v>13190</v>
      </c>
      <c r="Y61" s="20">
        <v>0</v>
      </c>
      <c r="Z61" s="20">
        <v>0</v>
      </c>
      <c r="AA61" s="20">
        <v>0</v>
      </c>
      <c r="AB61" s="20">
        <v>228</v>
      </c>
      <c r="AC61" s="20">
        <v>2</v>
      </c>
      <c r="AD61" s="20">
        <v>8</v>
      </c>
      <c r="AE61" s="20">
        <v>78242</v>
      </c>
      <c r="AF61" s="20">
        <v>0</v>
      </c>
      <c r="AG61" s="20">
        <v>0</v>
      </c>
      <c r="AH61" s="20">
        <v>0</v>
      </c>
      <c r="AI61" s="20">
        <v>456</v>
      </c>
      <c r="AJ61" s="20">
        <v>2</v>
      </c>
      <c r="AK61" s="20">
        <v>8</v>
      </c>
      <c r="AL61" s="20">
        <v>78242</v>
      </c>
      <c r="AM61" s="20">
        <v>0</v>
      </c>
      <c r="AN61" s="20">
        <v>0</v>
      </c>
      <c r="AO61" s="20"/>
      <c r="AP61" s="20"/>
      <c r="AQ61" s="20"/>
      <c r="AR61" s="20">
        <v>0</v>
      </c>
      <c r="AS61" s="20">
        <v>0</v>
      </c>
      <c r="AT61" s="20">
        <v>0</v>
      </c>
      <c r="AU61" s="20">
        <v>0</v>
      </c>
      <c r="AV61" s="20">
        <v>0</v>
      </c>
      <c r="AW61" s="20">
        <v>0</v>
      </c>
      <c r="AX61" s="20">
        <v>0</v>
      </c>
      <c r="AY61" s="20">
        <v>0</v>
      </c>
      <c r="AZ61" s="20">
        <v>0</v>
      </c>
      <c r="BA61" s="20">
        <v>8920</v>
      </c>
      <c r="BB61" s="20">
        <v>0</v>
      </c>
      <c r="BC61" s="20">
        <v>0</v>
      </c>
      <c r="BD61" s="20">
        <v>0</v>
      </c>
      <c r="BE61" s="20">
        <v>0</v>
      </c>
    </row>
    <row r="62" spans="1:57" x14ac:dyDescent="0.3">
      <c r="B62" s="5">
        <f t="shared" ref="B62:AG62" si="0">SUM(B2:B61)</f>
        <v>79</v>
      </c>
      <c r="C62" s="5">
        <f t="shared" si="0"/>
        <v>490</v>
      </c>
      <c r="D62" s="5">
        <f t="shared" si="0"/>
        <v>15</v>
      </c>
      <c r="E62" s="5">
        <f t="shared" si="0"/>
        <v>187</v>
      </c>
      <c r="F62" s="5">
        <f t="shared" si="0"/>
        <v>50901413</v>
      </c>
      <c r="G62" s="5">
        <f t="shared" si="0"/>
        <v>38480</v>
      </c>
      <c r="H62" s="5">
        <f t="shared" si="0"/>
        <v>182</v>
      </c>
      <c r="I62" s="5">
        <f t="shared" si="0"/>
        <v>970</v>
      </c>
      <c r="J62" s="5">
        <f t="shared" si="0"/>
        <v>165235389</v>
      </c>
      <c r="K62" s="5">
        <f t="shared" si="0"/>
        <v>5</v>
      </c>
      <c r="L62" s="5">
        <f t="shared" si="0"/>
        <v>165</v>
      </c>
      <c r="M62" s="5">
        <f t="shared" si="0"/>
        <v>44653819</v>
      </c>
      <c r="N62" s="5">
        <f t="shared" si="0"/>
        <v>1869</v>
      </c>
      <c r="O62" s="5">
        <f t="shared" si="0"/>
        <v>263</v>
      </c>
      <c r="P62" s="5">
        <f t="shared" si="0"/>
        <v>3304</v>
      </c>
      <c r="Q62" s="5">
        <f t="shared" si="0"/>
        <v>1369997342</v>
      </c>
      <c r="R62" s="5">
        <f t="shared" si="0"/>
        <v>0</v>
      </c>
      <c r="S62" s="5">
        <f t="shared" si="0"/>
        <v>58</v>
      </c>
      <c r="T62" s="5">
        <f t="shared" si="0"/>
        <v>52263871</v>
      </c>
      <c r="U62" s="5">
        <f t="shared" si="0"/>
        <v>7579</v>
      </c>
      <c r="V62" s="5">
        <f t="shared" si="0"/>
        <v>321</v>
      </c>
      <c r="W62" s="5">
        <f t="shared" si="0"/>
        <v>5532</v>
      </c>
      <c r="X62" s="5">
        <f t="shared" si="0"/>
        <v>470621364</v>
      </c>
      <c r="Y62" s="5">
        <f t="shared" si="0"/>
        <v>0</v>
      </c>
      <c r="Z62" s="5">
        <f t="shared" si="0"/>
        <v>9</v>
      </c>
      <c r="AA62" s="5">
        <f t="shared" si="0"/>
        <v>16421</v>
      </c>
      <c r="AB62" s="5">
        <f t="shared" si="0"/>
        <v>1821</v>
      </c>
      <c r="AC62" s="5">
        <f t="shared" si="0"/>
        <v>841</v>
      </c>
      <c r="AD62" s="5">
        <f t="shared" si="0"/>
        <v>10136</v>
      </c>
      <c r="AE62" s="5">
        <f t="shared" si="0"/>
        <v>2485465163</v>
      </c>
      <c r="AF62" s="5">
        <f t="shared" si="0"/>
        <v>20</v>
      </c>
      <c r="AG62" s="5">
        <f t="shared" si="0"/>
        <v>412</v>
      </c>
      <c r="AH62" s="5">
        <f t="shared" ref="AH62:BE62" si="1">SUM(AH2:AH61)</f>
        <v>139340780</v>
      </c>
      <c r="AI62" s="5">
        <f t="shared" si="1"/>
        <v>49472</v>
      </c>
      <c r="AJ62" s="5">
        <f t="shared" si="1"/>
        <v>441</v>
      </c>
      <c r="AK62" s="5">
        <f t="shared" si="1"/>
        <v>4607</v>
      </c>
      <c r="AL62" s="5">
        <f t="shared" si="1"/>
        <v>323195138</v>
      </c>
      <c r="AM62" s="5">
        <f t="shared" si="1"/>
        <v>12</v>
      </c>
      <c r="AN62" s="5">
        <f t="shared" si="1"/>
        <v>130</v>
      </c>
      <c r="AR62" s="5">
        <f t="shared" si="1"/>
        <v>0</v>
      </c>
      <c r="AS62" s="5">
        <f t="shared" si="1"/>
        <v>785</v>
      </c>
      <c r="AT62" s="5">
        <f t="shared" si="1"/>
        <v>4379</v>
      </c>
      <c r="AU62" s="5">
        <f t="shared" si="1"/>
        <v>2307460</v>
      </c>
      <c r="AV62" s="5">
        <f t="shared" si="1"/>
        <v>0</v>
      </c>
      <c r="AW62" s="5">
        <f t="shared" si="1"/>
        <v>9</v>
      </c>
      <c r="AX62" s="5">
        <f t="shared" si="1"/>
        <v>0</v>
      </c>
      <c r="AY62" s="5">
        <f t="shared" si="1"/>
        <v>2560</v>
      </c>
      <c r="AZ62" s="5">
        <f t="shared" si="1"/>
        <v>275165164</v>
      </c>
      <c r="BA62" s="5">
        <f t="shared" si="1"/>
        <v>843082109</v>
      </c>
      <c r="BB62" s="5">
        <f t="shared" si="1"/>
        <v>150</v>
      </c>
      <c r="BC62" s="5">
        <f t="shared" si="1"/>
        <v>1</v>
      </c>
      <c r="BD62" s="5">
        <f t="shared" si="1"/>
        <v>0</v>
      </c>
      <c r="BE62" s="5">
        <f t="shared" si="1"/>
        <v>110</v>
      </c>
    </row>
  </sheetData>
  <autoFilter ref="A1:BE6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13</vt:i4>
      </vt:variant>
    </vt:vector>
  </HeadingPairs>
  <TitlesOfParts>
    <vt:vector size="13" baseType="lpstr">
      <vt:lpstr>Requete_INFOTITREMINIER</vt:lpstr>
      <vt:lpstr>SONDAGE Exploratio</vt:lpstr>
      <vt:lpstr>SONDAGE EXPLORATION</vt:lpstr>
      <vt:lpstr>Requete_EXPLOITATION</vt:lpstr>
      <vt:lpstr>Requete_PRODUCTION TRANSFORME</vt:lpstr>
      <vt:lpstr>Requete_PRODUCTION CIMICS</vt:lpstr>
      <vt:lpstr>Requete_PRODUCTIONELECTRICI</vt:lpstr>
      <vt:lpstr>Requete_EXPORTATION</vt:lpstr>
      <vt:lpstr>Requete_CHARGES</vt:lpstr>
      <vt:lpstr>Requete_Depenses</vt:lpstr>
      <vt:lpstr>Requete_MAINSDOEUVRE OK</vt:lpstr>
      <vt:lpstr>Requete_RSE</vt:lpstr>
      <vt:lpstr>Requete_maindoeuvre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Fallou DIONE</dc:creator>
  <cp:lastModifiedBy>Fallou DIONE</cp:lastModifiedBy>
  <dcterms:created xsi:type="dcterms:W3CDTF">2024-10-01T21:07:08Z</dcterms:created>
  <dcterms:modified xsi:type="dcterms:W3CDTF">2025-12-13T17:08:49Z</dcterms:modified>
</cp:coreProperties>
</file>