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showInkAnnotation="0" codeName="ThisWorkbook" autoCompressPictures="0"/>
  <mc:AlternateContent xmlns:mc="http://schemas.openxmlformats.org/markup-compatibility/2006">
    <mc:Choice Requires="x15">
      <x15ac:absPath xmlns:x15ac="http://schemas.microsoft.com/office/spreadsheetml/2010/11/ac" url="https://extractives.sharepoint.com/sites/Data/Shared Documents/Summary data/Senegal/"/>
    </mc:Choice>
  </mc:AlternateContent>
  <xr:revisionPtr revIDLastSave="3" documentId="13_ncr:1_{CF75B8A7-57EF-492B-8AAC-9E5AF6865C64}" xr6:coauthVersionLast="47" xr6:coauthVersionMax="47" xr10:uidLastSave="{A6378E29-7496-409E-A339-78129575992F}"/>
  <bookViews>
    <workbookView xWindow="-110" yWindow="-110" windowWidth="19420" windowHeight="10300" tabRatio="500" activeTab="2" xr2:uid="{00000000-000D-0000-FFFF-FFFF00000000}"/>
  </bookViews>
  <sheets>
    <sheet name="Introduction" sheetId="6" r:id="rId1"/>
    <sheet name="1. About" sheetId="2" r:id="rId2"/>
    <sheet name="2. Contextual" sheetId="3" r:id="rId3"/>
    <sheet name="3. Revenues" sheetId="10" r:id="rId4"/>
    <sheet name="Changelog" sheetId="11" state="hidden" r:id="rId5"/>
  </sheets>
  <definedNames>
    <definedName name="_xlnm.Print_Area" localSheetId="1">'1. About'!$A$1:$F$29</definedName>
    <definedName name="_xlnm.Print_Area" localSheetId="2">'2. Contextual'!$A$1:$H$97</definedName>
    <definedName name="_xlnm.Print_Area" localSheetId="3">'3. Revenues'!$A$1:$AG$72</definedName>
    <definedName name="_xlnm.Print_Area" localSheetId="0">Introduction!$A$1:$G$22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<sst xmlns="http://schemas.openxmlformats.org/spreadsheetml/2006/main" count="722" uniqueCount="426">
  <si>
    <t>Other revenue</t>
  </si>
  <si>
    <t>Commodities</t>
  </si>
  <si>
    <t>Name of revenue stream in country</t>
  </si>
  <si>
    <t>Subtotals</t>
  </si>
  <si>
    <t>Legal name</t>
  </si>
  <si>
    <t>Identification #</t>
  </si>
  <si>
    <t>Start Date</t>
  </si>
  <si>
    <t>End Date</t>
  </si>
  <si>
    <t>Oil</t>
  </si>
  <si>
    <t>Gas</t>
  </si>
  <si>
    <t>Mining</t>
  </si>
  <si>
    <t>Other</t>
  </si>
  <si>
    <t>Other file, link</t>
  </si>
  <si>
    <t>By Revenue Stream</t>
  </si>
  <si>
    <t>By Company</t>
  </si>
  <si>
    <t>Entry</t>
  </si>
  <si>
    <t>Contextual information</t>
  </si>
  <si>
    <t>Information about awarding and transfer of licences</t>
  </si>
  <si>
    <t>Add rows as necessary to add other sectors</t>
  </si>
  <si>
    <t>PDF</t>
  </si>
  <si>
    <t>If multiple files, add rows as necessary.</t>
  </si>
  <si>
    <t xml:space="preserve">   Part 2 addresses availability of contextual data, in line with requirements 3 and 4</t>
  </si>
  <si>
    <t>Fields marked in orange are required.</t>
  </si>
  <si>
    <t>Fields marked in yellow are optional.</t>
  </si>
  <si>
    <t>By Project</t>
  </si>
  <si>
    <t>Country</t>
  </si>
  <si>
    <t>Fiscal Year Covered in the Report</t>
  </si>
  <si>
    <t>Independent Administrator</t>
  </si>
  <si>
    <t>Date that the EITI Report was published (i.e., made publically available)</t>
  </si>
  <si>
    <t xml:space="preserve">Sectors Covered </t>
  </si>
  <si>
    <t>Web links to EITI Report, on the national EITI website</t>
  </si>
  <si>
    <t>The data will be used to populate the global EITI data repository, available on the international EITI website.</t>
  </si>
  <si>
    <t>The form has 3 parts (worksheets):</t>
  </si>
  <si>
    <t xml:space="preserve"> </t>
  </si>
  <si>
    <t>Entry. If yes, provide a reference to the relevant section in the EITI Report.</t>
  </si>
  <si>
    <t>Included in EITI Report</t>
  </si>
  <si>
    <t>Number of reporting government entities</t>
  </si>
  <si>
    <t>Number of reporting companies</t>
  </si>
  <si>
    <t>If no, provide a brief explanation.</t>
  </si>
  <si>
    <t>Publicly available registry of beneficial ownership</t>
  </si>
  <si>
    <t>Reporting currency</t>
  </si>
  <si>
    <t>11E</t>
  </si>
  <si>
    <t>Taxes</t>
  </si>
  <si>
    <t>111E</t>
  </si>
  <si>
    <t>Taxes on income, profits and capital gains</t>
  </si>
  <si>
    <t>1112E1</t>
  </si>
  <si>
    <t xml:space="preserve">   Ordinary taxes on income, profits and capital gains</t>
  </si>
  <si>
    <t>1112E2</t>
  </si>
  <si>
    <t xml:space="preserve">   Extraordinary taxes on income, profits and capital gains</t>
  </si>
  <si>
    <t>112E</t>
  </si>
  <si>
    <t>Taxes on payroll and workforce</t>
  </si>
  <si>
    <t>113E</t>
  </si>
  <si>
    <t>Taxes on property</t>
  </si>
  <si>
    <t>114E</t>
  </si>
  <si>
    <t>Taxes on goods and services</t>
  </si>
  <si>
    <t>1141E</t>
  </si>
  <si>
    <t xml:space="preserve">   General taxes on goods and services (VAT, sales tax, turnover tax)</t>
  </si>
  <si>
    <t>1142E</t>
  </si>
  <si>
    <t xml:space="preserve">   Excise taxes</t>
  </si>
  <si>
    <t>1145E</t>
  </si>
  <si>
    <t xml:space="preserve">   Taxes on use of goods/permission to use goods or perform activities</t>
  </si>
  <si>
    <t>114521E</t>
  </si>
  <si>
    <t xml:space="preserve">      Licence fees</t>
  </si>
  <si>
    <t>114522E</t>
  </si>
  <si>
    <t xml:space="preserve">      Emission and pollution taxes</t>
  </si>
  <si>
    <t>11451E</t>
  </si>
  <si>
    <t xml:space="preserve">      Motor vehicle taxes</t>
  </si>
  <si>
    <t>115E</t>
  </si>
  <si>
    <t>Taxes on international trade and transactions</t>
  </si>
  <si>
    <t>1151E</t>
  </si>
  <si>
    <t xml:space="preserve">   Customs and other import duties</t>
  </si>
  <si>
    <t>1152E</t>
  </si>
  <si>
    <t xml:space="preserve">   Taxes on exports</t>
  </si>
  <si>
    <t>1153E1</t>
  </si>
  <si>
    <t xml:space="preserve">   Profits of natural resource export monopolies</t>
  </si>
  <si>
    <t>116E</t>
  </si>
  <si>
    <t>Other taxes payable by natural resource companies</t>
  </si>
  <si>
    <t>12E</t>
  </si>
  <si>
    <t>Social contributions</t>
  </si>
  <si>
    <t>1212E</t>
  </si>
  <si>
    <t>Social security employer contributions</t>
  </si>
  <si>
    <t>14E</t>
  </si>
  <si>
    <t>141E</t>
  </si>
  <si>
    <t>Property income</t>
  </si>
  <si>
    <t>1412E</t>
  </si>
  <si>
    <t xml:space="preserve">   Dividends</t>
  </si>
  <si>
    <t>1412E1</t>
  </si>
  <si>
    <t xml:space="preserve">      From state-owned enterprises</t>
  </si>
  <si>
    <t>1412E2</t>
  </si>
  <si>
    <t xml:space="preserve">      From government participation (equity)</t>
  </si>
  <si>
    <t>1413E</t>
  </si>
  <si>
    <t xml:space="preserve">   Withdrawals from income of quasi-corporations</t>
  </si>
  <si>
    <t>1415E</t>
  </si>
  <si>
    <t xml:space="preserve">   Rent</t>
  </si>
  <si>
    <t>1415E1</t>
  </si>
  <si>
    <t xml:space="preserve">      Royalties</t>
  </si>
  <si>
    <t>1415E2</t>
  </si>
  <si>
    <t xml:space="preserve">      Bonuses</t>
  </si>
  <si>
    <t xml:space="preserve">      Production entitlements (in-kind or cash)</t>
  </si>
  <si>
    <t>1415E31</t>
  </si>
  <si>
    <t xml:space="preserve">         Delivered/paid directly to government</t>
  </si>
  <si>
    <t>1415E32</t>
  </si>
  <si>
    <t xml:space="preserve">         Delivered/paid to state-owned enterprise(s)</t>
  </si>
  <si>
    <t>1415E4</t>
  </si>
  <si>
    <t>1415E5</t>
  </si>
  <si>
    <t>142E</t>
  </si>
  <si>
    <t>Sales of goods and services</t>
  </si>
  <si>
    <t>1421E</t>
  </si>
  <si>
    <t xml:space="preserve">   Sales of goods and services by government units</t>
  </si>
  <si>
    <t>1422E</t>
  </si>
  <si>
    <t xml:space="preserve">   Administrative fees for government services</t>
  </si>
  <si>
    <t>143E</t>
  </si>
  <si>
    <t>Fines, penalties, and forfeits</t>
  </si>
  <si>
    <t>144E1</t>
  </si>
  <si>
    <t>Voluntary transfers to government (donations)</t>
  </si>
  <si>
    <t>Government revenues from extractive companies, per revenue stream</t>
  </si>
  <si>
    <t>This worksheet covers (A) identification of whether a revenue stream is included in the EITI Report, (B) listing the revenue streams according to their corresponding classification,</t>
  </si>
  <si>
    <t>A. GFS classification of revenue streams</t>
  </si>
  <si>
    <t>C. Companies</t>
  </si>
  <si>
    <t xml:space="preserve">      Compulsory transfers to government (infrastructure and other)</t>
  </si>
  <si>
    <t xml:space="preserve">      Other rent payments</t>
  </si>
  <si>
    <t>E. Notes</t>
  </si>
  <si>
    <t>(C) listing the companies that are reporting, (D) recording the payments per revenue stream and company, and (E) any notes to explain the information provided.</t>
  </si>
  <si>
    <t>Enter companies included in the EITI Report. Add columns as necessary.</t>
  </si>
  <si>
    <t>About</t>
  </si>
  <si>
    <t xml:space="preserve">   Part 1 covers the basic characteristics about the report</t>
  </si>
  <si>
    <t>Template for Summary Data from the EITI Report</t>
  </si>
  <si>
    <t>Registry 2</t>
  </si>
  <si>
    <t>ISO currency code</t>
  </si>
  <si>
    <t>Publicly available registry of contracts</t>
  </si>
  <si>
    <t>&lt;name of the registry/not applicable&gt;</t>
  </si>
  <si>
    <t>Add/remove rows as necessary, per registry</t>
  </si>
  <si>
    <t>Add rows as necessary</t>
  </si>
  <si>
    <t>If yes, link to government's accounts, where revenues are recorded</t>
  </si>
  <si>
    <t>Name</t>
  </si>
  <si>
    <t>Email address</t>
  </si>
  <si>
    <t>Organisation</t>
  </si>
  <si>
    <t>Contact details to person who has completed this template</t>
  </si>
  <si>
    <t>Unit</t>
  </si>
  <si>
    <t>Modify entry in "unit" column if other than default.</t>
  </si>
  <si>
    <t>Oil, volume</t>
  </si>
  <si>
    <t>Gas, volume</t>
  </si>
  <si>
    <t>If incomplete or not available, provide an explanation</t>
  </si>
  <si>
    <t>Does the report address the government's policy on contract disclosure?</t>
  </si>
  <si>
    <t>Are contracts disclosed?</t>
  </si>
  <si>
    <t>Link to other financial reports, where revenues are recorded</t>
  </si>
  <si>
    <t>Add rows if necessary, per registry</t>
  </si>
  <si>
    <t>Does the report address the issue?</t>
  </si>
  <si>
    <t>Does the report address social expenditures?</t>
  </si>
  <si>
    <t>Total volume sold? (indicate unit, add rows as needed)</t>
  </si>
  <si>
    <t>Total revenue received?</t>
  </si>
  <si>
    <t>If yes, what was the total revenue received?</t>
  </si>
  <si>
    <t>Does the report address transportation revenues?</t>
  </si>
  <si>
    <t>Does the report address sub-national payments?</t>
  </si>
  <si>
    <t>Does the report address sub-national transfers?</t>
  </si>
  <si>
    <t>Name of receiving government agency</t>
  </si>
  <si>
    <t>TOTAL, reconciled</t>
  </si>
  <si>
    <t>Revenue, as disclosed by government</t>
  </si>
  <si>
    <t xml:space="preserve">TOTAL, disclosed by government </t>
  </si>
  <si>
    <t>Currency unit</t>
  </si>
  <si>
    <t>D. Reconciled revenue streams per company</t>
  </si>
  <si>
    <t>Changelog</t>
  </si>
  <si>
    <t>1.0</t>
  </si>
  <si>
    <t>Version</t>
  </si>
  <si>
    <t>Date</t>
  </si>
  <si>
    <t>Comment</t>
  </si>
  <si>
    <t>First published version.</t>
  </si>
  <si>
    <t>1.0a</t>
  </si>
  <si>
    <t>Minor corrections to bring English version of "Revenues - example Norway", to bring it in-line with changes to "3 Revenues"</t>
  </si>
  <si>
    <t>Comments</t>
  </si>
  <si>
    <t>Direct URL to source, or to section in EITI Report</t>
  </si>
  <si>
    <t>Add rows as necessary to add other disaggregations</t>
  </si>
  <si>
    <t xml:space="preserve">The International Secretariat can provide advice and support on request. Please contact </t>
  </si>
  <si>
    <t>1.1</t>
  </si>
  <si>
    <t>Suggested additions/changes in red boxes</t>
  </si>
  <si>
    <t>Suggested removals in red text</t>
  </si>
  <si>
    <t>Electronic data file (CSV, excel)</t>
  </si>
  <si>
    <t>B. Revenue streams (including non-reconciled)</t>
  </si>
  <si>
    <r>
      <t xml:space="preserve">Separating columns in </t>
    </r>
    <r>
      <rPr>
        <i/>
        <sz val="10"/>
        <color theme="1"/>
        <rFont val="Calibri"/>
        <family val="2"/>
        <scheme val="minor"/>
      </rPr>
      <t>3. Revenues</t>
    </r>
    <r>
      <rPr>
        <sz val="10"/>
        <color theme="1"/>
        <rFont val="Calibri"/>
        <family val="2"/>
        <scheme val="minor"/>
      </rPr>
      <t xml:space="preserve"> are removed</t>
    </r>
  </si>
  <si>
    <t>Gross Domestic Product - all sectors</t>
  </si>
  <si>
    <t>Government revenue - extractive industries</t>
  </si>
  <si>
    <t>Government revenue - all sectors</t>
  </si>
  <si>
    <t>Gross Domestic Product - extractive industries (Gross Value Added)</t>
  </si>
  <si>
    <t>Exports - extractive industries</t>
  </si>
  <si>
    <t>Exports - all sectors</t>
  </si>
  <si>
    <t>Are EI revenues recorded in the government accounts/budget?</t>
  </si>
  <si>
    <t>Indicate if revenue stream is "included and reconciled", "included and partially reconciled", "included and not reconciled", "not applicable" or "not included" in the EITI Report. If included, enter the revenue streams in the box titled "Revenue streams".
The letter E in the GFS codes means that these are the codes used for the revenues from extractive companies. The digits to the left of an E are actual GFS codes. The digits to the right of an E are subcategories created exclusively for revenues from extractive companies.</t>
  </si>
  <si>
    <t>Enter revenue streams included in EITI Report. If more than one revenue streams fall under the same GFS classification, copy the row and paste it as a new row. 
Only payments to governments from companies on their own behalf are to be included. Payments to governments from companies on behalf of their employees are to be excluded (for example, withheld personal income tax/PAYE, employee social security contributions). In the third column, enter total figure of each revenue stream as disclosed by government, including also revenues that were not reconciled.</t>
  </si>
  <si>
    <t>1.1a</t>
  </si>
  <si>
    <t>Suggested changes approved</t>
  </si>
  <si>
    <t>USD</t>
  </si>
  <si>
    <t>1415E3</t>
  </si>
  <si>
    <t>Sm3</t>
  </si>
  <si>
    <t>Sm3 o.e.</t>
  </si>
  <si>
    <t>Sector</t>
  </si>
  <si>
    <t>Gold</t>
  </si>
  <si>
    <t>Conversion rate utilised.  USD 1 =</t>
  </si>
  <si>
    <t>GFS codes</t>
  </si>
  <si>
    <t>GFS Descriptions</t>
  </si>
  <si>
    <t>data@eiti.org.</t>
  </si>
  <si>
    <t>Disaggregation of Data</t>
  </si>
  <si>
    <t>Gold, volume</t>
  </si>
  <si>
    <t>Oil, value</t>
  </si>
  <si>
    <t>Gas, value</t>
  </si>
  <si>
    <t>Gold, value</t>
  </si>
  <si>
    <t>Tonnes</t>
  </si>
  <si>
    <t>Included and reconciled</t>
  </si>
  <si>
    <t>Included not reconciled</t>
  </si>
  <si>
    <r>
      <t xml:space="preserve">Record figures as </t>
    </r>
    <r>
      <rPr>
        <b/>
        <i/>
        <sz val="10"/>
        <color theme="1"/>
        <rFont val="Calibri"/>
        <family val="2"/>
        <scheme val="minor"/>
      </rPr>
      <t>reported by government</t>
    </r>
    <r>
      <rPr>
        <i/>
        <sz val="10"/>
        <color theme="1"/>
        <rFont val="Calibri"/>
        <family val="2"/>
        <scheme val="minor"/>
      </rPr>
      <t>, corrected after reconcilation.</t>
    </r>
  </si>
  <si>
    <t>Link to open data policy</t>
  </si>
  <si>
    <t>Public register of licences, oil</t>
  </si>
  <si>
    <t>Public register of licences, mining</t>
  </si>
  <si>
    <t>Company identifier name/source</t>
  </si>
  <si>
    <t>Please include any additional information you wish to highlight regarding revenue data here.</t>
  </si>
  <si>
    <t>[1]</t>
  </si>
  <si>
    <t>Contribution of extractive industries to economy (3.4)</t>
  </si>
  <si>
    <t>Production volume and value (3.5.a)</t>
  </si>
  <si>
    <t>Export volume and value (3.5.b)</t>
  </si>
  <si>
    <t>Distribution of revenues from extractive industries (3.7.a)</t>
  </si>
  <si>
    <t>Register of licences (3.9)</t>
  </si>
  <si>
    <t>Allocation of licences (3.10)</t>
  </si>
  <si>
    <t>Beneficial ownership (3.11)</t>
  </si>
  <si>
    <t>Contracts (3.12)</t>
  </si>
  <si>
    <t>Sale of the state’s share of production or other sales collected in-kind (4.1.c)</t>
  </si>
  <si>
    <t>Infrastructure provisions and barter arrangements (4.1.d)?</t>
  </si>
  <si>
    <t>Social expenditures (4.1.e)</t>
  </si>
  <si>
    <t>Transportation revenues (4.1.f)</t>
  </si>
  <si>
    <t>Sub-national payments (4.2.d)?</t>
  </si>
  <si>
    <t>Sub-national transfers (4.2.e)?</t>
  </si>
  <si>
    <t>Version 1.1 as of 05 March 2015</t>
  </si>
  <si>
    <t>According to the EITI Standard §5.3.b:</t>
  </si>
  <si>
    <t>“Summary data from each EITI Report should be submitted electronically to the International Secretariat according to the standardised reporting format provided by the International Secretariat”</t>
  </si>
  <si>
    <t xml:space="preserve">   Part 3 covers data on government revenues per revenue stream and company. An example of this part using Norway's 2012 EITI Report is available in a final worksheet</t>
  </si>
  <si>
    <r>
      <t xml:space="preserve">This template should be completed in full and </t>
    </r>
    <r>
      <rPr>
        <u/>
        <sz val="11"/>
        <color rgb="FF000000"/>
        <rFont val="Calibri"/>
        <family val="2"/>
        <scheme val="minor"/>
      </rPr>
      <t>submitted by email</t>
    </r>
    <r>
      <rPr>
        <sz val="11"/>
        <rFont val="Calibri"/>
        <family val="2"/>
        <scheme val="minor"/>
      </rPr>
      <t xml:space="preserve"> by the national secretariat </t>
    </r>
    <r>
      <rPr>
        <sz val="11"/>
        <color rgb="FF000000"/>
        <rFont val="Calibri"/>
        <family val="2"/>
        <scheme val="minor"/>
      </rPr>
      <t xml:space="preserve">to the International EITI Secretariat following the publication of the report. </t>
    </r>
  </si>
  <si>
    <t>Senegal</t>
  </si>
  <si>
    <t>Moore Stephens</t>
  </si>
  <si>
    <t>http://itie.sn/rapports-2015-2016/</t>
  </si>
  <si>
    <t>http://itie.sn/wp-content/uploads/2017/03/Politique-de-Données-Ouvertes-CN-ITIE-Sénégal-vf.pdf</t>
  </si>
  <si>
    <t>XOF</t>
  </si>
  <si>
    <t>Sami Sakka</t>
  </si>
  <si>
    <t>sami.sakka@moorestephens.com</t>
  </si>
  <si>
    <t>Yes</t>
  </si>
  <si>
    <t>Not available</t>
  </si>
  <si>
    <t>Not applicable</t>
  </si>
  <si>
    <t>Translated by:</t>
  </si>
  <si>
    <t>Christoffer Claussen</t>
  </si>
  <si>
    <t>EITI International Secretariat</t>
  </si>
  <si>
    <t>data@eiti.org</t>
  </si>
  <si>
    <t>Gold volume</t>
  </si>
  <si>
    <t>Gold value</t>
  </si>
  <si>
    <t>Silver, volume</t>
  </si>
  <si>
    <t>Silver, value</t>
  </si>
  <si>
    <t>Phosphate, volume</t>
  </si>
  <si>
    <t>Phosphate, value</t>
  </si>
  <si>
    <t>Attapulgite, volume</t>
  </si>
  <si>
    <t>Attapulgite, value</t>
  </si>
  <si>
    <t>Ilmenite 54, volume</t>
  </si>
  <si>
    <t>Ilmenite 54, value</t>
  </si>
  <si>
    <t>Premium Zircon, volume</t>
  </si>
  <si>
    <t>Premium Zircon, value</t>
  </si>
  <si>
    <t>Standard Zircon, volume</t>
  </si>
  <si>
    <t>Standard Zircon, value</t>
  </si>
  <si>
    <t>Ilmenite 58, volume</t>
  </si>
  <si>
    <t>Ilmenite 58, value</t>
  </si>
  <si>
    <t>Basalt, volume</t>
  </si>
  <si>
    <t>Basalt, value</t>
  </si>
  <si>
    <t>Rutile, volume</t>
  </si>
  <si>
    <t>Rutile, value</t>
  </si>
  <si>
    <t>Limestone, volume</t>
  </si>
  <si>
    <t>Limestone, value</t>
  </si>
  <si>
    <t>Clay, volume</t>
  </si>
  <si>
    <t>Clay, value</t>
  </si>
  <si>
    <t>Laterite, volume</t>
  </si>
  <si>
    <t>Laterite, value</t>
  </si>
  <si>
    <t>Leucoxene, volume</t>
  </si>
  <si>
    <t>Leucoxene, value</t>
  </si>
  <si>
    <t>1.2. La production et les exportations du secteur extractif</t>
  </si>
  <si>
    <t>Annexe 9 : Données sur la production et les ventes</t>
  </si>
  <si>
    <t>4.6.2 Contribution dans le PIB</t>
  </si>
  <si>
    <t>4.6.1 Contribution dans le budget de l’Etat</t>
  </si>
  <si>
    <t>4.6.3 Contribution dans les exportations</t>
  </si>
  <si>
    <t>182282 oz =5.66960058434938 Tonnes</t>
  </si>
  <si>
    <t>17887 oz =0.556347558465769 Tonnes</t>
  </si>
  <si>
    <t>193218 oz =6.00974800422871 Tonnes</t>
  </si>
  <si>
    <t>17887 oz = 0.556347558465769 Tonnes</t>
  </si>
  <si>
    <t>Silver is produced during the refining of gold. It has only export value</t>
  </si>
  <si>
    <t>This amount corresponds only to the production of 1,425,402 tonnes. For the other part of the production the companies did not communicate a value</t>
  </si>
  <si>
    <t>This amount corresponds only to the production of 1,536,830 Tonnes and 686,742 M3. For the other part of production the companies have not communicated a value.</t>
  </si>
  <si>
    <t>This amount corresponds only to the production of 160,794 Tonnes. For the other part of the production the companies did not communicate a value</t>
  </si>
  <si>
    <t>4.3 Collecte et gestion des revenus extractifs</t>
  </si>
  <si>
    <t>http://www.dpee.sn/-TOFE-.html?lang=fr</t>
  </si>
  <si>
    <t>http://www.dgf.finances.gouv.sn/dgf/documentation/DB/LFR_2016.pdf</t>
  </si>
  <si>
    <t>http://www.dirmingeol.sn/pages_utiles/carte_des_permis_m.php</t>
  </si>
  <si>
    <t>4.2.11 Octroi et gestion des permis pétroliers
d) Registre des titres pétroliers</t>
  </si>
  <si>
    <t>4.1.7 Octroi et gestion des titres miniers
4.2.11 Octroi et gestion des permis pétroliers</t>
  </si>
  <si>
    <t>4.5.1 Cadre juridique de la propriété réelle au Sénégal</t>
  </si>
  <si>
    <t>4.1.8 Publication des contrats miniers
4.2.8 Publication des contrats pétroliers</t>
  </si>
  <si>
    <t>https://www.sec.gouv.sn/-Conventions-minieres-.html</t>
  </si>
  <si>
    <t>https://www.sec.gouv.sn/Point-de-situation-sur-les.html</t>
  </si>
  <si>
    <t>Partially</t>
  </si>
  <si>
    <t>Conventions minieres</t>
  </si>
  <si>
    <t>NA</t>
  </si>
  <si>
    <t>Mining cadastre</t>
  </si>
  <si>
    <t>Tableau des Operations Financieeres de l'Etat (TOFE)</t>
  </si>
  <si>
    <t>Amended Law on Finances for 2016</t>
  </si>
  <si>
    <t>No public register for petroleum licenses. An oil directory has been sent to us by PETROSEN.</t>
  </si>
  <si>
    <t>Secteur minier : loi n° 2003-36 portant Code Minier, telle que modifiée par la Loi 2012-36, et le décret d’application 2004-647
Secteur pétrolier: loi n° 98-05 portant Code Pétrolier et le décret d’application 98-810</t>
  </si>
  <si>
    <t>No</t>
  </si>
  <si>
    <t>4.3.1 Schéma de circulation des flux</t>
  </si>
  <si>
    <t>Pas de paiements en nature à l'Etat, la part de l'Etat est perçue en numéraire</t>
  </si>
  <si>
    <t>Tableau n° 44 : des flux de paiements par organisme collecteur (Secteur des hydrocarbures)</t>
  </si>
  <si>
    <t>4.1.13 Fournitures d’infrastructures et accords de troc
4.2.14 Fournitures d’infrastructures et accords de troc</t>
  </si>
  <si>
    <t>Tableau n° 46 : Rapprochement des flux de paiement par organisme collecteur (secteur minier)</t>
  </si>
  <si>
    <t>6.3. Paiements sociaux
Annexe 11 : Déclaration des paiements sociaux – Secteur Pétrolier
Annexe 12 : Déclaration des paiements sociaux – Secteur Minier</t>
  </si>
  <si>
    <t>Tableau n°63 : Détail des dépenses sociales des sociétés extractives</t>
  </si>
  <si>
    <t>Tableau n° 46 : Rapprochement des flux de paiement par organisme collecteur (secteur minier)
Les paiements infranationaux se résument à la patente payée aux localités.</t>
  </si>
  <si>
    <t>4.1.12 Transferts infranationaux
4.2.16 Transferts infranationaux</t>
  </si>
  <si>
    <t>Nombre d'organisation</t>
  </si>
  <si>
    <t>http://www.creationdentreprise.sn/rechercher-une-societe</t>
  </si>
  <si>
    <t>Bureau d'Appui a la Creation d'Entreprise</t>
  </si>
  <si>
    <t>Impot sur les societes</t>
  </si>
  <si>
    <t>Direction Generale des Impots et des Domaines (DGID)</t>
  </si>
  <si>
    <t>Contribution speciale sur les produits des mines et des carrieres (CSMC)</t>
  </si>
  <si>
    <t>Impot sur le revenu des valeurs mobilieres</t>
  </si>
  <si>
    <t>Contribution fonciere des proprietes baties (CFPB)</t>
  </si>
  <si>
    <t>Direction Generale de la Comptabilite Publique et du Tresor (DGCPT)</t>
  </si>
  <si>
    <t>Surtaxe fonciere</t>
  </si>
  <si>
    <t>Taxe sur la valeur ajoutee reversee</t>
  </si>
  <si>
    <t>Droits d'entree/fixes</t>
  </si>
  <si>
    <t>Direction des Mines et de la Geologie (DMG)</t>
  </si>
  <si>
    <t>Patente</t>
  </si>
  <si>
    <t>Taxes d'abattage</t>
  </si>
  <si>
    <t>Direction des Eaux, Forets, Chasses et Conservation des Sols (DEFCCS)</t>
  </si>
  <si>
    <t xml:space="preserve">Droits de douane, TVA douaniere et taxes assimilees </t>
  </si>
  <si>
    <t>Direction Generale des Douanes (DGD)</t>
  </si>
  <si>
    <t>Cotisations sociales (y compris les penalites)</t>
  </si>
  <si>
    <t>Caisse de Securite Sociale (CSS)</t>
  </si>
  <si>
    <t>Institution de prevoyance retraite du Senegal (IPRES)</t>
  </si>
  <si>
    <t>Redevance miniere</t>
  </si>
  <si>
    <t>Loyer superficiel</t>
  </si>
  <si>
    <t>Societe des Petroles du Senegal (PETROSEN)</t>
  </si>
  <si>
    <t>Taxe superficiaire</t>
  </si>
  <si>
    <t>Direction de l'Environnement et des Etablissements Classes (DEEC)</t>
  </si>
  <si>
    <t>Redevance au Receveur Domaine Rufisque</t>
  </si>
  <si>
    <t xml:space="preserve">Revenus issus de la commercialisation de la Part de la production de l'etat </t>
  </si>
  <si>
    <t>Revenus issus de la commercialisation de la Part de la production de Petrosen</t>
  </si>
  <si>
    <t>Appui institutionnel</t>
  </si>
  <si>
    <t>Appui a la formation et Appui a la promotion de la recherche et de l'exploitation</t>
  </si>
  <si>
    <t>Appui aux projets sociaux</t>
  </si>
  <si>
    <t>Appui Institutionnel (Fonds d'appui au Mini. De l'Env)</t>
  </si>
  <si>
    <t>Appui institutionnel aux collectivites locales</t>
  </si>
  <si>
    <t>Achat de donnees sismiques</t>
  </si>
  <si>
    <t>Redressements fiscaux</t>
  </si>
  <si>
    <t>Recettes exceptionelle/Affaire Mittal</t>
  </si>
  <si>
    <t>Included partially reconciled</t>
  </si>
  <si>
    <t>Retenues a la source sur salaires (IR, TRIMF et CFCE)</t>
  </si>
  <si>
    <t>Retenues a la source sur benefice non commercial</t>
  </si>
  <si>
    <t>Retenue a la source sur sommes versees a des tiers</t>
  </si>
  <si>
    <t>Taxe sur la valeur ajoutee precomptee (RAS)</t>
  </si>
  <si>
    <t>Paiements sociaux</t>
  </si>
  <si>
    <t>The tables here uses a different methodology that the EITI Report. Payments made on behalf of individuals are not included in the above. Therefore the totals do not add up:</t>
  </si>
  <si>
    <t>The income of the IPRES decares is composed of both the employee and employer contribution.</t>
  </si>
  <si>
    <t>The declarations received from the IPRES do not distinguish the amount of the social contribution and the employer's contribution.</t>
  </si>
  <si>
    <t>[2]</t>
  </si>
  <si>
    <t>TOTAL from Table B (above)</t>
  </si>
  <si>
    <t>We excluded all the following payments:</t>
  </si>
  <si>
    <t>TOTAL</t>
  </si>
  <si>
    <t>Societe des Petroles du Senegal (PETROSEN.SA)</t>
  </si>
  <si>
    <t>FORTESA (succursale)</t>
  </si>
  <si>
    <t>Trace Atlantic/Rex Atlantic</t>
  </si>
  <si>
    <t>African Petroleum Senegal</t>
  </si>
  <si>
    <t>Capricorn Senegal Limited (succursale)</t>
  </si>
  <si>
    <t>Kosmos Energy Senegal</t>
  </si>
  <si>
    <t>Blackstairs Energy Senegal Limited</t>
  </si>
  <si>
    <t>Societe de Commercialisation du Ciment (SOCOCIM)</t>
  </si>
  <si>
    <t>Sabodala Gold Operations S.A. (SGO)</t>
  </si>
  <si>
    <t>LES CIMENTS DU SAHEL SA</t>
  </si>
  <si>
    <t>GRANDE COTE OPERATIONS (GCO)</t>
  </si>
  <si>
    <t>Societe Senegalaise des Phosphates de Thies (SSPT)</t>
  </si>
  <si>
    <t>INDUSTRIES CHIMIQUES DU SENEGAL</t>
  </si>
  <si>
    <t>DANGOTE CEMENT SENEGAL</t>
  </si>
  <si>
    <t>AGEM SENEGAL EXPLORATION SUARL</t>
  </si>
  <si>
    <t>Societe Miniere de la Vallee du Fleuve Senegal (SOMIVA)</t>
  </si>
  <si>
    <t>Sabodala Mining Company SARL (SMC)</t>
  </si>
  <si>
    <t>SEPHOS Senegal</t>
  </si>
  <si>
    <t>AFRICAN INVESTMENT GROUP</t>
  </si>
  <si>
    <t>Societe Senegalaise d'Exploitation des Carrieres (SOSECAR)</t>
  </si>
  <si>
    <t>Compagnie Generale d'Exploitation de Carrieres (COGECA)</t>
  </si>
  <si>
    <t>GECAMINES SA</t>
  </si>
  <si>
    <t>SOCIETE DE DEVELOPPEMENT DE L'INDUSTRIE DU TOURISME ET DE L'HABITAT AU SENEGAL (SODEVIT)</t>
  </si>
  <si>
    <t>SOCIETE DES MINES DE FER DU SENEGAL ORIENTAL (MIFERSO)</t>
  </si>
  <si>
    <t>0024498 2G3</t>
  </si>
  <si>
    <t>000415770 2G3</t>
  </si>
  <si>
    <t>4498847 2G3 
5117389 2V0</t>
  </si>
  <si>
    <t>004888056 2A2</t>
  </si>
  <si>
    <t>005251822 2A2</t>
  </si>
  <si>
    <t>50997192 A2</t>
  </si>
  <si>
    <t>0016627 2G3</t>
  </si>
  <si>
    <t>2850023 2G3</t>
  </si>
  <si>
    <t>0325995 2G3</t>
  </si>
  <si>
    <t>2849258 2G3</t>
  </si>
  <si>
    <t>0028797 2G3</t>
  </si>
  <si>
    <t>0022955 2G3</t>
  </si>
  <si>
    <t>2707208 2G3</t>
  </si>
  <si>
    <t>004151750 2Y2</t>
  </si>
  <si>
    <t>4475142 2G3</t>
  </si>
  <si>
    <t>2464410 0G2</t>
  </si>
  <si>
    <t>4013041 2G3</t>
  </si>
  <si>
    <t>4507995 2Y3</t>
  </si>
  <si>
    <t>0028466 2G3</t>
  </si>
  <si>
    <t>0196784 2G3</t>
  </si>
  <si>
    <t>2292168 2G3</t>
  </si>
  <si>
    <t>0025850 2G3</t>
  </si>
  <si>
    <t>0023896 2G3</t>
  </si>
  <si>
    <t>Phosphate</t>
  </si>
  <si>
    <t>Limestone</t>
  </si>
  <si>
    <t>Limestone, Clay, Laterite</t>
  </si>
  <si>
    <t>Phosphate, Illmenite</t>
  </si>
  <si>
    <t>Limestone, Basalt</t>
  </si>
  <si>
    <t>Basalt</t>
  </si>
  <si>
    <t>Iron</t>
  </si>
  <si>
    <t>Natural Gas</t>
  </si>
  <si>
    <t/>
  </si>
  <si>
    <t>Attapulgite</t>
  </si>
  <si>
    <t>Lime Phosphate, Miscellaneous Products</t>
  </si>
  <si>
    <t>Gold,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</si>
</sst>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yyyy\-mm\-dd;@"/>
    <numFmt numFmtId="165" formatCode="_-* #,##0_-;\-* #,##0_-;_-* &quot;-&quot;??_-;_-@_-"/>
    <numFmt numFmtId="166" formatCode="_-* #,##0_-;[Red]\-* #,##0_-;_-* &quot;-&quot;??_-;_-@_-"/>
    <numFmt numFmtId="167" formatCode="_-* #,##0.000_-;\-* #,##0.000_-;_-* &quot;-&quot;??_-;_-@_-"/>
  </numFmts>
  <fonts count="42">
    <font>
      <sz val="12"/>
      <color theme="1"/>
      <name val="Calibri"/>
      <family val="2"/>
      <scheme val="minor"/>
    </font>
    <font>
      <sz val="12"/>
      <color theme="1"/>
      <name val="Calibri"/>
      <family val="2"/>
      <scheme val="minor"/>
    </font>
    <font>
      <sz val="12"/>
      <color theme="1"/>
      <name val="Calibri"/>
      <family val="2"/>
    </font>
    <font>
      <b/>
      <sz val="12"/>
      <color theme="1"/>
      <name val="Calibri"/>
      <family val="2"/>
    </font>
    <font>
      <i/>
      <sz val="12"/>
      <color theme="1"/>
      <name val="Calibri"/>
      <family val="2"/>
    </font>
    <font>
      <u/>
      <sz val="12"/>
      <color theme="10"/>
      <name val="Calibri"/>
      <family val="2"/>
      <scheme val="minor"/>
    </font>
    <font>
      <u/>
      <sz val="12"/>
      <color theme="11"/>
      <name val="Calibri"/>
      <family val="2"/>
      <scheme val="minor"/>
    </font>
    <font>
      <sz val="12"/>
      <color rgb="FF3F3F76"/>
      <name val="Calibri"/>
      <family val="2"/>
      <scheme val="minor"/>
    </font>
    <font>
      <sz val="8"/>
      <name val="Calibri"/>
      <family val="2"/>
      <scheme val="minor"/>
    </font>
    <font>
      <b/>
      <sz val="16"/>
      <color theme="1"/>
      <name val="Calibri"/>
      <family val="2"/>
    </font>
    <font>
      <i/>
      <sz val="12"/>
      <color theme="1"/>
      <name val="Calibri"/>
      <family val="2"/>
      <scheme val="minor"/>
    </font>
    <font>
      <sz val="10"/>
      <color theme="1"/>
      <name val="Calibri"/>
      <family val="2"/>
      <scheme val="minor"/>
    </font>
    <font>
      <sz val="20"/>
      <color theme="1"/>
      <name val="Calibri"/>
      <family val="2"/>
      <scheme val="minor"/>
    </font>
    <font>
      <b/>
      <sz val="10"/>
      <color theme="1"/>
      <name val="Calibri"/>
      <family val="2"/>
      <scheme val="minor"/>
    </font>
    <font>
      <i/>
      <sz val="10"/>
      <color theme="1"/>
      <name val="Calibri"/>
      <family val="2"/>
      <scheme val="minor"/>
    </font>
    <font>
      <sz val="10"/>
      <color rgb="FF000000"/>
      <name val="Calibri"/>
      <family val="2"/>
      <scheme val="minor"/>
    </font>
    <font>
      <sz val="10"/>
      <color rgb="FFFF0000"/>
      <name val="Calibri"/>
      <family val="2"/>
      <scheme val="minor"/>
    </font>
    <font>
      <sz val="20"/>
      <color theme="1"/>
      <name val="Calibri"/>
      <family val="2"/>
    </font>
    <font>
      <sz val="10"/>
      <color rgb="FFFF0000"/>
      <name val="Calibri (Body)"/>
    </font>
    <font>
      <b/>
      <sz val="16"/>
      <color rgb="FF000000"/>
      <name val="Calibri (Body)"/>
    </font>
    <font>
      <i/>
      <sz val="11"/>
      <color rgb="FF00000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sz val="12"/>
      <color rgb="FF000000"/>
      <name val="Calibri"/>
      <family val="2"/>
      <scheme val="minor"/>
    </font>
    <font>
      <b/>
      <sz val="12"/>
      <color theme="0" tint="-0.34998626667073579"/>
      <name val="Calibri"/>
      <family val="2"/>
    </font>
    <font>
      <i/>
      <sz val="12"/>
      <color theme="0" tint="-0.34998626667073579"/>
      <name val="Calibri"/>
      <family val="2"/>
    </font>
    <font>
      <i/>
      <sz val="10"/>
      <color theme="1"/>
      <name val="Calibri"/>
      <family val="2"/>
    </font>
    <font>
      <i/>
      <sz val="10"/>
      <name val="Calibri"/>
      <family val="2"/>
    </font>
    <font>
      <b/>
      <sz val="11"/>
      <color rgb="FF3F3F3F"/>
      <name val="Calibri"/>
      <family val="2"/>
      <scheme val="minor"/>
    </font>
    <font>
      <b/>
      <sz val="16"/>
      <color theme="1"/>
      <name val="Calibri"/>
      <family val="2"/>
    </font>
    <font>
      <b/>
      <i/>
      <sz val="10"/>
      <color rgb="FF3F3F3F"/>
      <name val="Calibri"/>
      <family val="2"/>
      <scheme val="minor"/>
    </font>
    <font>
      <u/>
      <sz val="10"/>
      <color rgb="FFFF0000"/>
      <name val="Calibri"/>
      <family val="2"/>
      <scheme val="minor"/>
    </font>
    <font>
      <i/>
      <sz val="10"/>
      <name val="Calibri"/>
      <family val="2"/>
      <scheme val="minor"/>
    </font>
    <font>
      <sz val="10"/>
      <color rgb="FFFF0000"/>
      <name val="Calibri"/>
      <family val="2"/>
      <scheme val="minor"/>
    </font>
    <font>
      <sz val="12"/>
      <color theme="1"/>
      <name val="Calibri"/>
      <family val="2"/>
    </font>
    <font>
      <i/>
      <sz val="12"/>
      <color theme="1"/>
      <name val="Calibri"/>
      <family val="2"/>
      <scheme val="minor"/>
    </font>
    <font>
      <i/>
      <sz val="10"/>
      <color theme="1"/>
      <name val="Calibri"/>
      <family val="2"/>
    </font>
    <font>
      <b/>
      <sz val="11"/>
      <color rgb="FF000000"/>
      <name val="Calibri"/>
      <family val="2"/>
      <scheme val="minor"/>
    </font>
    <font>
      <b/>
      <sz val="12"/>
      <color theme="1"/>
      <name val="Calibri"/>
      <family val="2"/>
      <scheme val="minor"/>
    </font>
    <font>
      <b/>
      <i/>
      <sz val="10"/>
      <color theme="1"/>
      <name val="Calibri"/>
      <family val="2"/>
      <scheme val="minor"/>
    </font>
    <font>
      <i/>
      <sz val="12"/>
      <color rgb="FFA6A6A6"/>
      <name val="Calibri"/>
      <family val="2"/>
    </font>
  </fonts>
  <fills count="14">
    <fill>
      <patternFill patternType="none"/>
    </fill>
    <fill>
      <patternFill patternType="gray125"/>
    </fill>
    <fill>
      <patternFill patternType="solid">
        <fgColor rgb="FFFFCC99"/>
      </patternFill>
    </fill>
    <fill>
      <patternFill patternType="solid">
        <fgColor theme="9" tint="0.39997558519241921"/>
        <bgColor indexed="64"/>
      </patternFill>
    </fill>
    <fill>
      <patternFill patternType="solid">
        <fgColor rgb="FFF7FAB4"/>
        <bgColor indexed="64"/>
      </patternFill>
    </fill>
    <fill>
      <patternFill patternType="solid">
        <fgColor theme="0"/>
        <bgColor indexed="64"/>
      </patternFill>
    </fill>
    <fill>
      <patternFill patternType="solid">
        <fgColor rgb="FFFABF8F"/>
        <bgColor rgb="FF000000"/>
      </patternFill>
    </fill>
    <fill>
      <patternFill patternType="solid">
        <fgColor rgb="FFF7FAB4"/>
        <bgColor rgb="FF000000"/>
      </patternFill>
    </fill>
    <fill>
      <patternFill patternType="solid">
        <fgColor theme="0"/>
        <bgColor rgb="FF000000"/>
      </patternFill>
    </fill>
    <fill>
      <patternFill patternType="solid">
        <fgColor rgb="FFFABF8F"/>
        <bgColor indexed="64"/>
      </patternFill>
    </fill>
    <fill>
      <patternFill patternType="solid">
        <fgColor theme="1"/>
        <bgColor indexed="64"/>
      </patternFill>
    </fill>
    <fill>
      <patternFill patternType="solid">
        <fgColor theme="2"/>
        <bgColor indexed="64"/>
      </patternFill>
    </fill>
    <fill>
      <patternFill patternType="solid">
        <fgColor rgb="FFF2F2F2"/>
      </patternFill>
    </fill>
    <fill>
      <patternFill patternType="solid">
        <fgColor rgb="FFF2F2F2"/>
        <bgColor indexed="64"/>
      </patternFill>
    </fill>
  </fills>
  <borders count="37">
    <border>
      <left/>
      <right/>
      <top/>
      <bottom/>
      <diagonal/>
    </border>
    <border>
      <left style="thin">
        <color auto="1"/>
      </left>
      <right/>
      <top/>
      <bottom style="thin">
        <color rgb="FF000000"/>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7F7F7F"/>
      </left>
      <right style="thin">
        <color auto="1"/>
      </right>
      <top style="thin">
        <color rgb="FF7F7F7F"/>
      </top>
      <bottom style="thin">
        <color rgb="FF7F7F7F"/>
      </bottom>
      <diagonal/>
    </border>
    <border>
      <left/>
      <right style="thin">
        <color auto="1"/>
      </right>
      <top/>
      <bottom style="thin">
        <color rgb="FF000000"/>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right style="thin">
        <color rgb="FF3F3F3F"/>
      </right>
      <top style="thin">
        <color rgb="FF3F3F3F"/>
      </top>
      <bottom style="thin">
        <color rgb="FF3F3F3F"/>
      </bottom>
      <diagonal/>
    </border>
    <border>
      <left style="medium">
        <color rgb="FFFF0000"/>
      </left>
      <right style="medium">
        <color rgb="FFFF0000"/>
      </right>
      <top style="medium">
        <color rgb="FFFF0000"/>
      </top>
      <bottom style="medium">
        <color rgb="FFFF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bottom style="medium">
        <color indexed="64"/>
      </bottom>
      <diagonal/>
    </border>
    <border>
      <left style="thin">
        <color indexed="64"/>
      </left>
      <right style="thin">
        <color auto="1"/>
      </right>
      <top/>
      <bottom/>
      <diagonal/>
    </border>
    <border>
      <left/>
      <right/>
      <top style="thin">
        <color indexed="64"/>
      </top>
      <bottom style="medium">
        <color indexed="64"/>
      </bottom>
      <diagonal/>
    </border>
  </borders>
  <cellStyleXfs count="33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2" borderId="6" applyNumberForma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9" fillId="12" borderId="19" applyNumberFormat="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211">
    <xf numFmtId="0" fontId="0" fillId="0" borderId="0" xfId="0"/>
    <xf numFmtId="0" fontId="2" fillId="0" borderId="8" xfId="0" applyFont="1" applyBorder="1" applyAlignment="1">
      <alignment vertical="center" wrapText="1"/>
    </xf>
    <xf numFmtId="0" fontId="4" fillId="0" borderId="8" xfId="0" applyFont="1" applyBorder="1" applyAlignment="1">
      <alignment vertical="center" wrapText="1"/>
    </xf>
    <xf numFmtId="0" fontId="2" fillId="0" borderId="13" xfId="0" applyFont="1" applyBorder="1" applyAlignment="1">
      <alignment vertical="center" wrapText="1"/>
    </xf>
    <xf numFmtId="0" fontId="11" fillId="0" borderId="0" xfId="0" applyFont="1" applyAlignment="1">
      <alignment horizontal="left" vertical="center" wrapText="1"/>
    </xf>
    <xf numFmtId="0" fontId="16" fillId="0" borderId="0" xfId="0" applyFont="1" applyAlignment="1">
      <alignment horizontal="left" vertical="center" wrapText="1"/>
    </xf>
    <xf numFmtId="0" fontId="11" fillId="0" borderId="0" xfId="0" applyFont="1" applyAlignment="1">
      <alignment horizontal="left" vertical="center"/>
    </xf>
    <xf numFmtId="0" fontId="21" fillId="0" borderId="0" xfId="0" applyFont="1" applyAlignment="1">
      <alignment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7" fillId="2" borderId="12" xfId="27" applyFont="1" applyBorder="1" applyAlignment="1">
      <alignment vertical="center" wrapText="1"/>
    </xf>
    <xf numFmtId="0" fontId="3" fillId="0" borderId="11" xfId="0" applyFont="1" applyBorder="1" applyAlignment="1">
      <alignment vertical="center" wrapText="1"/>
    </xf>
    <xf numFmtId="0" fontId="3" fillId="0" borderId="9" xfId="0" applyFont="1" applyBorder="1" applyAlignment="1">
      <alignment vertical="center" wrapText="1"/>
    </xf>
    <xf numFmtId="0" fontId="2" fillId="0" borderId="2" xfId="0" applyFont="1" applyFill="1" applyBorder="1" applyAlignment="1">
      <alignment vertical="center" wrapText="1"/>
    </xf>
    <xf numFmtId="0" fontId="2" fillId="0" borderId="1" xfId="0" applyFont="1" applyFill="1" applyBorder="1" applyAlignment="1">
      <alignment vertical="center" wrapText="1"/>
    </xf>
    <xf numFmtId="0" fontId="3" fillId="0" borderId="10" xfId="0" applyFont="1" applyBorder="1" applyAlignment="1">
      <alignment vertical="center" wrapText="1"/>
    </xf>
    <xf numFmtId="0" fontId="2" fillId="0" borderId="0" xfId="0" applyFont="1" applyFill="1" applyBorder="1" applyAlignment="1">
      <alignment vertical="center" wrapText="1"/>
    </xf>
    <xf numFmtId="0" fontId="2" fillId="0" borderId="10" xfId="0" applyFont="1" applyFill="1" applyBorder="1" applyAlignment="1">
      <alignment vertical="center" wrapText="1"/>
    </xf>
    <xf numFmtId="3" fontId="2" fillId="0" borderId="8" xfId="245" applyNumberFormat="1" applyFont="1" applyFill="1" applyBorder="1" applyAlignment="1">
      <alignment vertical="center" wrapText="1"/>
    </xf>
    <xf numFmtId="3" fontId="2" fillId="0" borderId="8" xfId="245" applyNumberFormat="1" applyFont="1" applyBorder="1" applyAlignment="1">
      <alignment vertical="center" wrapText="1"/>
    </xf>
    <xf numFmtId="3" fontId="3" fillId="0" borderId="8" xfId="245" applyNumberFormat="1" applyFont="1" applyFill="1" applyBorder="1" applyAlignment="1">
      <alignment vertical="center" wrapText="1"/>
    </xf>
    <xf numFmtId="3" fontId="2" fillId="0" borderId="11" xfId="245" applyNumberFormat="1" applyFont="1" applyFill="1" applyBorder="1" applyAlignment="1">
      <alignment vertical="center" wrapText="1"/>
    </xf>
    <xf numFmtId="3" fontId="2" fillId="0" borderId="0" xfId="245" applyNumberFormat="1" applyFont="1" applyFill="1" applyBorder="1" applyAlignment="1">
      <alignment vertical="center" wrapText="1"/>
    </xf>
    <xf numFmtId="15" fontId="11" fillId="0" borderId="0" xfId="0" applyNumberFormat="1" applyFont="1" applyAlignment="1">
      <alignment horizontal="left" vertical="center" wrapText="1"/>
    </xf>
    <xf numFmtId="0" fontId="11" fillId="0" borderId="0" xfId="0" applyFont="1" applyAlignment="1">
      <alignment vertical="center" wrapText="1"/>
    </xf>
    <xf numFmtId="0" fontId="12" fillId="0" borderId="0" xfId="0" applyFont="1" applyAlignment="1"/>
    <xf numFmtId="0" fontId="18" fillId="0" borderId="0" xfId="0" applyFont="1" applyAlignment="1"/>
    <xf numFmtId="0" fontId="11" fillId="0" borderId="0" xfId="0" applyFont="1" applyAlignment="1">
      <alignment wrapText="1"/>
    </xf>
    <xf numFmtId="15" fontId="11" fillId="0" borderId="0" xfId="0" applyNumberFormat="1" applyFont="1" applyBorder="1" applyAlignment="1">
      <alignment horizontal="left"/>
    </xf>
    <xf numFmtId="0" fontId="11" fillId="0" borderId="0" xfId="0" applyFont="1" applyBorder="1" applyAlignment="1">
      <alignment horizontal="left"/>
    </xf>
    <xf numFmtId="0" fontId="11" fillId="0" borderId="0" xfId="0" quotePrefix="1" applyFont="1" applyAlignment="1">
      <alignment horizontal="left" vertical="center" wrapText="1"/>
    </xf>
    <xf numFmtId="0" fontId="13" fillId="0" borderId="0" xfId="0" applyFont="1" applyAlignment="1">
      <alignment horizontal="left" vertical="center" wrapText="1"/>
    </xf>
    <xf numFmtId="0" fontId="13" fillId="5" borderId="0" xfId="0" applyFont="1" applyFill="1" applyBorder="1" applyAlignment="1">
      <alignment horizontal="left"/>
    </xf>
    <xf numFmtId="0" fontId="31" fillId="12" borderId="20" xfId="320" applyFont="1" applyBorder="1" applyAlignment="1">
      <alignment horizontal="left" vertical="center" wrapText="1"/>
    </xf>
    <xf numFmtId="0" fontId="5" fillId="0" borderId="0" xfId="128" applyAlignment="1"/>
    <xf numFmtId="0" fontId="11" fillId="0" borderId="0" xfId="0" quotePrefix="1" applyFont="1" applyBorder="1" applyAlignment="1">
      <alignment horizontal="left" vertical="center" wrapText="1"/>
    </xf>
    <xf numFmtId="0" fontId="11" fillId="0" borderId="0" xfId="0" applyFont="1" applyBorder="1" applyAlignment="1">
      <alignment horizontal="left" vertical="center" wrapText="1"/>
    </xf>
    <xf numFmtId="0" fontId="11" fillId="0" borderId="21" xfId="0" applyFont="1" applyBorder="1" applyAlignment="1">
      <alignment vertical="center" wrapText="1"/>
    </xf>
    <xf numFmtId="0" fontId="34"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vertical="center"/>
    </xf>
    <xf numFmtId="0" fontId="18" fillId="0" borderId="0" xfId="0" applyFont="1" applyAlignment="1">
      <alignment vertical="center"/>
    </xf>
    <xf numFmtId="0" fontId="11" fillId="0" borderId="14" xfId="0" applyFont="1" applyBorder="1" applyAlignment="1">
      <alignment vertical="center"/>
    </xf>
    <xf numFmtId="0" fontId="11" fillId="0" borderId="4" xfId="0" applyFont="1" applyBorder="1" applyAlignment="1">
      <alignment vertical="center"/>
    </xf>
    <xf numFmtId="0" fontId="11" fillId="0" borderId="0" xfId="0" applyFont="1" applyAlignment="1">
      <alignment vertical="center"/>
    </xf>
    <xf numFmtId="0" fontId="11" fillId="0" borderId="10" xfId="0" applyFont="1" applyBorder="1" applyAlignment="1">
      <alignment vertical="center"/>
    </xf>
    <xf numFmtId="0" fontId="14" fillId="0" borderId="0" xfId="0" applyFont="1" applyBorder="1" applyAlignment="1">
      <alignment vertical="center"/>
    </xf>
    <xf numFmtId="0" fontId="11" fillId="0" borderId="0" xfId="0" applyFont="1" applyBorder="1" applyAlignment="1">
      <alignment vertical="center"/>
    </xf>
    <xf numFmtId="0" fontId="13" fillId="5" borderId="0" xfId="0" applyFont="1" applyFill="1" applyBorder="1" applyAlignment="1">
      <alignment horizontal="left" vertical="center" wrapText="1"/>
    </xf>
    <xf numFmtId="0" fontId="32" fillId="0" borderId="0" xfId="128" applyFont="1" applyAlignment="1">
      <alignment vertical="center"/>
    </xf>
    <xf numFmtId="164" fontId="11" fillId="3" borderId="24" xfId="0" applyNumberFormat="1" applyFont="1" applyFill="1" applyBorder="1" applyAlignment="1">
      <alignment horizontal="left" vertical="center" wrapText="1"/>
    </xf>
    <xf numFmtId="0" fontId="33" fillId="0" borderId="0" xfId="0" applyFont="1" applyBorder="1" applyAlignment="1">
      <alignment vertical="center"/>
    </xf>
    <xf numFmtId="164" fontId="11" fillId="3" borderId="26" xfId="0" applyNumberFormat="1" applyFont="1" applyFill="1" applyBorder="1" applyAlignment="1">
      <alignment horizontal="left" vertical="center" wrapText="1"/>
    </xf>
    <xf numFmtId="0" fontId="11" fillId="0" borderId="14" xfId="0" applyFont="1" applyBorder="1" applyAlignment="1">
      <alignment vertical="center" wrapText="1"/>
    </xf>
    <xf numFmtId="0" fontId="34" fillId="0" borderId="0" xfId="0" applyFont="1" applyBorder="1" applyAlignment="1">
      <alignment vertical="center"/>
    </xf>
    <xf numFmtId="0" fontId="14" fillId="0" borderId="14" xfId="0" applyFont="1" applyBorder="1" applyAlignment="1">
      <alignment vertical="center"/>
    </xf>
    <xf numFmtId="164" fontId="11" fillId="10" borderId="26" xfId="0" applyNumberFormat="1" applyFont="1" applyFill="1" applyBorder="1" applyAlignment="1">
      <alignment horizontal="left" vertical="center" wrapText="1"/>
    </xf>
    <xf numFmtId="0" fontId="11" fillId="4" borderId="26" xfId="0" applyFont="1" applyFill="1" applyBorder="1" applyAlignment="1">
      <alignment horizontal="left" vertical="center" wrapText="1"/>
    </xf>
    <xf numFmtId="0" fontId="15" fillId="0" borderId="4" xfId="0" applyFont="1" applyBorder="1" applyAlignment="1">
      <alignment vertical="center"/>
    </xf>
    <xf numFmtId="0" fontId="15" fillId="0" borderId="14" xfId="0" applyFont="1" applyBorder="1" applyAlignment="1">
      <alignment vertical="center"/>
    </xf>
    <xf numFmtId="0" fontId="15" fillId="0" borderId="0" xfId="0" applyFont="1" applyAlignment="1">
      <alignment vertical="center"/>
    </xf>
    <xf numFmtId="0" fontId="14" fillId="0" borderId="10" xfId="0" applyFont="1" applyBorder="1" applyAlignment="1">
      <alignment vertical="center"/>
    </xf>
    <xf numFmtId="0" fontId="15" fillId="0" borderId="0" xfId="0" applyFont="1" applyBorder="1" applyAlignment="1">
      <alignment vertical="center"/>
    </xf>
    <xf numFmtId="0" fontId="11" fillId="5" borderId="0" xfId="0" applyFont="1" applyFill="1" applyBorder="1" applyAlignment="1">
      <alignment horizontal="left" vertical="center" wrapText="1"/>
    </xf>
    <xf numFmtId="0" fontId="33" fillId="0" borderId="10" xfId="0" applyFont="1" applyBorder="1" applyAlignment="1">
      <alignment vertical="center"/>
    </xf>
    <xf numFmtId="0" fontId="2" fillId="0" borderId="0" xfId="0" applyFont="1" applyAlignment="1">
      <alignment vertical="center"/>
    </xf>
    <xf numFmtId="0" fontId="4" fillId="0" borderId="4" xfId="0" applyFont="1" applyBorder="1" applyAlignment="1">
      <alignment vertical="center"/>
    </xf>
    <xf numFmtId="0" fontId="2" fillId="0" borderId="4" xfId="0" applyFont="1" applyBorder="1" applyAlignment="1">
      <alignment vertical="center"/>
    </xf>
    <xf numFmtId="0" fontId="2" fillId="0" borderId="7" xfId="0" applyFont="1" applyBorder="1" applyAlignment="1">
      <alignment vertical="center"/>
    </xf>
    <xf numFmtId="0" fontId="2" fillId="0" borderId="0" xfId="0" applyFont="1" applyBorder="1" applyAlignment="1">
      <alignment vertical="center"/>
    </xf>
    <xf numFmtId="0" fontId="2" fillId="0" borderId="8" xfId="0" applyFont="1" applyBorder="1" applyAlignment="1">
      <alignment vertical="center"/>
    </xf>
    <xf numFmtId="0" fontId="27" fillId="0" borderId="0" xfId="0" applyFont="1" applyAlignment="1">
      <alignment vertical="center"/>
    </xf>
    <xf numFmtId="0" fontId="3" fillId="0" borderId="2" xfId="0" applyFont="1" applyBorder="1" applyAlignment="1">
      <alignment horizontal="right" vertical="center" wrapText="1"/>
    </xf>
    <xf numFmtId="0" fontId="0" fillId="9" borderId="0" xfId="0" applyFill="1" applyBorder="1" applyAlignment="1">
      <alignment vertical="center" wrapText="1"/>
    </xf>
    <xf numFmtId="0" fontId="0" fillId="9" borderId="8" xfId="0" applyFill="1" applyBorder="1" applyAlignment="1">
      <alignment vertical="center" wrapText="1"/>
    </xf>
    <xf numFmtId="0" fontId="3" fillId="0" borderId="2" xfId="0" applyFont="1" applyBorder="1" applyAlignment="1">
      <alignment horizontal="right" vertical="center"/>
    </xf>
    <xf numFmtId="0" fontId="2" fillId="9" borderId="0" xfId="0" applyFont="1" applyFill="1" applyBorder="1" applyAlignment="1">
      <alignment vertical="center"/>
    </xf>
    <xf numFmtId="0" fontId="3" fillId="0" borderId="9" xfId="0" applyFont="1" applyBorder="1" applyAlignment="1">
      <alignment horizontal="right" vertical="center"/>
    </xf>
    <xf numFmtId="0" fontId="2" fillId="9" borderId="10" xfId="0" applyFont="1" applyFill="1" applyBorder="1" applyAlignment="1">
      <alignment vertical="center"/>
    </xf>
    <xf numFmtId="0" fontId="2" fillId="9" borderId="11" xfId="0" applyFont="1" applyFill="1" applyBorder="1" applyAlignment="1">
      <alignment vertical="center"/>
    </xf>
    <xf numFmtId="0" fontId="3" fillId="0" borderId="9" xfId="0" applyFont="1" applyBorder="1" applyAlignment="1">
      <alignment vertical="center"/>
    </xf>
    <xf numFmtId="3" fontId="10" fillId="0" borderId="10" xfId="0" applyNumberFormat="1" applyFont="1" applyBorder="1" applyAlignment="1">
      <alignment vertical="center"/>
    </xf>
    <xf numFmtId="0" fontId="2" fillId="0" borderId="0" xfId="0" applyFont="1" applyAlignment="1">
      <alignment horizontal="right" vertical="center"/>
    </xf>
    <xf numFmtId="0" fontId="3" fillId="11" borderId="0" xfId="0" applyFont="1" applyFill="1" applyAlignment="1">
      <alignment horizontal="right" vertical="center"/>
    </xf>
    <xf numFmtId="0" fontId="3" fillId="11" borderId="0" xfId="0" applyFont="1" applyFill="1" applyAlignment="1">
      <alignment vertical="center"/>
    </xf>
    <xf numFmtId="0" fontId="9" fillId="0" borderId="0" xfId="0" applyFont="1" applyAlignment="1">
      <alignment vertical="center"/>
    </xf>
    <xf numFmtId="3" fontId="3" fillId="11" borderId="0" xfId="0" applyNumberFormat="1" applyFont="1" applyFill="1" applyAlignment="1">
      <alignment vertical="center"/>
    </xf>
    <xf numFmtId="165" fontId="11" fillId="3" borderId="22" xfId="245" applyNumberFormat="1" applyFont="1" applyFill="1" applyBorder="1" applyAlignment="1">
      <alignment horizontal="left" vertical="center" wrapText="1"/>
    </xf>
    <xf numFmtId="165" fontId="11" fillId="3" borderId="25" xfId="245" applyNumberFormat="1" applyFont="1" applyFill="1" applyBorder="1" applyAlignment="1">
      <alignment horizontal="left" vertical="center" wrapText="1"/>
    </xf>
    <xf numFmtId="0" fontId="11" fillId="3" borderId="31" xfId="0" applyFont="1" applyFill="1" applyBorder="1" applyAlignment="1">
      <alignment horizontal="left" vertical="center" wrapText="1"/>
    </xf>
    <xf numFmtId="164" fontId="11" fillId="3" borderId="32" xfId="0" applyNumberFormat="1" applyFont="1" applyFill="1" applyBorder="1" applyAlignment="1">
      <alignment horizontal="left" vertical="center" wrapText="1"/>
    </xf>
    <xf numFmtId="0" fontId="11" fillId="3" borderId="32" xfId="0" applyFont="1" applyFill="1" applyBorder="1" applyAlignment="1">
      <alignment horizontal="left" vertical="center" wrapText="1"/>
    </xf>
    <xf numFmtId="0" fontId="11" fillId="4" borderId="32" xfId="0" applyFont="1" applyFill="1" applyBorder="1" applyAlignment="1">
      <alignment horizontal="left" vertical="center" wrapText="1"/>
    </xf>
    <xf numFmtId="0" fontId="5" fillId="4" borderId="32" xfId="128" applyFill="1" applyBorder="1" applyAlignment="1">
      <alignment horizontal="left" vertical="center" wrapText="1"/>
    </xf>
    <xf numFmtId="165" fontId="11" fillId="3" borderId="32" xfId="245" applyNumberFormat="1" applyFont="1" applyFill="1" applyBorder="1" applyAlignment="1">
      <alignment horizontal="left" vertical="center" wrapText="1"/>
    </xf>
    <xf numFmtId="49" fontId="11" fillId="3" borderId="32" xfId="0" applyNumberFormat="1" applyFont="1" applyFill="1" applyBorder="1" applyAlignment="1">
      <alignment horizontal="left" vertical="center" wrapText="1"/>
    </xf>
    <xf numFmtId="0" fontId="11" fillId="9" borderId="32" xfId="0" applyFont="1" applyFill="1" applyBorder="1" applyAlignment="1">
      <alignment horizontal="left" vertical="center" wrapText="1"/>
    </xf>
    <xf numFmtId="0" fontId="11" fillId="9" borderId="33" xfId="0" applyFont="1" applyFill="1" applyBorder="1" applyAlignment="1">
      <alignment horizontal="left" vertical="center" wrapText="1"/>
    </xf>
    <xf numFmtId="0" fontId="5" fillId="4" borderId="26" xfId="128" applyFill="1" applyBorder="1" applyAlignment="1">
      <alignment horizontal="left" vertical="center" wrapText="1"/>
    </xf>
    <xf numFmtId="0" fontId="5" fillId="4" borderId="29" xfId="128" applyFill="1" applyBorder="1" applyAlignment="1">
      <alignment horizontal="left" vertical="center" wrapText="1"/>
    </xf>
    <xf numFmtId="165" fontId="11" fillId="3" borderId="27" xfId="245" applyNumberFormat="1" applyFont="1" applyFill="1" applyBorder="1" applyAlignment="1">
      <alignment horizontal="left" vertical="center" wrapText="1"/>
    </xf>
    <xf numFmtId="3" fontId="4" fillId="0" borderId="35" xfId="0" applyNumberFormat="1" applyFont="1" applyBorder="1" applyAlignment="1">
      <alignment vertical="center" wrapText="1"/>
    </xf>
    <xf numFmtId="3" fontId="4" fillId="0" borderId="18" xfId="0" applyNumberFormat="1" applyFont="1" applyBorder="1" applyAlignment="1">
      <alignment vertical="center" wrapText="1"/>
    </xf>
    <xf numFmtId="0" fontId="27" fillId="0" borderId="2" xfId="0" applyFont="1" applyBorder="1" applyAlignment="1">
      <alignment vertical="center"/>
    </xf>
    <xf numFmtId="0" fontId="2" fillId="9" borderId="8" xfId="0" applyFont="1" applyFill="1" applyBorder="1" applyAlignment="1">
      <alignment vertical="center"/>
    </xf>
    <xf numFmtId="0" fontId="4" fillId="0" borderId="18" xfId="0" applyFont="1" applyBorder="1" applyAlignment="1">
      <alignment horizontal="right" vertical="center"/>
    </xf>
    <xf numFmtId="3" fontId="10" fillId="0" borderId="11" xfId="0" applyNumberFormat="1" applyFont="1" applyBorder="1" applyAlignment="1">
      <alignment vertical="center"/>
    </xf>
    <xf numFmtId="49" fontId="25" fillId="13" borderId="2" xfId="0" applyNumberFormat="1" applyFont="1" applyFill="1" applyBorder="1" applyAlignment="1">
      <alignment horizontal="left" vertical="center" wrapText="1"/>
    </xf>
    <xf numFmtId="166" fontId="2" fillId="0" borderId="0" xfId="245" applyNumberFormat="1" applyFont="1" applyBorder="1" applyAlignment="1">
      <alignment vertical="center"/>
    </xf>
    <xf numFmtId="166" fontId="2" fillId="0" borderId="8" xfId="245" applyNumberFormat="1" applyFont="1" applyBorder="1" applyAlignment="1">
      <alignment vertical="center"/>
    </xf>
    <xf numFmtId="49" fontId="26" fillId="13" borderId="2" xfId="0" applyNumberFormat="1" applyFont="1" applyFill="1" applyBorder="1" applyAlignment="1">
      <alignment horizontal="left" vertical="center" wrapText="1"/>
    </xf>
    <xf numFmtId="49" fontId="2" fillId="13" borderId="2" xfId="0" applyNumberFormat="1" applyFont="1" applyFill="1" applyBorder="1" applyAlignment="1">
      <alignment horizontal="left" vertical="center"/>
    </xf>
    <xf numFmtId="49" fontId="26" fillId="13" borderId="2" xfId="0" applyNumberFormat="1" applyFont="1" applyFill="1" applyBorder="1" applyAlignment="1">
      <alignment horizontal="left" vertical="center"/>
    </xf>
    <xf numFmtId="49" fontId="3" fillId="13" borderId="2" xfId="0" applyNumberFormat="1" applyFont="1" applyFill="1" applyBorder="1" applyAlignment="1">
      <alignment horizontal="left" vertical="center"/>
    </xf>
    <xf numFmtId="49" fontId="25" fillId="13" borderId="2" xfId="0" applyNumberFormat="1" applyFont="1" applyFill="1" applyBorder="1" applyAlignment="1">
      <alignment horizontal="left" vertical="center"/>
    </xf>
    <xf numFmtId="49" fontId="2" fillId="13" borderId="2" xfId="0" applyNumberFormat="1" applyFont="1" applyFill="1" applyBorder="1" applyAlignment="1">
      <alignment horizontal="left" vertical="center" wrapText="1"/>
    </xf>
    <xf numFmtId="166" fontId="2" fillId="0" borderId="10" xfId="245" applyNumberFormat="1" applyFont="1" applyBorder="1" applyAlignment="1">
      <alignment vertical="center"/>
    </xf>
    <xf numFmtId="166" fontId="2" fillId="0" borderId="11" xfId="245" applyNumberFormat="1" applyFont="1" applyBorder="1" applyAlignment="1">
      <alignment vertical="center"/>
    </xf>
    <xf numFmtId="0" fontId="35" fillId="0" borderId="0" xfId="0" applyFont="1" applyAlignment="1">
      <alignment vertical="center"/>
    </xf>
    <xf numFmtId="49" fontId="11" fillId="3" borderId="23" xfId="0" applyNumberFormat="1" applyFont="1" applyFill="1" applyBorder="1" applyAlignment="1">
      <alignment horizontal="left" vertical="center" wrapText="1"/>
    </xf>
    <xf numFmtId="49" fontId="11" fillId="3" borderId="15" xfId="0" applyNumberFormat="1" applyFont="1" applyFill="1" applyBorder="1" applyAlignment="1">
      <alignment horizontal="left" vertical="center" wrapText="1"/>
    </xf>
    <xf numFmtId="49" fontId="11" fillId="3" borderId="28" xfId="0" applyNumberFormat="1" applyFont="1" applyFill="1" applyBorder="1" applyAlignment="1">
      <alignment horizontal="left" vertical="center" wrapText="1"/>
    </xf>
    <xf numFmtId="0" fontId="5" fillId="3" borderId="26" xfId="128" applyFill="1" applyBorder="1" applyAlignment="1">
      <alignment horizontal="left" vertical="center" wrapText="1"/>
    </xf>
    <xf numFmtId="164" fontId="11" fillId="3" borderId="29" xfId="0" applyNumberFormat="1" applyFont="1" applyFill="1" applyBorder="1" applyAlignment="1">
      <alignment horizontal="left" vertical="center" wrapText="1"/>
    </xf>
    <xf numFmtId="0" fontId="3" fillId="0" borderId="10" xfId="0" applyFont="1" applyBorder="1" applyAlignment="1">
      <alignment vertical="center"/>
    </xf>
    <xf numFmtId="49" fontId="25" fillId="13" borderId="0" xfId="0" applyNumberFormat="1" applyFont="1" applyFill="1" applyBorder="1" applyAlignment="1">
      <alignment vertical="center" wrapText="1"/>
    </xf>
    <xf numFmtId="49" fontId="2" fillId="13" borderId="0" xfId="0" applyNumberFormat="1" applyFont="1" applyFill="1" applyBorder="1" applyAlignment="1">
      <alignment vertical="center" wrapText="1"/>
    </xf>
    <xf numFmtId="49" fontId="4" fillId="13" borderId="0" xfId="0" applyNumberFormat="1" applyFont="1" applyFill="1" applyBorder="1" applyAlignment="1">
      <alignment vertical="center" wrapText="1"/>
    </xf>
    <xf numFmtId="49" fontId="2" fillId="13" borderId="1" xfId="0" applyNumberFormat="1" applyFont="1" applyFill="1" applyBorder="1" applyAlignment="1">
      <alignment vertical="center" wrapText="1"/>
    </xf>
    <xf numFmtId="49" fontId="2" fillId="13" borderId="5" xfId="0" applyNumberFormat="1" applyFont="1" applyFill="1" applyBorder="1" applyAlignment="1">
      <alignment vertical="center" wrapText="1"/>
    </xf>
    <xf numFmtId="49" fontId="26" fillId="13" borderId="0" xfId="0" applyNumberFormat="1" applyFont="1" applyFill="1" applyBorder="1" applyAlignment="1">
      <alignment horizontal="left" vertical="center" wrapText="1" indent="2"/>
    </xf>
    <xf numFmtId="49" fontId="2" fillId="13" borderId="0" xfId="0" applyNumberFormat="1" applyFont="1" applyFill="1" applyBorder="1" applyAlignment="1">
      <alignment horizontal="left" vertical="center" wrapText="1" indent="2"/>
    </xf>
    <xf numFmtId="49" fontId="2" fillId="13" borderId="0" xfId="0" applyNumberFormat="1" applyFont="1" applyFill="1" applyBorder="1" applyAlignment="1">
      <alignment horizontal="left" vertical="center" wrapText="1" indent="4"/>
    </xf>
    <xf numFmtId="49" fontId="26" fillId="13" borderId="0" xfId="0" applyNumberFormat="1" applyFont="1" applyFill="1" applyBorder="1" applyAlignment="1">
      <alignment horizontal="left" vertical="center" wrapText="1" indent="4"/>
    </xf>
    <xf numFmtId="49" fontId="2" fillId="13" borderId="0" xfId="0" applyNumberFormat="1" applyFont="1" applyFill="1" applyBorder="1" applyAlignment="1">
      <alignment horizontal="left" vertical="center" wrapText="1" indent="6"/>
    </xf>
    <xf numFmtId="49" fontId="26" fillId="13" borderId="0" xfId="0" applyNumberFormat="1" applyFont="1" applyFill="1" applyBorder="1" applyAlignment="1">
      <alignment horizontal="left" vertical="center" wrapText="1" indent="6"/>
    </xf>
    <xf numFmtId="49" fontId="2" fillId="13" borderId="0" xfId="0" applyNumberFormat="1" applyFont="1" applyFill="1" applyBorder="1" applyAlignment="1">
      <alignment horizontal="left" vertical="center" wrapText="1" indent="8"/>
    </xf>
    <xf numFmtId="0" fontId="11" fillId="0" borderId="4" xfId="0" applyFont="1" applyBorder="1" applyAlignment="1">
      <alignment horizontal="left" vertical="center" wrapText="1"/>
    </xf>
    <xf numFmtId="0" fontId="5" fillId="3" borderId="32" xfId="128" applyFont="1" applyFill="1" applyBorder="1" applyAlignment="1">
      <alignment horizontal="left" vertical="center" wrapText="1"/>
    </xf>
    <xf numFmtId="164" fontId="11" fillId="3" borderId="15" xfId="0" applyNumberFormat="1" applyFont="1" applyFill="1" applyBorder="1" applyAlignment="1">
      <alignment horizontal="left" vertical="center" wrapText="1"/>
    </xf>
    <xf numFmtId="0" fontId="3" fillId="0" borderId="17" xfId="0" applyFont="1" applyBorder="1" applyAlignment="1">
      <alignment vertical="center" wrapText="1"/>
    </xf>
    <xf numFmtId="0" fontId="0" fillId="4" borderId="35" xfId="0" applyFill="1" applyBorder="1" applyAlignment="1">
      <alignment vertical="center" wrapText="1"/>
    </xf>
    <xf numFmtId="49" fontId="2" fillId="4" borderId="0" xfId="0" applyNumberFormat="1" applyFont="1" applyFill="1" applyBorder="1" applyAlignment="1">
      <alignment vertical="center"/>
    </xf>
    <xf numFmtId="49" fontId="24" fillId="4" borderId="0" xfId="0" applyNumberFormat="1" applyFont="1" applyFill="1" applyBorder="1" applyAlignment="1">
      <alignment vertical="center"/>
    </xf>
    <xf numFmtId="49" fontId="24" fillId="4" borderId="8" xfId="0" applyNumberFormat="1" applyFont="1" applyFill="1" applyBorder="1" applyAlignment="1">
      <alignment vertical="center"/>
    </xf>
    <xf numFmtId="0" fontId="3" fillId="0" borderId="17" xfId="0" applyFont="1" applyBorder="1" applyAlignment="1">
      <alignment vertical="center"/>
    </xf>
    <xf numFmtId="0" fontId="2" fillId="9" borderId="18" xfId="0" applyFont="1" applyFill="1" applyBorder="1" applyAlignment="1">
      <alignment vertical="center"/>
    </xf>
    <xf numFmtId="164" fontId="11" fillId="3" borderId="15" xfId="0" applyNumberFormat="1" applyFont="1" applyFill="1" applyBorder="1" applyAlignment="1">
      <alignment horizontal="left" vertical="center" wrapText="1"/>
    </xf>
    <xf numFmtId="49" fontId="41" fillId="13" borderId="0" xfId="0" applyNumberFormat="1" applyFont="1" applyFill="1" applyBorder="1" applyAlignment="1">
      <alignment horizontal="left" vertical="center" wrapText="1" indent="2"/>
    </xf>
    <xf numFmtId="0" fontId="20" fillId="0" borderId="0" xfId="0" applyFont="1" applyAlignment="1">
      <alignment horizontal="left" vertical="center"/>
    </xf>
    <xf numFmtId="0" fontId="21" fillId="0" borderId="0" xfId="0" applyFont="1" applyAlignment="1">
      <alignment horizontal="left" vertical="center"/>
    </xf>
    <xf numFmtId="0" fontId="20" fillId="0" borderId="0" xfId="0" applyFont="1" applyAlignment="1">
      <alignment vertical="center"/>
    </xf>
    <xf numFmtId="0" fontId="21" fillId="0" borderId="0" xfId="0" applyFont="1" applyAlignment="1">
      <alignment vertical="center"/>
    </xf>
    <xf numFmtId="0" fontId="21" fillId="8" borderId="0" xfId="0" applyFont="1" applyFill="1" applyAlignment="1">
      <alignment vertical="center"/>
    </xf>
    <xf numFmtId="0" fontId="21" fillId="0" borderId="0" xfId="0" applyFont="1" applyFill="1" applyAlignment="1">
      <alignment vertical="center"/>
    </xf>
    <xf numFmtId="164" fontId="11" fillId="3" borderId="15" xfId="0" applyNumberFormat="1" applyFont="1" applyFill="1" applyBorder="1" applyAlignment="1">
      <alignment horizontal="left" vertical="center" wrapText="1"/>
    </xf>
    <xf numFmtId="3" fontId="14" fillId="0" borderId="2" xfId="0" applyNumberFormat="1" applyFont="1" applyBorder="1" applyAlignment="1">
      <alignment vertical="center"/>
    </xf>
    <xf numFmtId="0" fontId="36" fillId="0" borderId="0" xfId="0" applyFont="1" applyBorder="1" applyAlignment="1">
      <alignment vertical="center"/>
    </xf>
    <xf numFmtId="0" fontId="36" fillId="0" borderId="8" xfId="0" applyFont="1" applyBorder="1" applyAlignment="1">
      <alignment vertical="center"/>
    </xf>
    <xf numFmtId="0" fontId="0" fillId="0" borderId="4" xfId="0" applyBorder="1" applyAlignment="1">
      <alignment vertical="center"/>
    </xf>
    <xf numFmtId="0" fontId="0" fillId="0" borderId="7" xfId="0" applyBorder="1" applyAlignment="1">
      <alignment vertical="center"/>
    </xf>
    <xf numFmtId="0" fontId="9" fillId="0" borderId="3" xfId="0" applyFont="1" applyBorder="1" applyAlignment="1">
      <alignment vertical="center"/>
    </xf>
    <xf numFmtId="0" fontId="5" fillId="3" borderId="32" xfId="128" applyFill="1" applyBorder="1" applyAlignment="1">
      <alignment horizontal="left" vertical="center" wrapText="1"/>
    </xf>
    <xf numFmtId="167" fontId="11" fillId="3" borderId="32" xfId="245" applyNumberFormat="1" applyFont="1" applyFill="1" applyBorder="1" applyAlignment="1">
      <alignment horizontal="left" vertical="center" wrapText="1"/>
    </xf>
    <xf numFmtId="0" fontId="5" fillId="9" borderId="34" xfId="128" applyFill="1" applyBorder="1" applyAlignment="1">
      <alignment horizontal="left" vertical="center" wrapText="1"/>
    </xf>
    <xf numFmtId="0" fontId="5" fillId="12" borderId="20" xfId="128" applyFill="1" applyBorder="1" applyAlignment="1">
      <alignment horizontal="left" vertical="center" wrapText="1"/>
    </xf>
    <xf numFmtId="167" fontId="11" fillId="3" borderId="25" xfId="245" applyNumberFormat="1" applyFont="1" applyFill="1" applyBorder="1" applyAlignment="1">
      <alignment horizontal="left" vertical="center" wrapText="1"/>
    </xf>
    <xf numFmtId="0" fontId="5" fillId="4" borderId="18" xfId="128" applyFill="1" applyBorder="1" applyAlignment="1">
      <alignment vertical="center" wrapText="1"/>
    </xf>
    <xf numFmtId="0" fontId="2" fillId="0" borderId="2" xfId="0" applyFont="1" applyFill="1" applyBorder="1" applyAlignment="1">
      <alignment vertical="center"/>
    </xf>
    <xf numFmtId="0" fontId="4" fillId="0" borderId="2" xfId="0" applyFont="1" applyFill="1" applyBorder="1" applyAlignment="1">
      <alignment vertical="center"/>
    </xf>
    <xf numFmtId="0" fontId="4" fillId="0" borderId="0" xfId="0" applyFont="1" applyFill="1" applyBorder="1" applyAlignment="1">
      <alignment vertical="center" wrapText="1"/>
    </xf>
    <xf numFmtId="3" fontId="4" fillId="0" borderId="8" xfId="245" applyNumberFormat="1" applyFont="1" applyFill="1" applyBorder="1" applyAlignment="1">
      <alignment vertical="center" wrapText="1"/>
    </xf>
    <xf numFmtId="0" fontId="3" fillId="0" borderId="36" xfId="0" applyFont="1" applyBorder="1" applyAlignment="1">
      <alignment vertical="center"/>
    </xf>
    <xf numFmtId="3" fontId="3" fillId="0" borderId="36" xfId="0" applyNumberFormat="1" applyFont="1" applyBorder="1" applyAlignment="1">
      <alignment vertical="center"/>
    </xf>
    <xf numFmtId="0" fontId="2" fillId="0" borderId="3" xfId="0" applyFont="1" applyFill="1" applyBorder="1" applyAlignment="1">
      <alignment vertical="center"/>
    </xf>
    <xf numFmtId="0" fontId="2" fillId="0" borderId="4" xfId="0" applyFont="1" applyFill="1" applyBorder="1" applyAlignment="1">
      <alignment vertical="center" wrapText="1"/>
    </xf>
    <xf numFmtId="3" fontId="2" fillId="0" borderId="7" xfId="245" applyNumberFormat="1" applyFont="1" applyFill="1" applyBorder="1" applyAlignment="1">
      <alignment vertical="center" wrapText="1"/>
    </xf>
    <xf numFmtId="43" fontId="31" fillId="12" borderId="20" xfId="320" applyNumberFormat="1" applyFont="1" applyBorder="1" applyAlignment="1">
      <alignment horizontal="left" vertical="center" wrapText="1"/>
    </xf>
    <xf numFmtId="0" fontId="21" fillId="0" borderId="0" xfId="0" applyFont="1" applyAlignment="1">
      <alignment vertical="center"/>
    </xf>
    <xf numFmtId="0" fontId="0" fillId="0" borderId="0" xfId="0" applyAlignment="1">
      <alignment vertical="center"/>
    </xf>
    <xf numFmtId="0" fontId="21" fillId="7" borderId="0" xfId="0" applyFont="1" applyFill="1" applyAlignment="1">
      <alignment vertical="center"/>
    </xf>
    <xf numFmtId="0" fontId="38" fillId="6" borderId="0" xfId="0" applyFont="1" applyFill="1" applyAlignment="1">
      <alignment vertical="center"/>
    </xf>
    <xf numFmtId="0" fontId="39" fillId="0" borderId="0" xfId="0" applyFont="1" applyAlignment="1">
      <alignment vertical="center"/>
    </xf>
    <xf numFmtId="0" fontId="19" fillId="0" borderId="0" xfId="0" applyFont="1" applyAlignment="1">
      <alignment vertical="center"/>
    </xf>
    <xf numFmtId="0" fontId="20" fillId="0" borderId="0" xfId="0" applyFont="1" applyAlignment="1">
      <alignment vertical="center" wrapText="1"/>
    </xf>
    <xf numFmtId="0" fontId="11" fillId="9" borderId="25" xfId="0" applyFont="1" applyFill="1" applyBorder="1" applyAlignment="1">
      <alignment horizontal="left" vertical="center" wrapText="1"/>
    </xf>
    <xf numFmtId="0" fontId="11" fillId="9" borderId="15" xfId="0" applyFont="1" applyFill="1" applyBorder="1" applyAlignment="1">
      <alignment horizontal="left" vertical="center" wrapText="1"/>
    </xf>
    <xf numFmtId="164" fontId="11" fillId="4" borderId="27" xfId="0" applyNumberFormat="1" applyFont="1" applyFill="1" applyBorder="1" applyAlignment="1">
      <alignment horizontal="left" vertical="center" wrapText="1"/>
    </xf>
    <xf numFmtId="164" fontId="11" fillId="4" borderId="28" xfId="0" applyNumberFormat="1" applyFont="1" applyFill="1" applyBorder="1" applyAlignment="1">
      <alignment horizontal="left" vertical="center" wrapText="1"/>
    </xf>
    <xf numFmtId="0" fontId="11" fillId="9" borderId="22" xfId="0" applyFont="1" applyFill="1" applyBorder="1" applyAlignment="1">
      <alignment horizontal="left" vertical="center" wrapText="1"/>
    </xf>
    <xf numFmtId="0" fontId="11" fillId="9" borderId="23" xfId="0" applyFont="1" applyFill="1" applyBorder="1" applyAlignment="1">
      <alignment horizontal="left" vertical="center" wrapText="1"/>
    </xf>
    <xf numFmtId="0" fontId="14" fillId="0" borderId="0" xfId="0" applyFont="1" applyBorder="1" applyAlignment="1">
      <alignment horizontal="left" vertical="center"/>
    </xf>
    <xf numFmtId="0" fontId="0" fillId="0" borderId="0" xfId="0" applyBorder="1" applyAlignment="1">
      <alignment horizontal="left" vertical="center"/>
    </xf>
    <xf numFmtId="164" fontId="11" fillId="4" borderId="25" xfId="0" applyNumberFormat="1" applyFont="1" applyFill="1" applyBorder="1" applyAlignment="1">
      <alignment horizontal="left" vertical="center" wrapText="1"/>
    </xf>
    <xf numFmtId="164" fontId="11" fillId="4" borderId="15" xfId="0" applyNumberFormat="1" applyFont="1" applyFill="1" applyBorder="1" applyAlignment="1">
      <alignment horizontal="left" vertical="center" wrapText="1"/>
    </xf>
    <xf numFmtId="0" fontId="11" fillId="4" borderId="25" xfId="0" applyFont="1" applyFill="1" applyBorder="1" applyAlignment="1">
      <alignment horizontal="left" vertical="center" wrapText="1"/>
    </xf>
    <xf numFmtId="0" fontId="11" fillId="4" borderId="15" xfId="0" applyFont="1" applyFill="1" applyBorder="1" applyAlignment="1">
      <alignment horizontal="left" vertical="center" wrapText="1"/>
    </xf>
    <xf numFmtId="164" fontId="11" fillId="3" borderId="25" xfId="0" applyNumberFormat="1" applyFont="1" applyFill="1" applyBorder="1" applyAlignment="1">
      <alignment horizontal="left" vertical="center" wrapText="1"/>
    </xf>
    <xf numFmtId="164" fontId="11" fillId="3" borderId="15" xfId="0" applyNumberFormat="1" applyFont="1" applyFill="1" applyBorder="1" applyAlignment="1">
      <alignment horizontal="left" vertical="center" wrapText="1"/>
    </xf>
    <xf numFmtId="0" fontId="27" fillId="0" borderId="2" xfId="0" applyFont="1" applyBorder="1" applyAlignment="1">
      <alignment horizontal="left" vertical="center" wrapText="1"/>
    </xf>
    <xf numFmtId="0" fontId="37" fillId="0" borderId="0" xfId="0" applyFont="1" applyBorder="1" applyAlignment="1">
      <alignment horizontal="left" vertical="center" wrapText="1"/>
    </xf>
    <xf numFmtId="0" fontId="37" fillId="0" borderId="8" xfId="0" applyFont="1" applyBorder="1" applyAlignment="1">
      <alignment horizontal="left" vertical="center" wrapText="1"/>
    </xf>
    <xf numFmtId="0" fontId="30" fillId="0" borderId="30" xfId="0" applyFont="1" applyBorder="1" applyAlignment="1">
      <alignment vertical="center" wrapText="1"/>
    </xf>
    <xf numFmtId="0" fontId="0" fillId="0" borderId="14" xfId="0" applyBorder="1" applyAlignment="1">
      <alignment vertical="center" wrapText="1"/>
    </xf>
    <xf numFmtId="0" fontId="0" fillId="0" borderId="16" xfId="0" applyBorder="1" applyAlignment="1">
      <alignment vertical="center" wrapText="1"/>
    </xf>
    <xf numFmtId="0" fontId="28" fillId="0" borderId="0" xfId="0" applyFont="1" applyAlignment="1">
      <alignment vertical="center"/>
    </xf>
    <xf numFmtId="0" fontId="27" fillId="0" borderId="0" xfId="0" applyFont="1" applyAlignment="1">
      <alignment vertical="center"/>
    </xf>
    <xf numFmtId="0" fontId="17" fillId="0" borderId="0" xfId="0" applyFont="1" applyAlignment="1">
      <alignment vertical="center"/>
    </xf>
    <xf numFmtId="0" fontId="9" fillId="0" borderId="3" xfId="0" applyFont="1" applyBorder="1" applyAlignment="1">
      <alignment vertical="center"/>
    </xf>
    <xf numFmtId="0" fontId="9" fillId="0" borderId="4" xfId="0" applyFont="1" applyBorder="1" applyAlignment="1">
      <alignment vertical="center"/>
    </xf>
    <xf numFmtId="0" fontId="9" fillId="0" borderId="7" xfId="0" applyFont="1" applyBorder="1" applyAlignment="1">
      <alignment vertical="center"/>
    </xf>
  </cellXfs>
  <cellStyles count="331">
    <cellStyle name="Comma" xfId="245"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cellStyle name="Input" xfId="27" builtinId="20"/>
    <cellStyle name="Normal" xfId="0" builtinId="0"/>
    <cellStyle name="Output" xfId="320" builtinId="21"/>
  </cellStyles>
  <dxfs count="9">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Medium4"/>
  <colors>
    <mruColors>
      <color rgb="FFA6A6A6"/>
      <color rgb="FFFABF8F"/>
      <color rgb="FFF7FAB4"/>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ta@eiti.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sami.sakka@moorestephens.com" TargetMode="External"/><Relationship Id="rId2" Type="http://schemas.openxmlformats.org/officeDocument/2006/relationships/hyperlink" Target="http://itie.sn/wp-content/uploads/2017/03/Politique-de-Donn&#233;es-Ouvertes-CN-ITIE-S&#233;n&#233;gal-vf.pdf" TargetMode="External"/><Relationship Id="rId1" Type="http://schemas.openxmlformats.org/officeDocument/2006/relationships/hyperlink" Target="http://itie.sn/rapports-2015-2016/" TargetMode="External"/><Relationship Id="rId5" Type="http://schemas.openxmlformats.org/officeDocument/2006/relationships/printerSettings" Target="../printerSettings/printerSettings2.bin"/><Relationship Id="rId4" Type="http://schemas.openxmlformats.org/officeDocument/2006/relationships/hyperlink" Target="mailto:data@eiti.or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dirmingeol.sn/pages_utiles/carte_des_permis_m.php" TargetMode="External"/><Relationship Id="rId2" Type="http://schemas.openxmlformats.org/officeDocument/2006/relationships/hyperlink" Target="http://www.dgf.finances.gouv.sn/dgf/documentation/DB/LFR_2016.pdf" TargetMode="External"/><Relationship Id="rId1" Type="http://schemas.openxmlformats.org/officeDocument/2006/relationships/hyperlink" Target="http://www.dpee.sn/-TOFE-.html?lang=fr" TargetMode="External"/><Relationship Id="rId6" Type="http://schemas.openxmlformats.org/officeDocument/2006/relationships/printerSettings" Target="../printerSettings/printerSettings3.bin"/><Relationship Id="rId5" Type="http://schemas.openxmlformats.org/officeDocument/2006/relationships/hyperlink" Target="https://www.sec.gouv.sn/Point-de-situation-sur-les.html" TargetMode="External"/><Relationship Id="rId4" Type="http://schemas.openxmlformats.org/officeDocument/2006/relationships/hyperlink" Target="https://www.sec.gouv.sn/-Conventions-miniere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reationdentreprise.sn/rechercher-une-socie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D48"/>
  <sheetViews>
    <sheetView showGridLines="0" zoomScaleNormal="100" workbookViewId="0"/>
  </sheetViews>
  <sheetFormatPr defaultColWidth="3.5" defaultRowHeight="24" customHeight="1"/>
  <cols>
    <col min="1" max="1" width="3.5" style="6"/>
    <col min="2" max="2" width="30.4140625" style="6" customWidth="1"/>
    <col min="3" max="3" width="37.9140625" style="6" customWidth="1"/>
    <col min="4" max="4" width="85.9140625" style="6" customWidth="1"/>
    <col min="5" max="16384" width="3.5" style="6"/>
  </cols>
  <sheetData>
    <row r="1" spans="2:4" ht="15.9" customHeight="1"/>
    <row r="2" spans="2:4" ht="20">
      <c r="B2" s="183" t="s">
        <v>126</v>
      </c>
      <c r="C2" s="179"/>
      <c r="D2" s="179"/>
    </row>
    <row r="3" spans="2:4" ht="15.9" customHeight="1">
      <c r="B3" s="151" t="s">
        <v>229</v>
      </c>
      <c r="C3" s="151"/>
      <c r="D3" s="151"/>
    </row>
    <row r="4" spans="2:4" ht="15.9" customHeight="1">
      <c r="B4" s="149"/>
      <c r="C4" s="150"/>
      <c r="D4" s="150"/>
    </row>
    <row r="5" spans="2:4" ht="15.9" customHeight="1">
      <c r="B5" s="150" t="s">
        <v>230</v>
      </c>
      <c r="C5" s="150"/>
      <c r="D5" s="150"/>
    </row>
    <row r="6" spans="2:4" ht="15.9" customHeight="1">
      <c r="B6" s="184" t="s">
        <v>231</v>
      </c>
      <c r="C6" s="184"/>
      <c r="D6" s="184"/>
    </row>
    <row r="7" spans="2:4" ht="15.9" customHeight="1">
      <c r="B7" s="184"/>
      <c r="C7" s="184"/>
      <c r="D7" s="184"/>
    </row>
    <row r="8" spans="2:4" ht="15.9" customHeight="1">
      <c r="B8" s="178"/>
      <c r="C8" s="179"/>
      <c r="D8" s="179"/>
    </row>
    <row r="9" spans="2:4" ht="15.9" customHeight="1">
      <c r="B9" s="178" t="s">
        <v>233</v>
      </c>
      <c r="C9" s="179"/>
      <c r="D9" s="179"/>
    </row>
    <row r="10" spans="2:4" ht="15.9" customHeight="1">
      <c r="B10" s="178" t="s">
        <v>31</v>
      </c>
      <c r="C10" s="179"/>
      <c r="D10" s="179"/>
    </row>
    <row r="11" spans="2:4" ht="15.9" customHeight="1">
      <c r="B11" s="178"/>
      <c r="C11" s="179"/>
      <c r="D11" s="179"/>
    </row>
    <row r="12" spans="2:4" ht="15.9" customHeight="1">
      <c r="B12" s="178" t="s">
        <v>32</v>
      </c>
      <c r="C12" s="179"/>
      <c r="D12" s="179"/>
    </row>
    <row r="13" spans="2:4" ht="15.9" customHeight="1">
      <c r="B13" s="178" t="s">
        <v>125</v>
      </c>
      <c r="C13" s="179"/>
      <c r="D13" s="179"/>
    </row>
    <row r="14" spans="2:4" ht="15.9" customHeight="1">
      <c r="B14" s="178" t="s">
        <v>21</v>
      </c>
      <c r="C14" s="179"/>
      <c r="D14" s="179"/>
    </row>
    <row r="15" spans="2:4" ht="15.9" customHeight="1">
      <c r="B15" s="178" t="s">
        <v>232</v>
      </c>
      <c r="C15" s="179"/>
      <c r="D15" s="179"/>
    </row>
    <row r="16" spans="2:4" ht="15.9" customHeight="1">
      <c r="B16" s="178"/>
      <c r="C16" s="179"/>
      <c r="D16" s="179"/>
    </row>
    <row r="17" spans="2:4" ht="15.9" customHeight="1">
      <c r="B17" s="181" t="s">
        <v>22</v>
      </c>
      <c r="C17" s="182"/>
      <c r="D17" s="154"/>
    </row>
    <row r="18" spans="2:4" ht="15.9" customHeight="1">
      <c r="B18" s="180" t="s">
        <v>23</v>
      </c>
      <c r="C18" s="179"/>
      <c r="D18" s="154"/>
    </row>
    <row r="19" spans="2:4" ht="15.9" customHeight="1">
      <c r="B19" s="153"/>
      <c r="C19" s="153"/>
      <c r="D19" s="153"/>
    </row>
    <row r="20" spans="2:4" ht="15.9" customHeight="1">
      <c r="B20" s="152"/>
      <c r="C20" s="152"/>
      <c r="D20" s="152"/>
    </row>
    <row r="21" spans="2:4" ht="15.9" customHeight="1">
      <c r="B21" s="152" t="s">
        <v>172</v>
      </c>
      <c r="C21" s="152"/>
      <c r="D21" s="34" t="s">
        <v>199</v>
      </c>
    </row>
    <row r="22" spans="2:4" ht="15.9" customHeight="1">
      <c r="B22" s="7"/>
      <c r="C22" s="7"/>
      <c r="D22" s="7"/>
    </row>
    <row r="23" spans="2:4" ht="15.9" customHeight="1">
      <c r="B23" s="7"/>
      <c r="C23" s="7"/>
    </row>
    <row r="24" spans="2:4" ht="15.9" customHeight="1"/>
    <row r="25" spans="2:4" ht="13"/>
    <row r="26" spans="2:4" ht="13"/>
    <row r="27" spans="2:4" ht="13"/>
    <row r="28" spans="2:4" ht="13"/>
    <row r="29" spans="2:4" ht="13"/>
    <row r="30" spans="2:4" ht="13"/>
    <row r="31" spans="2:4" ht="13"/>
    <row r="32" spans="2:4" ht="13"/>
    <row r="33" ht="13"/>
    <row r="34" ht="13"/>
    <row r="35" ht="13"/>
    <row r="36" ht="13"/>
    <row r="37" ht="13"/>
    <row r="38" ht="13"/>
    <row r="39" ht="13"/>
    <row r="40" ht="13"/>
    <row r="41" ht="13"/>
    <row r="42" ht="13"/>
    <row r="43" ht="13"/>
    <row r="44" ht="13"/>
    <row r="45" ht="13"/>
    <row r="46" ht="13"/>
    <row r="47" ht="13"/>
    <row r="48" ht="13"/>
  </sheetData>
  <mergeCells count="13">
    <mergeCell ref="B11:D11"/>
    <mergeCell ref="B8:D8"/>
    <mergeCell ref="B18:C18"/>
    <mergeCell ref="B17:C17"/>
    <mergeCell ref="B2:D2"/>
    <mergeCell ref="B12:D12"/>
    <mergeCell ref="B13:D13"/>
    <mergeCell ref="B14:D14"/>
    <mergeCell ref="B15:D15"/>
    <mergeCell ref="B16:D16"/>
    <mergeCell ref="B6:D7"/>
    <mergeCell ref="B9:D9"/>
    <mergeCell ref="B10:D10"/>
  </mergeCells>
  <phoneticPr fontId="8" type="noConversion"/>
  <hyperlinks>
    <hyperlink ref="D21" r:id="rId1" xr:uid="{00000000-0004-0000-0000-000000000000}"/>
  </hyperlinks>
  <pageMargins left="0.25" right="0.25" top="0.75" bottom="0.75" header="0.3" footer="0.3"/>
  <pageSetup paperSize="8" fitToHeight="0" orientation="landscape" horizontalDpi="2400" verticalDpi="24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E37"/>
  <sheetViews>
    <sheetView showGridLines="0" zoomScaleNormal="100" workbookViewId="0"/>
  </sheetViews>
  <sheetFormatPr defaultColWidth="3.5" defaultRowHeight="24" customHeight="1"/>
  <cols>
    <col min="1" max="1" width="3.5" style="39"/>
    <col min="2" max="2" width="53.4140625" style="39" customWidth="1"/>
    <col min="3" max="3" width="27" style="39" customWidth="1"/>
    <col min="4" max="4" width="34.4140625" style="39" customWidth="1"/>
    <col min="5" max="5" width="38.4140625" style="39" customWidth="1"/>
    <col min="6" max="16384" width="3.5" style="39"/>
  </cols>
  <sheetData>
    <row r="1" spans="2:5" ht="15.9" customHeight="1"/>
    <row r="2" spans="2:5" ht="24.9" customHeight="1">
      <c r="B2" s="40" t="s">
        <v>124</v>
      </c>
    </row>
    <row r="3" spans="2:5" ht="15.9" customHeight="1">
      <c r="B3" s="41" t="s">
        <v>33</v>
      </c>
    </row>
    <row r="4" spans="2:5" ht="15.9" customHeight="1" thickBot="1">
      <c r="D4" s="8" t="s">
        <v>15</v>
      </c>
      <c r="E4" s="8" t="s">
        <v>169</v>
      </c>
    </row>
    <row r="5" spans="2:5" ht="15.9" customHeight="1">
      <c r="B5" s="42" t="s">
        <v>25</v>
      </c>
      <c r="C5" s="42"/>
      <c r="D5" s="89" t="s">
        <v>234</v>
      </c>
      <c r="E5" s="33"/>
    </row>
    <row r="6" spans="2:5" ht="15.9" customHeight="1">
      <c r="B6" s="43" t="s">
        <v>26</v>
      </c>
      <c r="C6" s="42" t="s">
        <v>6</v>
      </c>
      <c r="D6" s="90">
        <v>42005</v>
      </c>
      <c r="E6" s="33"/>
    </row>
    <row r="7" spans="2:5" ht="15.9" customHeight="1">
      <c r="B7" s="44"/>
      <c r="C7" s="42" t="s">
        <v>7</v>
      </c>
      <c r="D7" s="90">
        <v>42369</v>
      </c>
      <c r="E7" s="33"/>
    </row>
    <row r="8" spans="2:5" ht="15.9" customHeight="1">
      <c r="B8" s="42" t="s">
        <v>27</v>
      </c>
      <c r="C8" s="45"/>
      <c r="D8" s="91" t="s">
        <v>235</v>
      </c>
      <c r="E8" s="33"/>
    </row>
    <row r="9" spans="2:5" ht="15.9" customHeight="1">
      <c r="B9" s="42" t="s">
        <v>28</v>
      </c>
      <c r="C9" s="42"/>
      <c r="D9" s="90">
        <v>43021</v>
      </c>
      <c r="E9" s="33"/>
    </row>
    <row r="10" spans="2:5" ht="15.9" customHeight="1">
      <c r="B10" s="43" t="s">
        <v>29</v>
      </c>
      <c r="C10" s="42" t="s">
        <v>8</v>
      </c>
      <c r="D10" s="91" t="s">
        <v>241</v>
      </c>
      <c r="E10" s="33"/>
    </row>
    <row r="11" spans="2:5" ht="15.9" customHeight="1">
      <c r="B11" s="46" t="s">
        <v>18</v>
      </c>
      <c r="C11" s="42" t="s">
        <v>9</v>
      </c>
      <c r="D11" s="91" t="s">
        <v>241</v>
      </c>
      <c r="E11" s="33"/>
    </row>
    <row r="12" spans="2:5" ht="15.9" customHeight="1">
      <c r="B12" s="47"/>
      <c r="C12" s="42" t="s">
        <v>10</v>
      </c>
      <c r="D12" s="91" t="s">
        <v>241</v>
      </c>
      <c r="E12" s="33"/>
    </row>
    <row r="13" spans="2:5" ht="15.9" customHeight="1">
      <c r="B13" s="47"/>
      <c r="C13" s="42" t="s">
        <v>11</v>
      </c>
      <c r="D13" s="92" t="s">
        <v>241</v>
      </c>
      <c r="E13" s="33"/>
    </row>
    <row r="14" spans="2:5" ht="15.9" customHeight="1">
      <c r="B14" s="43" t="s">
        <v>30</v>
      </c>
      <c r="C14" s="43" t="s">
        <v>19</v>
      </c>
      <c r="D14" s="162" t="s">
        <v>236</v>
      </c>
      <c r="E14" s="33"/>
    </row>
    <row r="15" spans="2:5" ht="15.9" customHeight="1">
      <c r="B15" s="46" t="s">
        <v>20</v>
      </c>
      <c r="C15" s="42" t="s">
        <v>176</v>
      </c>
      <c r="D15" s="138" t="s">
        <v>242</v>
      </c>
      <c r="E15" s="33"/>
    </row>
    <row r="16" spans="2:5" ht="15.9" customHeight="1">
      <c r="B16" s="46"/>
      <c r="C16" s="42" t="s">
        <v>209</v>
      </c>
      <c r="D16" s="162" t="s">
        <v>237</v>
      </c>
      <c r="E16" s="33"/>
    </row>
    <row r="17" spans="2:5" ht="15.9" customHeight="1">
      <c r="C17" s="45" t="s">
        <v>12</v>
      </c>
      <c r="D17" s="93" t="s">
        <v>242</v>
      </c>
      <c r="E17" s="33"/>
    </row>
    <row r="18" spans="2:5" ht="15.9" customHeight="1">
      <c r="B18" s="42" t="s">
        <v>36</v>
      </c>
      <c r="C18" s="42"/>
      <c r="D18" s="94">
        <v>24</v>
      </c>
      <c r="E18" s="33"/>
    </row>
    <row r="19" spans="2:5" ht="15.9" customHeight="1">
      <c r="B19" s="42" t="s">
        <v>37</v>
      </c>
      <c r="C19" s="42"/>
      <c r="D19" s="94">
        <v>9</v>
      </c>
      <c r="E19" s="33"/>
    </row>
    <row r="20" spans="2:5" ht="15.9" customHeight="1">
      <c r="B20" s="43" t="s">
        <v>40</v>
      </c>
      <c r="C20" s="42" t="s">
        <v>128</v>
      </c>
      <c r="D20" s="95" t="s">
        <v>238</v>
      </c>
      <c r="E20" s="33"/>
    </row>
    <row r="21" spans="2:5" ht="15.9" customHeight="1">
      <c r="B21" s="44"/>
      <c r="C21" s="42" t="s">
        <v>196</v>
      </c>
      <c r="D21" s="163">
        <v>591.15200000000004</v>
      </c>
      <c r="E21" s="33"/>
    </row>
    <row r="22" spans="2:5" ht="15.9" customHeight="1">
      <c r="B22" s="43" t="s">
        <v>200</v>
      </c>
      <c r="C22" s="42" t="s">
        <v>13</v>
      </c>
      <c r="D22" s="91" t="s">
        <v>241</v>
      </c>
      <c r="E22" s="33"/>
    </row>
    <row r="23" spans="2:5" ht="15.9" customHeight="1">
      <c r="B23" s="46" t="s">
        <v>171</v>
      </c>
      <c r="C23" s="42" t="s">
        <v>14</v>
      </c>
      <c r="D23" s="91" t="s">
        <v>241</v>
      </c>
      <c r="E23" s="33"/>
    </row>
    <row r="24" spans="2:5" ht="15.9" customHeight="1">
      <c r="B24" s="47"/>
      <c r="C24" s="43" t="s">
        <v>24</v>
      </c>
      <c r="D24" s="91" t="s">
        <v>243</v>
      </c>
      <c r="E24" s="33" t="s">
        <v>244</v>
      </c>
    </row>
    <row r="25" spans="2:5" ht="15.9" customHeight="1">
      <c r="B25" s="43" t="s">
        <v>137</v>
      </c>
      <c r="C25" s="42" t="s">
        <v>134</v>
      </c>
      <c r="D25" s="96" t="s">
        <v>239</v>
      </c>
      <c r="E25" s="33" t="s">
        <v>245</v>
      </c>
    </row>
    <row r="26" spans="2:5" ht="15.9" customHeight="1">
      <c r="B26" s="47"/>
      <c r="C26" s="42" t="s">
        <v>136</v>
      </c>
      <c r="D26" s="97" t="s">
        <v>235</v>
      </c>
      <c r="E26" s="33" t="s">
        <v>246</v>
      </c>
    </row>
    <row r="27" spans="2:5" ht="15.9" customHeight="1" thickBot="1">
      <c r="B27" s="45"/>
      <c r="C27" s="42" t="s">
        <v>135</v>
      </c>
      <c r="D27" s="164" t="s">
        <v>240</v>
      </c>
      <c r="E27" s="165" t="s">
        <v>247</v>
      </c>
    </row>
    <row r="28" spans="2:5" ht="15.9" customHeight="1">
      <c r="B28" s="47"/>
      <c r="C28" s="47"/>
      <c r="D28" s="48"/>
    </row>
    <row r="29" spans="2:5" ht="15.9" customHeight="1">
      <c r="B29" s="47"/>
      <c r="C29" s="47"/>
      <c r="D29" s="48"/>
    </row>
    <row r="30" spans="2:5" ht="15.9" customHeight="1"/>
    <row r="31" spans="2:5" ht="15.9" customHeight="1"/>
    <row r="32" spans="2:5" ht="15.9" customHeight="1"/>
    <row r="33" ht="15.9" customHeight="1"/>
    <row r="34" ht="15.9" customHeight="1"/>
    <row r="35" ht="15.9" customHeight="1"/>
    <row r="36" ht="15.9" customHeight="1"/>
    <row r="37" ht="15.9" customHeight="1"/>
  </sheetData>
  <dataValidations xWindow="955" yWindow="668" count="14">
    <dataValidation type="textLength" allowBlank="1" showInputMessage="1" showErrorMessage="1" errorTitle="Non ISO currency code detected" error="Please revise according to description" promptTitle="Input 3-letter ISO currency code" prompt="Input 3-letter ISO 4217 currency code:_x000a_If unsure, visit https://en.wikipedia.org/wiki/ISO_4217" sqref="D20" xr:uid="{00000000-0002-0000-0100-000000000000}">
      <formula1>3</formula1>
      <formula2>3</formula2>
    </dataValidation>
    <dataValidation type="decimal" errorStyle="warning" allowBlank="1" showInputMessage="1" showErrorMessage="1" errorTitle="Non-number value detected" error="Only input numbers in this cell. If additional information is appropriate, please include in appropriate columns on the right." promptTitle="Exchange/conversion rate" prompt="Please input the relevant exchange rate from 1 USD to the currency reported above._x000a__x000a_If additional information is relevant, include this in comment section." sqref="D21" xr:uid="{00000000-0002-0000-0100-000001000000}">
      <formula1>0</formula1>
      <formula2>9999999999999990000</formula2>
    </dataValidation>
    <dataValidation type="date" allowBlank="1" showInputMessage="1" showErrorMessage="1" errorTitle="Incorrect format" error="Please revise information according to specified format" promptTitle="Input date in specific format" prompt="YYYY-MM-DD" sqref="D6:D7 D9" xr:uid="{00000000-0002-0000-0100-000002000000}">
      <formula1>36161</formula1>
      <formula2>47848</formula2>
    </dataValidation>
    <dataValidation allowBlank="1" showInputMessage="1" promptTitle="Country Name" prompt="Please insert name of country here. Only text" sqref="D5" xr:uid="{00000000-0002-0000-0100-000003000000}"/>
    <dataValidation allowBlank="1" showInputMessage="1" showErrorMessage="1" promptTitle="Company name" prompt="Insert name of the Independent Administrator's company, hired to produce the EITI report" sqref="D8" xr:uid="{00000000-0002-0000-0100-000004000000}"/>
    <dataValidation allowBlank="1" showInputMessage="1" showErrorMessage="1" promptTitle="Additional sectors" prompt="If the report also considers sectors other than Oil, Gas and Mining, e.g. Forestry, Hydropower or similar, please indicate as such in this cell." sqref="D13" xr:uid="{00000000-0002-0000-0100-000005000000}"/>
    <dataValidation allowBlank="1" showInputMessage="1" showErrorMessage="1" promptTitle="EITI Report URL" prompt="Please insert direct URL to EITI Report (or report folder) on National EITI website." sqref="D14" xr:uid="{00000000-0002-0000-0100-000006000000}"/>
    <dataValidation allowBlank="1" showInputMessage="1" showErrorMessage="1" promptTitle="Data files (CSV, excel)" prompt="Please insert direct URL to accompanying data files for report on National EITI website._x000a__x000a_Data files refer to excel, CSV or similar. PDFs are not to be included here" sqref="D15" xr:uid="{00000000-0002-0000-0100-000007000000}"/>
    <dataValidation allowBlank="1" showInputMessage="1" showErrorMessage="1" promptTitle="Additional relevant files" prompt="If several files relevant to the report exist, please indicate as such here. If several, please copy this into several rows." sqref="D17" xr:uid="{00000000-0002-0000-0100-000008000000}"/>
    <dataValidation type="decimal" errorStyle="warning" allowBlank="1" showInputMessage="1" showErrorMessage="1" errorTitle="Non-number value detected" error="Only input numbers in this cell. If additional information is appropriate, please include in appropriate columns on the right." promptTitle="Reporting government entities" prompt="Please input how many government entities reported on revenues received" sqref="D18" xr:uid="{00000000-0002-0000-0100-000009000000}">
      <formula1>0</formula1>
      <formula2>9999999999999990000</formula2>
    </dataValidation>
    <dataValidation type="decimal" errorStyle="warning" allowBlank="1" showInputMessage="1" showErrorMessage="1" errorTitle="Non-number value detected" error="Only input numbers in this cell. If additional information is appropriate, please include in appropriate columns on the right." promptTitle="Reporting companies" prompt="Please input the number of companies reporting on payments to the government" sqref="D19" xr:uid="{00000000-0002-0000-0100-00000A000000}">
      <formula1>0</formula1>
      <formula2>9999999999999990000</formula2>
    </dataValidation>
    <dataValidation allowBlank="1" showInputMessage="1" showErrorMessage="1" promptTitle="Open data policy" prompt="Please insert direct URL to Open data policy on National EITI website." sqref="D16" xr:uid="{00000000-0002-0000-0100-00000B000000}"/>
    <dataValidation type="list" showInputMessage="1" showErrorMessage="1" errorTitle="Invalid entry" error="_x000a_Please choose among the following:_x000a__x000a_Yes_x000a_No_x000a_Not applicable" promptTitle="Choose among the following" prompt="_x000a_Yes_x000a_No_x000a_Not applicable" sqref="D22:D24 D10:D12" xr:uid="{00000000-0002-0000-0100-00000C000000}">
      <formula1>"Yes,No,Not applicable,&lt;choose option&gt;"</formula1>
    </dataValidation>
    <dataValidation type="list" showDropDown="1" showInputMessage="1" showErrorMessage="1" errorTitle="Please do not edit these cells" error="Please do not edit these cells" sqref="C1:C12 C14:C16 A1:B29 C18:C29 D28:E30 D1:E4" xr:uid="{00000000-0002-0000-0100-00000D000000}">
      <formula1>"#ERROR!"</formula1>
    </dataValidation>
  </dataValidations>
  <hyperlinks>
    <hyperlink ref="D14" r:id="rId1" xr:uid="{00000000-0004-0000-0100-000000000000}"/>
    <hyperlink ref="D16" r:id="rId2" xr:uid="{00000000-0004-0000-0100-000001000000}"/>
    <hyperlink ref="D27" r:id="rId3" xr:uid="{00000000-0004-0000-0100-000002000000}"/>
    <hyperlink ref="E27" r:id="rId4" xr:uid="{00000000-0004-0000-0100-000003000000}"/>
  </hyperlinks>
  <pageMargins left="0.25" right="0.25" top="0.75" bottom="0.75" header="0.3" footer="0.3"/>
  <pageSetup paperSize="8" orientation="landscape" horizontalDpi="2400" verticalDpi="240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H97"/>
  <sheetViews>
    <sheetView showGridLines="0" tabSelected="1" topLeftCell="A5" zoomScale="85" zoomScaleNormal="85" workbookViewId="0">
      <selection activeCell="D18" sqref="D18"/>
    </sheetView>
  </sheetViews>
  <sheetFormatPr defaultColWidth="3.5" defaultRowHeight="24" customHeight="1"/>
  <cols>
    <col min="1" max="1" width="3.5" style="39"/>
    <col min="2" max="2" width="53.5" style="39" customWidth="1"/>
    <col min="3" max="3" width="52.5" style="39" bestFit="1" customWidth="1"/>
    <col min="4" max="4" width="26.1640625" style="39" customWidth="1"/>
    <col min="5" max="5" width="15.08203125" style="39" bestFit="1" customWidth="1"/>
    <col min="6" max="6" width="32.9140625" style="39" bestFit="1" customWidth="1"/>
    <col min="7" max="7" width="32.08203125" style="39" customWidth="1"/>
    <col min="8" max="10" width="3.08203125" style="39" customWidth="1"/>
    <col min="11" max="16384" width="3.5" style="39"/>
  </cols>
  <sheetData>
    <row r="1" spans="2:8" ht="15.9" customHeight="1"/>
    <row r="2" spans="2:8" ht="24.9" customHeight="1">
      <c r="B2" s="40" t="s">
        <v>16</v>
      </c>
      <c r="C2" s="5"/>
      <c r="E2" s="8"/>
    </row>
    <row r="3" spans="2:8" ht="15.9" customHeight="1">
      <c r="B3" s="49"/>
      <c r="E3" s="8"/>
    </row>
    <row r="4" spans="2:8" ht="15" customHeight="1" thickBot="1">
      <c r="D4" s="8" t="s">
        <v>15</v>
      </c>
      <c r="E4" s="8" t="s">
        <v>138</v>
      </c>
      <c r="F4" s="9" t="s">
        <v>170</v>
      </c>
      <c r="G4" s="8" t="s">
        <v>169</v>
      </c>
      <c r="H4" s="31"/>
    </row>
    <row r="5" spans="2:8" ht="16.5" customHeight="1">
      <c r="B5" s="43" t="s">
        <v>215</v>
      </c>
      <c r="C5" s="42" t="s">
        <v>182</v>
      </c>
      <c r="D5" s="87">
        <v>309057568.95011771</v>
      </c>
      <c r="E5" s="119" t="s">
        <v>190</v>
      </c>
      <c r="F5" s="50" t="s">
        <v>278</v>
      </c>
      <c r="G5" s="33"/>
    </row>
    <row r="6" spans="2:8" ht="16.5" customHeight="1">
      <c r="B6" s="51" t="s">
        <v>139</v>
      </c>
      <c r="C6" s="42" t="s">
        <v>179</v>
      </c>
      <c r="D6" s="88">
        <v>13647589790.781389</v>
      </c>
      <c r="E6" s="120" t="s">
        <v>190</v>
      </c>
      <c r="F6" s="52" t="s">
        <v>278</v>
      </c>
      <c r="G6" s="33"/>
    </row>
    <row r="7" spans="2:8" ht="16.5" customHeight="1">
      <c r="C7" s="53" t="s">
        <v>180</v>
      </c>
      <c r="D7" s="88">
        <v>173390261.72625652</v>
      </c>
      <c r="E7" s="120" t="s">
        <v>190</v>
      </c>
      <c r="F7" s="52" t="s">
        <v>279</v>
      </c>
      <c r="G7" s="33"/>
    </row>
    <row r="8" spans="2:8" ht="16.5" customHeight="1">
      <c r="B8" s="47"/>
      <c r="C8" s="42" t="s">
        <v>181</v>
      </c>
      <c r="D8" s="88">
        <v>3427375700.3274956</v>
      </c>
      <c r="E8" s="120" t="s">
        <v>190</v>
      </c>
      <c r="F8" s="52" t="s">
        <v>279</v>
      </c>
      <c r="G8" s="33"/>
    </row>
    <row r="9" spans="2:8" ht="16.5" customHeight="1">
      <c r="B9" s="47"/>
      <c r="C9" s="42" t="s">
        <v>183</v>
      </c>
      <c r="D9" s="88">
        <v>713099169.08003354</v>
      </c>
      <c r="E9" s="120" t="s">
        <v>190</v>
      </c>
      <c r="F9" s="52" t="s">
        <v>280</v>
      </c>
      <c r="G9" s="33"/>
    </row>
    <row r="10" spans="2:8" ht="16.5" customHeight="1">
      <c r="B10" s="47"/>
      <c r="C10" s="42" t="s">
        <v>184</v>
      </c>
      <c r="D10" s="88">
        <v>2271158686.7675314</v>
      </c>
      <c r="E10" s="120" t="s">
        <v>190</v>
      </c>
      <c r="F10" s="52" t="s">
        <v>280</v>
      </c>
      <c r="G10" s="33"/>
    </row>
    <row r="11" spans="2:8" ht="15.9" customHeight="1">
      <c r="B11" s="43" t="s">
        <v>216</v>
      </c>
      <c r="C11" s="42" t="s">
        <v>140</v>
      </c>
      <c r="D11" s="88">
        <v>0</v>
      </c>
      <c r="E11" s="139" t="s">
        <v>192</v>
      </c>
      <c r="F11" s="52"/>
      <c r="G11" s="33"/>
    </row>
    <row r="12" spans="2:8" ht="15.9" customHeight="1">
      <c r="B12" s="51" t="s">
        <v>139</v>
      </c>
      <c r="C12" s="42" t="s">
        <v>202</v>
      </c>
      <c r="D12" s="88">
        <v>0</v>
      </c>
      <c r="E12" s="120" t="s">
        <v>190</v>
      </c>
      <c r="F12" s="52"/>
      <c r="G12" s="33"/>
    </row>
    <row r="13" spans="2:8" ht="15.9" customHeight="1">
      <c r="B13" s="54"/>
      <c r="C13" s="42" t="s">
        <v>141</v>
      </c>
      <c r="D13" s="88">
        <v>22675.044000000002</v>
      </c>
      <c r="E13" s="139" t="s">
        <v>193</v>
      </c>
      <c r="F13" s="52" t="s">
        <v>276</v>
      </c>
      <c r="G13" s="33"/>
    </row>
    <row r="14" spans="2:8" ht="15.9" customHeight="1">
      <c r="B14" s="54"/>
      <c r="C14" s="42" t="s">
        <v>203</v>
      </c>
      <c r="D14" s="88">
        <v>3700000000</v>
      </c>
      <c r="E14" s="120" t="s">
        <v>238</v>
      </c>
      <c r="F14" s="52" t="s">
        <v>276</v>
      </c>
      <c r="G14" s="33"/>
    </row>
    <row r="15" spans="2:8" ht="15.9" customHeight="1">
      <c r="B15" s="54"/>
      <c r="C15" s="42" t="s">
        <v>248</v>
      </c>
      <c r="D15" s="166">
        <v>5.6696005843493804</v>
      </c>
      <c r="E15" s="139" t="s">
        <v>205</v>
      </c>
      <c r="F15" s="52" t="s">
        <v>276</v>
      </c>
      <c r="G15" s="33" t="s">
        <v>281</v>
      </c>
    </row>
    <row r="16" spans="2:8" ht="15.9" customHeight="1">
      <c r="B16"/>
      <c r="C16" s="42" t="s">
        <v>249</v>
      </c>
      <c r="D16" s="88">
        <v>212032776.96768343</v>
      </c>
      <c r="E16" s="120" t="s">
        <v>190</v>
      </c>
      <c r="F16" s="52" t="s">
        <v>277</v>
      </c>
      <c r="G16" s="33"/>
    </row>
    <row r="17" spans="2:7" ht="15.9" customHeight="1">
      <c r="B17"/>
      <c r="C17" s="42" t="s">
        <v>250</v>
      </c>
      <c r="D17" s="166">
        <v>0.556347558465769</v>
      </c>
      <c r="E17" s="139" t="s">
        <v>205</v>
      </c>
      <c r="F17" s="52" t="s">
        <v>276</v>
      </c>
      <c r="G17" s="33" t="s">
        <v>282</v>
      </c>
    </row>
    <row r="18" spans="2:7" ht="15.9" customHeight="1">
      <c r="B18"/>
      <c r="C18" s="42" t="s">
        <v>251</v>
      </c>
      <c r="D18" s="88">
        <v>0</v>
      </c>
      <c r="E18" s="120" t="s">
        <v>190</v>
      </c>
      <c r="F18" s="52"/>
      <c r="G18" s="33" t="s">
        <v>285</v>
      </c>
    </row>
    <row r="19" spans="2:7" ht="15.9" customHeight="1">
      <c r="B19"/>
      <c r="C19" s="42" t="s">
        <v>252</v>
      </c>
      <c r="D19" s="88">
        <v>1836552</v>
      </c>
      <c r="E19" s="139" t="s">
        <v>205</v>
      </c>
      <c r="F19" s="52" t="s">
        <v>276</v>
      </c>
      <c r="G19" s="33"/>
    </row>
    <row r="20" spans="2:7" ht="15.9" customHeight="1">
      <c r="B20"/>
      <c r="C20" s="42" t="s">
        <v>253</v>
      </c>
      <c r="D20" s="88">
        <v>51414468.781294823</v>
      </c>
      <c r="E20" s="120" t="s">
        <v>190</v>
      </c>
      <c r="F20" s="52" t="s">
        <v>277</v>
      </c>
      <c r="G20" s="33"/>
    </row>
    <row r="21" spans="2:7" ht="15.9" customHeight="1">
      <c r="B21"/>
      <c r="C21" s="42" t="s">
        <v>254</v>
      </c>
      <c r="D21" s="88">
        <v>181247</v>
      </c>
      <c r="E21" s="139" t="s">
        <v>205</v>
      </c>
      <c r="F21" s="52" t="s">
        <v>276</v>
      </c>
      <c r="G21" s="33"/>
    </row>
    <row r="22" spans="2:7" ht="15.9" customHeight="1">
      <c r="B22" s="54"/>
      <c r="C22" s="42" t="s">
        <v>255</v>
      </c>
      <c r="D22" s="88">
        <v>4577404.5017186776</v>
      </c>
      <c r="E22" s="120" t="s">
        <v>190</v>
      </c>
      <c r="F22" s="52" t="s">
        <v>277</v>
      </c>
      <c r="G22" s="33"/>
    </row>
    <row r="23" spans="2:7" ht="15.9" customHeight="1">
      <c r="B23" s="54"/>
      <c r="C23" s="42" t="s">
        <v>256</v>
      </c>
      <c r="D23" s="88">
        <v>320646</v>
      </c>
      <c r="E23" s="139" t="s">
        <v>205</v>
      </c>
      <c r="F23" s="52" t="s">
        <v>276</v>
      </c>
      <c r="G23" s="33"/>
    </row>
    <row r="24" spans="2:7" ht="15.9" customHeight="1">
      <c r="B24" s="54"/>
      <c r="C24" s="42" t="s">
        <v>257</v>
      </c>
      <c r="D24" s="88">
        <v>32064633</v>
      </c>
      <c r="E24" s="120" t="s">
        <v>190</v>
      </c>
      <c r="F24" s="52" t="s">
        <v>277</v>
      </c>
      <c r="G24" s="33"/>
    </row>
    <row r="25" spans="2:7" ht="15.9" customHeight="1">
      <c r="B25" s="54"/>
      <c r="C25" s="42" t="s">
        <v>258</v>
      </c>
      <c r="D25" s="88">
        <v>23516</v>
      </c>
      <c r="E25" s="139" t="s">
        <v>205</v>
      </c>
      <c r="F25" s="52" t="s">
        <v>276</v>
      </c>
      <c r="G25" s="33"/>
    </row>
    <row r="26" spans="2:7" ht="15.9" customHeight="1">
      <c r="B26" s="54"/>
      <c r="C26" s="42" t="s">
        <v>259</v>
      </c>
      <c r="D26" s="88">
        <v>25703452</v>
      </c>
      <c r="E26" s="120" t="s">
        <v>190</v>
      </c>
      <c r="F26" s="52" t="s">
        <v>277</v>
      </c>
      <c r="G26" s="33"/>
    </row>
    <row r="27" spans="2:7" ht="15.9" customHeight="1">
      <c r="B27" s="54"/>
      <c r="C27" s="42" t="s">
        <v>260</v>
      </c>
      <c r="D27" s="88">
        <v>21732</v>
      </c>
      <c r="E27" s="155" t="s">
        <v>205</v>
      </c>
      <c r="F27" s="52" t="s">
        <v>276</v>
      </c>
      <c r="G27" s="33"/>
    </row>
    <row r="28" spans="2:7" ht="15.9" customHeight="1">
      <c r="B28" s="54"/>
      <c r="C28" s="42" t="s">
        <v>261</v>
      </c>
      <c r="D28" s="88">
        <v>22166267</v>
      </c>
      <c r="E28" s="120" t="s">
        <v>190</v>
      </c>
      <c r="F28" s="52" t="s">
        <v>277</v>
      </c>
      <c r="G28" s="33"/>
    </row>
    <row r="29" spans="2:7" ht="15.9" customHeight="1">
      <c r="B29" s="54"/>
      <c r="C29" s="42" t="s">
        <v>262</v>
      </c>
      <c r="D29" s="88">
        <v>107043</v>
      </c>
      <c r="E29" s="155" t="s">
        <v>205</v>
      </c>
      <c r="F29" s="52" t="s">
        <v>276</v>
      </c>
      <c r="G29" s="33"/>
    </row>
    <row r="30" spans="2:7" ht="15.9" customHeight="1">
      <c r="B30" s="54"/>
      <c r="C30" s="42" t="s">
        <v>263</v>
      </c>
      <c r="D30" s="88">
        <v>16912780</v>
      </c>
      <c r="E30" s="120" t="s">
        <v>190</v>
      </c>
      <c r="F30" s="52" t="s">
        <v>277</v>
      </c>
      <c r="G30" s="33"/>
    </row>
    <row r="31" spans="2:7" ht="15.9" customHeight="1">
      <c r="B31" s="54"/>
      <c r="C31" s="42" t="s">
        <v>264</v>
      </c>
      <c r="D31" s="88">
        <v>2535402</v>
      </c>
      <c r="E31" s="155" t="s">
        <v>205</v>
      </c>
      <c r="F31" s="52" t="s">
        <v>276</v>
      </c>
      <c r="G31" s="33" t="s">
        <v>286</v>
      </c>
    </row>
    <row r="32" spans="2:7" ht="15.9" customHeight="1">
      <c r="B32" s="54"/>
      <c r="C32" s="42" t="s">
        <v>265</v>
      </c>
      <c r="D32" s="88">
        <v>14361440.187971959</v>
      </c>
      <c r="E32" s="120" t="s">
        <v>190</v>
      </c>
      <c r="F32" s="52" t="s">
        <v>277</v>
      </c>
      <c r="G32" s="33"/>
    </row>
    <row r="33" spans="2:7" ht="15.9" customHeight="1">
      <c r="B33" s="54"/>
      <c r="C33" s="42" t="s">
        <v>266</v>
      </c>
      <c r="D33" s="88">
        <v>2084</v>
      </c>
      <c r="E33" s="155" t="s">
        <v>205</v>
      </c>
      <c r="F33" s="52" t="s">
        <v>276</v>
      </c>
      <c r="G33" s="33"/>
    </row>
    <row r="34" spans="2:7" ht="15.9" customHeight="1">
      <c r="B34" s="54"/>
      <c r="C34" s="42" t="s">
        <v>267</v>
      </c>
      <c r="D34" s="88">
        <v>1716817</v>
      </c>
      <c r="E34" s="120" t="s">
        <v>190</v>
      </c>
      <c r="F34" s="52" t="s">
        <v>277</v>
      </c>
      <c r="G34" s="33"/>
    </row>
    <row r="35" spans="2:7" ht="15.9" customHeight="1">
      <c r="B35" s="54"/>
      <c r="C35" s="42" t="s">
        <v>268</v>
      </c>
      <c r="D35" s="88">
        <v>4992067</v>
      </c>
      <c r="E35" s="155" t="s">
        <v>205</v>
      </c>
      <c r="F35" s="52" t="s">
        <v>276</v>
      </c>
      <c r="G35" s="33" t="s">
        <v>287</v>
      </c>
    </row>
    <row r="36" spans="2:7" ht="15.9" customHeight="1">
      <c r="B36" s="54"/>
      <c r="C36" s="42" t="s">
        <v>269</v>
      </c>
      <c r="D36" s="88">
        <v>12894804.911427179</v>
      </c>
      <c r="E36" s="120" t="s">
        <v>190</v>
      </c>
      <c r="F36" s="52" t="s">
        <v>277</v>
      </c>
      <c r="G36" s="33"/>
    </row>
    <row r="37" spans="2:7" ht="15.9" customHeight="1">
      <c r="B37" s="54"/>
      <c r="C37" s="42" t="s">
        <v>270</v>
      </c>
      <c r="D37" s="88">
        <v>751411</v>
      </c>
      <c r="E37" s="155" t="s">
        <v>205</v>
      </c>
      <c r="F37" s="52" t="s">
        <v>276</v>
      </c>
      <c r="G37" s="33" t="s">
        <v>288</v>
      </c>
    </row>
    <row r="38" spans="2:7" ht="15.9" customHeight="1">
      <c r="B38" s="54"/>
      <c r="C38" s="42" t="s">
        <v>271</v>
      </c>
      <c r="D38" s="88">
        <v>525898.66734782257</v>
      </c>
      <c r="E38" s="120" t="s">
        <v>190</v>
      </c>
      <c r="F38" s="52" t="s">
        <v>277</v>
      </c>
      <c r="G38" s="33"/>
    </row>
    <row r="39" spans="2:7" ht="15.9" customHeight="1">
      <c r="B39" s="54"/>
      <c r="C39" s="42" t="s">
        <v>272</v>
      </c>
      <c r="D39" s="88">
        <v>102713</v>
      </c>
      <c r="E39" s="155" t="s">
        <v>205</v>
      </c>
      <c r="F39" s="52" t="s">
        <v>276</v>
      </c>
      <c r="G39" s="33"/>
    </row>
    <row r="40" spans="2:7" ht="15.9" customHeight="1">
      <c r="B40" s="54"/>
      <c r="C40" s="42" t="s">
        <v>273</v>
      </c>
      <c r="D40" s="88">
        <v>138673.91635315452</v>
      </c>
      <c r="E40" s="120" t="s">
        <v>190</v>
      </c>
      <c r="F40" s="52" t="s">
        <v>277</v>
      </c>
      <c r="G40" s="33"/>
    </row>
    <row r="41" spans="2:7" ht="15.9" customHeight="1">
      <c r="B41" s="54"/>
      <c r="C41" s="42" t="s">
        <v>274</v>
      </c>
      <c r="D41" s="88">
        <v>3227</v>
      </c>
      <c r="E41" s="155" t="s">
        <v>205</v>
      </c>
      <c r="F41" s="52" t="s">
        <v>276</v>
      </c>
      <c r="G41" s="33"/>
    </row>
    <row r="42" spans="2:7" ht="15.9" customHeight="1">
      <c r="B42" s="54"/>
      <c r="C42" s="42" t="s">
        <v>275</v>
      </c>
      <c r="D42" s="88">
        <v>1564960</v>
      </c>
      <c r="E42" s="120" t="s">
        <v>190</v>
      </c>
      <c r="F42" s="52" t="s">
        <v>277</v>
      </c>
      <c r="G42" s="33"/>
    </row>
    <row r="43" spans="2:7" ht="15.9" customHeight="1">
      <c r="B43" s="43" t="s">
        <v>217</v>
      </c>
      <c r="C43" s="42" t="s">
        <v>140</v>
      </c>
      <c r="D43" s="88">
        <v>0</v>
      </c>
      <c r="E43" s="139" t="s">
        <v>192</v>
      </c>
      <c r="F43" s="52"/>
      <c r="G43" s="33"/>
    </row>
    <row r="44" spans="2:7" ht="15.9" customHeight="1">
      <c r="B44" s="51" t="s">
        <v>139</v>
      </c>
      <c r="C44" s="42" t="s">
        <v>202</v>
      </c>
      <c r="D44" s="88">
        <v>0</v>
      </c>
      <c r="E44" s="120" t="s">
        <v>190</v>
      </c>
      <c r="F44" s="52"/>
      <c r="G44" s="33"/>
    </row>
    <row r="45" spans="2:7" ht="15.9" customHeight="1">
      <c r="B45" s="54"/>
      <c r="C45" s="42" t="s">
        <v>141</v>
      </c>
      <c r="D45" s="88">
        <v>0</v>
      </c>
      <c r="E45" s="139" t="s">
        <v>193</v>
      </c>
      <c r="F45" s="52"/>
      <c r="G45" s="33"/>
    </row>
    <row r="46" spans="2:7" ht="15.9" customHeight="1">
      <c r="B46" s="54"/>
      <c r="C46" s="42" t="s">
        <v>203</v>
      </c>
      <c r="D46" s="88">
        <v>0</v>
      </c>
      <c r="E46" s="120" t="s">
        <v>190</v>
      </c>
      <c r="F46" s="52"/>
      <c r="G46" s="33"/>
    </row>
    <row r="47" spans="2:7" ht="15.9" customHeight="1">
      <c r="B47" s="54"/>
      <c r="C47" s="42" t="s">
        <v>201</v>
      </c>
      <c r="D47" s="166">
        <v>6.0097480042287099</v>
      </c>
      <c r="E47" s="139" t="s">
        <v>205</v>
      </c>
      <c r="F47" s="52" t="s">
        <v>276</v>
      </c>
      <c r="G47" s="33" t="s">
        <v>283</v>
      </c>
    </row>
    <row r="48" spans="2:7" ht="15.9" customHeight="1">
      <c r="B48" s="54"/>
      <c r="C48" s="42" t="s">
        <v>204</v>
      </c>
      <c r="D48" s="88">
        <v>224581833.43708554</v>
      </c>
      <c r="E48" s="120" t="s">
        <v>190</v>
      </c>
      <c r="F48" s="52" t="s">
        <v>276</v>
      </c>
      <c r="G48" s="33"/>
    </row>
    <row r="49" spans="2:7" ht="15.9" customHeight="1">
      <c r="B49" s="54"/>
      <c r="C49" s="42" t="s">
        <v>250</v>
      </c>
      <c r="D49" s="166">
        <v>0.556347558465769</v>
      </c>
      <c r="E49" s="139" t="s">
        <v>205</v>
      </c>
      <c r="F49" s="52" t="s">
        <v>276</v>
      </c>
      <c r="G49" s="33" t="s">
        <v>284</v>
      </c>
    </row>
    <row r="50" spans="2:7" ht="15.9" customHeight="1">
      <c r="B50"/>
      <c r="C50" s="42" t="s">
        <v>251</v>
      </c>
      <c r="D50" s="88">
        <v>279116.0310715349</v>
      </c>
      <c r="E50" s="120" t="s">
        <v>190</v>
      </c>
      <c r="F50" s="52" t="s">
        <v>276</v>
      </c>
      <c r="G50" s="33"/>
    </row>
    <row r="51" spans="2:7" ht="15.9" customHeight="1">
      <c r="B51"/>
      <c r="C51" s="42" t="s">
        <v>252</v>
      </c>
      <c r="D51" s="88">
        <v>941525</v>
      </c>
      <c r="E51" s="139" t="s">
        <v>205</v>
      </c>
      <c r="F51" s="52" t="s">
        <v>276</v>
      </c>
      <c r="G51" s="33"/>
    </row>
    <row r="52" spans="2:7" ht="15.9" customHeight="1">
      <c r="B52"/>
      <c r="C52" s="42" t="s">
        <v>253</v>
      </c>
      <c r="D52" s="88">
        <v>65795260.778953634</v>
      </c>
      <c r="E52" s="120" t="s">
        <v>190</v>
      </c>
      <c r="F52" s="52" t="s">
        <v>276</v>
      </c>
      <c r="G52" s="33"/>
    </row>
    <row r="53" spans="2:7" ht="15.9" customHeight="1">
      <c r="B53"/>
      <c r="C53" s="42" t="s">
        <v>254</v>
      </c>
      <c r="D53" s="88">
        <v>183215</v>
      </c>
      <c r="E53" s="139" t="s">
        <v>205</v>
      </c>
      <c r="F53" s="52" t="s">
        <v>276</v>
      </c>
      <c r="G53" s="33"/>
    </row>
    <row r="54" spans="2:7" ht="15.9" customHeight="1">
      <c r="B54"/>
      <c r="C54" s="42" t="s">
        <v>255</v>
      </c>
      <c r="D54" s="88">
        <v>8429304.1383603532</v>
      </c>
      <c r="E54" s="120" t="s">
        <v>190</v>
      </c>
      <c r="F54" s="52" t="s">
        <v>276</v>
      </c>
      <c r="G54" s="33"/>
    </row>
    <row r="55" spans="2:7" ht="15.9" customHeight="1">
      <c r="B55"/>
      <c r="C55" s="42" t="s">
        <v>256</v>
      </c>
      <c r="D55" s="88">
        <v>340021</v>
      </c>
      <c r="E55" s="139" t="s">
        <v>205</v>
      </c>
      <c r="F55" s="52" t="s">
        <v>276</v>
      </c>
      <c r="G55" s="33"/>
    </row>
    <row r="56" spans="2:7" ht="15.9" customHeight="1">
      <c r="B56" s="54"/>
      <c r="C56" s="42" t="s">
        <v>257</v>
      </c>
      <c r="D56" s="88">
        <v>28710044.117249031</v>
      </c>
      <c r="E56" s="120" t="s">
        <v>190</v>
      </c>
      <c r="F56" s="52" t="s">
        <v>276</v>
      </c>
      <c r="G56" s="33"/>
    </row>
    <row r="57" spans="2:7" ht="15.9" customHeight="1">
      <c r="B57" s="54"/>
      <c r="C57" s="42" t="s">
        <v>258</v>
      </c>
      <c r="D57" s="88">
        <v>22427</v>
      </c>
      <c r="E57" s="139" t="s">
        <v>205</v>
      </c>
      <c r="F57" s="52" t="s">
        <v>276</v>
      </c>
      <c r="G57" s="33"/>
    </row>
    <row r="58" spans="2:7" ht="15.9" customHeight="1">
      <c r="B58" s="54"/>
      <c r="C58" s="42" t="s">
        <v>259</v>
      </c>
      <c r="D58" s="88">
        <v>24098708.961485367</v>
      </c>
      <c r="E58" s="120" t="s">
        <v>190</v>
      </c>
      <c r="F58" s="52" t="s">
        <v>276</v>
      </c>
      <c r="G58" s="33"/>
    </row>
    <row r="59" spans="2:7" ht="15.9" customHeight="1">
      <c r="B59" s="54"/>
      <c r="C59" s="42" t="s">
        <v>260</v>
      </c>
      <c r="D59" s="88">
        <v>19409</v>
      </c>
      <c r="E59" s="155" t="s">
        <v>205</v>
      </c>
      <c r="F59" s="52" t="s">
        <v>276</v>
      </c>
      <c r="G59" s="33"/>
    </row>
    <row r="60" spans="2:7" ht="15.9" customHeight="1">
      <c r="B60" s="54"/>
      <c r="C60" s="42" t="s">
        <v>261</v>
      </c>
      <c r="D60" s="88">
        <v>19612553.11662652</v>
      </c>
      <c r="E60" s="120" t="s">
        <v>190</v>
      </c>
      <c r="F60" s="52" t="s">
        <v>276</v>
      </c>
      <c r="G60" s="33"/>
    </row>
    <row r="61" spans="2:7" ht="15.9" customHeight="1">
      <c r="B61" s="54"/>
      <c r="C61" s="42" t="s">
        <v>262</v>
      </c>
      <c r="D61" s="88">
        <v>80398</v>
      </c>
      <c r="E61" s="155" t="s">
        <v>205</v>
      </c>
      <c r="F61" s="52" t="s">
        <v>276</v>
      </c>
      <c r="G61" s="33"/>
    </row>
    <row r="62" spans="2:7" ht="15.9" customHeight="1">
      <c r="B62" s="54"/>
      <c r="C62" s="42" t="s">
        <v>263</v>
      </c>
      <c r="D62" s="88">
        <v>12907001.921671582</v>
      </c>
      <c r="E62" s="120" t="s">
        <v>190</v>
      </c>
      <c r="F62" s="52" t="s">
        <v>276</v>
      </c>
      <c r="G62" s="33"/>
    </row>
    <row r="63" spans="2:7" ht="15.9" customHeight="1">
      <c r="B63" s="54"/>
      <c r="C63" s="42" t="s">
        <v>264</v>
      </c>
      <c r="D63" s="88">
        <v>92099</v>
      </c>
      <c r="E63" s="155" t="s">
        <v>205</v>
      </c>
      <c r="F63" s="52" t="s">
        <v>276</v>
      </c>
      <c r="G63" s="33"/>
    </row>
    <row r="64" spans="2:7" ht="15.9" customHeight="1">
      <c r="B64" s="54"/>
      <c r="C64" s="42" t="s">
        <v>265</v>
      </c>
      <c r="D64" s="88">
        <v>928695.15792892512</v>
      </c>
      <c r="E64" s="120" t="s">
        <v>190</v>
      </c>
      <c r="F64" s="52" t="s">
        <v>276</v>
      </c>
      <c r="G64" s="33"/>
    </row>
    <row r="65" spans="2:7" ht="15.9" customHeight="1">
      <c r="B65" s="54"/>
      <c r="C65" s="42" t="s">
        <v>266</v>
      </c>
      <c r="D65" s="88">
        <v>1971</v>
      </c>
      <c r="E65" s="155" t="s">
        <v>205</v>
      </c>
      <c r="F65" s="52" t="s">
        <v>276</v>
      </c>
      <c r="G65" s="33"/>
    </row>
    <row r="66" spans="2:7" ht="15.9" customHeight="1">
      <c r="B66" s="54"/>
      <c r="C66" s="42" t="s">
        <v>267</v>
      </c>
      <c r="D66" s="88">
        <v>1607031.6940482312</v>
      </c>
      <c r="E66" s="120" t="s">
        <v>190</v>
      </c>
      <c r="F66" s="52" t="s">
        <v>276</v>
      </c>
      <c r="G66" s="33"/>
    </row>
    <row r="67" spans="2:7" ht="15.9" customHeight="1">
      <c r="B67" s="54"/>
      <c r="C67" s="42" t="s">
        <v>274</v>
      </c>
      <c r="D67" s="88">
        <v>2638</v>
      </c>
      <c r="E67" s="155" t="s">
        <v>205</v>
      </c>
      <c r="F67" s="52" t="s">
        <v>276</v>
      </c>
      <c r="G67" s="33"/>
    </row>
    <row r="68" spans="2:7" ht="15.9" customHeight="1">
      <c r="B68" s="54"/>
      <c r="C68" s="42" t="s">
        <v>275</v>
      </c>
      <c r="D68" s="88">
        <v>1062332.5303813571</v>
      </c>
      <c r="E68" s="120" t="s">
        <v>190</v>
      </c>
      <c r="F68" s="52" t="s">
        <v>276</v>
      </c>
      <c r="G68" s="33"/>
    </row>
    <row r="69" spans="2:7" ht="15.9" customHeight="1">
      <c r="B69" s="43" t="s">
        <v>218</v>
      </c>
      <c r="C69" s="42" t="s">
        <v>185</v>
      </c>
      <c r="D69" s="185" t="s">
        <v>241</v>
      </c>
      <c r="E69" s="186"/>
      <c r="F69" s="52" t="s">
        <v>289</v>
      </c>
      <c r="G69" s="33"/>
    </row>
    <row r="70" spans="2:7" ht="15.9" customHeight="1">
      <c r="B70" s="46" t="s">
        <v>132</v>
      </c>
      <c r="C70" s="42" t="s">
        <v>38</v>
      </c>
      <c r="D70" s="195"/>
      <c r="E70" s="196"/>
      <c r="F70" s="56"/>
      <c r="G70" s="33"/>
    </row>
    <row r="71" spans="2:7" ht="15.9" customHeight="1">
      <c r="B71" s="47"/>
      <c r="C71" s="42" t="s">
        <v>133</v>
      </c>
      <c r="D71" s="195" t="s">
        <v>303</v>
      </c>
      <c r="E71" s="196"/>
      <c r="F71" s="98" t="s">
        <v>290</v>
      </c>
      <c r="G71" s="33"/>
    </row>
    <row r="72" spans="2:7" ht="15.9" customHeight="1">
      <c r="B72" s="46"/>
      <c r="C72" s="42" t="s">
        <v>145</v>
      </c>
      <c r="D72" s="195" t="s">
        <v>304</v>
      </c>
      <c r="E72" s="196"/>
      <c r="F72" s="98" t="s">
        <v>291</v>
      </c>
      <c r="G72" s="33"/>
    </row>
    <row r="73" spans="2:7" ht="15.9" customHeight="1">
      <c r="B73" s="58" t="s">
        <v>219</v>
      </c>
      <c r="C73" s="59" t="s">
        <v>210</v>
      </c>
      <c r="D73" s="197" t="s">
        <v>301</v>
      </c>
      <c r="E73" s="198"/>
      <c r="F73" s="122"/>
      <c r="G73" s="33"/>
    </row>
    <row r="74" spans="2:7" ht="15.9" customHeight="1">
      <c r="B74" s="46" t="s">
        <v>146</v>
      </c>
      <c r="C74" s="59" t="s">
        <v>211</v>
      </c>
      <c r="D74" s="197" t="s">
        <v>302</v>
      </c>
      <c r="E74" s="198"/>
      <c r="F74" s="122" t="s">
        <v>292</v>
      </c>
      <c r="G74" s="33"/>
    </row>
    <row r="75" spans="2:7" ht="15.9" customHeight="1">
      <c r="B75" s="60"/>
      <c r="C75" s="42" t="s">
        <v>142</v>
      </c>
      <c r="D75" s="195" t="s">
        <v>305</v>
      </c>
      <c r="E75" s="196"/>
      <c r="F75" s="57" t="s">
        <v>293</v>
      </c>
      <c r="G75" s="33"/>
    </row>
    <row r="76" spans="2:7" ht="15.9" customHeight="1">
      <c r="B76" s="58" t="s">
        <v>220</v>
      </c>
      <c r="C76" s="59" t="s">
        <v>17</v>
      </c>
      <c r="D76" s="197" t="s">
        <v>306</v>
      </c>
      <c r="E76" s="198"/>
      <c r="F76" s="52" t="s">
        <v>294</v>
      </c>
      <c r="G76" s="33"/>
    </row>
    <row r="77" spans="2:7" ht="15.9" customHeight="1">
      <c r="B77" s="58" t="s">
        <v>221</v>
      </c>
      <c r="C77" s="59" t="s">
        <v>39</v>
      </c>
      <c r="D77" s="197" t="s">
        <v>242</v>
      </c>
      <c r="E77" s="198"/>
      <c r="F77" s="122" t="s">
        <v>295</v>
      </c>
      <c r="G77" s="33"/>
    </row>
    <row r="78" spans="2:7" ht="15.9" customHeight="1">
      <c r="B78" s="58" t="s">
        <v>222</v>
      </c>
      <c r="C78" s="59" t="s">
        <v>143</v>
      </c>
      <c r="D78" s="185" t="s">
        <v>241</v>
      </c>
      <c r="E78" s="186"/>
      <c r="F78" s="52" t="s">
        <v>296</v>
      </c>
      <c r="G78" s="33"/>
    </row>
    <row r="79" spans="2:7" ht="15.9" customHeight="1">
      <c r="B79" s="8" t="s">
        <v>131</v>
      </c>
      <c r="C79" s="59" t="s">
        <v>144</v>
      </c>
      <c r="D79" s="185" t="s">
        <v>299</v>
      </c>
      <c r="E79" s="186"/>
      <c r="F79" s="56"/>
      <c r="G79" s="33"/>
    </row>
    <row r="80" spans="2:7" ht="15.9" customHeight="1">
      <c r="C80" s="59" t="s">
        <v>129</v>
      </c>
      <c r="D80" s="193" t="s">
        <v>300</v>
      </c>
      <c r="E80" s="194"/>
      <c r="F80" s="98" t="s">
        <v>297</v>
      </c>
      <c r="G80" s="33"/>
    </row>
    <row r="81" spans="2:7" ht="15.9" customHeight="1" thickBot="1">
      <c r="B81" s="61"/>
      <c r="C81" s="55" t="s">
        <v>127</v>
      </c>
      <c r="D81" s="187" t="s">
        <v>130</v>
      </c>
      <c r="E81" s="188"/>
      <c r="F81" s="99" t="s">
        <v>298</v>
      </c>
      <c r="G81" s="33"/>
    </row>
    <row r="82" spans="2:7" ht="15.9" customHeight="1">
      <c r="B82" s="62"/>
      <c r="C82" s="62"/>
      <c r="D82" s="63"/>
      <c r="E82" s="63"/>
      <c r="F82" s="63"/>
    </row>
    <row r="83" spans="2:7" ht="15.9" customHeight="1" thickBot="1">
      <c r="D83" s="191" t="s">
        <v>34</v>
      </c>
      <c r="E83" s="192"/>
    </row>
    <row r="84" spans="2:7" ht="15.9" customHeight="1">
      <c r="B84" s="43" t="s">
        <v>223</v>
      </c>
      <c r="C84" s="42" t="s">
        <v>147</v>
      </c>
      <c r="D84" s="189" t="s">
        <v>243</v>
      </c>
      <c r="E84" s="190"/>
      <c r="F84" s="50" t="s">
        <v>308</v>
      </c>
      <c r="G84" s="33"/>
    </row>
    <row r="85" spans="2:7" ht="15.9" customHeight="1">
      <c r="B85" s="51" t="s">
        <v>139</v>
      </c>
      <c r="C85" s="42" t="s">
        <v>149</v>
      </c>
      <c r="D85" s="88">
        <v>0</v>
      </c>
      <c r="E85" s="147" t="s">
        <v>192</v>
      </c>
      <c r="F85" s="52" t="s">
        <v>309</v>
      </c>
      <c r="G85" s="33"/>
    </row>
    <row r="86" spans="2:7" ht="15.9" customHeight="1">
      <c r="C86" s="42" t="s">
        <v>150</v>
      </c>
      <c r="D86" s="88"/>
      <c r="E86" s="120" t="s">
        <v>238</v>
      </c>
      <c r="F86" s="52" t="s">
        <v>310</v>
      </c>
      <c r="G86" s="33"/>
    </row>
    <row r="87" spans="2:7" ht="15.9" customHeight="1">
      <c r="B87" s="43" t="s">
        <v>224</v>
      </c>
      <c r="C87" s="42" t="s">
        <v>147</v>
      </c>
      <c r="D87" s="185" t="s">
        <v>241</v>
      </c>
      <c r="E87" s="186"/>
      <c r="F87" s="52" t="s">
        <v>311</v>
      </c>
      <c r="G87" s="33"/>
    </row>
    <row r="88" spans="2:7" ht="15.9" customHeight="1">
      <c r="B88" s="51" t="s">
        <v>139</v>
      </c>
      <c r="C88" s="42" t="s">
        <v>151</v>
      </c>
      <c r="D88" s="88">
        <v>5627324117</v>
      </c>
      <c r="E88" s="120" t="s">
        <v>238</v>
      </c>
      <c r="F88" s="52" t="s">
        <v>312</v>
      </c>
      <c r="G88" s="177"/>
    </row>
    <row r="89" spans="2:7" ht="15.9" customHeight="1">
      <c r="B89" s="43" t="s">
        <v>225</v>
      </c>
      <c r="C89" s="45" t="s">
        <v>148</v>
      </c>
      <c r="D89" s="185" t="s">
        <v>241</v>
      </c>
      <c r="E89" s="186"/>
      <c r="F89" s="52" t="s">
        <v>313</v>
      </c>
      <c r="G89" s="33"/>
    </row>
    <row r="90" spans="2:7" ht="15.9" customHeight="1">
      <c r="B90" s="51" t="s">
        <v>139</v>
      </c>
      <c r="C90" s="42" t="s">
        <v>151</v>
      </c>
      <c r="D90" s="88">
        <v>1752179626</v>
      </c>
      <c r="E90" s="120" t="s">
        <v>238</v>
      </c>
      <c r="F90" s="52" t="s">
        <v>314</v>
      </c>
      <c r="G90" s="33"/>
    </row>
    <row r="91" spans="2:7" ht="15.9" customHeight="1">
      <c r="B91" s="43" t="s">
        <v>226</v>
      </c>
      <c r="C91" s="45" t="s">
        <v>152</v>
      </c>
      <c r="D91" s="185" t="s">
        <v>307</v>
      </c>
      <c r="E91" s="186"/>
      <c r="F91" s="52"/>
      <c r="G91" s="33"/>
    </row>
    <row r="92" spans="2:7" ht="15.9" customHeight="1">
      <c r="B92" s="51" t="s">
        <v>139</v>
      </c>
      <c r="C92" s="42" t="s">
        <v>151</v>
      </c>
      <c r="D92" s="88"/>
      <c r="E92" s="120" t="s">
        <v>238</v>
      </c>
      <c r="F92" s="52"/>
      <c r="G92" s="33"/>
    </row>
    <row r="93" spans="2:7" ht="15.9" customHeight="1">
      <c r="B93" s="43" t="s">
        <v>227</v>
      </c>
      <c r="C93" s="45" t="s">
        <v>153</v>
      </c>
      <c r="D93" s="185" t="s">
        <v>241</v>
      </c>
      <c r="E93" s="186"/>
      <c r="F93" s="52" t="s">
        <v>315</v>
      </c>
      <c r="G93" s="33"/>
    </row>
    <row r="94" spans="2:7" ht="15.9" customHeight="1">
      <c r="B94" s="51" t="s">
        <v>139</v>
      </c>
      <c r="C94" s="42" t="s">
        <v>151</v>
      </c>
      <c r="D94" s="88">
        <v>1483692527</v>
      </c>
      <c r="E94" s="120" t="s">
        <v>238</v>
      </c>
      <c r="F94" s="52" t="s">
        <v>312</v>
      </c>
      <c r="G94" s="33"/>
    </row>
    <row r="95" spans="2:7" ht="15.9" customHeight="1">
      <c r="B95" s="43" t="s">
        <v>228</v>
      </c>
      <c r="C95" s="45" t="s">
        <v>154</v>
      </c>
      <c r="D95" s="185" t="s">
        <v>241</v>
      </c>
      <c r="E95" s="186"/>
      <c r="F95" s="52" t="s">
        <v>316</v>
      </c>
      <c r="G95" s="33"/>
    </row>
    <row r="96" spans="2:7" ht="15.9" customHeight="1" thickBot="1">
      <c r="B96" s="64" t="s">
        <v>139</v>
      </c>
      <c r="C96" s="42" t="s">
        <v>151</v>
      </c>
      <c r="D96" s="100">
        <v>0</v>
      </c>
      <c r="E96" s="121" t="s">
        <v>238</v>
      </c>
      <c r="F96" s="123" t="s">
        <v>316</v>
      </c>
      <c r="G96" s="33"/>
    </row>
    <row r="97" spans="2:2" ht="15.9" customHeight="1">
      <c r="B97" s="137"/>
    </row>
  </sheetData>
  <mergeCells count="20">
    <mergeCell ref="D80:E80"/>
    <mergeCell ref="D69:E69"/>
    <mergeCell ref="D70:E70"/>
    <mergeCell ref="D71:E71"/>
    <mergeCell ref="D72:E72"/>
    <mergeCell ref="D73:E73"/>
    <mergeCell ref="D74:E74"/>
    <mergeCell ref="D75:E75"/>
    <mergeCell ref="D76:E76"/>
    <mergeCell ref="D77:E77"/>
    <mergeCell ref="D78:E78"/>
    <mergeCell ref="D79:E79"/>
    <mergeCell ref="D95:E95"/>
    <mergeCell ref="D81:E81"/>
    <mergeCell ref="D84:E84"/>
    <mergeCell ref="D87:E87"/>
    <mergeCell ref="D89:E89"/>
    <mergeCell ref="D91:E91"/>
    <mergeCell ref="D93:E93"/>
    <mergeCell ref="D83:E83"/>
  </mergeCells>
  <dataValidations xWindow="1241" yWindow="758" count="29">
    <dataValidation allowBlank="1" sqref="F70 F79" xr:uid="{00000000-0002-0000-0200-000000000000}"/>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Exports - extractives" prompt="This refers to extractives share in total exports of a country, in absolute numbers._x000a__x000a_Please input only numbers in this cell. If other information is required, include this in comment section" sqref="D9" xr:uid="{00000000-0002-0000-0200-000001000000}">
      <formula1>2</formula1>
    </dataValidation>
    <dataValidation type="textLength" operator="equal" showInputMessage="1" showErrorMessage="1" errorTitle="Invalid entry" error="Invalid entry" promptTitle="Please input unit" prompt="Please input currency according to 3-letter ISO currency code." sqref="E96 E86 E90 E92 E94 E12 E14 E16 E18 E20 E22 E24 E88 E44 E46 E48 E50 E52 E54 E56 E42 E5:E10 E26 E28 E30 E32 E34 E36 E38 E40 E58 E60 E62 E64 E66 E68" xr:uid="{00000000-0002-0000-0200-000002000000}">
      <formula1>3</formula1>
    </dataValidation>
    <dataValidation type="decimal" errorStyle="warning" operator="greaterThan" allowBlank="1" showInputMessage="1" showErrorMessage="1" errorTitle="Non-number value detected" error="Only input numbers in this cell. _x000a__x000a_If additional information is appropriate, please include in appropriate columns on the right." promptTitle="Extractives Gross Value Added" prompt="Gross value added refers to the absolute number representing extractives' share of GDP._x000a__x000a_Please input only numbers in this cell. If other information is required, include this in comment section." sqref="D5" xr:uid="{00000000-0002-0000-0200-000003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Gross Domestic Product" prompt="This refers to Gross Domestic Product, in current USD or local currency._x000a__x000a_Please input only numbers in this cell. If other information is required, include this in comment section" sqref="D6" xr:uid="{00000000-0002-0000-0200-000004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Government Revenues - Extractive" prompt="This refers to government revenues from extractives, including non-reconciled revenues._x000a__x000a_Please input only numbers in this cell. If other information is required, include this in comment section" sqref="D7" xr:uid="{00000000-0002-0000-0200-000005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Total government revenues" prompt="This refers to the governments total revenues from the relevant year, including revenues from non-extractive sectors._x000a__x000a_Please input only numbers in this cell. If other information is required, include this in comment section" sqref="D8" xr:uid="{00000000-0002-0000-0200-000006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Commodity volumes/values" prompt="Please input the name of commodity on the left, including whether volume or value._x000a__x000a_Please input only numbers in this cell. If other information is required, include this in comment section" sqref="D85:D86 D11:D68" xr:uid="{00000000-0002-0000-0200-000007000000}">
      <formula1>0</formula1>
    </dataValidation>
    <dataValidation allowBlank="1" showInputMessage="1" showErrorMessage="1" promptTitle="If no, provide explanation" prompt="If EI revenues are not recorded in government accounts or budgets, please specify why or any additional related comments here." sqref="D70:E70" xr:uid="{00000000-0002-0000-0200-000008000000}"/>
    <dataValidation allowBlank="1" showInputMessage="1" promptTitle="Source" prompt="Please insert source of information, either as section in EITI report, or direct URL to external source." sqref="F75:F76 F5:F68" xr:uid="{00000000-0002-0000-0200-000009000000}"/>
    <dataValidation allowBlank="1" showInputMessage="1" promptTitle="Government accounts/budget" prompt="Please input name of government accounts/budget, containing revenues from extractive industries." sqref="D71:E71" xr:uid="{00000000-0002-0000-0200-00000A000000}"/>
    <dataValidation allowBlank="1" showInputMessage="1" promptTitle="Government accounts/budget URL" prompt="Please input direct URL to government accounts/budget, containing revenues from extractive industries." sqref="F71" xr:uid="{00000000-0002-0000-0200-00000B000000}"/>
    <dataValidation allowBlank="1" showInputMessage="1" promptTitle="Other financial reports" prompt="Please input name of other documents, containing revenues from extractive industries." sqref="D72:E72" xr:uid="{00000000-0002-0000-0200-00000C000000}"/>
    <dataValidation allowBlank="1" showInputMessage="1" promptTitle="Other reports URL" prompt="Please input direct URL to other documents containing revenues from extractive industries." sqref="F72" xr:uid="{00000000-0002-0000-0200-00000D000000}"/>
    <dataValidation allowBlank="1" showInputMessage="1" showErrorMessage="1" promptTitle="Registry URL" prompt="Please insert direct URL to the registry._x000a_Any additional information, please include in comment section" sqref="F73:F74 F77 F80:F81" xr:uid="{00000000-0002-0000-0200-00000E000000}"/>
    <dataValidation allowBlank="1" showInputMessage="1" promptTitle="If no, provide explanation" prompt="If registries are incomplete or missing, please specify why or any additional related comments here." sqref="D75:E75" xr:uid="{00000000-0002-0000-0200-00000F000000}"/>
    <dataValidation allowBlank="1" showInputMessage="1" promptTitle="Allocation of licences" prompt="Please input name of the source for information on allocation and/or transfer of licences" sqref="D76:E76" xr:uid="{00000000-0002-0000-0200-000010000000}"/>
    <dataValidation allowBlank="1" showInputMessage="1" promptTitle="Source" prompt="Please insert source of information, as section in EITI report" sqref="F69 F78 F84:F96" xr:uid="{00000000-0002-0000-0200-000011000000}"/>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Social expenditure" prompt="Please input only numbers in this cell. If other information is required, include this in comment section" sqref="D90" xr:uid="{00000000-0002-0000-0200-000012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Transportation revenues" prompt="Please input only numbers in this cell. If other information is required, include this in comment section" sqref="D92" xr:uid="{00000000-0002-0000-0200-000013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Sub-national payments" prompt="Please input only numbers in this cell. If other information is required, include this in comment section" sqref="D94" xr:uid="{00000000-0002-0000-0200-000014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Sub-national transfers" prompt="Please input only numbers in this cell. If other information is required, include this in comment section" sqref="D96" xr:uid="{00000000-0002-0000-0200-000015000000}">
      <formula1>2</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Total exports" prompt="This refers to the total exports from the relevant year, including revenues from non-extractive sectors._x000a__x000a_Please input only numbers in this cell. If other information is required, include this in comment section" sqref="D10" xr:uid="{00000000-0002-0000-0200-000016000000}">
      <formula1>2</formula1>
    </dataValidation>
    <dataValidation type="list" allowBlank="1" showInputMessage="1" showErrorMessage="1" errorTitle="Invalid unit used" error="Select between Barrels, Sm3, Tonnes, ounces (oz), or carats._x000a__x000a_If original information is in other units, please convert the number into standard units, and include original info in comment section." promptTitle="Please specify measuring unit" prompt="Select between Barrels, Sm3, Tonnes, ounces (oz), or carats from the drop-down menu" sqref="E11 E13 E15 E17 E19 E23 E21 E25 E43 E45 E47 E49 E51 E55 E53 E57 E85 E27 E29 E31 E33 E35 E37 E39 E41 E59 E61 E63 E65 E67" xr:uid="{00000000-0002-0000-0200-000017000000}">
      <formula1>"&lt;Select unit&gt;,Sm3,Sm3 o.e.,Barrels,Tonnes,oz,carats,Scf"</formula1>
    </dataValidation>
    <dataValidation type="decimal" errorStyle="warning" operator="greaterThan" allowBlank="1" showInputMessage="1" showErrorMessage="1" errorTitle="Non-number value detected" error="Only input numbers in this cell. If additional information is appropriate, please include in appropriate columns on the right." promptTitle="Infrastructure and barter" prompt="Please input only numbers in this cell. If other information is required, include this in comment section" sqref="D88" xr:uid="{00000000-0002-0000-0200-000018000000}">
      <formula1>2</formula1>
    </dataValidation>
    <dataValidation type="list" allowBlank="1" showInputMessage="1" showErrorMessage="1" errorTitle="Invalid entry" error="_x000a_Please choose among the following:_x000a__x000a_Yes_x000a_No_x000a_Partially_x000a_Not applicable" promptTitle="Choose among the following" prompt="_x000a_Yes_x000a_No_x000a_Partially_x000a_Not applicable" sqref="D69:E69 D78:E79 D84:E84 D87:E87 D91:E91 D93:E93 D95:E95 D89:E89" xr:uid="{00000000-0002-0000-0200-000019000000}">
      <formula1>"Yes,No,Partially,Not applicable,&lt;choose option&gt;"</formula1>
    </dataValidation>
    <dataValidation allowBlank="1" showInputMessage="1" promptTitle="Name of register" prompt="Please input name of register" sqref="D73:E74 D77:E77 D80:E81" xr:uid="{00000000-0002-0000-0200-00001A000000}"/>
    <dataValidation type="list" showDropDown="1" showInputMessage="1" showErrorMessage="1" errorTitle="Please do not edit these cells" error="Please do not edit these cells" sqref="C5:C10 C69:C80 C84:C96 B1:B1048576" xr:uid="{00000000-0002-0000-0200-00001B000000}">
      <formula1>"#ERROR!"</formula1>
    </dataValidation>
    <dataValidation type="custom" allowBlank="1" showInputMessage="1" showErrorMessage="1" errorTitle="Volume or value not specified" error="Please indicate whether volume or value, by including _x000a_&quot;, volume&quot; or &quot;, value&quot; at the end." promptTitle="Commodity volume/value" prompt="Please insert commodity, and specify whether volume or value, by including &quot;, volume&quot; or &quot;, value&quot; at the end." sqref="C11:C68" xr:uid="{00000000-0002-0000-0200-00001C000000}">
      <formula1>OR(ISNUMBER(SEARCH(", volume",C11)),ISNUMBER(SEARCH(", value",C11)))</formula1>
    </dataValidation>
  </dataValidations>
  <hyperlinks>
    <hyperlink ref="F71" r:id="rId1" xr:uid="{00000000-0004-0000-0200-000000000000}"/>
    <hyperlink ref="F72" r:id="rId2" xr:uid="{00000000-0004-0000-0200-000001000000}"/>
    <hyperlink ref="F74" r:id="rId3" xr:uid="{00000000-0004-0000-0200-000002000000}"/>
    <hyperlink ref="F80" r:id="rId4" xr:uid="{00000000-0004-0000-0200-000003000000}"/>
    <hyperlink ref="F81" r:id="rId5" xr:uid="{00000000-0004-0000-0200-000004000000}"/>
  </hyperlinks>
  <pageMargins left="0.25" right="0.25" top="0.75" bottom="0.75" header="0.3" footer="0.3"/>
  <pageSetup paperSize="8" scale="76" orientation="landscape" horizontalDpi="2400" verticalDpi="2400" r:id="rId6"/>
  <rowBreaks count="1" manualBreakCount="1">
    <brk id="82"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AF117"/>
  <sheetViews>
    <sheetView showGridLines="0" zoomScale="85" zoomScaleNormal="85" zoomScalePageLayoutView="40" workbookViewId="0"/>
  </sheetViews>
  <sheetFormatPr defaultColWidth="10.9140625" defaultRowHeight="15.5"/>
  <cols>
    <col min="1" max="1" width="3.58203125" style="65" customWidth="1"/>
    <col min="2" max="2" width="10.1640625" style="65" bestFit="1" customWidth="1"/>
    <col min="3" max="3" width="77" style="65" bestFit="1" customWidth="1"/>
    <col min="4" max="4" width="38.08203125" style="65" customWidth="1"/>
    <col min="5" max="5" width="40.9140625" style="65" customWidth="1"/>
    <col min="6" max="6" width="25.5" style="65" customWidth="1"/>
    <col min="7" max="7" width="34.4140625" style="65" customWidth="1"/>
    <col min="8" max="8" width="16.08203125" style="65" customWidth="1"/>
    <col min="9" max="32" width="15.4140625" style="65" customWidth="1"/>
    <col min="33" max="16384" width="10.9140625" style="65"/>
  </cols>
  <sheetData>
    <row r="2" spans="2:32" ht="26">
      <c r="B2" s="207" t="s">
        <v>115</v>
      </c>
      <c r="C2" s="207"/>
      <c r="D2" s="207"/>
      <c r="G2" s="145" t="s">
        <v>159</v>
      </c>
      <c r="H2" s="161" t="s">
        <v>118</v>
      </c>
      <c r="I2" s="66"/>
      <c r="J2" s="67"/>
      <c r="K2" s="67"/>
      <c r="L2" s="67"/>
      <c r="M2" s="67"/>
      <c r="N2" s="67"/>
      <c r="O2" s="67"/>
      <c r="P2" s="67"/>
      <c r="Q2" s="67"/>
      <c r="R2" s="67"/>
      <c r="S2" s="67"/>
      <c r="T2" s="67"/>
      <c r="U2" s="67"/>
      <c r="V2" s="67"/>
      <c r="W2" s="67"/>
      <c r="X2" s="67"/>
      <c r="Y2" s="67"/>
      <c r="Z2" s="67"/>
      <c r="AA2" s="67"/>
      <c r="AB2" s="67"/>
      <c r="AC2" s="67"/>
      <c r="AD2" s="67"/>
      <c r="AE2" s="67"/>
      <c r="AF2" s="68"/>
    </row>
    <row r="3" spans="2:32">
      <c r="B3" s="205" t="s">
        <v>116</v>
      </c>
      <c r="C3" s="205"/>
      <c r="D3" s="205"/>
      <c r="G3" s="146" t="s">
        <v>238</v>
      </c>
      <c r="H3" s="103" t="s">
        <v>123</v>
      </c>
      <c r="I3" s="69"/>
      <c r="J3" s="69"/>
      <c r="K3" s="69"/>
      <c r="L3" s="69"/>
      <c r="M3" s="69"/>
      <c r="N3" s="69"/>
      <c r="O3" s="69"/>
      <c r="P3" s="69"/>
      <c r="Q3" s="69"/>
      <c r="R3" s="69"/>
      <c r="S3" s="69"/>
      <c r="T3" s="69"/>
      <c r="U3" s="69"/>
      <c r="V3" s="69"/>
      <c r="W3" s="69"/>
      <c r="X3" s="69"/>
      <c r="Y3" s="69"/>
      <c r="Z3" s="69"/>
      <c r="AA3" s="69"/>
      <c r="AB3" s="69"/>
      <c r="AC3" s="69"/>
      <c r="AD3" s="69"/>
      <c r="AE3" s="69"/>
      <c r="AF3" s="70"/>
    </row>
    <row r="4" spans="2:32" ht="126" customHeight="1">
      <c r="B4" s="206" t="s">
        <v>122</v>
      </c>
      <c r="C4" s="206"/>
      <c r="D4" s="206"/>
      <c r="G4" s="140" t="s">
        <v>212</v>
      </c>
      <c r="H4" s="72" t="s">
        <v>4</v>
      </c>
      <c r="I4" s="73" t="s">
        <v>367</v>
      </c>
      <c r="J4" s="73" t="s">
        <v>368</v>
      </c>
      <c r="K4" s="73" t="s">
        <v>369</v>
      </c>
      <c r="L4" s="73" t="s">
        <v>370</v>
      </c>
      <c r="M4" s="73" t="s">
        <v>371</v>
      </c>
      <c r="N4" s="73" t="s">
        <v>372</v>
      </c>
      <c r="O4" s="73" t="s">
        <v>373</v>
      </c>
      <c r="P4" s="73" t="s">
        <v>374</v>
      </c>
      <c r="Q4" s="73" t="s">
        <v>375</v>
      </c>
      <c r="R4" s="73" t="s">
        <v>376</v>
      </c>
      <c r="S4" s="73" t="s">
        <v>377</v>
      </c>
      <c r="T4" s="73" t="s">
        <v>378</v>
      </c>
      <c r="U4" s="73" t="s">
        <v>379</v>
      </c>
      <c r="V4" s="73" t="s">
        <v>380</v>
      </c>
      <c r="W4" s="73" t="s">
        <v>381</v>
      </c>
      <c r="X4" s="73" t="s">
        <v>382</v>
      </c>
      <c r="Y4" s="73" t="s">
        <v>383</v>
      </c>
      <c r="Z4" s="73" t="s">
        <v>384</v>
      </c>
      <c r="AA4" s="73" t="s">
        <v>385</v>
      </c>
      <c r="AB4" s="73" t="s">
        <v>386</v>
      </c>
      <c r="AC4" s="73" t="s">
        <v>387</v>
      </c>
      <c r="AD4" s="73" t="s">
        <v>388</v>
      </c>
      <c r="AE4" s="73" t="s">
        <v>389</v>
      </c>
      <c r="AF4" s="74" t="s">
        <v>390</v>
      </c>
    </row>
    <row r="5" spans="2:32">
      <c r="B5" s="71"/>
      <c r="G5" s="141" t="s">
        <v>317</v>
      </c>
      <c r="H5" s="75" t="s">
        <v>5</v>
      </c>
      <c r="I5" s="142" t="s">
        <v>391</v>
      </c>
      <c r="J5" s="142" t="s">
        <v>392</v>
      </c>
      <c r="K5" s="142" t="s">
        <v>242</v>
      </c>
      <c r="L5" s="143" t="s">
        <v>393</v>
      </c>
      <c r="M5" s="143" t="s">
        <v>394</v>
      </c>
      <c r="N5" s="143" t="s">
        <v>395</v>
      </c>
      <c r="O5" s="143" t="s">
        <v>396</v>
      </c>
      <c r="P5" s="143" t="s">
        <v>397</v>
      </c>
      <c r="Q5" s="143" t="s">
        <v>398</v>
      </c>
      <c r="R5" s="143" t="s">
        <v>399</v>
      </c>
      <c r="S5" s="143" t="s">
        <v>400</v>
      </c>
      <c r="T5" s="143" t="s">
        <v>401</v>
      </c>
      <c r="U5" s="143" t="s">
        <v>402</v>
      </c>
      <c r="V5" s="143" t="s">
        <v>403</v>
      </c>
      <c r="W5" s="143" t="s">
        <v>404</v>
      </c>
      <c r="X5" s="143" t="s">
        <v>405</v>
      </c>
      <c r="Y5" s="143" t="s">
        <v>406</v>
      </c>
      <c r="Z5" s="143" t="s">
        <v>407</v>
      </c>
      <c r="AA5" s="143" t="s">
        <v>408</v>
      </c>
      <c r="AB5" s="143" t="s">
        <v>409</v>
      </c>
      <c r="AC5" s="143" t="s">
        <v>410</v>
      </c>
      <c r="AD5" s="143" t="s">
        <v>411</v>
      </c>
      <c r="AE5" s="143" t="s">
        <v>412</v>
      </c>
      <c r="AF5" s="144" t="s">
        <v>413</v>
      </c>
    </row>
    <row r="6" spans="2:32" ht="31">
      <c r="G6" s="141" t="s">
        <v>319</v>
      </c>
      <c r="H6" s="75" t="s">
        <v>194</v>
      </c>
      <c r="I6" s="76" t="s">
        <v>9</v>
      </c>
      <c r="J6" s="76" t="s">
        <v>9</v>
      </c>
      <c r="K6" s="76" t="s">
        <v>8</v>
      </c>
      <c r="L6" s="76" t="s">
        <v>8</v>
      </c>
      <c r="M6" s="76" t="s">
        <v>8</v>
      </c>
      <c r="N6" s="76" t="s">
        <v>8</v>
      </c>
      <c r="O6" s="76" t="s">
        <v>8</v>
      </c>
      <c r="P6" s="76" t="s">
        <v>11</v>
      </c>
      <c r="Q6" s="76" t="s">
        <v>10</v>
      </c>
      <c r="R6" s="76" t="s">
        <v>11</v>
      </c>
      <c r="S6" s="76" t="s">
        <v>10</v>
      </c>
      <c r="T6" s="76" t="s">
        <v>11</v>
      </c>
      <c r="U6" s="76" t="s">
        <v>10</v>
      </c>
      <c r="V6" s="76" t="s">
        <v>11</v>
      </c>
      <c r="W6" s="76" t="s">
        <v>10</v>
      </c>
      <c r="X6" s="76" t="s">
        <v>10</v>
      </c>
      <c r="Y6" s="76" t="s">
        <v>10</v>
      </c>
      <c r="Z6" s="76" t="s">
        <v>10</v>
      </c>
      <c r="AA6" s="76" t="s">
        <v>10</v>
      </c>
      <c r="AB6" s="76" t="s">
        <v>11</v>
      </c>
      <c r="AC6" s="76" t="s">
        <v>11</v>
      </c>
      <c r="AD6" s="76" t="s">
        <v>11</v>
      </c>
      <c r="AE6" s="76" t="s">
        <v>11</v>
      </c>
      <c r="AF6" s="104" t="s">
        <v>10</v>
      </c>
    </row>
    <row r="7" spans="2:32" ht="31">
      <c r="G7" s="167" t="s">
        <v>318</v>
      </c>
      <c r="H7" s="77" t="s">
        <v>1</v>
      </c>
      <c r="I7" s="78" t="s">
        <v>421</v>
      </c>
      <c r="J7" s="78" t="s">
        <v>421</v>
      </c>
      <c r="K7" s="78" t="s">
        <v>8</v>
      </c>
      <c r="L7" s="78" t="s">
        <v>8</v>
      </c>
      <c r="M7" s="78" t="s">
        <v>8</v>
      </c>
      <c r="N7" s="78" t="s">
        <v>8</v>
      </c>
      <c r="O7" s="78" t="s">
        <v>8</v>
      </c>
      <c r="P7" s="78" t="s">
        <v>415</v>
      </c>
      <c r="Q7" s="78" t="s">
        <v>425</v>
      </c>
      <c r="R7" s="78" t="s">
        <v>416</v>
      </c>
      <c r="S7" s="78" t="s">
        <v>422</v>
      </c>
      <c r="T7" s="78" t="s">
        <v>423</v>
      </c>
      <c r="U7" s="78" t="s">
        <v>424</v>
      </c>
      <c r="V7" s="78" t="s">
        <v>416</v>
      </c>
      <c r="W7" s="78" t="s">
        <v>195</v>
      </c>
      <c r="X7" s="78" t="s">
        <v>414</v>
      </c>
      <c r="Y7" s="78" t="s">
        <v>195</v>
      </c>
      <c r="Z7" s="78" t="s">
        <v>414</v>
      </c>
      <c r="AA7" s="78" t="s">
        <v>417</v>
      </c>
      <c r="AB7" s="78" t="s">
        <v>418</v>
      </c>
      <c r="AC7" s="78" t="s">
        <v>419</v>
      </c>
      <c r="AD7" s="78" t="s">
        <v>419</v>
      </c>
      <c r="AE7" s="78" t="s">
        <v>415</v>
      </c>
      <c r="AF7" s="79" t="s">
        <v>420</v>
      </c>
    </row>
    <row r="8" spans="2:32" ht="21">
      <c r="B8" s="208" t="s">
        <v>117</v>
      </c>
      <c r="C8" s="209"/>
      <c r="D8" s="210"/>
      <c r="E8" s="202" t="s">
        <v>177</v>
      </c>
      <c r="F8" s="203"/>
      <c r="G8" s="204"/>
      <c r="H8" s="161" t="s">
        <v>160</v>
      </c>
      <c r="I8" s="159"/>
      <c r="J8" s="159"/>
      <c r="K8" s="159"/>
      <c r="L8" s="159"/>
      <c r="M8" s="159"/>
      <c r="N8" s="159"/>
      <c r="O8" s="159"/>
      <c r="P8" s="159"/>
      <c r="Q8" s="159"/>
      <c r="R8" s="159"/>
      <c r="S8" s="159"/>
      <c r="T8" s="159"/>
      <c r="U8" s="159"/>
      <c r="V8" s="159"/>
      <c r="W8" s="159"/>
      <c r="X8" s="159"/>
      <c r="Y8" s="159"/>
      <c r="Z8" s="159"/>
      <c r="AA8" s="159"/>
      <c r="AB8" s="159"/>
      <c r="AC8" s="159"/>
      <c r="AD8" s="159"/>
      <c r="AE8" s="159"/>
      <c r="AF8" s="160"/>
    </row>
    <row r="9" spans="2:32" ht="82.5" customHeight="1">
      <c r="B9" s="199" t="s">
        <v>186</v>
      </c>
      <c r="C9" s="200"/>
      <c r="D9" s="201"/>
      <c r="E9" s="199" t="s">
        <v>187</v>
      </c>
      <c r="F9" s="200"/>
      <c r="G9" s="201"/>
      <c r="H9" s="156" t="s">
        <v>208</v>
      </c>
      <c r="I9" s="157"/>
      <c r="J9" s="157"/>
      <c r="K9" s="157"/>
      <c r="L9" s="157"/>
      <c r="M9" s="157"/>
      <c r="N9" s="157"/>
      <c r="O9" s="157"/>
      <c r="P9" s="157"/>
      <c r="Q9" s="157"/>
      <c r="R9" s="157"/>
      <c r="S9" s="157"/>
      <c r="T9" s="157"/>
      <c r="U9" s="157"/>
      <c r="V9" s="157"/>
      <c r="W9" s="157"/>
      <c r="X9" s="157"/>
      <c r="Y9" s="157"/>
      <c r="Z9" s="157"/>
      <c r="AA9" s="157"/>
      <c r="AB9" s="157"/>
      <c r="AC9" s="157"/>
      <c r="AD9" s="157"/>
      <c r="AE9" s="157"/>
      <c r="AF9" s="158"/>
    </row>
    <row r="10" spans="2:32" ht="31">
      <c r="B10" s="80" t="s">
        <v>197</v>
      </c>
      <c r="C10" s="124" t="s">
        <v>198</v>
      </c>
      <c r="D10" s="11" t="s">
        <v>35</v>
      </c>
      <c r="E10" s="12" t="s">
        <v>2</v>
      </c>
      <c r="F10" s="15" t="s">
        <v>155</v>
      </c>
      <c r="G10" s="11" t="s">
        <v>157</v>
      </c>
      <c r="H10" s="105" t="s">
        <v>3</v>
      </c>
      <c r="I10" s="81">
        <v>55015786</v>
      </c>
      <c r="J10" s="81">
        <v>1045679544</v>
      </c>
      <c r="K10" s="81">
        <v>0</v>
      </c>
      <c r="L10" s="81">
        <v>33244904</v>
      </c>
      <c r="M10" s="81">
        <v>1138167988</v>
      </c>
      <c r="N10" s="81">
        <v>827158861</v>
      </c>
      <c r="O10" s="81">
        <v>234729621</v>
      </c>
      <c r="P10" s="81">
        <v>14093160469</v>
      </c>
      <c r="Q10" s="81">
        <v>15546309089</v>
      </c>
      <c r="R10" s="81">
        <v>6688989455</v>
      </c>
      <c r="S10" s="81">
        <v>983026480</v>
      </c>
      <c r="T10" s="81">
        <v>201731052</v>
      </c>
      <c r="U10" s="81">
        <v>1234760244</v>
      </c>
      <c r="V10" s="81">
        <v>7506573621</v>
      </c>
      <c r="W10" s="81">
        <v>29204274</v>
      </c>
      <c r="X10" s="81">
        <v>227069971</v>
      </c>
      <c r="Y10" s="81">
        <v>110090515</v>
      </c>
      <c r="Z10" s="81">
        <v>742017864</v>
      </c>
      <c r="AA10" s="81">
        <v>140810678</v>
      </c>
      <c r="AB10" s="81">
        <v>231249339</v>
      </c>
      <c r="AC10" s="81">
        <v>560927428</v>
      </c>
      <c r="AD10" s="81">
        <v>752795575</v>
      </c>
      <c r="AE10" s="81">
        <v>387297417</v>
      </c>
      <c r="AF10" s="106">
        <v>15128800</v>
      </c>
    </row>
    <row r="11" spans="2:32">
      <c r="B11" s="107" t="s">
        <v>41</v>
      </c>
      <c r="C11" s="125" t="s">
        <v>42</v>
      </c>
      <c r="D11" s="2"/>
      <c r="E11" s="13"/>
      <c r="F11" s="16"/>
      <c r="G11" s="18"/>
      <c r="H11" s="101"/>
      <c r="I11" s="108"/>
      <c r="J11" s="108"/>
      <c r="K11" s="108"/>
      <c r="L11" s="108"/>
      <c r="M11" s="108"/>
      <c r="N11" s="108"/>
      <c r="O11" s="108"/>
      <c r="P11" s="108"/>
      <c r="Q11" s="108"/>
      <c r="R11" s="108"/>
      <c r="S11" s="108"/>
      <c r="T11" s="108"/>
      <c r="U11" s="108"/>
      <c r="V11" s="108"/>
      <c r="W11" s="108"/>
      <c r="X11" s="108"/>
      <c r="Y11" s="108"/>
      <c r="Z11" s="108"/>
      <c r="AA11" s="108"/>
      <c r="AB11" s="108"/>
      <c r="AC11" s="108"/>
      <c r="AD11" s="108"/>
      <c r="AE11" s="108"/>
      <c r="AF11" s="109"/>
    </row>
    <row r="12" spans="2:32">
      <c r="B12" s="110" t="s">
        <v>43</v>
      </c>
      <c r="C12" s="148" t="s">
        <v>44</v>
      </c>
      <c r="D12" s="1"/>
      <c r="E12" s="13"/>
      <c r="F12" s="16"/>
      <c r="G12" s="18"/>
      <c r="H12" s="101"/>
      <c r="I12" s="108"/>
      <c r="J12" s="108"/>
      <c r="K12" s="108"/>
      <c r="L12" s="108"/>
      <c r="M12" s="108"/>
      <c r="N12" s="108"/>
      <c r="O12" s="108"/>
      <c r="P12" s="108"/>
      <c r="Q12" s="108"/>
      <c r="R12" s="108"/>
      <c r="S12" s="108"/>
      <c r="T12" s="108"/>
      <c r="U12" s="108"/>
      <c r="V12" s="108"/>
      <c r="W12" s="108"/>
      <c r="X12" s="108"/>
      <c r="Y12" s="108"/>
      <c r="Z12" s="108"/>
      <c r="AA12" s="108"/>
      <c r="AB12" s="108"/>
      <c r="AC12" s="108"/>
      <c r="AD12" s="108"/>
      <c r="AE12" s="108"/>
      <c r="AF12" s="109"/>
    </row>
    <row r="13" spans="2:32" ht="46.5">
      <c r="B13" s="111" t="s">
        <v>45</v>
      </c>
      <c r="C13" s="134" t="s">
        <v>46</v>
      </c>
      <c r="D13" s="10" t="s">
        <v>354</v>
      </c>
      <c r="E13" s="13" t="s">
        <v>320</v>
      </c>
      <c r="F13" s="16" t="s">
        <v>321</v>
      </c>
      <c r="G13" s="18">
        <v>4637123165</v>
      </c>
      <c r="H13" s="101">
        <v>2004359682</v>
      </c>
      <c r="I13" s="108">
        <v>184114826</v>
      </c>
      <c r="J13" s="108"/>
      <c r="K13" s="108"/>
      <c r="L13" s="108"/>
      <c r="M13" s="108"/>
      <c r="N13" s="108"/>
      <c r="O13" s="108"/>
      <c r="P13" s="108"/>
      <c r="Q13" s="108"/>
      <c r="R13" s="108"/>
      <c r="S13" s="108"/>
      <c r="T13" s="108">
        <v>219185100</v>
      </c>
      <c r="U13" s="108"/>
      <c r="V13" s="108"/>
      <c r="W13" s="108"/>
      <c r="X13" s="108">
        <v>171640800</v>
      </c>
      <c r="Y13" s="108">
        <v>200000</v>
      </c>
      <c r="Z13" s="108">
        <v>391055400</v>
      </c>
      <c r="AA13" s="108">
        <v>20000000</v>
      </c>
      <c r="AB13" s="108">
        <v>220788000</v>
      </c>
      <c r="AC13" s="108">
        <v>642103200</v>
      </c>
      <c r="AD13" s="108">
        <v>94023252</v>
      </c>
      <c r="AE13" s="108">
        <v>61249104</v>
      </c>
      <c r="AF13" s="109"/>
    </row>
    <row r="14" spans="2:32" ht="46.5">
      <c r="B14" s="111" t="s">
        <v>45</v>
      </c>
      <c r="C14" s="134" t="s">
        <v>46</v>
      </c>
      <c r="D14" s="10" t="s">
        <v>354</v>
      </c>
      <c r="E14" s="13" t="s">
        <v>322</v>
      </c>
      <c r="F14" s="16" t="s">
        <v>321</v>
      </c>
      <c r="G14" s="18">
        <v>1453790606</v>
      </c>
      <c r="H14" s="101">
        <v>1447793593</v>
      </c>
      <c r="I14" s="108"/>
      <c r="J14" s="108"/>
      <c r="K14" s="108"/>
      <c r="L14" s="108"/>
      <c r="M14" s="108"/>
      <c r="N14" s="108"/>
      <c r="O14" s="108"/>
      <c r="P14" s="108">
        <v>250000000</v>
      </c>
      <c r="Q14" s="108"/>
      <c r="R14" s="108">
        <v>156816936</v>
      </c>
      <c r="S14" s="108"/>
      <c r="T14" s="108"/>
      <c r="U14" s="108"/>
      <c r="V14" s="108"/>
      <c r="W14" s="108"/>
      <c r="X14" s="108">
        <v>200000000</v>
      </c>
      <c r="Y14" s="108"/>
      <c r="Z14" s="108">
        <v>200000000</v>
      </c>
      <c r="AA14" s="108"/>
      <c r="AB14" s="108">
        <v>126174194</v>
      </c>
      <c r="AC14" s="108">
        <v>187531448</v>
      </c>
      <c r="AD14" s="108">
        <v>236301509</v>
      </c>
      <c r="AE14" s="108">
        <v>90969506</v>
      </c>
      <c r="AF14" s="109"/>
    </row>
    <row r="15" spans="2:32" ht="46.5">
      <c r="B15" s="111" t="s">
        <v>45</v>
      </c>
      <c r="C15" s="134" t="s">
        <v>46</v>
      </c>
      <c r="D15" s="10" t="s">
        <v>354</v>
      </c>
      <c r="E15" s="13" t="s">
        <v>323</v>
      </c>
      <c r="F15" s="16" t="s">
        <v>321</v>
      </c>
      <c r="G15" s="18">
        <v>309757155</v>
      </c>
      <c r="H15" s="101">
        <v>23229225</v>
      </c>
      <c r="I15" s="108">
        <v>6796685</v>
      </c>
      <c r="J15" s="108"/>
      <c r="K15" s="108"/>
      <c r="L15" s="108"/>
      <c r="M15" s="108"/>
      <c r="N15" s="108"/>
      <c r="O15" s="108"/>
      <c r="P15" s="108">
        <v>6815140</v>
      </c>
      <c r="Q15" s="108"/>
      <c r="R15" s="108"/>
      <c r="S15" s="108">
        <v>7724880</v>
      </c>
      <c r="T15" s="108"/>
      <c r="U15" s="108"/>
      <c r="V15" s="108"/>
      <c r="W15" s="108"/>
      <c r="X15" s="108"/>
      <c r="Y15" s="108"/>
      <c r="Z15" s="108"/>
      <c r="AA15" s="108">
        <v>1892520</v>
      </c>
      <c r="AB15" s="108"/>
      <c r="AC15" s="108"/>
      <c r="AD15" s="108"/>
      <c r="AE15" s="108"/>
      <c r="AF15" s="109"/>
    </row>
    <row r="16" spans="2:32">
      <c r="B16" s="111" t="s">
        <v>47</v>
      </c>
      <c r="C16" s="134" t="s">
        <v>48</v>
      </c>
      <c r="D16" s="10" t="s">
        <v>243</v>
      </c>
      <c r="E16" s="13"/>
      <c r="F16" s="69"/>
      <c r="G16" s="18"/>
      <c r="H16" s="101">
        <v>0</v>
      </c>
      <c r="I16" s="108"/>
      <c r="J16" s="108"/>
      <c r="K16" s="108"/>
      <c r="L16" s="108"/>
      <c r="M16" s="108"/>
      <c r="N16" s="108"/>
      <c r="O16" s="108"/>
      <c r="P16" s="108"/>
      <c r="Q16" s="108"/>
      <c r="R16" s="108"/>
      <c r="S16" s="108"/>
      <c r="T16" s="108"/>
      <c r="U16" s="108"/>
      <c r="V16" s="108"/>
      <c r="W16" s="108"/>
      <c r="X16" s="108"/>
      <c r="Y16" s="108"/>
      <c r="Z16" s="108"/>
      <c r="AA16" s="108"/>
      <c r="AB16" s="108"/>
      <c r="AC16" s="108"/>
      <c r="AD16" s="108"/>
      <c r="AE16" s="108"/>
      <c r="AF16" s="109"/>
    </row>
    <row r="17" spans="2:32">
      <c r="B17" s="111" t="s">
        <v>49</v>
      </c>
      <c r="C17" s="131" t="s">
        <v>50</v>
      </c>
      <c r="D17" s="10" t="s">
        <v>243</v>
      </c>
      <c r="E17" s="13"/>
      <c r="F17" s="16"/>
      <c r="G17" s="18"/>
      <c r="H17" s="101">
        <v>0</v>
      </c>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8"/>
      <c r="AF17" s="109"/>
    </row>
    <row r="18" spans="2:32" ht="46.5">
      <c r="B18" s="111" t="s">
        <v>51</v>
      </c>
      <c r="C18" s="131" t="s">
        <v>52</v>
      </c>
      <c r="D18" s="10" t="s">
        <v>206</v>
      </c>
      <c r="E18" s="13" t="s">
        <v>324</v>
      </c>
      <c r="F18" s="16" t="s">
        <v>325</v>
      </c>
      <c r="G18" s="18">
        <v>9675450</v>
      </c>
      <c r="H18" s="101">
        <v>9675450</v>
      </c>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v>9675450</v>
      </c>
      <c r="AF18" s="109"/>
    </row>
    <row r="19" spans="2:32" ht="46.5">
      <c r="B19" s="111" t="s">
        <v>51</v>
      </c>
      <c r="C19" s="131" t="s">
        <v>52</v>
      </c>
      <c r="D19" s="10" t="s">
        <v>206</v>
      </c>
      <c r="E19" s="13" t="s">
        <v>326</v>
      </c>
      <c r="F19" s="16" t="s">
        <v>321</v>
      </c>
      <c r="G19" s="18">
        <v>1080000</v>
      </c>
      <c r="H19" s="101">
        <v>1080000</v>
      </c>
      <c r="I19" s="108"/>
      <c r="J19" s="108"/>
      <c r="K19" s="108"/>
      <c r="L19" s="108"/>
      <c r="M19" s="108"/>
      <c r="N19" s="108"/>
      <c r="O19" s="108"/>
      <c r="P19" s="108"/>
      <c r="Q19" s="108"/>
      <c r="R19" s="108"/>
      <c r="S19" s="108">
        <v>1080000</v>
      </c>
      <c r="T19" s="108"/>
      <c r="U19" s="108"/>
      <c r="V19" s="108"/>
      <c r="W19" s="108"/>
      <c r="X19" s="108"/>
      <c r="Y19" s="108"/>
      <c r="Z19" s="108"/>
      <c r="AA19" s="108"/>
      <c r="AB19" s="108"/>
      <c r="AC19" s="108"/>
      <c r="AD19" s="108"/>
      <c r="AE19" s="108"/>
      <c r="AF19" s="109"/>
    </row>
    <row r="20" spans="2:32">
      <c r="B20" s="112" t="s">
        <v>53</v>
      </c>
      <c r="C20" s="130" t="s">
        <v>54</v>
      </c>
      <c r="D20" s="1"/>
      <c r="E20" s="13"/>
      <c r="F20" s="16"/>
      <c r="G20" s="18"/>
      <c r="H20" s="101"/>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8"/>
      <c r="AF20" s="109"/>
    </row>
    <row r="21" spans="2:32" ht="46.5">
      <c r="B21" s="111" t="s">
        <v>55</v>
      </c>
      <c r="C21" s="132" t="s">
        <v>56</v>
      </c>
      <c r="D21" s="10" t="s">
        <v>354</v>
      </c>
      <c r="E21" s="13" t="s">
        <v>327</v>
      </c>
      <c r="F21" s="16" t="s">
        <v>321</v>
      </c>
      <c r="G21" s="18">
        <v>22428782449</v>
      </c>
      <c r="H21" s="101">
        <v>18698907704</v>
      </c>
      <c r="I21" s="108">
        <v>4637256</v>
      </c>
      <c r="J21" s="108"/>
      <c r="K21" s="108"/>
      <c r="L21" s="108"/>
      <c r="M21" s="108"/>
      <c r="N21" s="108"/>
      <c r="O21" s="108"/>
      <c r="P21" s="108">
        <v>10746764018</v>
      </c>
      <c r="Q21" s="108">
        <v>800675032</v>
      </c>
      <c r="R21" s="108">
        <v>1655236837</v>
      </c>
      <c r="S21" s="108">
        <v>479711</v>
      </c>
      <c r="T21" s="108">
        <v>8731276</v>
      </c>
      <c r="U21" s="108">
        <v>13224282</v>
      </c>
      <c r="V21" s="108">
        <v>5215546200</v>
      </c>
      <c r="W21" s="108"/>
      <c r="X21" s="108"/>
      <c r="Y21" s="108"/>
      <c r="Z21" s="108">
        <v>25574579</v>
      </c>
      <c r="AA21" s="108">
        <v>21600000</v>
      </c>
      <c r="AB21" s="108"/>
      <c r="AC21" s="108">
        <v>5220000</v>
      </c>
      <c r="AD21" s="108">
        <v>42318628</v>
      </c>
      <c r="AE21" s="108">
        <v>158899885</v>
      </c>
      <c r="AF21" s="109"/>
    </row>
    <row r="22" spans="2:32">
      <c r="B22" s="111" t="s">
        <v>57</v>
      </c>
      <c r="C22" s="132" t="s">
        <v>58</v>
      </c>
      <c r="D22" s="10" t="s">
        <v>243</v>
      </c>
      <c r="E22" s="13"/>
      <c r="F22" s="16"/>
      <c r="G22" s="18"/>
      <c r="H22" s="101">
        <v>0</v>
      </c>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9"/>
    </row>
    <row r="23" spans="2:32">
      <c r="B23" s="112" t="s">
        <v>59</v>
      </c>
      <c r="C23" s="133" t="s">
        <v>60</v>
      </c>
      <c r="D23" s="2"/>
      <c r="E23" s="13"/>
      <c r="F23" s="16"/>
      <c r="G23" s="18"/>
      <c r="H23" s="101"/>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9"/>
    </row>
    <row r="24" spans="2:32" ht="31">
      <c r="B24" s="111" t="s">
        <v>61</v>
      </c>
      <c r="C24" s="134" t="s">
        <v>62</v>
      </c>
      <c r="D24" s="10" t="s">
        <v>354</v>
      </c>
      <c r="E24" s="13" t="s">
        <v>328</v>
      </c>
      <c r="F24" s="16" t="s">
        <v>329</v>
      </c>
      <c r="G24" s="19">
        <v>50000000</v>
      </c>
      <c r="H24" s="101">
        <v>17500000</v>
      </c>
      <c r="I24" s="108"/>
      <c r="J24" s="108"/>
      <c r="K24" s="108"/>
      <c r="L24" s="108"/>
      <c r="M24" s="108"/>
      <c r="N24" s="108"/>
      <c r="O24" s="108"/>
      <c r="P24" s="108"/>
      <c r="Q24" s="108">
        <v>7500000</v>
      </c>
      <c r="R24" s="108">
        <v>7500000</v>
      </c>
      <c r="S24" s="108"/>
      <c r="T24" s="108"/>
      <c r="U24" s="108"/>
      <c r="V24" s="108"/>
      <c r="W24" s="108"/>
      <c r="X24" s="108"/>
      <c r="Y24" s="108">
        <v>1000000</v>
      </c>
      <c r="Z24" s="108">
        <v>1500000</v>
      </c>
      <c r="AA24" s="108"/>
      <c r="AB24" s="108"/>
      <c r="AC24" s="108"/>
      <c r="AD24" s="108"/>
      <c r="AE24" s="108"/>
      <c r="AF24" s="109"/>
    </row>
    <row r="25" spans="2:32" ht="46.5">
      <c r="B25" s="111" t="s">
        <v>61</v>
      </c>
      <c r="C25" s="134" t="s">
        <v>62</v>
      </c>
      <c r="D25" s="10" t="s">
        <v>354</v>
      </c>
      <c r="E25" s="13" t="s">
        <v>330</v>
      </c>
      <c r="F25" s="16" t="s">
        <v>325</v>
      </c>
      <c r="G25" s="19">
        <v>1773049072</v>
      </c>
      <c r="H25" s="101">
        <v>1578491320</v>
      </c>
      <c r="I25" s="108"/>
      <c r="J25" s="108"/>
      <c r="K25" s="108"/>
      <c r="L25" s="108"/>
      <c r="M25" s="108"/>
      <c r="N25" s="108"/>
      <c r="O25" s="108"/>
      <c r="P25" s="108">
        <v>1308000000</v>
      </c>
      <c r="Q25" s="108"/>
      <c r="R25" s="108"/>
      <c r="S25" s="108"/>
      <c r="T25" s="108"/>
      <c r="U25" s="108"/>
      <c r="V25" s="108"/>
      <c r="W25" s="108"/>
      <c r="X25" s="108"/>
      <c r="Y25" s="108"/>
      <c r="Z25" s="108"/>
      <c r="AA25" s="108"/>
      <c r="AB25" s="108">
        <v>34889254</v>
      </c>
      <c r="AC25" s="108">
        <v>92026972</v>
      </c>
      <c r="AD25" s="108">
        <v>99463951</v>
      </c>
      <c r="AE25" s="108">
        <v>44111143</v>
      </c>
      <c r="AF25" s="109"/>
    </row>
    <row r="26" spans="2:32" ht="46.5">
      <c r="B26" s="111" t="s">
        <v>63</v>
      </c>
      <c r="C26" s="134" t="s">
        <v>64</v>
      </c>
      <c r="D26" s="10" t="s">
        <v>354</v>
      </c>
      <c r="E26" s="13" t="s">
        <v>331</v>
      </c>
      <c r="F26" s="16" t="s">
        <v>332</v>
      </c>
      <c r="G26" s="18">
        <v>31796500</v>
      </c>
      <c r="H26" s="101">
        <v>14250125</v>
      </c>
      <c r="I26" s="108"/>
      <c r="J26" s="108"/>
      <c r="K26" s="108"/>
      <c r="L26" s="108"/>
      <c r="M26" s="108"/>
      <c r="N26" s="108"/>
      <c r="O26" s="108"/>
      <c r="P26" s="108"/>
      <c r="Q26" s="108"/>
      <c r="R26" s="108"/>
      <c r="S26" s="108"/>
      <c r="T26" s="108"/>
      <c r="U26" s="108"/>
      <c r="V26" s="108"/>
      <c r="W26" s="108">
        <v>2250125</v>
      </c>
      <c r="X26" s="108"/>
      <c r="Y26" s="108"/>
      <c r="Z26" s="108"/>
      <c r="AA26" s="108"/>
      <c r="AB26" s="108"/>
      <c r="AC26" s="108"/>
      <c r="AD26" s="108"/>
      <c r="AE26" s="108">
        <v>12000000</v>
      </c>
      <c r="AF26" s="109"/>
    </row>
    <row r="27" spans="2:32">
      <c r="B27" s="111" t="s">
        <v>65</v>
      </c>
      <c r="C27" s="134" t="s">
        <v>66</v>
      </c>
      <c r="D27" s="10" t="s">
        <v>243</v>
      </c>
      <c r="E27" s="13"/>
      <c r="F27" s="16"/>
      <c r="G27" s="18"/>
      <c r="H27" s="101">
        <v>0</v>
      </c>
      <c r="I27" s="108"/>
      <c r="J27" s="108"/>
      <c r="K27" s="108"/>
      <c r="L27" s="108"/>
      <c r="M27" s="108"/>
      <c r="N27" s="108"/>
      <c r="O27" s="108"/>
      <c r="P27" s="108"/>
      <c r="Q27" s="108"/>
      <c r="R27" s="108"/>
      <c r="S27" s="108"/>
      <c r="T27" s="108"/>
      <c r="U27" s="108"/>
      <c r="V27" s="108"/>
      <c r="W27" s="108"/>
      <c r="X27" s="108"/>
      <c r="Y27" s="108"/>
      <c r="Z27" s="108"/>
      <c r="AA27" s="108"/>
      <c r="AB27" s="108"/>
      <c r="AC27" s="108"/>
      <c r="AD27" s="108"/>
      <c r="AE27" s="108"/>
      <c r="AF27" s="109"/>
    </row>
    <row r="28" spans="2:32">
      <c r="B28" s="110" t="s">
        <v>67</v>
      </c>
      <c r="C28" s="130" t="s">
        <v>68</v>
      </c>
      <c r="D28" s="2"/>
      <c r="E28" s="13"/>
      <c r="F28" s="16"/>
      <c r="G28" s="18"/>
      <c r="H28" s="101"/>
      <c r="I28" s="108"/>
      <c r="J28" s="108"/>
      <c r="K28" s="108"/>
      <c r="L28" s="108"/>
      <c r="M28" s="108"/>
      <c r="N28" s="108"/>
      <c r="O28" s="108"/>
      <c r="P28" s="108"/>
      <c r="Q28" s="108"/>
      <c r="R28" s="108"/>
      <c r="S28" s="108"/>
      <c r="T28" s="108"/>
      <c r="U28" s="108"/>
      <c r="V28" s="108"/>
      <c r="W28" s="108"/>
      <c r="X28" s="108"/>
      <c r="Y28" s="108"/>
      <c r="Z28" s="108"/>
      <c r="AA28" s="108"/>
      <c r="AB28" s="108"/>
      <c r="AC28" s="108"/>
      <c r="AD28" s="108"/>
      <c r="AE28" s="108"/>
      <c r="AF28" s="109"/>
    </row>
    <row r="29" spans="2:32" ht="31">
      <c r="B29" s="111" t="s">
        <v>69</v>
      </c>
      <c r="C29" s="132" t="s">
        <v>70</v>
      </c>
      <c r="D29" s="10" t="s">
        <v>354</v>
      </c>
      <c r="E29" s="13" t="s">
        <v>333</v>
      </c>
      <c r="F29" s="16" t="s">
        <v>334</v>
      </c>
      <c r="G29" s="18">
        <v>11756916393</v>
      </c>
      <c r="H29" s="101">
        <v>10599912525</v>
      </c>
      <c r="I29" s="108">
        <v>747787</v>
      </c>
      <c r="J29" s="108">
        <v>3881838</v>
      </c>
      <c r="K29" s="108"/>
      <c r="L29" s="108"/>
      <c r="M29" s="108">
        <v>956622863</v>
      </c>
      <c r="N29" s="108">
        <v>21718756</v>
      </c>
      <c r="O29" s="108"/>
      <c r="P29" s="108">
        <v>708493589</v>
      </c>
      <c r="Q29" s="108">
        <v>2487637377</v>
      </c>
      <c r="R29" s="108">
        <v>2861896315</v>
      </c>
      <c r="S29" s="108">
        <v>355410187</v>
      </c>
      <c r="T29" s="108">
        <v>229968</v>
      </c>
      <c r="U29" s="108">
        <v>79239138</v>
      </c>
      <c r="V29" s="108">
        <v>2217989555</v>
      </c>
      <c r="W29" s="108"/>
      <c r="X29" s="108">
        <v>196513130</v>
      </c>
      <c r="Y29" s="108"/>
      <c r="Z29" s="108">
        <v>1628723</v>
      </c>
      <c r="AA29" s="108">
        <v>92234885</v>
      </c>
      <c r="AB29" s="108">
        <v>60079454</v>
      </c>
      <c r="AC29" s="108">
        <v>237467602</v>
      </c>
      <c r="AD29" s="108">
        <v>253126607</v>
      </c>
      <c r="AE29" s="108">
        <v>64994751</v>
      </c>
      <c r="AF29" s="109"/>
    </row>
    <row r="30" spans="2:32">
      <c r="B30" s="111" t="s">
        <v>71</v>
      </c>
      <c r="C30" s="132" t="s">
        <v>72</v>
      </c>
      <c r="D30" s="10" t="s">
        <v>243</v>
      </c>
      <c r="E30" s="13"/>
      <c r="F30" s="16"/>
      <c r="G30" s="18"/>
      <c r="H30" s="101">
        <v>0</v>
      </c>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9"/>
    </row>
    <row r="31" spans="2:32">
      <c r="B31" s="111" t="s">
        <v>73</v>
      </c>
      <c r="C31" s="132" t="s">
        <v>74</v>
      </c>
      <c r="D31" s="10" t="s">
        <v>243</v>
      </c>
      <c r="E31" s="13"/>
      <c r="F31" s="16"/>
      <c r="G31" s="18"/>
      <c r="H31" s="101">
        <v>0</v>
      </c>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9"/>
    </row>
    <row r="32" spans="2:32">
      <c r="B32" s="111" t="s">
        <v>75</v>
      </c>
      <c r="C32" s="131" t="s">
        <v>76</v>
      </c>
      <c r="D32" s="10" t="s">
        <v>243</v>
      </c>
      <c r="E32" s="13"/>
      <c r="F32" s="16"/>
      <c r="G32" s="18"/>
      <c r="H32" s="101">
        <v>0</v>
      </c>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9"/>
    </row>
    <row r="33" spans="2:32">
      <c r="B33" s="113"/>
      <c r="C33" s="126"/>
      <c r="D33" s="2"/>
      <c r="E33" s="13"/>
      <c r="F33" s="16"/>
      <c r="G33" s="18"/>
      <c r="H33" s="101"/>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8"/>
      <c r="AF33" s="109"/>
    </row>
    <row r="34" spans="2:32">
      <c r="B34" s="114" t="s">
        <v>77</v>
      </c>
      <c r="C34" s="125" t="s">
        <v>78</v>
      </c>
      <c r="D34" s="1"/>
      <c r="E34" s="13"/>
      <c r="F34" s="16"/>
      <c r="G34" s="18"/>
      <c r="H34" s="101"/>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9"/>
    </row>
    <row r="35" spans="2:32" ht="31">
      <c r="B35" s="111" t="s">
        <v>79</v>
      </c>
      <c r="C35" s="131" t="s">
        <v>80</v>
      </c>
      <c r="D35" s="10" t="s">
        <v>354</v>
      </c>
      <c r="E35" s="13" t="s">
        <v>335</v>
      </c>
      <c r="F35" s="16" t="s">
        <v>336</v>
      </c>
      <c r="G35" s="18">
        <v>525768039</v>
      </c>
      <c r="H35" s="101">
        <v>441858660</v>
      </c>
      <c r="I35" s="108">
        <v>4980948</v>
      </c>
      <c r="J35" s="108">
        <v>8636372</v>
      </c>
      <c r="K35" s="108"/>
      <c r="L35" s="108">
        <v>272160</v>
      </c>
      <c r="M35" s="108"/>
      <c r="N35" s="108"/>
      <c r="O35" s="108"/>
      <c r="P35" s="108">
        <v>34374006</v>
      </c>
      <c r="Q35" s="108">
        <v>30514831</v>
      </c>
      <c r="R35" s="108">
        <v>90560092</v>
      </c>
      <c r="S35" s="108">
        <v>26656182</v>
      </c>
      <c r="T35" s="108">
        <v>7781160</v>
      </c>
      <c r="U35" s="108">
        <v>135321816</v>
      </c>
      <c r="V35" s="108">
        <v>12492636</v>
      </c>
      <c r="W35" s="108">
        <v>4850497</v>
      </c>
      <c r="X35" s="108">
        <v>9596696</v>
      </c>
      <c r="Y35" s="108">
        <v>12423532</v>
      </c>
      <c r="Z35" s="108">
        <v>6116040</v>
      </c>
      <c r="AA35" s="108">
        <v>2844072</v>
      </c>
      <c r="AB35" s="108">
        <v>9379727</v>
      </c>
      <c r="AC35" s="108">
        <v>16386476</v>
      </c>
      <c r="AD35" s="108">
        <v>12511427</v>
      </c>
      <c r="AE35" s="108">
        <v>14988190</v>
      </c>
      <c r="AF35" s="109">
        <v>1171800</v>
      </c>
    </row>
    <row r="36" spans="2:32" ht="31">
      <c r="B36" s="111" t="s">
        <v>79</v>
      </c>
      <c r="C36" s="131" t="s">
        <v>80</v>
      </c>
      <c r="D36" s="10" t="s">
        <v>206</v>
      </c>
      <c r="E36" s="13" t="s">
        <v>335</v>
      </c>
      <c r="F36" s="16" t="s">
        <v>337</v>
      </c>
      <c r="G36" s="18">
        <v>2174624595</v>
      </c>
      <c r="H36" s="101">
        <v>2174624595</v>
      </c>
      <c r="I36" s="108">
        <v>37853110</v>
      </c>
      <c r="J36" s="108">
        <v>19254089</v>
      </c>
      <c r="K36" s="108"/>
      <c r="L36" s="108">
        <v>1295360</v>
      </c>
      <c r="M36" s="108"/>
      <c r="N36" s="108"/>
      <c r="O36" s="108"/>
      <c r="P36" s="108">
        <v>202526720</v>
      </c>
      <c r="Q36" s="108">
        <v>129129946</v>
      </c>
      <c r="R36" s="108">
        <v>263886964</v>
      </c>
      <c r="S36" s="108">
        <v>146976872</v>
      </c>
      <c r="T36" s="108">
        <v>34498498</v>
      </c>
      <c r="U36" s="108">
        <v>1006975008</v>
      </c>
      <c r="V36" s="108">
        <v>60545230</v>
      </c>
      <c r="W36" s="108">
        <v>17438860</v>
      </c>
      <c r="X36" s="108">
        <v>20960145</v>
      </c>
      <c r="Y36" s="108">
        <v>16711632</v>
      </c>
      <c r="Z36" s="108">
        <v>28873633</v>
      </c>
      <c r="AA36" s="108">
        <v>22239201</v>
      </c>
      <c r="AB36" s="108">
        <v>29300904</v>
      </c>
      <c r="AC36" s="108">
        <v>54826378</v>
      </c>
      <c r="AD36" s="108">
        <v>38859047</v>
      </c>
      <c r="AE36" s="108">
        <v>42472998</v>
      </c>
      <c r="AF36" s="109"/>
    </row>
    <row r="37" spans="2:32">
      <c r="B37" s="113"/>
      <c r="C37" s="127"/>
      <c r="D37" s="2"/>
      <c r="E37" s="13"/>
      <c r="F37" s="16"/>
      <c r="G37" s="18"/>
      <c r="H37" s="101"/>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9"/>
    </row>
    <row r="38" spans="2:32">
      <c r="B38" s="114" t="s">
        <v>81</v>
      </c>
      <c r="C38" s="125" t="s">
        <v>0</v>
      </c>
      <c r="D38" s="2"/>
      <c r="E38" s="13"/>
      <c r="F38" s="16"/>
      <c r="G38" s="18"/>
      <c r="H38" s="101"/>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9"/>
    </row>
    <row r="39" spans="2:32">
      <c r="B39" s="112" t="s">
        <v>82</v>
      </c>
      <c r="C39" s="130" t="s">
        <v>83</v>
      </c>
      <c r="D39" s="2"/>
      <c r="E39" s="13"/>
      <c r="F39" s="16"/>
      <c r="G39" s="18"/>
      <c r="H39" s="101"/>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9"/>
    </row>
    <row r="40" spans="2:32">
      <c r="B40" s="112" t="s">
        <v>84</v>
      </c>
      <c r="C40" s="133" t="s">
        <v>85</v>
      </c>
      <c r="D40" s="2"/>
      <c r="E40" s="13"/>
      <c r="F40" s="16"/>
      <c r="G40" s="18"/>
      <c r="H40" s="101"/>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9"/>
    </row>
    <row r="41" spans="2:32">
      <c r="B41" s="111" t="s">
        <v>86</v>
      </c>
      <c r="C41" s="134" t="s">
        <v>87</v>
      </c>
      <c r="D41" s="10" t="s">
        <v>243</v>
      </c>
      <c r="E41" s="13"/>
      <c r="F41" s="16"/>
      <c r="G41" s="18"/>
      <c r="H41" s="101">
        <v>0</v>
      </c>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9"/>
    </row>
    <row r="42" spans="2:32">
      <c r="B42" s="111" t="s">
        <v>88</v>
      </c>
      <c r="C42" s="134" t="s">
        <v>89</v>
      </c>
      <c r="D42" s="10" t="s">
        <v>243</v>
      </c>
      <c r="E42" s="13"/>
      <c r="F42" s="16"/>
      <c r="G42" s="18"/>
      <c r="H42" s="101">
        <v>0</v>
      </c>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9"/>
    </row>
    <row r="43" spans="2:32">
      <c r="B43" s="111" t="s">
        <v>90</v>
      </c>
      <c r="C43" s="132" t="s">
        <v>91</v>
      </c>
      <c r="D43" s="10" t="s">
        <v>243</v>
      </c>
      <c r="E43" s="13"/>
      <c r="F43" s="16"/>
      <c r="G43" s="19"/>
      <c r="H43" s="101">
        <v>0</v>
      </c>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9"/>
    </row>
    <row r="44" spans="2:32">
      <c r="B44" s="112" t="s">
        <v>92</v>
      </c>
      <c r="C44" s="133" t="s">
        <v>93</v>
      </c>
      <c r="D44" s="1"/>
      <c r="E44" s="13"/>
      <c r="F44" s="16"/>
      <c r="G44" s="19"/>
      <c r="H44" s="101"/>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9"/>
    </row>
    <row r="45" spans="2:32" ht="31">
      <c r="B45" s="111" t="s">
        <v>94</v>
      </c>
      <c r="C45" s="134" t="s">
        <v>95</v>
      </c>
      <c r="D45" s="10" t="s">
        <v>354</v>
      </c>
      <c r="E45" s="13" t="s">
        <v>338</v>
      </c>
      <c r="F45" s="16" t="s">
        <v>329</v>
      </c>
      <c r="G45" s="18">
        <v>9948388805</v>
      </c>
      <c r="H45" s="101">
        <v>9667334020</v>
      </c>
      <c r="I45" s="108"/>
      <c r="J45" s="108"/>
      <c r="K45" s="108"/>
      <c r="L45" s="108"/>
      <c r="M45" s="108"/>
      <c r="N45" s="108"/>
      <c r="O45" s="108"/>
      <c r="P45" s="108">
        <v>1013234346</v>
      </c>
      <c r="Q45" s="108">
        <v>6622064739</v>
      </c>
      <c r="R45" s="108">
        <v>870123638</v>
      </c>
      <c r="S45" s="108">
        <v>324846204</v>
      </c>
      <c r="T45" s="108">
        <v>128182204</v>
      </c>
      <c r="U45" s="108"/>
      <c r="V45" s="108"/>
      <c r="W45" s="108"/>
      <c r="X45" s="108"/>
      <c r="Y45" s="108"/>
      <c r="Z45" s="108">
        <v>376324889</v>
      </c>
      <c r="AA45" s="108"/>
      <c r="AB45" s="108">
        <v>97600000</v>
      </c>
      <c r="AC45" s="108">
        <v>155000000</v>
      </c>
      <c r="AD45" s="108">
        <v>44354000</v>
      </c>
      <c r="AE45" s="108">
        <v>35604000</v>
      </c>
      <c r="AF45" s="109"/>
    </row>
    <row r="46" spans="2:32" ht="31">
      <c r="B46" s="111" t="s">
        <v>94</v>
      </c>
      <c r="C46" s="134" t="s">
        <v>95</v>
      </c>
      <c r="D46" s="10" t="s">
        <v>354</v>
      </c>
      <c r="E46" s="13" t="s">
        <v>339</v>
      </c>
      <c r="F46" s="16" t="s">
        <v>340</v>
      </c>
      <c r="G46" s="18">
        <v>302064666</v>
      </c>
      <c r="H46" s="101">
        <v>284829091</v>
      </c>
      <c r="I46" s="108"/>
      <c r="J46" s="108">
        <v>2622268</v>
      </c>
      <c r="K46" s="108"/>
      <c r="L46" s="108">
        <v>31677384</v>
      </c>
      <c r="M46" s="108">
        <v>61550875</v>
      </c>
      <c r="N46" s="108">
        <v>106680231</v>
      </c>
      <c r="O46" s="108">
        <v>82298333</v>
      </c>
      <c r="P46" s="108"/>
      <c r="Q46" s="108"/>
      <c r="R46" s="108"/>
      <c r="S46" s="108"/>
      <c r="T46" s="108"/>
      <c r="U46" s="108"/>
      <c r="V46" s="108"/>
      <c r="W46" s="108"/>
      <c r="X46" s="108"/>
      <c r="Y46" s="108"/>
      <c r="Z46" s="108"/>
      <c r="AA46" s="108"/>
      <c r="AB46" s="108"/>
      <c r="AC46" s="108"/>
      <c r="AD46" s="108"/>
      <c r="AE46" s="108"/>
      <c r="AF46" s="109"/>
    </row>
    <row r="47" spans="2:32" ht="46.5">
      <c r="B47" s="111" t="s">
        <v>94</v>
      </c>
      <c r="C47" s="134" t="s">
        <v>95</v>
      </c>
      <c r="D47" s="10" t="s">
        <v>354</v>
      </c>
      <c r="E47" s="13" t="s">
        <v>341</v>
      </c>
      <c r="F47" s="16" t="s">
        <v>342</v>
      </c>
      <c r="G47" s="18">
        <v>66771120</v>
      </c>
      <c r="H47" s="101">
        <v>57328400</v>
      </c>
      <c r="I47" s="108"/>
      <c r="J47" s="108"/>
      <c r="K47" s="108"/>
      <c r="L47" s="108"/>
      <c r="M47" s="108"/>
      <c r="N47" s="108"/>
      <c r="O47" s="108"/>
      <c r="P47" s="108">
        <v>9413650</v>
      </c>
      <c r="Q47" s="108"/>
      <c r="R47" s="108">
        <v>25405000</v>
      </c>
      <c r="S47" s="108"/>
      <c r="T47" s="108">
        <v>10485000</v>
      </c>
      <c r="U47" s="108"/>
      <c r="V47" s="108"/>
      <c r="W47" s="108"/>
      <c r="X47" s="108"/>
      <c r="Y47" s="108"/>
      <c r="Z47" s="108">
        <v>4000000</v>
      </c>
      <c r="AA47" s="108"/>
      <c r="AB47" s="108"/>
      <c r="AC47" s="108"/>
      <c r="AD47" s="108">
        <v>3473750</v>
      </c>
      <c r="AE47" s="108">
        <v>4551000</v>
      </c>
      <c r="AF47" s="109"/>
    </row>
    <row r="48" spans="2:32" ht="46.5">
      <c r="B48" s="111" t="s">
        <v>94</v>
      </c>
      <c r="C48" s="134" t="s">
        <v>95</v>
      </c>
      <c r="D48" s="10" t="s">
        <v>206</v>
      </c>
      <c r="E48" s="13" t="s">
        <v>343</v>
      </c>
      <c r="F48" s="16" t="s">
        <v>321</v>
      </c>
      <c r="G48" s="18">
        <v>43539000</v>
      </c>
      <c r="H48" s="101">
        <v>43539000</v>
      </c>
      <c r="I48" s="108"/>
      <c r="J48" s="108"/>
      <c r="K48" s="108"/>
      <c r="L48" s="108"/>
      <c r="M48" s="108"/>
      <c r="N48" s="108"/>
      <c r="O48" s="108"/>
      <c r="P48" s="108">
        <v>43539000</v>
      </c>
      <c r="Q48" s="108"/>
      <c r="R48" s="108"/>
      <c r="S48" s="108"/>
      <c r="T48" s="108"/>
      <c r="U48" s="108"/>
      <c r="V48" s="108"/>
      <c r="W48" s="108"/>
      <c r="X48" s="108"/>
      <c r="Y48" s="108"/>
      <c r="Z48" s="108"/>
      <c r="AA48" s="108"/>
      <c r="AB48" s="108"/>
      <c r="AC48" s="108"/>
      <c r="AD48" s="108"/>
      <c r="AE48" s="108"/>
      <c r="AF48" s="109"/>
    </row>
    <row r="49" spans="2:32">
      <c r="B49" s="111" t="s">
        <v>96</v>
      </c>
      <c r="C49" s="134" t="s">
        <v>97</v>
      </c>
      <c r="D49" s="10" t="s">
        <v>243</v>
      </c>
      <c r="E49" s="13"/>
      <c r="F49" s="16"/>
      <c r="G49" s="18"/>
      <c r="H49" s="101">
        <v>0</v>
      </c>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9"/>
    </row>
    <row r="50" spans="2:32">
      <c r="B50" s="112" t="s">
        <v>191</v>
      </c>
      <c r="C50" s="135" t="s">
        <v>98</v>
      </c>
      <c r="D50" s="1"/>
      <c r="E50" s="13"/>
      <c r="F50" s="16"/>
      <c r="G50" s="18"/>
      <c r="H50" s="101"/>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9"/>
    </row>
    <row r="51" spans="2:32" ht="46.5">
      <c r="B51" s="111" t="s">
        <v>99</v>
      </c>
      <c r="C51" s="136" t="s">
        <v>100</v>
      </c>
      <c r="D51" s="10" t="s">
        <v>206</v>
      </c>
      <c r="E51" s="13" t="s">
        <v>344</v>
      </c>
      <c r="F51" s="16" t="s">
        <v>325</v>
      </c>
      <c r="G51" s="18">
        <v>321685475</v>
      </c>
      <c r="H51" s="101">
        <v>321685475</v>
      </c>
      <c r="I51" s="108"/>
      <c r="J51" s="108">
        <v>321685475</v>
      </c>
      <c r="K51" s="108"/>
      <c r="L51" s="108"/>
      <c r="M51" s="108"/>
      <c r="N51" s="108"/>
      <c r="O51" s="108"/>
      <c r="P51" s="108"/>
      <c r="Q51" s="108"/>
      <c r="R51" s="108"/>
      <c r="S51" s="108"/>
      <c r="T51" s="108"/>
      <c r="U51" s="108"/>
      <c r="V51" s="108"/>
      <c r="W51" s="108"/>
      <c r="X51" s="108"/>
      <c r="Y51" s="108"/>
      <c r="Z51" s="108"/>
      <c r="AA51" s="108"/>
      <c r="AB51" s="108"/>
      <c r="AC51" s="108"/>
      <c r="AD51" s="108"/>
      <c r="AE51" s="108"/>
      <c r="AF51" s="109"/>
    </row>
    <row r="52" spans="2:32" ht="31">
      <c r="B52" s="111" t="s">
        <v>101</v>
      </c>
      <c r="C52" s="136" t="s">
        <v>102</v>
      </c>
      <c r="D52" s="10" t="s">
        <v>206</v>
      </c>
      <c r="E52" s="13" t="s">
        <v>345</v>
      </c>
      <c r="F52" s="16" t="s">
        <v>340</v>
      </c>
      <c r="G52" s="18">
        <v>497821649</v>
      </c>
      <c r="H52" s="101">
        <v>497821649</v>
      </c>
      <c r="I52" s="108"/>
      <c r="J52" s="108">
        <v>497821649</v>
      </c>
      <c r="K52" s="108"/>
      <c r="L52" s="108"/>
      <c r="M52" s="108"/>
      <c r="N52" s="108"/>
      <c r="O52" s="108"/>
      <c r="P52" s="108"/>
      <c r="Q52" s="108"/>
      <c r="R52" s="108"/>
      <c r="S52" s="108"/>
      <c r="T52" s="108"/>
      <c r="U52" s="108"/>
      <c r="V52" s="108"/>
      <c r="W52" s="108"/>
      <c r="X52" s="108"/>
      <c r="Y52" s="108"/>
      <c r="Z52" s="108"/>
      <c r="AA52" s="108"/>
      <c r="AB52" s="108"/>
      <c r="AC52" s="108"/>
      <c r="AD52" s="108"/>
      <c r="AE52" s="108"/>
      <c r="AF52" s="109"/>
    </row>
    <row r="53" spans="2:32" ht="31">
      <c r="B53" s="111" t="s">
        <v>103</v>
      </c>
      <c r="C53" s="134" t="s">
        <v>119</v>
      </c>
      <c r="D53" s="10" t="s">
        <v>354</v>
      </c>
      <c r="E53" s="13" t="s">
        <v>346</v>
      </c>
      <c r="F53" s="16" t="s">
        <v>329</v>
      </c>
      <c r="G53" s="18">
        <v>5568246203</v>
      </c>
      <c r="H53" s="101">
        <v>5508003345</v>
      </c>
      <c r="I53" s="108"/>
      <c r="J53" s="108"/>
      <c r="K53" s="108"/>
      <c r="L53" s="108"/>
      <c r="M53" s="108"/>
      <c r="N53" s="108"/>
      <c r="O53" s="108"/>
      <c r="P53" s="108"/>
      <c r="Q53" s="108">
        <v>5410782524</v>
      </c>
      <c r="R53" s="108"/>
      <c r="S53" s="108">
        <v>12023052</v>
      </c>
      <c r="T53" s="108">
        <v>11822946</v>
      </c>
      <c r="U53" s="108"/>
      <c r="V53" s="108"/>
      <c r="W53" s="108">
        <v>4664792</v>
      </c>
      <c r="X53" s="108"/>
      <c r="Y53" s="108">
        <v>44753031</v>
      </c>
      <c r="Z53" s="108">
        <v>10000000</v>
      </c>
      <c r="AA53" s="108"/>
      <c r="AB53" s="108"/>
      <c r="AC53" s="108"/>
      <c r="AD53" s="108"/>
      <c r="AE53" s="108"/>
      <c r="AF53" s="109">
        <v>13957000</v>
      </c>
    </row>
    <row r="54" spans="2:32" ht="31">
      <c r="B54" s="111" t="s">
        <v>103</v>
      </c>
      <c r="C54" s="134" t="s">
        <v>119</v>
      </c>
      <c r="D54" s="10" t="s">
        <v>354</v>
      </c>
      <c r="E54" s="13" t="s">
        <v>347</v>
      </c>
      <c r="F54" s="16" t="s">
        <v>340</v>
      </c>
      <c r="G54" s="18">
        <v>1105295663</v>
      </c>
      <c r="H54" s="101">
        <v>985993539</v>
      </c>
      <c r="I54" s="108"/>
      <c r="J54" s="108">
        <v>15074640</v>
      </c>
      <c r="K54" s="108"/>
      <c r="L54" s="108"/>
      <c r="M54" s="108">
        <v>119994250</v>
      </c>
      <c r="N54" s="108">
        <v>698493361</v>
      </c>
      <c r="O54" s="108">
        <v>152431288</v>
      </c>
      <c r="P54" s="108"/>
      <c r="Q54" s="108"/>
      <c r="R54" s="108"/>
      <c r="S54" s="108"/>
      <c r="T54" s="108"/>
      <c r="U54" s="108"/>
      <c r="V54" s="108"/>
      <c r="W54" s="108"/>
      <c r="X54" s="108"/>
      <c r="Y54" s="108"/>
      <c r="Z54" s="108"/>
      <c r="AA54" s="108"/>
      <c r="AB54" s="108"/>
      <c r="AC54" s="108"/>
      <c r="AD54" s="108"/>
      <c r="AE54" s="108"/>
      <c r="AF54" s="109"/>
    </row>
    <row r="55" spans="2:32" ht="31">
      <c r="B55" s="111" t="s">
        <v>103</v>
      </c>
      <c r="C55" s="134" t="s">
        <v>119</v>
      </c>
      <c r="D55" s="10" t="s">
        <v>207</v>
      </c>
      <c r="E55" s="13" t="s">
        <v>348</v>
      </c>
      <c r="F55" s="16" t="s">
        <v>340</v>
      </c>
      <c r="G55" s="18">
        <v>26703213</v>
      </c>
      <c r="H55" s="101">
        <v>26703213</v>
      </c>
      <c r="I55" s="108"/>
      <c r="J55" s="108">
        <v>26703213</v>
      </c>
      <c r="K55" s="108"/>
      <c r="L55" s="108"/>
      <c r="M55" s="108"/>
      <c r="N55" s="108"/>
      <c r="O55" s="108"/>
      <c r="P55" s="108"/>
      <c r="Q55" s="108"/>
      <c r="R55" s="108"/>
      <c r="S55" s="108"/>
      <c r="T55" s="108"/>
      <c r="U55" s="108"/>
      <c r="V55" s="108"/>
      <c r="W55" s="108"/>
      <c r="X55" s="108"/>
      <c r="Y55" s="108"/>
      <c r="Z55" s="108"/>
      <c r="AA55" s="108"/>
      <c r="AB55" s="108"/>
      <c r="AC55" s="108"/>
      <c r="AD55" s="108"/>
      <c r="AE55" s="108"/>
      <c r="AF55" s="109"/>
    </row>
    <row r="56" spans="2:32" ht="46.5">
      <c r="B56" s="111" t="s">
        <v>103</v>
      </c>
      <c r="C56" s="134" t="s">
        <v>119</v>
      </c>
      <c r="D56" s="10" t="s">
        <v>207</v>
      </c>
      <c r="E56" s="13" t="s">
        <v>349</v>
      </c>
      <c r="F56" s="16" t="s">
        <v>332</v>
      </c>
      <c r="G56" s="18">
        <v>87006960</v>
      </c>
      <c r="H56" s="101">
        <v>87006960</v>
      </c>
      <c r="I56" s="108"/>
      <c r="J56" s="108"/>
      <c r="K56" s="108"/>
      <c r="L56" s="108"/>
      <c r="M56" s="108"/>
      <c r="N56" s="108"/>
      <c r="O56" s="108"/>
      <c r="P56" s="108"/>
      <c r="Q56" s="108">
        <v>58004640</v>
      </c>
      <c r="R56" s="108"/>
      <c r="S56" s="108"/>
      <c r="T56" s="108"/>
      <c r="U56" s="108"/>
      <c r="V56" s="108"/>
      <c r="W56" s="108"/>
      <c r="X56" s="108"/>
      <c r="Y56" s="108">
        <v>29002320</v>
      </c>
      <c r="Z56" s="108"/>
      <c r="AA56" s="108"/>
      <c r="AB56" s="108"/>
      <c r="AC56" s="108"/>
      <c r="AD56" s="108"/>
      <c r="AE56" s="108"/>
      <c r="AF56" s="109"/>
    </row>
    <row r="57" spans="2:32" ht="46.5">
      <c r="B57" s="111" t="s">
        <v>103</v>
      </c>
      <c r="C57" s="134" t="s">
        <v>119</v>
      </c>
      <c r="D57" s="10" t="s">
        <v>207</v>
      </c>
      <c r="E57" s="13" t="s">
        <v>350</v>
      </c>
      <c r="F57" s="16" t="s">
        <v>325</v>
      </c>
      <c r="G57" s="18">
        <v>26000000</v>
      </c>
      <c r="H57" s="101">
        <v>26000000</v>
      </c>
      <c r="I57" s="108"/>
      <c r="J57" s="108"/>
      <c r="K57" s="108"/>
      <c r="L57" s="108"/>
      <c r="M57" s="108"/>
      <c r="N57" s="108"/>
      <c r="O57" s="108"/>
      <c r="P57" s="108">
        <v>20000000</v>
      </c>
      <c r="Q57" s="108"/>
      <c r="R57" s="108"/>
      <c r="S57" s="108"/>
      <c r="T57" s="108"/>
      <c r="U57" s="108"/>
      <c r="V57" s="108"/>
      <c r="W57" s="108"/>
      <c r="X57" s="108"/>
      <c r="Y57" s="108">
        <v>6000000</v>
      </c>
      <c r="Z57" s="108"/>
      <c r="AA57" s="108"/>
      <c r="AB57" s="108"/>
      <c r="AC57" s="108"/>
      <c r="AD57" s="108"/>
      <c r="AE57" s="108"/>
      <c r="AF57" s="109"/>
    </row>
    <row r="58" spans="2:32">
      <c r="B58" s="111" t="s">
        <v>104</v>
      </c>
      <c r="C58" s="134" t="s">
        <v>120</v>
      </c>
      <c r="D58" s="10" t="s">
        <v>243</v>
      </c>
      <c r="E58" s="13"/>
      <c r="F58" s="16"/>
      <c r="G58" s="18"/>
      <c r="H58" s="101">
        <v>0</v>
      </c>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9"/>
    </row>
    <row r="59" spans="2:32">
      <c r="B59" s="112" t="s">
        <v>105</v>
      </c>
      <c r="C59" s="133" t="s">
        <v>106</v>
      </c>
      <c r="D59" s="1"/>
      <c r="E59" s="13"/>
      <c r="F59" s="16"/>
      <c r="G59" s="18"/>
      <c r="H59" s="101"/>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9"/>
    </row>
    <row r="60" spans="2:32" ht="31">
      <c r="B60" s="115" t="s">
        <v>107</v>
      </c>
      <c r="C60" s="134" t="s">
        <v>108</v>
      </c>
      <c r="D60" s="10" t="s">
        <v>354</v>
      </c>
      <c r="E60" s="13" t="s">
        <v>351</v>
      </c>
      <c r="F60" s="16" t="s">
        <v>340</v>
      </c>
      <c r="G60" s="18">
        <v>1087313</v>
      </c>
      <c r="H60" s="101">
        <v>266513</v>
      </c>
      <c r="I60" s="108"/>
      <c r="J60" s="108"/>
      <c r="K60" s="108"/>
      <c r="L60" s="108"/>
      <c r="M60" s="108"/>
      <c r="N60" s="108">
        <v>266513</v>
      </c>
      <c r="O60" s="108"/>
      <c r="P60" s="108"/>
      <c r="Q60" s="108"/>
      <c r="R60" s="108"/>
      <c r="S60" s="108"/>
      <c r="T60" s="108"/>
      <c r="U60" s="108"/>
      <c r="V60" s="108"/>
      <c r="W60" s="108"/>
      <c r="X60" s="108"/>
      <c r="Y60" s="108"/>
      <c r="Z60" s="108"/>
      <c r="AA60" s="108"/>
      <c r="AB60" s="108"/>
      <c r="AC60" s="108"/>
      <c r="AD60" s="108"/>
      <c r="AE60" s="108"/>
      <c r="AF60" s="109"/>
    </row>
    <row r="61" spans="2:32">
      <c r="B61" s="111" t="s">
        <v>109</v>
      </c>
      <c r="C61" s="134" t="s">
        <v>110</v>
      </c>
      <c r="D61" s="10" t="s">
        <v>243</v>
      </c>
      <c r="E61" s="13"/>
      <c r="F61" s="16"/>
      <c r="G61" s="20"/>
      <c r="H61" s="101">
        <v>0</v>
      </c>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9"/>
    </row>
    <row r="62" spans="2:32" ht="46.5">
      <c r="B62" s="115" t="s">
        <v>111</v>
      </c>
      <c r="C62" s="132" t="s">
        <v>112</v>
      </c>
      <c r="D62" s="10" t="s">
        <v>354</v>
      </c>
      <c r="E62" s="13" t="s">
        <v>352</v>
      </c>
      <c r="F62" s="16" t="s">
        <v>321</v>
      </c>
      <c r="G62" s="18">
        <v>1799007083</v>
      </c>
      <c r="H62" s="101">
        <v>1719098166</v>
      </c>
      <c r="I62" s="108"/>
      <c r="J62" s="108">
        <v>150000000</v>
      </c>
      <c r="K62" s="108"/>
      <c r="L62" s="108"/>
      <c r="M62" s="108"/>
      <c r="N62" s="108"/>
      <c r="O62" s="108"/>
      <c r="P62" s="108"/>
      <c r="Q62" s="108"/>
      <c r="R62" s="108">
        <v>914380609</v>
      </c>
      <c r="S62" s="108">
        <v>107829392</v>
      </c>
      <c r="T62" s="108"/>
      <c r="U62" s="108"/>
      <c r="V62" s="108"/>
      <c r="W62" s="108"/>
      <c r="X62" s="108"/>
      <c r="Y62" s="108">
        <v>200000</v>
      </c>
      <c r="Z62" s="108">
        <v>288000000</v>
      </c>
      <c r="AA62" s="108"/>
      <c r="AB62" s="108"/>
      <c r="AC62" s="108"/>
      <c r="AD62" s="108">
        <v>258688165</v>
      </c>
      <c r="AE62" s="108"/>
      <c r="AF62" s="109"/>
    </row>
    <row r="63" spans="2:32" ht="46.5">
      <c r="B63" s="115" t="s">
        <v>111</v>
      </c>
      <c r="C63" s="132" t="s">
        <v>112</v>
      </c>
      <c r="D63" s="10" t="s">
        <v>207</v>
      </c>
      <c r="E63" s="13" t="s">
        <v>353</v>
      </c>
      <c r="F63" s="16" t="s">
        <v>325</v>
      </c>
      <c r="G63" s="18">
        <v>28219506990</v>
      </c>
      <c r="H63" s="101">
        <v>0</v>
      </c>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9"/>
    </row>
    <row r="64" spans="2:32">
      <c r="B64" s="111" t="s">
        <v>113</v>
      </c>
      <c r="C64" s="132" t="s">
        <v>114</v>
      </c>
      <c r="D64" s="10" t="s">
        <v>243</v>
      </c>
      <c r="E64" s="13"/>
      <c r="F64" s="16"/>
      <c r="G64" s="18"/>
      <c r="H64" s="101">
        <v>0</v>
      </c>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9"/>
    </row>
    <row r="65" spans="2:32">
      <c r="B65" s="128"/>
      <c r="C65" s="129"/>
      <c r="D65" s="3"/>
      <c r="E65" s="14"/>
      <c r="F65" s="17"/>
      <c r="G65" s="21"/>
      <c r="H65" s="102"/>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7"/>
    </row>
    <row r="66" spans="2:32">
      <c r="G66" s="22"/>
    </row>
    <row r="67" spans="2:32">
      <c r="E67" s="82"/>
      <c r="F67" s="82"/>
      <c r="G67" s="83" t="s">
        <v>158</v>
      </c>
      <c r="H67" s="84" t="s">
        <v>156</v>
      </c>
    </row>
    <row r="68" spans="2:32" ht="21">
      <c r="B68" s="85" t="s">
        <v>121</v>
      </c>
      <c r="G68" s="86">
        <v>93165487564</v>
      </c>
      <c r="H68" s="86">
        <v>56237292250</v>
      </c>
    </row>
    <row r="69" spans="2:32">
      <c r="B69" s="65" t="s">
        <v>213</v>
      </c>
      <c r="C69" s="118"/>
    </row>
    <row r="71" spans="2:32">
      <c r="B71" s="65" t="s">
        <v>214</v>
      </c>
      <c r="C71" s="65" t="s">
        <v>360</v>
      </c>
    </row>
    <row r="72" spans="2:32">
      <c r="E72" s="13" t="s">
        <v>365</v>
      </c>
      <c r="F72" s="16"/>
    </row>
    <row r="73" spans="2:32">
      <c r="E73" s="174" t="s">
        <v>355</v>
      </c>
      <c r="F73" s="175"/>
      <c r="G73" s="176">
        <v>12498433219</v>
      </c>
      <c r="H73" s="101"/>
    </row>
    <row r="74" spans="2:32">
      <c r="E74" s="168" t="s">
        <v>356</v>
      </c>
      <c r="F74" s="16"/>
      <c r="G74" s="18">
        <v>7838961972</v>
      </c>
      <c r="H74" s="101"/>
    </row>
    <row r="75" spans="2:32">
      <c r="E75" s="168" t="s">
        <v>357</v>
      </c>
      <c r="F75" s="16"/>
      <c r="G75" s="18">
        <v>320864931</v>
      </c>
      <c r="H75" s="101"/>
    </row>
    <row r="76" spans="2:32">
      <c r="E76" s="168" t="s">
        <v>358</v>
      </c>
      <c r="F76" s="16"/>
      <c r="G76" s="18">
        <v>2536319170</v>
      </c>
      <c r="H76" s="101"/>
    </row>
    <row r="77" spans="2:32">
      <c r="E77" s="168" t="s">
        <v>359</v>
      </c>
      <c r="F77" s="16"/>
      <c r="G77" s="18">
        <v>1752179626</v>
      </c>
      <c r="H77" s="101"/>
    </row>
    <row r="78" spans="2:32">
      <c r="E78" s="169" t="s">
        <v>364</v>
      </c>
      <c r="F78" s="170"/>
      <c r="G78" s="171">
        <v>93165487564</v>
      </c>
      <c r="H78" s="101"/>
    </row>
    <row r="79" spans="2:32">
      <c r="B79" s="65" t="s">
        <v>363</v>
      </c>
      <c r="C79" s="65" t="s">
        <v>361</v>
      </c>
      <c r="E79" s="67"/>
      <c r="F79" s="67"/>
      <c r="G79" s="67"/>
    </row>
    <row r="80" spans="2:32" ht="16" thickBot="1">
      <c r="C80" s="65" t="s">
        <v>362</v>
      </c>
      <c r="E80" s="172" t="s">
        <v>366</v>
      </c>
      <c r="F80" s="172"/>
      <c r="G80" s="173">
        <v>118112246482</v>
      </c>
    </row>
    <row r="116" spans="3:3">
      <c r="C116" s="65" t="s">
        <v>422</v>
      </c>
    </row>
    <row r="117" spans="3:3">
      <c r="C117" s="65" t="s">
        <v>422</v>
      </c>
    </row>
  </sheetData>
  <mergeCells count="7">
    <mergeCell ref="E9:G9"/>
    <mergeCell ref="E8:G8"/>
    <mergeCell ref="B3:D3"/>
    <mergeCell ref="B4:D4"/>
    <mergeCell ref="B2:D2"/>
    <mergeCell ref="B8:D8"/>
    <mergeCell ref="B9:D9"/>
  </mergeCells>
  <conditionalFormatting sqref="D15:D17 D63:D64 D57:D61 D48:D52 D36:D44 D25:D34 D19:D23">
    <cfRule type="containsText" dxfId="8" priority="12" operator="containsText" text="Including;Not Applicable;Not included">
      <formula>NOT(ISERROR(SEARCH("Including;Not Applicable;Not included",D15)))</formula>
    </cfRule>
  </conditionalFormatting>
  <conditionalFormatting sqref="D62">
    <cfRule type="containsText" dxfId="7" priority="9" operator="containsText" text="Including;Not Applicable;Not included">
      <formula>NOT(ISERROR(SEARCH("Including;Not Applicable;Not included",D62)))</formula>
    </cfRule>
  </conditionalFormatting>
  <conditionalFormatting sqref="D53:D56">
    <cfRule type="containsText" dxfId="6" priority="8" operator="containsText" text="Including;Not Applicable;Not included">
      <formula>NOT(ISERROR(SEARCH("Including;Not Applicable;Not included",D53)))</formula>
    </cfRule>
  </conditionalFormatting>
  <conditionalFormatting sqref="D45:D47">
    <cfRule type="containsText" dxfId="5" priority="7" operator="containsText" text="Including;Not Applicable;Not included">
      <formula>NOT(ISERROR(SEARCH("Including;Not Applicable;Not included",D45)))</formula>
    </cfRule>
  </conditionalFormatting>
  <conditionalFormatting sqref="D35">
    <cfRule type="containsText" dxfId="4" priority="6" operator="containsText" text="Including;Not Applicable;Not included">
      <formula>NOT(ISERROR(SEARCH("Including;Not Applicable;Not included",D35)))</formula>
    </cfRule>
  </conditionalFormatting>
  <conditionalFormatting sqref="D24">
    <cfRule type="containsText" dxfId="3" priority="5" operator="containsText" text="Including;Not Applicable;Not included">
      <formula>NOT(ISERROR(SEARCH("Including;Not Applicable;Not included",D24)))</formula>
    </cfRule>
  </conditionalFormatting>
  <conditionalFormatting sqref="D18">
    <cfRule type="containsText" dxfId="2" priority="4" operator="containsText" text="Including;Not Applicable;Not included">
      <formula>NOT(ISERROR(SEARCH("Including;Not Applicable;Not included",D18)))</formula>
    </cfRule>
  </conditionalFormatting>
  <conditionalFormatting sqref="D14">
    <cfRule type="containsText" dxfId="1" priority="3" operator="containsText" text="Including;Not Applicable;Not included">
      <formula>NOT(ISERROR(SEARCH("Including;Not Applicable;Not included",D14)))</formula>
    </cfRule>
  </conditionalFormatting>
  <conditionalFormatting sqref="D13">
    <cfRule type="containsText" dxfId="0" priority="2" operator="containsText" text="Including;Not Applicable;Not included">
      <formula>NOT(ISERROR(SEARCH("Including;Not Applicable;Not included",D13)))</formula>
    </cfRule>
  </conditionalFormatting>
  <dataValidations count="19">
    <dataValidation type="list" showInputMessage="1" showErrorMessage="1" errorTitle="Unrecognized format" error="Please choose among the following options: Included, Not applicable or Not included" promptTitle="Included in EITI Report" prompt="_x000a_Please choose among the following options: _x000a__x000a_Included and reconciled_x000a_Included partially reconciled_x000a_Included not reconciled_x000a_Not included_x000a_Not applicable" sqref="D29:D32 D21:D22 D45:D49 D35:D36 D41:D43 D60:D64 D24:D27 D51:D58 D13:D19" xr:uid="{00000000-0002-0000-0300-000000000000}">
      <formula1>"Included and reconciled,Included not reconciled,Included partially reconciled,Not included,Not applicable,&lt;Choose option&gt;"</formula1>
    </dataValidation>
    <dataValidation type="list" showInputMessage="1" showErrorMessage="1" errorTitle="Non-standard sector" error="You have input a non-standard sector._x000a__x000a_Please select the relevant sector of the company from the list." promptTitle="Please select sector" prompt="Please select the relevant sector of the company from the list" sqref="K6:AF6" xr:uid="{00000000-0002-0000-0300-000001000000}">
      <formula1>"&lt;Choose sector&gt;,Oil,Gas,Mining,NA,Oil and Gas,Other"</formula1>
    </dataValidation>
    <dataValidation type="list" showInputMessage="1" showErrorMessage="1" errorTitle="Non-standard sector" error="You have input a non-standard sector._x000a__x000a_Please select the relevant sector of the company from the list." promptTitle="Please select sector" prompt="Please select the relevant sector of the company from the list" sqref="I6:J6" xr:uid="{00000000-0002-0000-0300-000002000000}">
      <formula1>"&lt;Choose sector&gt;,Oil,Gas,Mining,NA,Oil &amp; Gas,Oil, Gas &amp; Mining,Other"</formula1>
    </dataValidation>
    <dataValidation type="textLength" allowBlank="1" showInputMessage="1" showErrorMessage="1" errorTitle="Non ISO currency code detected" error="Please revise according to description" promptTitle="Input currency for table B &amp; D" prompt="Input 3-letter ISO 4217 currency code:_x000a_If unsure, visit https://en.wikipedia.org/wiki/ISO_4217" sqref="G3" xr:uid="{00000000-0002-0000-0300-000003000000}">
      <formula1>3</formula1>
      <formula2>3</formula2>
    </dataValidation>
    <dataValidation allowBlank="1" showInputMessage="1" promptTitle="Identification #" prompt="Please input unique identification number, such as TIN, organisational number or similar" sqref="I5:AF5" xr:uid="{00000000-0002-0000-0300-000004000000}"/>
    <dataValidation allowBlank="1" showInputMessage="1" promptTitle="Company name" prompt="Input company name here_x000a__x000a_Please refrain from using acronyms, and input complete name" sqref="I4:AF4" xr:uid="{00000000-0002-0000-0300-000005000000}"/>
    <dataValidation type="decimal" operator="greaterThan" allowBlank="1" showErrorMessage="1" errorTitle="Non-numeric value detected" error="Only include numbers in this section._x000a__x000a_Other information or comments, please include under E. Notes" sqref="I13:I65 J16:J65 I11:AF12 K13:AF65" xr:uid="{00000000-0002-0000-0300-000006000000}">
      <formula1>-1000000000000000000</formula1>
    </dataValidation>
    <dataValidation type="list" showDropDown="1" showErrorMessage="1" errorTitle="Editing attempt detected" error="Please do not edit these descriptions" sqref="G67:H67" xr:uid="{00000000-0002-0000-0300-000007000000}">
      <formula1>"#ERROR!"</formula1>
    </dataValidation>
    <dataValidation type="list" showDropDown="1" showInputMessage="1" showErrorMessage="1" errorTitle="Please do not edit these cells" error="Please do not edit these cells" sqref="B2:D10 E2:G2 H2:H7 E10:H10 D23 D20 D33:D34 D28 D44 D37:D40 D11:D12 D50 D59 D65 E8:AF9" xr:uid="{00000000-0002-0000-0300-000008000000}">
      <formula1>"#ERROR!"</formula1>
    </dataValidation>
    <dataValidation type="list" showDropDown="1" showErrorMessage="1" errorTitle="Please do not edit these cells" error="Please do not edit these cells" sqref="E6:F7 G4" xr:uid="{00000000-0002-0000-0300-000009000000}">
      <formula1>"#ERROR!"</formula1>
    </dataValidation>
    <dataValidation type="decimal" operator="greaterThanOrEqual" allowBlank="1" showErrorMessage="1" errorTitle="Non-numeric value detected" error="Only include numbers in this section._x000a__x000a_Other information or comments, please include under E. Notes" sqref="J13:J15" xr:uid="{00000000-0002-0000-0300-00000A000000}">
      <formula1>-1000000000000000000</formula1>
    </dataValidation>
    <dataValidation type="custom" allowBlank="1" showInputMessage="1" promptTitle="Name of identifier" prompt="Please input name of identifier, such as &quot;Taxpayer Identification Number&quot; or similar." sqref="G5" xr:uid="{00000000-0002-0000-0300-00000B000000}">
      <formula1>IFERROR(OR(ISNUMBER(SEARCH("Example:",G5)),ISNUMBER(SEARCH("Example:",G5))),TRUE)</formula1>
    </dataValidation>
    <dataValidation allowBlank="1" showInputMessage="1" promptTitle="Name of register" prompt="Please input name of register or agency" sqref="G6" xr:uid="{00000000-0002-0000-0300-00000C000000}"/>
    <dataValidation allowBlank="1" showInputMessage="1" showErrorMessage="1" promptTitle="Registry URL" prompt="Please insert direct URL to the registry or agency" sqref="G7" xr:uid="{00000000-0002-0000-0300-00000D000000}"/>
    <dataValidation type="textLength" showInputMessage="1" showErrorMessage="1" errorTitle="Please insert commodities" error="Please insert the relevant commodities of the company here, separated by commas." promptTitle="Please insert commodities" prompt="Please insert the relevant commodities of the company here, separated by commas." sqref="I7:AF7" xr:uid="{00000000-0002-0000-0300-00000E000000}">
      <formula1>1</formula1>
      <formula2>30</formula2>
    </dataValidation>
    <dataValidation type="list" showDropDown="1" showErrorMessage="1" errorTitle="Editing attempt detected" error="Please do not edit GFS Codes or Descriptions." sqref="B11:C65" xr:uid="{00000000-0002-0000-0300-00000F000000}">
      <formula1>"#ERROR!"</formula1>
    </dataValidation>
    <dataValidation type="decimal" operator="greaterThan" allowBlank="1" showErrorMessage="1" errorTitle="Non-numeric value detected" error="Please only input numeric values" sqref="G11:G65" xr:uid="{00000000-0002-0000-0300-000010000000}">
      <formula1>0</formula1>
    </dataValidation>
    <dataValidation allowBlank="1" showInputMessage="1" promptTitle="Name of revenue stream" prompt="Please input the name of the revenue streams here._x000a__x000a_Only include revenue paid on behalf of companies. Do NOT include personal income taxes, PAYE, or other revenues paid on behalf of individuals. These may be included under E. Notes, below." sqref="E11:E65" xr:uid="{00000000-0002-0000-0300-000011000000}"/>
    <dataValidation allowBlank="1" showInputMessage="1" promptTitle="Receiving government agency" prompt="Input the name of the government recipient here._x000a__x000a_Please refrain from using acronyms, and input complete name" sqref="F11:F65" xr:uid="{00000000-0002-0000-0300-000012000000}"/>
  </dataValidations>
  <hyperlinks>
    <hyperlink ref="G7" r:id="rId1" xr:uid="{00000000-0004-0000-0300-000000000000}"/>
  </hyperlinks>
  <pageMargins left="0.25" right="0.25" top="0.75" bottom="0.75" header="0.3" footer="0.3"/>
  <pageSetup paperSize="8" scale="69" fitToWidth="0" orientation="landscape" horizontalDpi="2400" verticalDpi="2400" r:id="rId2"/>
  <colBreaks count="1" manualBreakCount="1">
    <brk id="7" max="58"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1:E42"/>
  <sheetViews>
    <sheetView showGridLines="0" workbookViewId="0"/>
  </sheetViews>
  <sheetFormatPr defaultColWidth="3.5" defaultRowHeight="24" customHeight="1"/>
  <cols>
    <col min="1" max="1" width="3.5" style="24"/>
    <col min="2" max="2" width="10.4140625" style="24" customWidth="1"/>
    <col min="3" max="3" width="8" style="24" customWidth="1"/>
    <col min="4" max="4" width="60.4140625" style="24" customWidth="1"/>
    <col min="5" max="5" width="2" style="27" customWidth="1"/>
    <col min="6" max="16384" width="3.5" style="24"/>
  </cols>
  <sheetData>
    <row r="1" spans="2:5" ht="15.9" customHeight="1">
      <c r="E1" s="24"/>
    </row>
    <row r="2" spans="2:5" ht="24.9" customHeight="1">
      <c r="B2" s="25" t="s">
        <v>161</v>
      </c>
      <c r="E2" s="24"/>
    </row>
    <row r="3" spans="2:5" ht="15.9" customHeight="1">
      <c r="B3" s="26" t="s">
        <v>33</v>
      </c>
      <c r="E3" s="24"/>
    </row>
    <row r="4" spans="2:5" ht="15.9" customHeight="1">
      <c r="B4" s="31" t="s">
        <v>164</v>
      </c>
      <c r="C4" s="31" t="s">
        <v>163</v>
      </c>
      <c r="D4" s="4" t="s">
        <v>165</v>
      </c>
      <c r="E4" s="24"/>
    </row>
    <row r="5" spans="2:5" ht="15.9" customHeight="1">
      <c r="B5" s="28">
        <v>42023</v>
      </c>
      <c r="C5" s="29" t="s">
        <v>167</v>
      </c>
      <c r="D5" s="32" t="s">
        <v>168</v>
      </c>
      <c r="E5" s="24"/>
    </row>
    <row r="6" spans="2:5" ht="15.9" customHeight="1" thickBot="1">
      <c r="B6" s="23">
        <v>41991</v>
      </c>
      <c r="C6" s="30" t="s">
        <v>162</v>
      </c>
      <c r="D6" s="36" t="s">
        <v>166</v>
      </c>
      <c r="E6" s="24"/>
    </row>
    <row r="7" spans="2:5" ht="15.9" customHeight="1" thickBot="1">
      <c r="B7" s="23">
        <v>42061</v>
      </c>
      <c r="C7" s="35" t="s">
        <v>188</v>
      </c>
      <c r="D7" s="37" t="s">
        <v>174</v>
      </c>
      <c r="E7" s="24"/>
    </row>
    <row r="8" spans="2:5" ht="15.9" customHeight="1">
      <c r="D8" s="38" t="s">
        <v>175</v>
      </c>
      <c r="E8" s="24"/>
    </row>
    <row r="9" spans="2:5" ht="15.9" customHeight="1">
      <c r="D9" s="24" t="s">
        <v>178</v>
      </c>
      <c r="E9" s="24"/>
    </row>
    <row r="10" spans="2:5" ht="15.9" customHeight="1">
      <c r="B10" s="23">
        <v>42068</v>
      </c>
      <c r="C10" s="35" t="s">
        <v>173</v>
      </c>
      <c r="D10" s="24" t="s">
        <v>189</v>
      </c>
      <c r="E10" s="24"/>
    </row>
    <row r="11" spans="2:5" ht="15.9" customHeight="1">
      <c r="E11" s="24"/>
    </row>
    <row r="12" spans="2:5" ht="15.9" customHeight="1">
      <c r="E12" s="24"/>
    </row>
    <row r="13" spans="2:5" ht="15.9" customHeight="1">
      <c r="E13" s="24"/>
    </row>
    <row r="14" spans="2:5" ht="15.9" customHeight="1">
      <c r="E14" s="24"/>
    </row>
    <row r="15" spans="2:5" ht="15.9" customHeight="1">
      <c r="E15" s="24"/>
    </row>
    <row r="16" spans="2:5" ht="15.9" customHeight="1">
      <c r="E16" s="24"/>
    </row>
    <row r="17" spans="5:5" ht="15.9" customHeight="1">
      <c r="E17" s="24"/>
    </row>
    <row r="18" spans="5:5" ht="15.9" customHeight="1">
      <c r="E18" s="24"/>
    </row>
    <row r="19" spans="5:5" ht="15.9" customHeight="1">
      <c r="E19" s="24"/>
    </row>
    <row r="20" spans="5:5" ht="15.9" customHeight="1">
      <c r="E20" s="24"/>
    </row>
    <row r="21" spans="5:5" ht="15.9" customHeight="1">
      <c r="E21" s="24"/>
    </row>
    <row r="22" spans="5:5" ht="15.9" customHeight="1">
      <c r="E22" s="24"/>
    </row>
    <row r="23" spans="5:5" ht="15.9" customHeight="1">
      <c r="E23" s="24"/>
    </row>
    <row r="24" spans="5:5" ht="15.9" customHeight="1">
      <c r="E24" s="24"/>
    </row>
    <row r="25" spans="5:5" ht="15.9" customHeight="1">
      <c r="E25" s="24"/>
    </row>
    <row r="26" spans="5:5" ht="15.9" customHeight="1">
      <c r="E26" s="24"/>
    </row>
    <row r="27" spans="5:5" ht="15.9" customHeight="1">
      <c r="E27" s="24"/>
    </row>
    <row r="28" spans="5:5" ht="15.9" customHeight="1">
      <c r="E28" s="24"/>
    </row>
    <row r="29" spans="5:5" ht="15.9" customHeight="1">
      <c r="E29" s="24"/>
    </row>
    <row r="30" spans="5:5" ht="15.9" customHeight="1">
      <c r="E30" s="24"/>
    </row>
    <row r="31" spans="5:5" ht="15.9" customHeight="1">
      <c r="E31" s="24"/>
    </row>
    <row r="32" spans="5:5" ht="15.9" customHeight="1">
      <c r="E32" s="24"/>
    </row>
    <row r="33" spans="5:5" ht="15.9" customHeight="1">
      <c r="E33" s="24"/>
    </row>
    <row r="34" spans="5:5" ht="15.9" customHeight="1"/>
    <row r="35" spans="5:5" ht="15.9" customHeight="1"/>
    <row r="36" spans="5:5" ht="15.9" customHeight="1">
      <c r="E36" s="24"/>
    </row>
    <row r="37" spans="5:5" ht="15.9" customHeight="1">
      <c r="E37" s="24"/>
    </row>
    <row r="38" spans="5:5" ht="15.9" customHeight="1">
      <c r="E38" s="24"/>
    </row>
    <row r="39" spans="5:5" ht="15.9" customHeight="1">
      <c r="E39" s="24"/>
    </row>
    <row r="40" spans="5:5" ht="15.9" customHeight="1">
      <c r="E40" s="24"/>
    </row>
    <row r="41" spans="5:5" ht="15.9" customHeight="1">
      <c r="E41" s="24"/>
    </row>
    <row r="42" spans="5:5" ht="15.9" customHeight="1"/>
  </sheetData>
  <pageMargins left="0.75" right="0.75" top="1" bottom="1" header="0.5" footer="0.5"/>
  <pageSetup paperSize="9" orientation="portrait"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c958bcd-fe3d-4310-8463-0016d19558cc">
      <Terms xmlns="http://schemas.microsoft.com/office/infopath/2007/PartnerControls"/>
    </lcf76f155ced4ddcb4097134ff3c332f>
    <TaxCatchAll xmlns="36538d5f-f7e1-46e7-b8e6-8d0f62ce97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8" ma:contentTypeDescription="Create a new document." ma:contentTypeScope="" ma:versionID="23cef727ba65d2ecc24e2a1fbd298925">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2978534243de8d7d19195d005391593c"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b58f297-623d-4bc9-82bf-53ab639f850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e301e53-ab4a-4184-9aa6-99509ffdd4e5}" ma:internalName="TaxCatchAll" ma:showField="CatchAllData" ma:web="36538d5f-f7e1-46e7-b8e6-8d0f62ce97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F4399B-BF3C-4C33-BEA4-BA1EF66AB1C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 ds:uri="0c958bcd-fe3d-4310-8463-0016d19558cc"/>
    <ds:schemaRef ds:uri="36538d5f-f7e1-46e7-b8e6-8d0f62ce9765"/>
  </ds:schemaRefs>
</ds:datastoreItem>
</file>

<file path=customXml/itemProps2.xml><?xml version="1.0" encoding="utf-8"?>
<ds:datastoreItem xmlns:ds="http://schemas.openxmlformats.org/officeDocument/2006/customXml" ds:itemID="{10117945-FFB5-4EFE-861C-0F8F7F7BE9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DD97B9-0E5D-4B8E-9C43-4F3313333A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Introduction</vt:lpstr>
      <vt:lpstr>1. About</vt:lpstr>
      <vt:lpstr>2. Contextual</vt:lpstr>
      <vt:lpstr>3. Revenues</vt:lpstr>
      <vt:lpstr>Changelog</vt:lpstr>
      <vt:lpstr>'1. About'!Print_Area</vt:lpstr>
      <vt:lpstr>'2. Contextual'!Print_Area</vt:lpstr>
      <vt:lpstr>'3. Revenues'!Print_Area</vt:lpstr>
      <vt:lpstr>Introduction!Print_Area</vt:lpstr>
    </vt:vector>
  </TitlesOfParts>
  <Company>EITI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Tunold Kråkenes</dc:creator>
  <cp:lastModifiedBy>Hugo Paret</cp:lastModifiedBy>
  <cp:lastPrinted>2017-09-25T09:45:32Z</cp:lastPrinted>
  <dcterms:created xsi:type="dcterms:W3CDTF">2014-08-29T11:25:27Z</dcterms:created>
  <dcterms:modified xsi:type="dcterms:W3CDTF">2024-01-03T13:57:49Z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y fmtid="{D5CDD505-2E9C-101B-9397-08002B2CF9AE}" pid="3" name="MediaServiceImageTags">
    <vt:lpwstr/>
  </property>
</Properties>
</file>