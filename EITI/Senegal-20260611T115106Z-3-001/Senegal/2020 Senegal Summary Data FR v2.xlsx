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2"/>
  <workbookPr codeName="ThisWorkbook" defaultThemeVersion="166925"/>
  <mc:AlternateContent xmlns:mc="http://schemas.openxmlformats.org/markup-compatibility/2006">
    <mc:Choice Requires="x15">
      <x15ac:absPath xmlns:x15ac="http://schemas.microsoft.com/office/spreadsheetml/2010/11/ac" url="C:\Users\kr65\Downloads\"/>
    </mc:Choice>
  </mc:AlternateContent>
  <xr:revisionPtr revIDLastSave="0" documentId="8_{67E06DAC-FA5F-4C1F-8C30-CF2C3EE647FB}" xr6:coauthVersionLast="47" xr6:coauthVersionMax="47" xr10:uidLastSave="{00000000-0000-0000-0000-000000000000}"/>
  <bookViews>
    <workbookView xWindow="28680" yWindow="-120" windowWidth="29040" windowHeight="15720" tabRatio="816" firstSheet="3" activeTab="3" xr2:uid="{00000000-000D-0000-FFFF-FFFF00000000}"/>
  </bookViews>
  <sheets>
    <sheet name="Introduction" sheetId="13" r:id="rId1"/>
    <sheet name="Partie 1 - Présentation" sheetId="9" r:id="rId2"/>
    <sheet name="Partie 2 - Liste de pointage" sheetId="8" r:id="rId3"/>
    <sheet name="Partie 3 - Entités déclarantes" sheetId="12" r:id="rId4"/>
    <sheet name="Partie 4 - Recettes de l’État" sheetId="4" r:id="rId5"/>
    <sheet name="Partie 5 - Données d’entreprise" sheetId="11" r:id="rId6"/>
    <sheet name="Listes" sheetId="10" r:id="rId7"/>
  </sheets>
  <externalReferences>
    <externalReference r:id="rId8"/>
  </externalReferences>
  <definedNames>
    <definedName name="Agency_type">Table15[Type d''Agence]</definedName>
    <definedName name="Commodities_list">Table5_Commodities_list[Description de produit HS av. volume]</definedName>
    <definedName name="Commodity_names">Table5_Commodities_list[Description de produit HS]</definedName>
    <definedName name="Companies_list">Companies[Nom complet de l’entreprise]</definedName>
    <definedName name="Currency_code_list">Table1_Country_codes_and_currencies[Code de devise (ISO 4217)]</definedName>
    <definedName name="GFS_list">Table6_GFS_codes_classification[Combiné]</definedName>
    <definedName name="Government_entities_list">Government_agencies[Nom complet de l’entité]</definedName>
    <definedName name="Project_phases_list">Table12[Étapes du projet]</definedName>
    <definedName name="Projectname">Companies15[Nom complet du projet]</definedName>
    <definedName name="Reporting_options_list">Table3_Reporting_options[Liste]</definedName>
    <definedName name="Revenue_stream_list">Government_revenues_table[Nom du flux de revenus]</definedName>
    <definedName name="Sector_list">Table7_sectors[Secteur (s)]</definedName>
    <definedName name="Simple_options_list">Table2_Simple_options[Liste]</definedName>
    <definedName name="Total_reconciled">Table10[Valeur de revenus]</definedName>
    <definedName name="Total_revenues">Government_revenues_table[Valeur des revenus]</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3" i="4" l="1"/>
  <c r="J316" i="11"/>
  <c r="J255" i="11"/>
  <c r="J100" i="4"/>
  <c r="J110" i="4"/>
  <c r="J20" i="11" l="1"/>
  <c r="J19" i="11"/>
  <c r="I99" i="12"/>
  <c r="I66" i="12" l="1"/>
  <c r="I65" i="12"/>
  <c r="I64" i="12"/>
  <c r="I63" i="12"/>
  <c r="I62" i="12"/>
  <c r="I61" i="12"/>
  <c r="I60" i="12"/>
  <c r="I59" i="12"/>
  <c r="I58" i="12"/>
  <c r="I57" i="12"/>
  <c r="I56" i="12"/>
  <c r="I55" i="12"/>
  <c r="I54" i="12"/>
  <c r="I53" i="12"/>
  <c r="I52" i="12"/>
  <c r="I51" i="12"/>
  <c r="I50" i="12"/>
  <c r="I49" i="12"/>
  <c r="I48" i="12"/>
  <c r="I47" i="12"/>
  <c r="I46" i="12"/>
  <c r="I45" i="12"/>
  <c r="E31" i="12" l="1"/>
  <c r="E30" i="12"/>
  <c r="E29" i="12"/>
  <c r="E28" i="12"/>
  <c r="E27" i="12"/>
  <c r="E26" i="12"/>
  <c r="E25" i="12"/>
  <c r="D188" i="8"/>
  <c r="F42" i="8" l="1"/>
  <c r="D37" i="8"/>
  <c r="E21" i="9"/>
  <c r="I171" i="11"/>
  <c r="K171" i="11" l="1"/>
  <c r="J318" i="11" s="1"/>
  <c r="J81" i="4"/>
  <c r="J79" i="4"/>
  <c r="K169" i="11"/>
  <c r="D144" i="8" l="1"/>
  <c r="I81" i="4"/>
  <c r="D54" i="8" l="1"/>
  <c r="F54" i="8" l="1"/>
  <c r="F203" i="8" l="1"/>
  <c r="B152" i="8"/>
  <c r="E21" i="12"/>
  <c r="F197" i="8"/>
  <c r="F49" i="8"/>
  <c r="D172" i="8" l="1"/>
  <c r="E60" i="9" s="1"/>
  <c r="E59" i="9"/>
  <c r="E61" i="9" l="1"/>
  <c r="E62" i="9"/>
  <c r="E23" i="9"/>
  <c r="B168" i="8" l="1"/>
  <c r="B115" i="8"/>
  <c r="B113" i="8"/>
  <c r="B71" i="8"/>
  <c r="I43" i="12"/>
  <c r="E22" i="12"/>
  <c r="I42" i="12"/>
  <c r="I44" i="12"/>
  <c r="I41" i="12"/>
  <c r="E24" i="12"/>
  <c r="E23" i="12"/>
  <c r="B108" i="11"/>
  <c r="B109" i="11"/>
  <c r="B110" i="11"/>
  <c r="B111" i="11"/>
  <c r="B121" i="11"/>
  <c r="B38" i="11"/>
  <c r="B51" i="11"/>
  <c r="B149" i="11"/>
  <c r="B27" i="11"/>
  <c r="N4" i="4"/>
  <c r="E4" i="12"/>
  <c r="H4" i="8"/>
  <c r="G4" i="9"/>
  <c r="E22" i="9"/>
  <c r="B58" i="4"/>
  <c r="C58" i="4"/>
  <c r="D58" i="4"/>
  <c r="E58" i="4"/>
  <c r="E71" i="4"/>
  <c r="D71" i="4"/>
  <c r="C71" i="4"/>
  <c r="B71" i="4"/>
  <c r="E66" i="4"/>
  <c r="D66" i="4"/>
  <c r="C66" i="4"/>
  <c r="B66" i="4"/>
  <c r="E55" i="4"/>
  <c r="D55" i="4"/>
  <c r="C55" i="4"/>
  <c r="B55" i="4"/>
  <c r="E53" i="4"/>
  <c r="D53" i="4"/>
  <c r="C53" i="4"/>
  <c r="B53" i="4"/>
  <c r="E51" i="4"/>
  <c r="D51" i="4"/>
  <c r="C51" i="4"/>
  <c r="B51" i="4"/>
  <c r="D43" i="4"/>
  <c r="E57" i="4"/>
  <c r="D57" i="4"/>
  <c r="C57" i="4"/>
  <c r="B57" i="4"/>
  <c r="E43" i="4"/>
  <c r="C43" i="4"/>
  <c r="B43" i="4"/>
  <c r="E25" i="4"/>
  <c r="D25" i="4"/>
  <c r="C25" i="4"/>
  <c r="B25" i="4"/>
  <c r="C60" i="4"/>
  <c r="C68" i="4"/>
  <c r="C30" i="4"/>
  <c r="C38" i="4"/>
  <c r="C44" i="4"/>
  <c r="C45" i="4"/>
  <c r="C47" i="4"/>
  <c r="C61" i="4"/>
  <c r="C69" i="4"/>
  <c r="C73" i="4"/>
  <c r="C75" i="4"/>
  <c r="C41" i="4"/>
  <c r="D60" i="4"/>
  <c r="D68" i="4"/>
  <c r="D30" i="4"/>
  <c r="D38" i="4"/>
  <c r="D44" i="4"/>
  <c r="D45" i="4"/>
  <c r="D47" i="4"/>
  <c r="D61" i="4"/>
  <c r="D69" i="4"/>
  <c r="D73" i="4"/>
  <c r="D75" i="4"/>
  <c r="D41" i="4"/>
  <c r="E60" i="4"/>
  <c r="E68" i="4"/>
  <c r="E30" i="4"/>
  <c r="E38" i="4"/>
  <c r="E44" i="4"/>
  <c r="E45" i="4"/>
  <c r="E47" i="4"/>
  <c r="E61" i="4"/>
  <c r="E69" i="4"/>
  <c r="E73" i="4"/>
  <c r="E75" i="4"/>
  <c r="E41" i="4"/>
  <c r="B60" i="4"/>
  <c r="B68" i="4"/>
  <c r="B30" i="4"/>
  <c r="B38" i="4"/>
  <c r="B44" i="4"/>
  <c r="B45" i="4"/>
  <c r="B47" i="4"/>
  <c r="B61" i="4"/>
  <c r="B69" i="4"/>
  <c r="B73" i="4"/>
  <c r="B75" i="4"/>
  <c r="B41" i="4"/>
  <c r="E58"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Government_revenues_table" description="Connection to the 'Government_revenues_table' query in the workbook." type="5" refreshedVersion="0" background="1">
    <dbPr connection="Provider=Microsoft.Mashup.OleDb.1;Data Source=$Workbook$;Location=Government_revenues_table;Extended Properties=&quot;&quot;" command="SELECT * FROM [Government_revenues_table]"/>
  </connection>
  <connection id="2" xr16:uid="{00000000-0015-0000-FFFF-FFFF01000000}" keepAlive="1" name="Query - Government_revenues_table (2)" description="Connection to the 'Government_revenues_table (2)' query in the workbook." type="5" refreshedVersion="0" background="1">
    <dbPr connection="Provider=Microsoft.Mashup.OleDb.1;Data Source=$Workbook$;Location=Government_revenues_table (2);Extended Properties=&quot;&quot;" command="SELECT * FROM [Government_revenues_table (2)]"/>
  </connection>
</connections>
</file>

<file path=xl/sharedStrings.xml><?xml version="1.0" encoding="utf-8"?>
<sst xmlns="http://schemas.openxmlformats.org/spreadsheetml/2006/main" count="5729" uniqueCount="2535">
  <si>
    <t>Rempli le :</t>
  </si>
  <si>
    <t>Modèle de données résumées pour les divulgations ITIE</t>
  </si>
  <si>
    <t>Version 2.0 appliquée le 1er Juillet 2019</t>
  </si>
  <si>
    <t xml:space="preserve">En remplissant ce modèle de données résumées avec des données de votre Rapport ITIE, vous rendrez ces dernières accessibles sous un format lisible par machine (Exigence 7.2.d). </t>
  </si>
  <si>
    <r>
      <t xml:space="preserve">« Rendre le Rapport ITIE disponible en format données ouvertes (xlsx ou csv) en ligne et faire connaître sa disponibilité » </t>
    </r>
    <r>
      <rPr>
        <sz val="12"/>
        <color rgb="FF000000"/>
        <rFont val="Franklin Gothic Book"/>
        <family val="2"/>
      </rPr>
      <t xml:space="preserve">
</t>
    </r>
    <r>
      <rPr>
        <i/>
        <sz val="12"/>
        <color rgb="FF000000"/>
        <rFont val="Franklin Gothic Book"/>
        <family val="2"/>
      </rPr>
      <t>- Exigence ITIE 7.1.c</t>
    </r>
  </si>
  <si>
    <t>Comment fonctionne la publication de données ITIE :</t>
  </si>
  <si>
    <t>1. N’utiliser qu’un classeur Excel par exercice fiscal couvert. Si la déclaration porte à la fois sur les hydrocarbures et l’exploitation minière, ces deux secteurs peuvent être inclus dans un seul classeur.</t>
  </si>
  <si>
    <t>2. Remplir le classeur entier - parties 1 à 5</t>
  </si>
  <si>
    <r>
      <t xml:space="preserve">3. Prière de soumettre cette fiche de données en même temps que le Rapport ITIE. L’envoyer au Secrétariat international à : </t>
    </r>
    <r>
      <rPr>
        <u/>
        <sz val="12"/>
        <color rgb="FF0070C0"/>
        <rFont val="Franklin Gothic Book"/>
        <family val="2"/>
      </rPr>
      <t xml:space="preserve">data@eiti.org. </t>
    </r>
  </si>
  <si>
    <r>
      <t xml:space="preserve">4. Les données serviront à alimenter le référentiel mondial de données ITIE, disponible sur le site Internet international de l’ITIE à </t>
    </r>
    <r>
      <rPr>
        <u/>
        <sz val="12"/>
        <color rgb="FF0070C0"/>
        <rFont val="Franklin Gothic Book"/>
        <family val="2"/>
      </rPr>
      <t>https://eiti.org/fr/donnees</t>
    </r>
    <r>
      <rPr>
        <sz val="12"/>
        <rFont val="Franklin Gothic Book"/>
        <family val="2"/>
      </rPr>
      <t>. Le fichier vous sera renvoyé, afin de pouvoir être publié sur les canaux de votre choix.</t>
    </r>
  </si>
  <si>
    <t>Le présent formulaire modèle devra être rempli intégralement et soumis au Secrétariat international de l’ITIE pour chaque exercice fiscal couvert par le rapportage ITIE.</t>
  </si>
  <si>
    <t>Ce classeur comporte cinq parties. Insérer vos données en commençant par la partie 1 et continuer jusqu’à la partie 5</t>
  </si>
  <si>
    <r>
      <rPr>
        <b/>
        <sz val="12"/>
        <rFont val="Franklin Gothic Book"/>
        <family val="2"/>
      </rPr>
      <t xml:space="preserve">Partie 1 (Présentation) : </t>
    </r>
    <r>
      <rPr>
        <sz val="12"/>
        <rFont val="Franklin Gothic Book"/>
        <family val="2"/>
      </rPr>
      <t>Insérer les caractéristiques relatives au pays et aux données.</t>
    </r>
  </si>
  <si>
    <r>
      <rPr>
        <b/>
        <sz val="12"/>
        <rFont val="Franklin Gothic Book"/>
        <family val="2"/>
      </rPr>
      <t xml:space="preserve">Partie 2 (Liste de pointage) : </t>
    </r>
    <r>
      <rPr>
        <sz val="12"/>
        <rFont val="Franklin Gothic Book"/>
        <family val="2"/>
      </rPr>
      <t>Inscrire les données contextuelles et financières agrégées correspondant aux Exigences ITIE 2, 3, 4, 5 et 6.</t>
    </r>
  </si>
  <si>
    <r>
      <rPr>
        <b/>
        <sz val="12"/>
        <rFont val="Franklin Gothic Book"/>
        <family val="2"/>
      </rPr>
      <t xml:space="preserve">Partie 3 (Entités déclarantes) : </t>
    </r>
    <r>
      <rPr>
        <sz val="12"/>
        <rFont val="Franklin Gothic Book"/>
        <family val="2"/>
      </rPr>
      <t xml:space="preserve">Inscrire les entités déclarantes (entités de l’État, entreprises et projets) et l’information afférente. </t>
    </r>
  </si>
  <si>
    <r>
      <rPr>
        <b/>
        <sz val="12"/>
        <rFont val="Franklin Gothic Book"/>
        <family val="2"/>
      </rPr>
      <t xml:space="preserve">Partie 4 (Recettes de l’État) : </t>
    </r>
    <r>
      <rPr>
        <sz val="12"/>
        <rFont val="Franklin Gothic Book"/>
        <family val="2"/>
      </rPr>
      <t>Inscrire des données concernant les recettes de l’État par flux de revenus, en utilisant la classification GFS.</t>
    </r>
  </si>
  <si>
    <r>
      <rPr>
        <b/>
        <sz val="12"/>
        <rFont val="Franklin Gothic Book"/>
        <family val="2"/>
      </rPr>
      <t xml:space="preserve">Partie 5 (Données d’entreprise) : </t>
    </r>
    <r>
      <rPr>
        <sz val="12"/>
        <rFont val="Franklin Gothic Book"/>
        <family val="2"/>
      </rPr>
      <t>Inscrire des données d’entreprise - et celle de niveau projet - par flux de revenus.</t>
    </r>
  </si>
  <si>
    <t xml:space="preserve">Le Secrétariat international peut prodiguer conseils et soutien sur demande. Veuillez le contacter à </t>
  </si>
  <si>
    <t>data@eiti.org</t>
  </si>
  <si>
    <t>Les cellules en orange doivent être complétées avant la soumission</t>
  </si>
  <si>
    <t>Les cellules en bleu ne servent qu’à indiquer les sources et/ou à inscrire des commentaires</t>
  </si>
  <si>
    <t>Les cellules en blanc n’exigent aucune action</t>
  </si>
  <si>
    <t>Vous recevrez des retours immédiats sur un certain nombre des données que vous aurez inscrites, et certaines cellules se rempliront automatiquement.</t>
  </si>
  <si>
    <r>
      <rPr>
        <b/>
        <i/>
        <u/>
        <sz val="12"/>
        <color theme="1"/>
        <rFont val="Franklin Gothic Book"/>
        <family val="2"/>
      </rPr>
      <t>Terminologie :</t>
    </r>
    <r>
      <rPr>
        <b/>
        <i/>
        <sz val="12"/>
        <color theme="1"/>
        <rFont val="Franklin Gothic Book"/>
        <family val="2"/>
      </rPr>
      <t xml:space="preserve"> Divulgation</t>
    </r>
  </si>
  <si>
    <r>
      <rPr>
        <b/>
        <i/>
        <u/>
        <sz val="12"/>
        <color theme="1"/>
        <rFont val="Franklin Gothic Book"/>
        <family val="2"/>
      </rPr>
      <t>Terminologie :</t>
    </r>
    <r>
      <rPr>
        <b/>
        <i/>
        <sz val="12"/>
        <color theme="1"/>
        <rFont val="Franklin Gothic Book"/>
        <family val="2"/>
      </rPr>
      <t xml:space="preserve"> Options simples</t>
    </r>
  </si>
  <si>
    <r>
      <rPr>
        <i/>
        <u/>
        <sz val="12"/>
        <color theme="1"/>
        <rFont val="Franklin Gothic Book"/>
        <family val="2"/>
      </rPr>
      <t>Oui, divulgation systématique :</t>
    </r>
    <r>
      <rPr>
        <i/>
        <sz val="12"/>
        <color theme="1"/>
        <rFont val="Franklin Gothic Book"/>
        <family val="2"/>
      </rPr>
      <t xml:space="preserve"> Si les données sont divulguées régulièrement et systématiquement par des entités de l’État et ou des entreprises, et si ces données sont fiables, sélectionner Oui, divulgation systématique</t>
    </r>
  </si>
  <si>
    <r>
      <rPr>
        <i/>
        <u/>
        <sz val="12"/>
        <color theme="1"/>
        <rFont val="Franklin Gothic Book"/>
        <family val="2"/>
      </rPr>
      <t>Oui</t>
    </r>
    <r>
      <rPr>
        <i/>
        <sz val="12"/>
        <color theme="1"/>
        <rFont val="Franklin Gothic Book"/>
        <family val="2"/>
      </rPr>
      <t> : Tous les aspects de la question ont reçu une réponse/ont été couverts.</t>
    </r>
  </si>
  <si>
    <r>
      <rPr>
        <i/>
        <u/>
        <sz val="12"/>
        <color theme="1"/>
        <rFont val="Franklin Gothic Book"/>
        <family val="2"/>
      </rPr>
      <t>Oui, à travers le rapportage ITIE :</t>
    </r>
    <r>
      <rPr>
        <i/>
        <sz val="12"/>
        <color theme="1"/>
        <rFont val="Franklin Gothic Book"/>
        <family val="2"/>
      </rPr>
      <t xml:space="preserve"> Si le Rapport ITIE ou son site couvre certaines lacunes de divulgation relatives aux données du gouvernement ou des entreprises, sélectionner « Oui, dans le Rapport ITIE ».</t>
    </r>
  </si>
  <si>
    <r>
      <t>Partiellement :</t>
    </r>
    <r>
      <rPr>
        <i/>
        <sz val="12"/>
        <color theme="1"/>
        <rFont val="Franklin Gothic Book"/>
        <family val="2"/>
      </rPr>
      <t xml:space="preserve"> Des aspects de la question ont reçu une réponse/ont été couverts.</t>
    </r>
  </si>
  <si>
    <r>
      <rPr>
        <i/>
        <u/>
        <sz val="12"/>
        <color theme="1"/>
        <rFont val="Franklin Gothic Book"/>
        <family val="2"/>
      </rPr>
      <t>Non disponible :</t>
    </r>
    <r>
      <rPr>
        <i/>
        <sz val="12"/>
        <color theme="1"/>
        <rFont val="Franklin Gothic Book"/>
        <family val="2"/>
      </rPr>
      <t xml:space="preserve"> Les données sont applicables au pays, mais il n’y a pas de données ou d’informations disponibles.</t>
    </r>
  </si>
  <si>
    <r>
      <rPr>
        <i/>
        <u/>
        <sz val="12"/>
        <color theme="1"/>
        <rFont val="Franklin Gothic Book"/>
        <family val="2"/>
      </rPr>
      <t>Non :</t>
    </r>
    <r>
      <rPr>
        <i/>
        <sz val="12"/>
        <color theme="1"/>
        <rFont val="Franklin Gothic Book"/>
        <family val="2"/>
      </rPr>
      <t xml:space="preserve"> Aucune information n’est couverte.</t>
    </r>
  </si>
  <si>
    <r>
      <t>Sans objet :</t>
    </r>
    <r>
      <rPr>
        <i/>
        <sz val="12"/>
        <color theme="1"/>
        <rFont val="Franklin Gothic Book"/>
        <family val="2"/>
      </rPr>
      <t xml:space="preserve"> Si une exigence n’est pas pertinente, sélectionner « Sans objet ». Faire référence à toute information à ce sujet, telle que contenue dans le Rapport ITIE ou dans le procès-verbal d’une réunion du Groupe multipartite. </t>
    </r>
  </si>
  <si>
    <r>
      <t xml:space="preserve">Sans objet </t>
    </r>
    <r>
      <rPr>
        <i/>
        <sz val="12"/>
        <color theme="1"/>
        <rFont val="Franklin Gothic Book"/>
        <family val="2"/>
      </rPr>
      <t>: La question n’est pas pertinente pour la rubrique en question. Si une explication est requise, faire référence à toute information démontrant la non-applicabilité.</t>
    </r>
  </si>
  <si>
    <r>
      <t xml:space="preserve">Pour plus d’information sur l’ITIE, visitez notre site Internet  </t>
    </r>
    <r>
      <rPr>
        <b/>
        <u/>
        <sz val="12"/>
        <color rgb="FF0070C0"/>
        <rFont val="Franklin Gothic Book"/>
        <family val="2"/>
      </rPr>
      <t>https://eiti.org/fr</t>
    </r>
  </si>
  <si>
    <r>
      <t xml:space="preserve">Vous voulez en savoir plus sur votre pays ? Vérifiez si votre pays met en œuvre la Norme ITIE en visitant </t>
    </r>
    <r>
      <rPr>
        <b/>
        <u/>
        <sz val="12"/>
        <color rgb="FF0070C0"/>
        <rFont val="Franklin Gothic Book"/>
        <family val="2"/>
      </rPr>
      <t>https://eiti.org/fr/pays</t>
    </r>
  </si>
  <si>
    <r>
      <t xml:space="preserve">Pour la version la plus récente des modèles de données résumées, consultez </t>
    </r>
    <r>
      <rPr>
        <b/>
        <u/>
        <sz val="12"/>
        <color rgb="FF0070C0"/>
        <rFont val="Franklin Gothic Book"/>
        <family val="2"/>
      </rPr>
      <t>https://eiti.org/fr/document/modele-donnees-resumees-itie</t>
    </r>
  </si>
  <si>
    <r>
      <rPr>
        <b/>
        <sz val="12"/>
        <rFont val="Franklin Gothic Book"/>
        <family val="2"/>
      </rPr>
      <t xml:space="preserve">Faites-nous connaître vos réactions ou signalez tout conflit au niveau des données ! Écrivez-nous à </t>
    </r>
    <r>
      <rPr>
        <b/>
        <u/>
        <sz val="12"/>
        <color rgb="FF0070C0"/>
        <rFont val="Franklin Gothic Book"/>
        <family val="2"/>
      </rPr>
      <t>data@eiti.org</t>
    </r>
  </si>
  <si>
    <r>
      <t xml:space="preserve">Site Internet </t>
    </r>
    <r>
      <rPr>
        <b/>
        <sz val="10"/>
        <color rgb="FF0076AF"/>
        <rFont val="Franklin Gothic Book"/>
        <family val="2"/>
      </rPr>
      <t>www.eiti.org</t>
    </r>
    <r>
      <rPr>
        <b/>
        <sz val="10"/>
        <color theme="1"/>
        <rFont val="Franklin Gothic Book"/>
        <family val="2"/>
      </rPr>
      <t xml:space="preserve"> Courriel </t>
    </r>
    <r>
      <rPr>
        <b/>
        <sz val="10"/>
        <color rgb="FF0076AF"/>
        <rFont val="Franklin Gothic Book"/>
        <family val="2"/>
      </rPr>
      <t>secretariat@eiti.org</t>
    </r>
    <r>
      <rPr>
        <b/>
        <sz val="10"/>
        <color theme="1"/>
        <rFont val="Franklin Gothic Book"/>
        <family val="2"/>
      </rPr>
      <t xml:space="preserve"> Téléphone </t>
    </r>
    <r>
      <rPr>
        <b/>
        <sz val="10"/>
        <color rgb="FF0076AF"/>
        <rFont val="Franklin Gothic Book"/>
        <family val="2"/>
      </rPr>
      <t>+47 22 20 08 00</t>
    </r>
    <r>
      <rPr>
        <b/>
        <sz val="10"/>
        <color theme="1"/>
        <rFont val="Franklin Gothic Book"/>
        <family val="2"/>
      </rPr>
      <t xml:space="preserve"> Télécopieur </t>
    </r>
    <r>
      <rPr>
        <b/>
        <sz val="10"/>
        <color rgb="FF0076AF"/>
        <rFont val="Franklin Gothic Book"/>
        <family val="2"/>
      </rPr>
      <t>+47 22 83 08 02</t>
    </r>
  </si>
  <si>
    <r>
      <t xml:space="preserve">Adresse </t>
    </r>
    <r>
      <rPr>
        <b/>
        <sz val="10"/>
        <color rgb="FF0076AF"/>
        <rFont val="Franklin Gothic Book"/>
        <family val="2"/>
      </rPr>
      <t>EITI International Secretariat, Rådhusgata 26, 0151 Oslo, Norvège</t>
    </r>
  </si>
  <si>
    <t>Pays ou région</t>
  </si>
  <si>
    <t>Exercice fiscal couvert par ce fichier de données</t>
  </si>
  <si>
    <t>Source de données</t>
  </si>
  <si>
    <t>Couverture/périmètre des données</t>
  </si>
  <si>
    <t>Coordonnées de contact : soumission de données</t>
  </si>
  <si>
    <t>Modèle de données résumées</t>
  </si>
  <si>
    <r>
      <rPr>
        <b/>
        <sz val="12"/>
        <color rgb="FF000000"/>
        <rFont val="Franklin Gothic Book"/>
        <family val="2"/>
      </rPr>
      <t>Partie 1 - (Présentation)</t>
    </r>
    <r>
      <rPr>
        <sz val="12"/>
        <color rgb="FF000000"/>
        <rFont val="Franklin Gothic Book"/>
        <family val="2"/>
      </rPr>
      <t xml:space="preserve"> Elle couvre les caractéristiques du pays et des données</t>
    </r>
  </si>
  <si>
    <t>Comment remplir cette feuille :</t>
  </si>
  <si>
    <r>
      <t xml:space="preserve">1. Commençant par en haut, </t>
    </r>
    <r>
      <rPr>
        <b/>
        <i/>
        <sz val="12"/>
        <rFont val="Franklin Gothic Book"/>
        <family val="2"/>
      </rPr>
      <t xml:space="preserve">sélectionner votre réponse dans la colonne grise. </t>
    </r>
    <r>
      <rPr>
        <i/>
        <sz val="12"/>
        <rFont val="Franklin Gothic Book"/>
        <family val="2"/>
      </rPr>
      <t xml:space="preserve">Des indications s’affichent dans les cadres jaunes dès que la cellule a été sélectionnée. </t>
    </r>
  </si>
  <si>
    <t xml:space="preserve">2. Lorsqu’il aura été répondu à certaines questions, de nouvelles indications et questions peuvent s’afficher. Merci de répondre à chacune d’elles jusqu’à ce que la section ait été remplie. </t>
  </si>
  <si>
    <r>
      <t xml:space="preserve">3. Inclure au besoin toute information supplémentaire ou tout commentaire dans la colonne </t>
    </r>
    <r>
      <rPr>
        <b/>
        <i/>
        <sz val="12"/>
        <color theme="1"/>
        <rFont val="Franklin Gothic Book"/>
        <family val="2"/>
      </rPr>
      <t>Source/Commentaires</t>
    </r>
    <r>
      <rPr>
        <i/>
        <sz val="12"/>
        <color theme="1"/>
        <rFont val="Franklin Gothic Book"/>
        <family val="2"/>
      </rPr>
      <t>.</t>
    </r>
  </si>
  <si>
    <r>
      <rPr>
        <i/>
        <sz val="12"/>
        <rFont val="Franklin Gothic Book"/>
        <family val="2"/>
      </rPr>
      <t xml:space="preserve">Si vous avez des questions, veuillez contacter </t>
    </r>
    <r>
      <rPr>
        <b/>
        <i/>
        <u/>
        <sz val="12"/>
        <color theme="10"/>
        <rFont val="Franklin Gothic Book"/>
        <family val="2"/>
      </rPr>
      <t>data@eiti.org</t>
    </r>
  </si>
  <si>
    <t>Les cellules en bleu pâle ne servent qu’à indiquer les sources et/ou à inscrire des commentaires</t>
  </si>
  <si>
    <t xml:space="preserve">Partie 1 - Présentation </t>
  </si>
  <si>
    <t>Description</t>
  </si>
  <si>
    <t>Inscrire les données dans cette colonne</t>
  </si>
  <si>
    <t>Source/Commentaires</t>
  </si>
  <si>
    <t>Nom du pays ou de la région</t>
  </si>
  <si>
    <t>Sénégal</t>
  </si>
  <si>
    <t>Code ISO de la devise</t>
  </si>
  <si>
    <t>Nom de la monnaie nationale</t>
  </si>
  <si>
    <t>Monnaie nationale selon ISO-4217</t>
  </si>
  <si>
    <t>Date de début</t>
  </si>
  <si>
    <t>Date de fin</t>
  </si>
  <si>
    <t>Un Rapport ITIE a-t-il été préparé par un Administrateur indépendant ?</t>
  </si>
  <si>
    <t>Oui</t>
  </si>
  <si>
    <t>Quel est le nom de l’entreprise ?</t>
  </si>
  <si>
    <t>BDO Tunisie Consulting</t>
  </si>
  <si>
    <t>Date à laquelle le Rapport ITIE a été rendu public</t>
  </si>
  <si>
    <t>URL, Rapport ITIE</t>
  </si>
  <si>
    <t>https://itie.sn/wp-content/uploads/2021/12/Rapport-ITIE-2020-Senegal-vf.pdf</t>
  </si>
  <si>
    <t>Les données ITIE sont-elles systématiquement divulguées par le gouvernement à une adresse unique?</t>
  </si>
  <si>
    <t>Non</t>
  </si>
  <si>
    <t>Date de publication des données ITIE</t>
  </si>
  <si>
    <t>N/A</t>
  </si>
  <si>
    <t>Lien vers le site Internet (URL) de données ITIE</t>
  </si>
  <si>
    <t>Existe-t-il d’autres fichiers de caractère pertinent ?</t>
  </si>
  <si>
    <t>Date à laquelle l’autre fichier a été rendu public</t>
  </si>
  <si>
    <t>URL</t>
  </si>
  <si>
    <t>https://donnees.itie.sn/wp-content/uploads/2021/12/Rapport-ITIE-S%C3%A9n%C3%A9gal-2020-final-Annexes-vf.xlsx</t>
  </si>
  <si>
    <r>
      <t xml:space="preserve">Accessibilités des données et données ouvertes </t>
    </r>
    <r>
      <rPr>
        <b/>
        <u/>
        <sz val="12"/>
        <color theme="4"/>
        <rFont val="Franklin Gothic Book"/>
        <family val="2"/>
      </rPr>
      <t>(Exigence 7.2)</t>
    </r>
  </si>
  <si>
    <t>Le gouvernement applique-t-il une politique de données ouvertes ?</t>
  </si>
  <si>
    <t>Oui, à travers le rapportage ITIE</t>
  </si>
  <si>
    <t>Portail/fichiers de données ouvertes</t>
  </si>
  <si>
    <t>https://donnees.itie.sn/dashboard/</t>
  </si>
  <si>
    <t>Couverture sectorielle</t>
  </si>
  <si>
    <t>Pétrole</t>
  </si>
  <si>
    <t>Gaz</t>
  </si>
  <si>
    <t>Mines (y compris carrières)</t>
  </si>
  <si>
    <t>Autres secteurs (autres que les secteur en amont)</t>
  </si>
  <si>
    <t>Sans objet</t>
  </si>
  <si>
    <t>Si oui, préciser le nom (insérer de nouvelles lignes si multiples)</t>
  </si>
  <si>
    <t>Nombre d’entités de l’État déclarantes (Entreprises d'Etat incluses si collectant)</t>
  </si>
  <si>
    <t>Nombre d’entreprises déclarantes (Entreprises d'Etat incluses si payeur)</t>
  </si>
  <si>
    <r>
      <rPr>
        <i/>
        <sz val="12"/>
        <rFont val="Franklin Gothic Book"/>
        <family val="2"/>
      </rPr>
      <t>Devise de déclaration (</t>
    </r>
    <r>
      <rPr>
        <i/>
        <sz val="12"/>
        <color rgb="FF0070C0"/>
        <rFont val="Franklin Gothic Book"/>
        <family val="2"/>
      </rPr>
      <t>codes de devise ISO-4217</t>
    </r>
    <r>
      <rPr>
        <i/>
        <sz val="12"/>
        <rFont val="Franklin Gothic Book"/>
        <family val="2"/>
      </rPr>
      <t>)</t>
    </r>
  </si>
  <si>
    <t>XOF</t>
  </si>
  <si>
    <t xml:space="preserve">Taux de change utilisé : 1 USD = </t>
  </si>
  <si>
    <t>Source du taux de change (URL,…):</t>
  </si>
  <si>
    <t>Rapport annuel 2020 de la BCEAO, page 9</t>
  </si>
  <si>
    <r>
      <t xml:space="preserve">Exigence ITIE 4.7: </t>
    </r>
    <r>
      <rPr>
        <sz val="12"/>
        <rFont val="Franklin Gothic Book"/>
        <family val="2"/>
      </rPr>
      <t>Désagrégation</t>
    </r>
  </si>
  <si>
    <t>... par flux de revenus</t>
  </si>
  <si>
    <t>... par entité de l’État</t>
  </si>
  <si>
    <t>... par entreprise</t>
  </si>
  <si>
    <t>... par projet</t>
  </si>
  <si>
    <t>Vue d’ensemble /exigence relative aux données</t>
  </si>
  <si>
    <t>Divulgation systématique</t>
  </si>
  <si>
    <t>Calcul à l’aide de la liste de vérification</t>
  </si>
  <si>
    <t>À travers le rapportage ITIE</t>
  </si>
  <si>
    <t>Sans objet.</t>
  </si>
  <si>
    <t>Information non disponible</t>
  </si>
  <si>
    <t>Nom et coordonnées de contact de la personne soumettant ce fichier</t>
  </si>
  <si>
    <t>Name</t>
  </si>
  <si>
    <t>Sami Sakka</t>
  </si>
  <si>
    <t>Organisation</t>
  </si>
  <si>
    <t>Adresse électronique</t>
  </si>
  <si>
    <t>itie.sn@bdo.tn</t>
  </si>
  <si>
    <r>
      <rPr>
        <b/>
        <sz val="10.5"/>
        <rFont val="Franklin Gothic Book"/>
        <family val="2"/>
      </rPr>
      <t xml:space="preserve">Site Internet </t>
    </r>
    <r>
      <rPr>
        <b/>
        <sz val="10"/>
        <color rgb="FF0076AF"/>
        <rFont val="Franklin Gothic Book"/>
        <family val="2"/>
      </rPr>
      <t>www.eiti.org</t>
    </r>
    <r>
      <rPr>
        <b/>
        <sz val="10"/>
        <color theme="1"/>
        <rFont val="Franklin Gothic Book"/>
        <family val="2"/>
      </rPr>
      <t xml:space="preserve"> Courriel </t>
    </r>
    <r>
      <rPr>
        <b/>
        <sz val="10"/>
        <color rgb="FF0076AF"/>
        <rFont val="Franklin Gothic Book"/>
        <family val="2"/>
      </rPr>
      <t>secretariat@eiti.org</t>
    </r>
    <r>
      <rPr>
        <b/>
        <sz val="10"/>
        <color theme="1"/>
        <rFont val="Franklin Gothic Book"/>
        <family val="2"/>
      </rPr>
      <t xml:space="preserve"> Téléphone </t>
    </r>
    <r>
      <rPr>
        <b/>
        <sz val="10"/>
        <color rgb="FF0076AF"/>
        <rFont val="Franklin Gothic Book"/>
        <family val="2"/>
      </rPr>
      <t>+47 22 20 08 00</t>
    </r>
    <r>
      <rPr>
        <b/>
        <sz val="10"/>
        <color theme="1"/>
        <rFont val="Franklin Gothic Book"/>
        <family val="2"/>
      </rPr>
      <t xml:space="preserve"> Télécopieur </t>
    </r>
    <r>
      <rPr>
        <b/>
        <sz val="10"/>
        <color rgb="FF0076AF"/>
        <rFont val="Franklin Gothic Book"/>
        <family val="2"/>
      </rPr>
      <t>+47 22 83 08 02</t>
    </r>
  </si>
  <si>
    <r>
      <rPr>
        <b/>
        <sz val="12"/>
        <color rgb="FF000000"/>
        <rFont val="Franklin Gothic Book"/>
        <family val="2"/>
      </rPr>
      <t>Partie 2 (liste de vérification)</t>
    </r>
    <r>
      <rPr>
        <sz val="12"/>
        <color rgb="FF000000"/>
        <rFont val="Franklin Gothic Book"/>
        <family val="2"/>
      </rPr>
      <t xml:space="preserve"> Elle couvre l’information contextuelle et financière agrégée prévue par les Exigences ITIE 2,3,4,5 et 6.</t>
    </r>
  </si>
  <si>
    <t xml:space="preserve">Pour chaque ligne, veuillez procéder comme suit </t>
  </si>
  <si>
    <r>
      <t>1. Commençant par le haut, répondez aux questions de la première colonne (</t>
    </r>
    <r>
      <rPr>
        <b/>
        <i/>
        <sz val="12"/>
        <color theme="1"/>
        <rFont val="Franklin Gothic Book"/>
        <family val="2"/>
      </rPr>
      <t>Inclusion</t>
    </r>
    <r>
      <rPr>
        <i/>
        <sz val="12"/>
        <color theme="1"/>
        <rFont val="Franklin Gothic Book"/>
        <family val="2"/>
      </rPr>
      <t>). Des indications vous sont données dans les cadres jaunes une fois que la cellule est mise en évidence. Cliquez sur les cellules relatives à chaque Exigence ITIE pour faire apparaître le libellé de la Norme ITIE.</t>
    </r>
  </si>
  <si>
    <t>2. D’autres orientations apparaissent lorsque vous remplissez les cellules. Remplissez-les comme indiqué, complétant chaque colonne de chaque ligne avant de remplir la ligne suivante.</t>
  </si>
  <si>
    <r>
      <t xml:space="preserve">Par exemple, en sélectionnant « Oui, dans le Rapport ITIE », le texte « Veuillez inclure la section du Rapport ITIE » dans la case </t>
    </r>
    <r>
      <rPr>
        <b/>
        <i/>
        <sz val="12"/>
        <color theme="1"/>
        <rFont val="Franklin Gothic Book"/>
        <family val="2"/>
      </rPr>
      <t xml:space="preserve">Source/unités </t>
    </r>
    <r>
      <rPr>
        <i/>
        <sz val="12"/>
        <color theme="1"/>
        <rFont val="Franklin Gothic Book"/>
        <family val="2"/>
      </rPr>
      <t>apparaît.</t>
    </r>
  </si>
  <si>
    <r>
      <t xml:space="preserve">3. Insérez au besoin toute information supplémentaire ou tout commentaire dans la colonne </t>
    </r>
    <r>
      <rPr>
        <b/>
        <i/>
        <sz val="12"/>
        <color theme="1"/>
        <rFont val="Franklin Gothic Book"/>
        <family val="2"/>
      </rPr>
      <t>Commentaires/Notes</t>
    </r>
    <r>
      <rPr>
        <i/>
        <sz val="12"/>
        <color theme="1"/>
        <rFont val="Franklin Gothic Book"/>
        <family val="2"/>
      </rPr>
      <t>.</t>
    </r>
  </si>
  <si>
    <r>
      <rPr>
        <sz val="12"/>
        <rFont val="Franklin Gothic Book"/>
        <family val="2"/>
      </rPr>
      <t xml:space="preserve">Si vous avez des questions, veuillez contacter </t>
    </r>
    <r>
      <rPr>
        <b/>
        <u/>
        <sz val="12"/>
        <color theme="10"/>
        <rFont val="Franklin Gothic Book"/>
        <family val="2"/>
      </rPr>
      <t>data@eiti.org</t>
    </r>
  </si>
  <si>
    <t>Les cellules en bleu pâle ne servent qu’à indiquer les sources et/ou inscrire des commentaires</t>
  </si>
  <si>
    <t xml:space="preserve">Ignorez les cellules en blanc, car elles n’exigent aucune action </t>
  </si>
  <si>
    <t>Partie 2 - Liste de pointage</t>
  </si>
  <si>
    <r>
      <t xml:space="preserve">Veuillez répondre à </t>
    </r>
    <r>
      <rPr>
        <i/>
        <u/>
        <sz val="12"/>
        <color rgb="FF000000"/>
        <rFont val="Franklin Gothic Book"/>
        <family val="2"/>
      </rPr>
      <t>toutes les questions posées ci-dessous</t>
    </r>
    <r>
      <rPr>
        <i/>
        <sz val="12"/>
        <color rgb="FF000000"/>
        <rFont val="Franklin Gothic Book"/>
        <family val="2"/>
      </rPr>
      <t xml:space="preserve">. </t>
    </r>
  </si>
  <si>
    <t>Exigence</t>
  </si>
  <si>
    <t>Inclusion</t>
  </si>
  <si>
    <t>Source/unités</t>
  </si>
  <si>
    <t>Commentaires/Notes</t>
  </si>
  <si>
    <r>
      <t xml:space="preserve">Exigence ITIE 2.1 : </t>
    </r>
    <r>
      <rPr>
        <b/>
        <sz val="10.5"/>
        <rFont val="Franklin Gothic Book"/>
        <family val="2"/>
      </rPr>
      <t xml:space="preserve">Cadre légal et régime fiscal </t>
    </r>
  </si>
  <si>
    <t>Le gouvernement publie-t-il des informations concernant</t>
  </si>
  <si>
    <t>Les lois et réglementations ?</t>
  </si>
  <si>
    <t>Section 4.1.3.1 et 4.2.2.1 du rapport ITIE 2020</t>
  </si>
  <si>
    <t>Vue d’ensemble des rôles des agences gouvernementales ?</t>
  </si>
  <si>
    <t>Section 4.1.3.2 et 4.2.2.2 du rapport ITIE 2020</t>
  </si>
  <si>
    <t>Régime des droits pétroliers et miniers?</t>
  </si>
  <si>
    <t>Section 4.1.4.2 et 4.2.3.2 du rapport ITIE 2020</t>
  </si>
  <si>
    <t>Régime fiscal ?</t>
  </si>
  <si>
    <t>Section 4.1.3.3 et 4.2.2.3 du rapport ITIE 2020</t>
  </si>
  <si>
    <r>
      <t xml:space="preserve">Exigence ITIE 2.2: </t>
    </r>
    <r>
      <rPr>
        <b/>
        <sz val="10.5"/>
        <rFont val="Franklin Gothic Book"/>
        <family val="2"/>
      </rPr>
      <t>Octroi des contrats et licences</t>
    </r>
  </si>
  <si>
    <t>le processus d’octroi des licences ?</t>
  </si>
  <si>
    <t>Section 4.1.5.1 du Rapport ITIE 2020 (Mines)
Section 4.2.4.1 du Rapport ITIE 2020 (Hydrocarbures)</t>
  </si>
  <si>
    <t>et les critères techniques et financiers utilisés ?</t>
  </si>
  <si>
    <t>Section 4.1.5.1 du Rapport ITIE 2020 (Mines)
Section 4.2.4.1 du Rapport ITIE 2020 (Hydrocarbures)
Section 4.2.4.5 du Rapport ITIE 2020 (Hydrocarbures)</t>
  </si>
  <si>
    <t>le(s) processus de transfert de licences ?</t>
  </si>
  <si>
    <t>Section 4.1.5.2 du Rapport ITIE 2020 (Mines)
Section 4.2.4.2 du Rapport ITIE 2020 (Hydrocarbures)</t>
  </si>
  <si>
    <t>Section 4.1.5.2 du Rapport ITIE 2020 (Mines)
Section 4.2.4.2 du Rapport ITIE 2020 (Hydrocarbures)
Section 4.2.4.5 du Rapport ITIE 2020 (Hydrocarbures)</t>
  </si>
  <si>
    <t>processus d’appel d’offres :</t>
  </si>
  <si>
    <t>Section 4.1.5.6 du Rapport ITIE 2020 (Mines)
Section 4.2.4.6 du Rapport ITIE 2020 (Hydrocarbures)</t>
  </si>
  <si>
    <t>Nombre d’octrois et de transferts pour l’exercice couvert</t>
  </si>
  <si>
    <t>Section 4.1.5.5 du Rapport ITIE 2020 (Mines)
Section 4.2.4.6 du Rapport ITIE 2020 (Hydrocarbures)</t>
  </si>
  <si>
    <t>83 octrois et 2 transferts pour le secteur minier,
2 transferts pour le secteur des hydrocarbures</t>
  </si>
  <si>
    <r>
      <t xml:space="preserve">Exigence ITIE 2.3: </t>
    </r>
    <r>
      <rPr>
        <b/>
        <sz val="10.5"/>
        <rFont val="Franklin Gothic Book"/>
        <family val="2"/>
      </rPr>
      <t>Registre des licences</t>
    </r>
  </si>
  <si>
    <t>Registres des licences pour le secteur minier</t>
  </si>
  <si>
    <t>Oui, divulgation systématique</t>
  </si>
  <si>
    <t>https://portals.landfolio.com/Senegal/fr</t>
  </si>
  <si>
    <t>Registre des licences pour le secteur pétrolier</t>
  </si>
  <si>
    <t>https://cadastre-petrolier.senegal.revenuedev.org/dashboard</t>
  </si>
  <si>
    <t>Registre des licences pour tout autre secteur - ajouter des lignes au besoin</t>
  </si>
  <si>
    <r>
      <t xml:space="preserve">Exigence ITIE 2.4: </t>
    </r>
    <r>
      <rPr>
        <b/>
        <sz val="10.5"/>
        <rFont val="Franklin Gothic Book"/>
        <family val="2"/>
      </rPr>
      <t>Divulgation des contrats</t>
    </r>
  </si>
  <si>
    <t>Politique sur la divulgation des contrats</t>
  </si>
  <si>
    <t>Section 4.7 du Rapport ITIE 2020</t>
  </si>
  <si>
    <t>Les contrats sont-ils divulgués ?</t>
  </si>
  <si>
    <t>http://itie.sn/contrats-miniers/
https://www.sec.gouv.sn/lois-et-reglements/conventions-minières
http://itie.sn/hydrocarbure/contrats-petroliers/
http://itie.sn/?offshore_dl=7450</t>
  </si>
  <si>
    <t>Registre des contrats pour le secteur minier</t>
  </si>
  <si>
    <t>http://itie.sn/contrats-miniers/</t>
  </si>
  <si>
    <t>Registre des contrats pour le secteur pétrolier</t>
  </si>
  <si>
    <t>https://www.sec.gouv.sn/lois-et-reglements/conventions-minières
http://itie.sn/hydrocarbure/contrats-petroliers/
http://itie.sn/?offshore_dl=7450</t>
  </si>
  <si>
    <t>Registre des contrats pour tout autre secteur - ajouter des ligne s’il y en a plusieurs</t>
  </si>
  <si>
    <r>
      <t xml:space="preserve">Exigence ITIE 2.5: </t>
    </r>
    <r>
      <rPr>
        <b/>
        <sz val="10.5"/>
        <rFont val="Franklin Gothic Book"/>
        <family val="2"/>
      </rPr>
      <t>Propriété réelle</t>
    </r>
  </si>
  <si>
    <t>Politique du gouvernement concernant la propriété réelle</t>
  </si>
  <si>
    <t>Section 4.6 et Annexe 3 du Rapport ITIE 2020</t>
  </si>
  <si>
    <t>Des données de propriété réelle sont-elles divulguées ?</t>
  </si>
  <si>
    <t>Registre de la propriété réelle</t>
  </si>
  <si>
    <r>
      <t xml:space="preserve">Exigence ITIE 2.6 : </t>
    </r>
    <r>
      <rPr>
        <b/>
        <sz val="10.5"/>
        <rFont val="Franklin Gothic Book"/>
        <family val="2"/>
      </rPr>
      <t>Participation de l’État</t>
    </r>
  </si>
  <si>
    <t>Le gouvernement rend-il compte de sa participation dans le secteur extractif ?</t>
  </si>
  <si>
    <t>Section 4.1.7 du Rapport ITIE 2020
Section 4.2.5 du Rapport ITIE 2020</t>
  </si>
  <si>
    <t>Toute référence à des entreprises d’État (portails ou sites Internet d’entreprise), telle que paraissant dans le Rapport (Ajouter des lignes si plusieurs Entreprises D'Etat)</t>
  </si>
  <si>
    <t>https://itie.sn/entreprises-detat/
http://www.petrosen.sn/
http://www.miferso.sn/</t>
  </si>
  <si>
    <t>Référence au(s) rapport(s) financier(s) audité(s) (Ajouter des lignes si plusieurs Entreprises d'Etat)</t>
  </si>
  <si>
    <t>Section 4.1.7.3 du Rapport ITIE 2020
Section 4.2.5.4 du Rapport ITIE 2020</t>
  </si>
  <si>
    <r>
      <t xml:space="preserve">Exigence ITIE 3.1: </t>
    </r>
    <r>
      <rPr>
        <b/>
        <sz val="10.5"/>
        <rFont val="Franklin Gothic Book"/>
        <family val="2"/>
      </rPr>
      <t>Prospection</t>
    </r>
  </si>
  <si>
    <t>Vue d’ensemble des industries extractives, y compris de toute activité importante de prospection.</t>
  </si>
  <si>
    <t>Section 4.1.6 du Rapport ITIE 2020
Section 4.2.5 du Rapport ITIE 2020</t>
  </si>
  <si>
    <r>
      <t xml:space="preserve">Exigence ITIE 3.2: </t>
    </r>
    <r>
      <rPr>
        <b/>
        <sz val="10.5"/>
        <rFont val="Franklin Gothic Book"/>
        <family val="2"/>
      </rPr>
      <t>Production</t>
    </r>
  </si>
  <si>
    <t>(Nomenclature SH des Nations Unies)</t>
  </si>
  <si>
    <t>Divulgation des volumes de production</t>
  </si>
  <si>
    <t>Section 5.4 du Rapport ITIE 2020</t>
  </si>
  <si>
    <t>Divulgation des valeurs de production</t>
  </si>
  <si>
    <t>Or (7108), volume</t>
  </si>
  <si>
    <t>Tonnes</t>
  </si>
  <si>
    <t>Or (7108), valeur</t>
  </si>
  <si>
    <t>Gaz naturel (2711), volume</t>
  </si>
  <si>
    <t>Sm3</t>
  </si>
  <si>
    <t>Phosphates de calcium naturels (2510), volume</t>
  </si>
  <si>
    <t>Phosphates de calcium naturels (2510), valeur</t>
  </si>
  <si>
    <t>Argile (2509), volume</t>
  </si>
  <si>
    <t>Argile (2509), valeur</t>
  </si>
  <si>
    <t>Calcaire (2521), volume</t>
  </si>
  <si>
    <t>Calcaire (2521), valeur</t>
  </si>
  <si>
    <t xml:space="preserve">Valeur non communiquée </t>
  </si>
  <si>
    <t>Manganèse (2602), volume</t>
  </si>
  <si>
    <t>Manganèse (2602), valeur</t>
  </si>
  <si>
    <t>Autres argiles (2508), volume</t>
  </si>
  <si>
    <t>Laterites</t>
  </si>
  <si>
    <t>Autres argiles (2508), valeur</t>
  </si>
  <si>
    <t>Autres (2617), volume</t>
  </si>
  <si>
    <t>Attapulgites</t>
  </si>
  <si>
    <t>Autres (2617), valeur</t>
  </si>
  <si>
    <t>Marnes</t>
  </si>
  <si>
    <t>basalte</t>
  </si>
  <si>
    <t>Ilmenite 54%</t>
  </si>
  <si>
    <t>Ilmenite 56%</t>
  </si>
  <si>
    <t>Ilmenite 58%</t>
  </si>
  <si>
    <t>Leucoxene</t>
  </si>
  <si>
    <t>Medium Grade Zircon</t>
  </si>
  <si>
    <t xml:space="preserve">Rutile </t>
  </si>
  <si>
    <t>Zircon Prenium</t>
  </si>
  <si>
    <t>Zircon Standard</t>
  </si>
  <si>
    <r>
      <t xml:space="preserve">Exigences ITIE 3.3 : </t>
    </r>
    <r>
      <rPr>
        <b/>
        <sz val="10.5"/>
        <rFont val="Franklin Gothic Book"/>
        <family val="2"/>
      </rPr>
      <t>Exportations</t>
    </r>
  </si>
  <si>
    <t>Divulgation des volumes d’exportation</t>
  </si>
  <si>
    <t>Section 5.5 du Rapport ITIE 2020</t>
  </si>
  <si>
    <t>Divulgation des valeurs d’exportation</t>
  </si>
  <si>
    <t>onces</t>
  </si>
  <si>
    <t>Argent (7106), volume</t>
  </si>
  <si>
    <t>Ciment Portland (2523), volume</t>
  </si>
  <si>
    <t>Ciment Portland (2523), valeur</t>
  </si>
  <si>
    <t>Clinker</t>
  </si>
  <si>
    <t>Vomume non communiqué</t>
  </si>
  <si>
    <t>Autres non renseigné</t>
  </si>
  <si>
    <t>Attapulgite</t>
  </si>
  <si>
    <t>Sables minéralisés</t>
  </si>
  <si>
    <t>Engrais</t>
  </si>
  <si>
    <t>Acide Phosphorique</t>
  </si>
  <si>
    <t>Gypse (2520), volume</t>
  </si>
  <si>
    <t>Gypse (2520), valeur</t>
  </si>
  <si>
    <t>Silex</t>
  </si>
  <si>
    <t>Acide Sulfurique</t>
  </si>
  <si>
    <t>Cendres et résidus (2620), volume</t>
  </si>
  <si>
    <t>Cendres et résidus (2620), valeur</t>
  </si>
  <si>
    <r>
      <t xml:space="preserve">Exigence ITIE 4.1 : </t>
    </r>
    <r>
      <rPr>
        <b/>
        <sz val="10.5"/>
        <rFont val="Franklin Gothic Book"/>
        <family val="2"/>
      </rPr>
      <t>Exhaustivité</t>
    </r>
  </si>
  <si>
    <t>Le gouvernement divulgue-t-il entièrement les revenus extractifs par flux de revenus ?</t>
  </si>
  <si>
    <t>Section 5.1.3 du Rapport ITIE 2020</t>
  </si>
  <si>
    <t>Les décisions du Groupe multipartite concernant les seuils de matérialité sont-elles publiquement disponibles ?</t>
  </si>
  <si>
    <t>Section 3.1 du Rapport ITIE 2020</t>
  </si>
  <si>
    <t>Couverture de la réconciliation</t>
  </si>
  <si>
    <t>Calcul automatique utilisant le total des revenus du gouvernement et le total des données par entreprise</t>
  </si>
  <si>
    <r>
      <t xml:space="preserve">Exigence ITIE 4.2: </t>
    </r>
    <r>
      <rPr>
        <b/>
        <sz val="10.5"/>
        <rFont val="Franklin Gothic Book"/>
        <family val="2"/>
      </rPr>
      <t>Revenus en nature</t>
    </r>
  </si>
  <si>
    <t>Le gouvernement divulgue-t-il des données sur les revenus en nature ?</t>
  </si>
  <si>
    <t>Section 4.1..9 et 4.2.7 du Rapport ITIE 2020</t>
  </si>
  <si>
    <t>Si oui, quel est le volume reçu?</t>
  </si>
  <si>
    <t>Gaz naturel, volume</t>
  </si>
  <si>
    <t>Sm3 o.e.</t>
  </si>
  <si>
    <t>l’Exigence 4.2 de la Norme ITIE est non applicable actuellement pour le secteur minier au Sénégal (voir section 4.1.9 du Rapport ITIE 2020</t>
  </si>
  <si>
    <t>Si oui, combien a été vendu?</t>
  </si>
  <si>
    <t>Si oui, quel est le total des revenus transférés à l'Etat issus des ventes de pétrole, gas et/ou minerais?</t>
  </si>
  <si>
    <r>
      <t xml:space="preserve">Exigence ITIE 4.3 : </t>
    </r>
    <r>
      <rPr>
        <b/>
        <sz val="10.5"/>
        <rFont val="Franklin Gothic Book"/>
        <family val="2"/>
      </rPr>
      <t xml:space="preserve">Accords de troc </t>
    </r>
  </si>
  <si>
    <t>Le gouvernement divulgue-t-il des informations concernant les accords de troc et de fourniture d’infrastructures ?</t>
  </si>
  <si>
    <t>Section 4.1.10 du Rapport ITIE 2020</t>
  </si>
  <si>
    <t>Si oui, quel est le montant total des revenus perçus à partir des accords de troc et de fourniture d’infrastructures ?</t>
  </si>
  <si>
    <r>
      <t xml:space="preserve">Exigence ITIE 4.4: </t>
    </r>
    <r>
      <rPr>
        <b/>
        <sz val="10.5"/>
        <rFont val="Franklin Gothic Book"/>
        <family val="2"/>
      </rPr>
      <t>Revenus provenant du transport</t>
    </r>
  </si>
  <si>
    <t>Le gouvernement divulgue-t-il des informations sur les revenus provenant du transport ?</t>
  </si>
  <si>
    <t>Section 4.1.8 et 4.2.6 du Rapport ITIE 2020</t>
  </si>
  <si>
    <t>Si oui, quel est le montant total des revenus perçus à partir du transport de matières premières ?</t>
  </si>
  <si>
    <r>
      <t xml:space="preserve">Exigence ITIE 4.5 : </t>
    </r>
    <r>
      <rPr>
        <b/>
        <sz val="10.5"/>
        <rFont val="Franklin Gothic Book"/>
        <family val="2"/>
      </rPr>
      <t xml:space="preserve">Transactions liées aux entreprises d’État </t>
    </r>
  </si>
  <si>
    <t>Le gouvernement divulgue-t-il des informations sur les transactions des entreprises d’État ?</t>
  </si>
  <si>
    <t>Section 4.2.5.4 du Rapport ITIE 2020</t>
  </si>
  <si>
    <t>Si oui, quel est le montant total des revenus perçus par les entreprises d’État ?</t>
  </si>
  <si>
    <r>
      <t xml:space="preserve">Exigence ITIE 4.6: </t>
    </r>
    <r>
      <rPr>
        <b/>
        <sz val="10.5"/>
        <rFont val="Franklin Gothic Book"/>
        <family val="2"/>
      </rPr>
      <t xml:space="preserve">Paiements directs infranationaux </t>
    </r>
  </si>
  <si>
    <t>Section 4.4.8.2 du Rapport ITIE 2020</t>
  </si>
  <si>
    <t>Si oui, quel est le montant total des revenus infranationaux perçus ?</t>
  </si>
  <si>
    <r>
      <t xml:space="preserve">Exigence ITIE 4.8 : </t>
    </r>
    <r>
      <rPr>
        <b/>
        <sz val="10.5"/>
        <rFont val="Franklin Gothic Book"/>
        <family val="2"/>
      </rPr>
      <t>Ponctualité des données</t>
    </r>
  </si>
  <si>
    <t>Ponctualité des données (nombre d’années entre la fin de l’exercice fiscal et la publication)</t>
  </si>
  <si>
    <r>
      <t xml:space="preserve">Exigence ITIE 4.9: </t>
    </r>
    <r>
      <rPr>
        <b/>
        <sz val="10.5"/>
        <rFont val="Franklin Gothic Book"/>
        <family val="2"/>
      </rPr>
      <t>Qualité des données</t>
    </r>
  </si>
  <si>
    <t>Le gouvernement divulgue-t-il régulièrement des données financières aux termes de l’Exigence 4.1 (divulgation complète des flux de revenus intéressant à la fois le gouvernement et les entreprises) de la Norme ITIE ?</t>
  </si>
  <si>
    <t>Section 1.3.1 du Rapport ITIE 2020</t>
  </si>
  <si>
    <t>Les données financières sont-elles soumises à un audit crédible et indépendant, qui applique les normes internationales ?</t>
  </si>
  <si>
    <t>Section 4.5 du Rapport ITIE 2020</t>
  </si>
  <si>
    <t>Les agences gouvernementales font-elles l’objet d’audits crédibles et indépendants ?</t>
  </si>
  <si>
    <t>Section 4.5.6 du Rapport ITIE 2020</t>
  </si>
  <si>
    <t>Base de données des audits d’entités de l’État</t>
  </si>
  <si>
    <t>Les entreprises sont-elles soumises à des audits crédibles et indépendants ?</t>
  </si>
  <si>
    <t>Base de données des audits d’entreprise</t>
  </si>
  <si>
    <t>Annexe 4 du Rapport ITIE 2020</t>
  </si>
  <si>
    <r>
      <t xml:space="preserve">Exigence 5.1 : </t>
    </r>
    <r>
      <rPr>
        <b/>
        <sz val="10.5"/>
        <rFont val="Franklin Gothic Book"/>
        <family val="2"/>
      </rPr>
      <t>Répartition des revenus provenant des industries extractives</t>
    </r>
  </si>
  <si>
    <t>Le gouvernement précise-t-il si l’ensemble des revenus extractifs sont inscrits dans le budget national (c’est-à-dire, inscrits dans le compte consolidé/compte unique du trésor de l’État ?)</t>
  </si>
  <si>
    <t>Section 4.4.8.1 du Rapport ITIE 2020</t>
  </si>
  <si>
    <t>Le gouvernement divulgue-t-il la part des revenus extractifs qui ne sont pas inscrits dans le budget de l’État ?</t>
  </si>
  <si>
    <t>(tableau 3 du rapport ITIE 2020)</t>
  </si>
  <si>
    <r>
      <t xml:space="preserve">Exigence ITIE 5.2 : </t>
    </r>
    <r>
      <rPr>
        <b/>
        <sz val="10.5"/>
        <rFont val="Franklin Gothic Book"/>
        <family val="2"/>
      </rPr>
      <t>Transferts infranationaux</t>
    </r>
  </si>
  <si>
    <t>Le gouvernement divulgue-t-il des informations sur les transferts infranationaux ?</t>
  </si>
  <si>
    <t>Section 4.4.8.3 du Rapport ITIE 2020</t>
  </si>
  <si>
    <t>Si oui, quelle aurait dû être la part des revenus transférés par le gouvernement en vertu de la formule de répartition des revenus ?</t>
  </si>
  <si>
    <t xml:space="preserve">20% *(Droits fixes, Redevances minières et redevances superficiaires) </t>
  </si>
  <si>
    <t>Si oui, quel fut le montant des revenus effectivement transférés ?</t>
  </si>
  <si>
    <r>
      <t xml:space="preserve">Exigence ITIE 5.3 : </t>
    </r>
    <r>
      <rPr>
        <b/>
        <sz val="10.5"/>
        <rFont val="Franklin Gothic Book"/>
        <family val="2"/>
      </rPr>
      <t xml:space="preserve">Gestion des revenus et dépenses publiques </t>
    </r>
  </si>
  <si>
    <t>Le gouvernement divulgue-t-il l’affectation éventuelle de certains revenus extractifs à des usages, programmes ou zones géographiques particuliers ?</t>
  </si>
  <si>
    <t>Section 4.4 du Rapport ITIE 2020</t>
  </si>
  <si>
    <t>Le gouvernement donne-t-il une description des processus budgétaire et d’audit du pays ?</t>
  </si>
  <si>
    <t>Section 4.4.5 du Rapport ITIE 2020</t>
  </si>
  <si>
    <r>
      <t xml:space="preserve">Le gouvernement divulgue-t-il des informations publiquement disponibles relatives aux budgets et </t>
    </r>
    <r>
      <rPr>
        <sz val="10.5"/>
        <rFont val="Franklin Gothic Book"/>
        <family val="2"/>
      </rPr>
      <t xml:space="preserve">
</t>
    </r>
    <r>
      <rPr>
        <i/>
        <sz val="10.5"/>
        <rFont val="Franklin Gothic Book"/>
        <family val="2"/>
      </rPr>
      <t>aux dépenses ? - ajouter des lignes en cas de divulgations multiples</t>
    </r>
  </si>
  <si>
    <t>Section 4.4.6 du Rapport ITIE 2020</t>
  </si>
  <si>
    <r>
      <t xml:space="preserve">Exigence ITIE 6.1: </t>
    </r>
    <r>
      <rPr>
        <b/>
        <sz val="10.5"/>
        <rFont val="Franklin Gothic Book"/>
        <family val="2"/>
      </rPr>
      <t>Dépenses sociales et environnementales</t>
    </r>
  </si>
  <si>
    <t>Le gouvernement divulgue-t-il des informations sur les dépenses sociales ?</t>
  </si>
  <si>
    <t>Non disponible</t>
  </si>
  <si>
    <t>Si oui, quel est le montant total des dépenses sociales obligatoires reçues ?</t>
  </si>
  <si>
    <t>Si oui, quel est le montant total des dépenses sociales volontaires reçues ?</t>
  </si>
  <si>
    <t>Les entreprises divulguent-elles des informations sur leurs dépenses sociales ?</t>
  </si>
  <si>
    <t>Section 5.6 du Rapport ITIE 2020</t>
  </si>
  <si>
    <t>Si oui, quel est le montant total des dépenses sociales obligatoires engagées ?</t>
  </si>
  <si>
    <t>Si oui, quel est le montant total des dépenses sociales volontaires engagées ?</t>
  </si>
  <si>
    <t>Le gouvernement divulgue-t-il des informations sur les paiements liés à l'environnement?</t>
  </si>
  <si>
    <t>Si oui, quel est le montant total des paiements obligatoires liés à l'environnement?</t>
  </si>
  <si>
    <t>Si oui, quel est le montant total des paiements volontaires liés à l'environnement?</t>
  </si>
  <si>
    <r>
      <t xml:space="preserve">Exigence ITIE 6.2: </t>
    </r>
    <r>
      <rPr>
        <b/>
        <sz val="10.5"/>
        <rFont val="Franklin Gothic Book"/>
        <family val="2"/>
      </rPr>
      <t>Dépenses quasi-fiscales </t>
    </r>
  </si>
  <si>
    <t>Le gouvernement ou les entreprises d’État divulguent-ils des informations sur les dépenses quasi-fiscales ?</t>
  </si>
  <si>
    <t>Section 5.8 du Rapport ITIE 2020</t>
  </si>
  <si>
    <t>les dépenses quasi budgétaires au sens de l’exigence 6.2 de la Norme ITIE 2020 ne sont pas applicables pour la période couverte par le présent rapport</t>
  </si>
  <si>
    <t>Si oui, quel est le montant total des dépenses quasi fiscales engagées par les entreprises d’État ?</t>
  </si>
  <si>
    <r>
      <t xml:space="preserve">Exigence ITIE 6.3: </t>
    </r>
    <r>
      <rPr>
        <b/>
        <sz val="10.5"/>
        <rFont val="Franklin Gothic Book"/>
        <family val="2"/>
      </rPr>
      <t xml:space="preserve">Contribution économique </t>
    </r>
  </si>
  <si>
    <t>Le gouvernement divulgue-t-il des informations sur la contribution économique du secteur extractif ?</t>
  </si>
  <si>
    <t>Section 5.3 du Rapport ITIE 2020</t>
  </si>
  <si>
    <r>
      <rPr>
        <i/>
        <sz val="10.5"/>
        <rFont val="Franklin Gothic Book"/>
        <family val="2"/>
      </rPr>
      <t xml:space="preserve">PIB - industries extractives selon le </t>
    </r>
    <r>
      <rPr>
        <i/>
        <u/>
        <sz val="10.5"/>
        <color rgb="FF0076AF"/>
        <rFont val="Franklin Gothic Book"/>
        <family val="2"/>
      </rPr>
      <t>SCN 2008</t>
    </r>
    <r>
      <rPr>
        <i/>
        <sz val="10.5"/>
        <rFont val="Franklin Gothic Book"/>
        <family val="2"/>
      </rPr>
      <t xml:space="preserve"> (valeur ajoutée brute)</t>
    </r>
  </si>
  <si>
    <t>PIB - secteur artisanal et informel</t>
  </si>
  <si>
    <t>PIB - tous secteurs</t>
  </si>
  <si>
    <t>Revenus du gouvernement - industries extractives</t>
  </si>
  <si>
    <t>Revenus du gouvernement - tous secteurs</t>
  </si>
  <si>
    <t>Exportations - industries extractives</t>
  </si>
  <si>
    <t>Exportations - tous secteurs</t>
  </si>
  <si>
    <t>Emploi - secteur extractif - homme</t>
  </si>
  <si>
    <t>employés</t>
  </si>
  <si>
    <t>Emploi - secteur extractif - femme</t>
  </si>
  <si>
    <t xml:space="preserve">Emploi - secteur extractif </t>
  </si>
  <si>
    <t>Emploi - tous secteurs</t>
  </si>
  <si>
    <t>Investissements - secteur extractif</t>
  </si>
  <si>
    <t>Investissements - tous secteurs</t>
  </si>
  <si>
    <r>
      <t xml:space="preserve">EITI Requirement 6.4: </t>
    </r>
    <r>
      <rPr>
        <b/>
        <u/>
        <sz val="10.5"/>
        <rFont val="Franklin Gothic Book"/>
        <family val="2"/>
      </rPr>
      <t>Impact environnemental</t>
    </r>
  </si>
  <si>
    <t>Le gouvernement divulgue-t-il des informations à propos:</t>
  </si>
  <si>
    <t>Du cadre légal et administratif concernant la gestion de l'environnement?</t>
  </si>
  <si>
    <t>Section 4.1.12 et 4.2.10 du Rapport ITIE 2020</t>
  </si>
  <si>
    <t>Banque de données contenant études d'impact environnemental, procédures de certification ou documentation similaire relevant de la protection de l'environnement?</t>
  </si>
  <si>
    <t>Autres informations concernant des procédures administratives et de régulation de l'environnement?</t>
  </si>
  <si>
    <t>https://www.environnement.gouv.sn/search/node/Convention
https://www.aner.sn/letat-du-senegal-a-pose-un-acte-fort-pour-booster-le-secteur-des-energies-renouvelables/</t>
  </si>
  <si>
    <r>
      <rPr>
        <b/>
        <sz val="12"/>
        <color rgb="FF000000"/>
        <rFont val="Franklin Gothic Book"/>
        <family val="2"/>
      </rPr>
      <t>Partie 3 (Entités déclarantes)</t>
    </r>
    <r>
      <rPr>
        <sz val="12"/>
        <color rgb="FF000000"/>
        <rFont val="Franklin Gothic Book"/>
        <family val="2"/>
      </rPr>
      <t xml:space="preserve"> Elle énumère les entités déclarantes (entités de l’État, entreprises et projets) et fournit des informations y afférentes. </t>
    </r>
  </si>
  <si>
    <r>
      <t>1. Veuillez commencer par la première case (</t>
    </r>
    <r>
      <rPr>
        <b/>
        <i/>
        <sz val="12"/>
        <color theme="1"/>
        <rFont val="Franklin Gothic Book"/>
        <family val="2"/>
      </rPr>
      <t>liste des entités déclarantes de l’État</t>
    </r>
    <r>
      <rPr>
        <i/>
        <sz val="12"/>
        <color theme="1"/>
        <rFont val="Franklin Gothic Book"/>
        <family val="2"/>
      </rPr>
      <t>), en indiquant le nom de chacune d’elles</t>
    </r>
  </si>
  <si>
    <r>
      <t xml:space="preserve">2. Remplissez la ligne des </t>
    </r>
    <r>
      <rPr>
        <b/>
        <i/>
        <sz val="12"/>
        <color theme="1"/>
        <rFont val="Franklin Gothic Book"/>
        <family val="2"/>
      </rPr>
      <t>identifiants d’entreprise</t>
    </r>
    <r>
      <rPr>
        <i/>
        <sz val="12"/>
        <color theme="1"/>
        <rFont val="Franklin Gothic Book"/>
        <family val="2"/>
      </rPr>
      <t xml:space="preserve"> Des orientations vous seront données dans les cases jaunes lorsque la cellule est mise en évidence</t>
    </r>
  </si>
  <si>
    <r>
      <t xml:space="preserve">3. Remplissez la liste des </t>
    </r>
    <r>
      <rPr>
        <b/>
        <i/>
        <sz val="12"/>
        <color theme="1"/>
        <rFont val="Franklin Gothic Book"/>
        <family val="2"/>
      </rPr>
      <t>entreprises déclarantes</t>
    </r>
    <r>
      <rPr>
        <i/>
        <sz val="12"/>
        <color theme="1"/>
        <rFont val="Franklin Gothic Book"/>
        <family val="2"/>
      </rPr>
      <t>, commençant par la première colonne, « Nom complet de l’entreprise » Remplissez en suivant les instructions, complétant chaque colonne sur chaque ligne avant de commencer la ligne suivante.</t>
    </r>
  </si>
  <si>
    <r>
      <t xml:space="preserve">4. Remplissez la </t>
    </r>
    <r>
      <rPr>
        <b/>
        <i/>
        <sz val="12"/>
        <color theme="1"/>
        <rFont val="Franklin Gothic Book"/>
        <family val="2"/>
      </rPr>
      <t>liste des Projets à déclarer</t>
    </r>
    <r>
      <rPr>
        <i/>
        <sz val="12"/>
        <color theme="1"/>
        <rFont val="Franklin Gothic Book"/>
        <family val="2"/>
      </rPr>
      <t>, commençant par la première colonne, « Nom complet du projet »</t>
    </r>
  </si>
  <si>
    <r>
      <rPr>
        <i/>
        <sz val="12"/>
        <rFont val="Franklin Gothic Book"/>
        <family val="2"/>
      </rPr>
      <t xml:space="preserve">Si vous avez des questions, veuillez contacter </t>
    </r>
    <r>
      <rPr>
        <b/>
        <u/>
        <sz val="12"/>
        <color theme="10"/>
        <rFont val="Franklin Gothic Book"/>
        <family val="2"/>
      </rPr>
      <t>data@eiti.org</t>
    </r>
  </si>
  <si>
    <t>Partie 3 - Entités déclarantes</t>
  </si>
  <si>
    <t>Veuillez fournir une liste de toutes les entités déclarantes, accompagnée de l’information y afférente</t>
  </si>
  <si>
    <t>Liste des entités de l’État déclarantes</t>
  </si>
  <si>
    <t>Nom complet de l’entité</t>
  </si>
  <si>
    <t>Type d'Agence</t>
  </si>
  <si>
    <t>N° d’identifiant (le cas échéant)</t>
  </si>
  <si>
    <t>Total déclaré</t>
  </si>
  <si>
    <t>Direction Générale des Impôts et des Domaines</t>
  </si>
  <si>
    <t>Administration centrale</t>
  </si>
  <si>
    <t>Direction des Mines et de la Géologie</t>
  </si>
  <si>
    <t>Direction Générale des Douanes</t>
  </si>
  <si>
    <t>Direction Générale de la Comptabilité Publique et du Trésor</t>
  </si>
  <si>
    <t>Direction des Eaux, Forêts, Chasses et Conservation des Sols</t>
  </si>
  <si>
    <t>Direction de l'Environnement et des Etablissements Classés</t>
  </si>
  <si>
    <t>Institution de Prévoyance Retraite du Sénégal</t>
  </si>
  <si>
    <t xml:space="preserve">Caisse de Sécurité Sociale </t>
  </si>
  <si>
    <t>Société des Pétroles du Sénégal</t>
  </si>
  <si>
    <t>Société publique financière et Entreprise d'Etat</t>
  </si>
  <si>
    <t>Autres bénéficiaires (paiements sociaux)</t>
  </si>
  <si>
    <t>Autre</t>
  </si>
  <si>
    <t>Autres bénéficiaires (paiements environnementaux)</t>
  </si>
  <si>
    <t>Liste des entreprises déclarantes</t>
  </si>
  <si>
    <t>Identifiants d’entreprise</t>
  </si>
  <si>
    <t>Numero d'organisation</t>
  </si>
  <si>
    <t>Bureau d'Appui a la Creation d'Entreprise</t>
  </si>
  <si>
    <t>http://www.creationdentreprise.sn/rechercher-une-societe</t>
  </si>
  <si>
    <t>Nom complet de l’entreprise</t>
  </si>
  <si>
    <t>Type d'entreprise</t>
  </si>
  <si>
    <t>Identifiant de l’entreprise</t>
  </si>
  <si>
    <t>Secteur</t>
  </si>
  <si>
    <t>Matières premières (séparation par virgule)</t>
  </si>
  <si>
    <t xml:space="preserve">Cotation boursière ou site Internet d’entreprise </t>
  </si>
  <si>
    <t>Rapport financier audité (si indisponible, bilan comptable ou flux de trésorerie…)</t>
  </si>
  <si>
    <t>Rapport de paiements à l’État</t>
  </si>
  <si>
    <t>La Société des Mines de Fer du Sénégal Oriental (MIFERSO)</t>
  </si>
  <si>
    <t>0023896 2G3</t>
  </si>
  <si>
    <t>Minier</t>
  </si>
  <si>
    <t>Fer</t>
  </si>
  <si>
    <t>http://www.miferso.sn/</t>
  </si>
  <si>
    <t>Société de Commercialisation du Ciment (SOCOCIM)</t>
  </si>
  <si>
    <t>Privée</t>
  </si>
  <si>
    <t>Calcaire/Marne</t>
  </si>
  <si>
    <t>http://www.sococim.com/SOCOCIM-INDUSTRIES</t>
  </si>
  <si>
    <t>Sabodala Gold Operations (SGO)</t>
  </si>
  <si>
    <t>2850023 2G3</t>
  </si>
  <si>
    <t>Or</t>
  </si>
  <si>
    <t>https://www.endeavourmining.com/investors/institutional-ownership%20https://www.londonstockexchange.com/stock/EDV/endeavour-mining-plc/analysis</t>
  </si>
  <si>
    <t>Ciments du Sahel (CDS)</t>
  </si>
  <si>
    <t>0325995 2G3</t>
  </si>
  <si>
    <t>Calcaire/Argile/Latérite</t>
  </si>
  <si>
    <t>Grande Côte Opérations (GCO)</t>
  </si>
  <si>
    <t>2849258 2G3</t>
  </si>
  <si>
    <t>Minéraux lourds</t>
  </si>
  <si>
    <t>https://gco.eramet.com/</t>
  </si>
  <si>
    <t>Société Sénégalaise des Phosphates de Thiès (SSPT)</t>
  </si>
  <si>
    <t>0028797 2G3</t>
  </si>
  <si>
    <t>Attapulgites/Phosphates</t>
  </si>
  <si>
    <t>Industries Chimiques du Sénégal (ICS)</t>
  </si>
  <si>
    <t>0022955 2G3</t>
  </si>
  <si>
    <t>Phosphates</t>
  </si>
  <si>
    <t>http://www.ics.sn/</t>
  </si>
  <si>
    <t>Dangote Industries Sénégal SA (DANGOTE)</t>
  </si>
  <si>
    <t>2707208 2G3</t>
  </si>
  <si>
    <t>Argile, Calcaire, Latérite</t>
  </si>
  <si>
    <t>https://www.dangotecement.com/operations/senegal/</t>
  </si>
  <si>
    <t>Petowal Mining Company (PMC) SA</t>
  </si>
  <si>
    <t>005844700</t>
  </si>
  <si>
    <t>Or/Argent</t>
  </si>
  <si>
    <t>https://www.rml.com.au/</t>
  </si>
  <si>
    <t>Société Minière de la Vallée du fleuve Sénégal (SOMIVA)</t>
  </si>
  <si>
    <t>4475142 2G3</t>
  </si>
  <si>
    <t>IAMGOLD BOTO SA</t>
  </si>
  <si>
    <t>007768007</t>
  </si>
  <si>
    <t>https://www.iamgold.com/French/exploitations/projets-de-developpement/Projet-Boto-Sngal/default.aspx</t>
  </si>
  <si>
    <t>Agem Sénégal Exploration SUARL (AGEM)</t>
  </si>
  <si>
    <t>4151750 2Y2</t>
  </si>
  <si>
    <t>Sabodala Mining Company (SMC)</t>
  </si>
  <si>
    <t>2464410 0G2</t>
  </si>
  <si>
    <t>Sephos Senegal SA (SEPHOS)</t>
  </si>
  <si>
    <t>G-PHOS SA</t>
  </si>
  <si>
    <t>004716033</t>
  </si>
  <si>
    <t>African Investment Group SA (AIG)</t>
  </si>
  <si>
    <t>4507995 2G3</t>
  </si>
  <si>
    <t>Phosphates / Minéraux lourds</t>
  </si>
  <si>
    <t>https://www.africainvestmentgroup.co.uk/</t>
  </si>
  <si>
    <t>Compagnie Générale d'Exploitation de Carrière (COGECA)</t>
  </si>
  <si>
    <t>0196784</t>
  </si>
  <si>
    <t>Basalte/calcaire</t>
  </si>
  <si>
    <t>Gécamines (GECAMINES)</t>
  </si>
  <si>
    <t>2292168 2G3</t>
  </si>
  <si>
    <t>Basalte</t>
  </si>
  <si>
    <t>https://www.gecamines.cd/</t>
  </si>
  <si>
    <t>Société des Pétroles du Sénégal (PETROSEN)</t>
  </si>
  <si>
    <t>0224498 2G3</t>
  </si>
  <si>
    <t>Pétrole &amp; Gaz</t>
  </si>
  <si>
    <t>http://www.petrosen.sn/</t>
  </si>
  <si>
    <t>Fortesa International Senegal</t>
  </si>
  <si>
    <t xml:space="preserve">Capricorn Senegal Limited </t>
  </si>
  <si>
    <t>https://www.cairnenergy.com/</t>
  </si>
  <si>
    <t xml:space="preserve">Kosmos Energy Senegal </t>
  </si>
  <si>
    <t>0066487132V2</t>
  </si>
  <si>
    <t>https://www.kosmosenergy.com/senegal/</t>
  </si>
  <si>
    <t xml:space="preserve">Oranto Petroleum </t>
  </si>
  <si>
    <t>003059434</t>
  </si>
  <si>
    <t>https://atlas-oranto.com/portfolio/senegal/</t>
  </si>
  <si>
    <t xml:space="preserve">TOTAL E&amp;P Senegal </t>
  </si>
  <si>
    <t>https://www.total.sn/</t>
  </si>
  <si>
    <t>BP SENEGAL INVESTMENTS LIMITED</t>
  </si>
  <si>
    <t>006420509</t>
  </si>
  <si>
    <t>https://www.bp.com/</t>
  </si>
  <si>
    <t xml:space="preserve">Woodside Energy Senegal </t>
  </si>
  <si>
    <t>005014204 2G0</t>
  </si>
  <si>
    <t>https://www.woodside.com.au/fr/what-we-do/international-exploration-developments-and-marketing/s%c3%a9n%c3%a9gal</t>
  </si>
  <si>
    <t>Liste des projets à déclarer</t>
  </si>
  <si>
    <t>Nom complet du projet</t>
  </si>
  <si>
    <t>Référence(s) de la convention juridique : contrat, licence, bail, concession,...</t>
  </si>
  <si>
    <t>Sociétés associées, commencer par l’Opérateur</t>
  </si>
  <si>
    <t>Matières premières (une matière/ligne)</t>
  </si>
  <si>
    <t>Statut</t>
  </si>
  <si>
    <t>Volume de production</t>
  </si>
  <si>
    <t>Unité</t>
  </si>
  <si>
    <t>Valeur de production</t>
  </si>
  <si>
    <t>Devise</t>
  </si>
  <si>
    <t>Sabodala</t>
  </si>
  <si>
    <t>Or (7108)</t>
  </si>
  <si>
    <t>Production</t>
  </si>
  <si>
    <t>Mako</t>
  </si>
  <si>
    <t>Diogo</t>
  </si>
  <si>
    <t>Tobene</t>
  </si>
  <si>
    <t>Phosphates de calcium naturels (2510)</t>
  </si>
  <si>
    <t>Lam Lam</t>
  </si>
  <si>
    <t xml:space="preserve">Ndendoury </t>
  </si>
  <si>
    <t>Alloukagne</t>
  </si>
  <si>
    <t>Kirene</t>
  </si>
  <si>
    <t>Calcaire (2521)</t>
  </si>
  <si>
    <t>Argile (2509)</t>
  </si>
  <si>
    <t>Bargny</t>
  </si>
  <si>
    <t>Pout</t>
  </si>
  <si>
    <t>Diack</t>
  </si>
  <si>
    <t>Bandia</t>
  </si>
  <si>
    <t>GH-MINING</t>
  </si>
  <si>
    <t>Manganèse (2602)</t>
  </si>
  <si>
    <t>Boto</t>
  </si>
  <si>
    <t>Développement</t>
  </si>
  <si>
    <t>Noumoufoukha</t>
  </si>
  <si>
    <t>Prospection</t>
  </si>
  <si>
    <t>Bégal</t>
  </si>
  <si>
    <t>Diender</t>
  </si>
  <si>
    <t>Gaz naturel (2711)</t>
  </si>
  <si>
    <t>Sangomar</t>
  </si>
  <si>
    <t>Cayar</t>
  </si>
  <si>
    <t>Saint Louis</t>
  </si>
  <si>
    <t>Rop</t>
  </si>
  <si>
    <t>CP</t>
  </si>
  <si>
    <t>GTA</t>
  </si>
  <si>
    <t>SLP</t>
  </si>
  <si>
    <t>RSSD</t>
  </si>
  <si>
    <t>Partie 4 (Recettes de l’État) Elle contient des données exhaustives sur les revenus de l’État par flux de revenu, en utilisant la classification SFP.</t>
  </si>
  <si>
    <r>
      <t xml:space="preserve">1. Inscrivez le nom de tous les </t>
    </r>
    <r>
      <rPr>
        <b/>
        <i/>
        <sz val="12"/>
        <color theme="1"/>
        <rFont val="Franklin Gothic Book"/>
        <family val="2"/>
      </rPr>
      <t>flux de revenus</t>
    </r>
    <r>
      <rPr>
        <i/>
        <sz val="12"/>
        <color theme="1"/>
        <rFont val="Franklin Gothic Book"/>
        <family val="2"/>
      </rPr>
      <t xml:space="preserve"> de l’État pour le secteur extractif, y compris les flux inférieurs aux seuils de matérialité convenus (utiliser une ligne pour chaque flux de revenus et pour chaque entité de l’État)</t>
    </r>
  </si>
  <si>
    <r>
      <t xml:space="preserve">2. Inscrivez le nom de </t>
    </r>
    <r>
      <rPr>
        <b/>
        <i/>
        <sz val="12"/>
        <rFont val="Franklin Gothic Book"/>
        <family val="2"/>
      </rPr>
      <t>l’entité de l’État percevant les revenus</t>
    </r>
    <r>
      <rPr>
        <i/>
        <sz val="12"/>
        <rFont val="Franklin Gothic Book"/>
        <family val="2"/>
      </rPr>
      <t xml:space="preserve"> (sélectionnez celle-ci sur la liste déroulante) Elle y figurera parce que vous aurez déjà inscrit l’entité de l’État à la Partie 3).</t>
    </r>
  </si>
  <si>
    <r>
      <t xml:space="preserve">3. Choisissez le </t>
    </r>
    <r>
      <rPr>
        <b/>
        <i/>
        <sz val="12"/>
        <rFont val="Franklin Gothic Book"/>
        <family val="2"/>
      </rPr>
      <t>Secteur</t>
    </r>
    <r>
      <rPr>
        <i/>
        <sz val="12"/>
        <rFont val="Franklin Gothic Book"/>
        <family val="2"/>
      </rPr>
      <t xml:space="preserve"> et la </t>
    </r>
    <r>
      <rPr>
        <b/>
        <i/>
        <sz val="12"/>
        <rFont val="Franklin Gothic Book"/>
        <family val="2"/>
      </rPr>
      <t>Classification SFP</t>
    </r>
    <r>
      <rPr>
        <i/>
        <sz val="12"/>
        <rFont val="Franklin Gothic Book"/>
        <family val="2"/>
      </rPr>
      <t xml:space="preserve"> auxquels ce flux de revenus s’applique. Consultez les orientations fournies dans le </t>
    </r>
    <r>
      <rPr>
        <i/>
        <u/>
        <sz val="12"/>
        <rFont val="Franklin Gothic Book"/>
        <family val="2"/>
      </rPr>
      <t>Cadre SFP pour le rapportage ITIE.</t>
    </r>
    <r>
      <rPr>
        <i/>
        <sz val="12"/>
        <rFont val="Franklin Gothic Book"/>
        <family val="2"/>
      </rPr>
      <t xml:space="preserve"> </t>
    </r>
    <r>
      <rPr>
        <i/>
        <u/>
        <sz val="12"/>
        <rFont val="Franklin Gothic Book"/>
        <family val="2"/>
      </rPr>
      <t xml:space="preserve"> </t>
    </r>
    <r>
      <rPr>
        <sz val="12"/>
        <rFont val="Franklin Gothic Book"/>
        <family val="2"/>
      </rPr>
      <t>Si un flux de revenus ne peut être désagrégé par secteur, sélectionnez « Autre ».</t>
    </r>
  </si>
  <si>
    <r>
      <t xml:space="preserve">4. Dans la colonne </t>
    </r>
    <r>
      <rPr>
        <b/>
        <i/>
        <sz val="12"/>
        <rFont val="Franklin Gothic Book"/>
        <family val="2"/>
      </rPr>
      <t>Valeur des revenus</t>
    </r>
    <r>
      <rPr>
        <i/>
        <sz val="12"/>
        <rFont val="Franklin Gothic Book"/>
        <family val="2"/>
      </rPr>
      <t xml:space="preserve"> inscrivez le chiffre total de chaque flux de revenus tel que divulgué par le gouvernement, qui inclut également les revenus qui n’ont pas été rapprochés.</t>
    </r>
  </si>
  <si>
    <t xml:space="preserve"> Nota : Les paiements versés par les entreprises aux gouvernements au nom de leurs employés doivent être exclus (par exemple, l’impôt sur le revenu des particuliers  / impôts retenus à la source, cotisations des employés pour la sécurité sociale) car ils ne sont pas considérés comme étant des paiements par des entreprises au gouvernement.</t>
  </si>
  <si>
    <t>5. Si des paiements sont recensés dans le Rapport ITIE mais ne correspondent pas aux catégories SFP, veuillez les lister dans la case ci-dessous dénommée « Informations supplémentaires ».</t>
  </si>
  <si>
    <t>Total des recettes de l’État provenant du secteur extractif (utilisant la classification SFP)</t>
  </si>
  <si>
    <t>Cadre SFP pour le rapportage ITIE</t>
  </si>
  <si>
    <t>Exigence ITIE 5.1.b: Classification des revenus</t>
  </si>
  <si>
    <r>
      <rPr>
        <i/>
        <u/>
        <sz val="10.5"/>
        <color rgb="FF0076AF"/>
        <rFont val="Franklin Gothic Book"/>
        <family val="2"/>
      </rPr>
      <t xml:space="preserve"> Exigence ITIE 4.1.d</t>
    </r>
    <r>
      <rPr>
        <i/>
        <sz val="10.5"/>
        <color theme="1"/>
        <rFont val="Franklin Gothic Book"/>
        <family val="2"/>
      </rPr>
      <t xml:space="preserve">: Divulgation exhaustive de la part du gouvernement </t>
    </r>
  </si>
  <si>
    <t>GFS Niveau 1</t>
  </si>
  <si>
    <t>GFS Niveau 2</t>
  </si>
  <si>
    <t>GFS Niveau 3</t>
  </si>
  <si>
    <t>GFS Niveau 4</t>
  </si>
  <si>
    <t>Classification SFP</t>
  </si>
  <si>
    <t>Nom du flux de revenus</t>
  </si>
  <si>
    <t>Entité de l’État</t>
  </si>
  <si>
    <t>Valeur des revenus</t>
  </si>
  <si>
    <t>En quoi consiste le SFP ?</t>
  </si>
  <si>
    <t>Livré/payé à une/des entreprise(s) d’État (1415E32)</t>
  </si>
  <si>
    <t xml:space="preserve">Appui à la formation </t>
  </si>
  <si>
    <t xml:space="preserve">SFP, sigle pour «Statistiques de Finances Publiques  », est un cadre international pour la classification des flux de revenus afin de les rendre comparables d’un pays et d’une période à l’autre. Voir l’exemple de cadre complet ci-dessous.
Le cadre utilisé ci-dessous a été élaboré par le FMI et le Secrétariat international de l’ITIE.
Les chiffres à droite ont été spécifiquement conçus pour les entreprises du secteur extractif
La lettre E dans la colonne des codes SFP signifie que ce sont les codes utilisés pour les revenus issus des entreprises extractives. Les chiffres situés à gauche de la lettre E sont les codes SFP réguliers. </t>
  </si>
  <si>
    <t>Appui à la promotion de la recherche et de l'exploitation</t>
  </si>
  <si>
    <t>Appui à l'équipement</t>
  </si>
  <si>
    <t>Autres impôts payés par les entreprises exploitant des ressources naturelles (116E)</t>
  </si>
  <si>
    <t>Appui institutionnel</t>
  </si>
  <si>
    <t xml:space="preserve">Appui Institutionnel (DEEC) </t>
  </si>
  <si>
    <t xml:space="preserve">Appui Institutionnel (Fonds d'appui au Mini. De l'Env) </t>
  </si>
  <si>
    <r>
      <t xml:space="preserve">Pour plus d’orientations, visitez la page </t>
    </r>
    <r>
      <rPr>
        <u/>
        <sz val="10.5"/>
        <color rgb="FF0076AF"/>
        <rFont val="Franklin Gothic Book"/>
        <family val="2"/>
      </rPr>
      <t>https://eiti.org/fr/document/modele-donnees-resumees-itie</t>
    </r>
  </si>
  <si>
    <t xml:space="preserve">Appui institutionnel aux collectivités locales </t>
  </si>
  <si>
    <r>
      <rPr>
        <i/>
        <sz val="10.5"/>
        <rFont val="Franklin Gothic Book"/>
        <family val="2"/>
      </rPr>
      <t xml:space="preserve">ou </t>
    </r>
    <r>
      <rPr>
        <b/>
        <sz val="10.5"/>
        <color theme="10"/>
        <rFont val="Franklin Gothic Book"/>
        <family val="2"/>
      </rPr>
      <t>https://www.imf.org/external/pubs/ft/gfs/manual/pdf/2014companion/FrenchGFSM.pdf</t>
    </r>
  </si>
  <si>
    <t>Impôts ordinaires sur le revenu, le bénéfice et les plus-values (1112E1)</t>
  </si>
  <si>
    <t>Autres (non spécifiés)</t>
  </si>
  <si>
    <t>Autres flux de paiements significatifs (&gt; 25 millions de  FCFA) (reconciliables)</t>
  </si>
  <si>
    <t>BID PACKAGE LICENSING ROUND</t>
  </si>
  <si>
    <t>Droits de licence (114521E)</t>
  </si>
  <si>
    <t>Bonus (DGCPT)</t>
  </si>
  <si>
    <t xml:space="preserve">Contribution économique locale (CEL VA et CEL VL) </t>
  </si>
  <si>
    <t>Contribution spéciale sur les produits des mines et des carrières (CSMC)</t>
  </si>
  <si>
    <t>Provenant de la participation de l’État (1412E2)</t>
  </si>
  <si>
    <t xml:space="preserve">Dividendes versés à l'Etat </t>
  </si>
  <si>
    <t>Données techniques</t>
  </si>
  <si>
    <t>Droits de douane et autres droits d’importation (1151E)</t>
  </si>
  <si>
    <t>Droits de douane</t>
  </si>
  <si>
    <t>Droits d'entrée fixes</t>
  </si>
  <si>
    <t>Frais administratifs pour services gouvernementaux (1422E)</t>
  </si>
  <si>
    <t xml:space="preserve">Frais d'inscription d'une concession minière ou d'un permis d'exploitation </t>
  </si>
  <si>
    <t>Impôt sur le revenu des valeurs mobilières</t>
  </si>
  <si>
    <t>Impôt sur les sociétés</t>
  </si>
  <si>
    <t>Autres paiements de loyer (1415E5)</t>
  </si>
  <si>
    <t xml:space="preserve">Loyer superficiaire </t>
  </si>
  <si>
    <t>Patente</t>
  </si>
  <si>
    <t xml:space="preserve">Prélèvement communautaire CEDEAO </t>
  </si>
  <si>
    <t xml:space="preserve">Prélèvement communautaire solidaire UEMOA </t>
  </si>
  <si>
    <t xml:space="preserve">Prélèvement pour le Conseil Sénégalais des Chargeurs (COSEC) </t>
  </si>
  <si>
    <t>Redevances (1415E1)</t>
  </si>
  <si>
    <t xml:space="preserve">Redevance minière </t>
  </si>
  <si>
    <t>Redevance statistique UEMOA</t>
  </si>
  <si>
    <t>Redevance superficiaire</t>
  </si>
  <si>
    <t>Redressements fiscaux</t>
  </si>
  <si>
    <t xml:space="preserve">Revenus issus de la commercialisation de la Part de la production de l'État </t>
  </si>
  <si>
    <t>Revenus issus de la commercialisation de la Part de la production de l'État P</t>
  </si>
  <si>
    <t>Taxes sur les émissions et la pollution (114522E)</t>
  </si>
  <si>
    <t>Taxe à la pollution</t>
  </si>
  <si>
    <t xml:space="preserve">Taxe d'enregistrement des véhicules </t>
  </si>
  <si>
    <t xml:space="preserve">Taxe extraction  </t>
  </si>
  <si>
    <t>Impôts généraux sur les biens et services (TVA, taxes sur les ventes, taxes sur le chiffre d’affaires)(1141E)</t>
  </si>
  <si>
    <t>Taxe spéciale sur le ciment</t>
  </si>
  <si>
    <t>Taxe superficiaire</t>
  </si>
  <si>
    <t xml:space="preserve">Taxe sur la valeur ajoutée </t>
  </si>
  <si>
    <t>Taxe sur la valeur ajoutée reversée</t>
  </si>
  <si>
    <t>Taxe sur le ciment</t>
  </si>
  <si>
    <t>Taxes d'abattage</t>
  </si>
  <si>
    <t>Total en USD</t>
  </si>
  <si>
    <t>Informations supplémentaires</t>
  </si>
  <si>
    <t>Ajouter ci-dessous, à titre de commentaire, toute information supplémentaire qu’il ne serait pas judicieux d’inclure dans le tableau ci-dessus.</t>
  </si>
  <si>
    <t>1) Paiements faits par les entreprises au nom des employés:</t>
  </si>
  <si>
    <t>Veuillez inclure des commentaires ici.</t>
  </si>
  <si>
    <t>Insérer au besoin des lignes supplémentaires :</t>
  </si>
  <si>
    <t>Retenues à la source sur salaires (IR, TRIMF et CFCE)</t>
  </si>
  <si>
    <t>Mines</t>
  </si>
  <si>
    <t>Cotisations sociales (y compris les pénalités)(IPRES)</t>
  </si>
  <si>
    <t>Cotisations sociales CSS</t>
  </si>
  <si>
    <t>Cotisations sociales IPRES</t>
  </si>
  <si>
    <t>Total</t>
  </si>
  <si>
    <t>2) Retenue à la source sur sommes versées à des tiers</t>
  </si>
  <si>
    <t>Taxe sur la valeur ajoutée précomptée</t>
  </si>
  <si>
    <t>Retenue à la source sur sommes versées à des tiers</t>
  </si>
  <si>
    <t>Retenues à la source sur bénéfice non commercial</t>
  </si>
  <si>
    <t xml:space="preserve">Total (from EITI Report): </t>
  </si>
  <si>
    <r>
      <rPr>
        <b/>
        <sz val="12"/>
        <color rgb="FF000000"/>
        <rFont val="Franklin Gothic Book"/>
        <family val="2"/>
      </rPr>
      <t>Partie 5 (Données d’entreprise)</t>
    </r>
    <r>
      <rPr>
        <sz val="12"/>
        <color rgb="FF000000"/>
        <rFont val="Franklin Gothic Book"/>
        <family val="2"/>
      </rPr>
      <t xml:space="preserve"> Elle contient des données venant des entreprises - et du niveau projet - par flux de revenus. Les entreprises et projets sont indiqués sur le menu déroulant car ils ont été saisis sur la feuille 3. </t>
    </r>
  </si>
  <si>
    <r>
      <t xml:space="preserve">1. Sélectionnez le nom de </t>
    </r>
    <r>
      <rPr>
        <b/>
        <i/>
        <sz val="12"/>
        <color theme="1"/>
        <rFont val="Franklin Gothic Book"/>
        <family val="2"/>
      </rPr>
      <t>l’entreprise</t>
    </r>
    <r>
      <rPr>
        <i/>
        <sz val="12"/>
        <color theme="1"/>
        <rFont val="Franklin Gothic Book"/>
        <family val="2"/>
      </rPr>
      <t xml:space="preserve"> sur le menu déroulant</t>
    </r>
  </si>
  <si>
    <r>
      <t xml:space="preserve">2. Sélectionnez </t>
    </r>
    <r>
      <rPr>
        <b/>
        <i/>
        <sz val="12"/>
        <color theme="1"/>
        <rFont val="Franklin Gothic Book"/>
        <family val="2"/>
      </rPr>
      <t>l’entité collectrice de l’État</t>
    </r>
    <r>
      <rPr>
        <i/>
        <sz val="12"/>
        <color theme="1"/>
        <rFont val="Franklin Gothic Book"/>
        <family val="2"/>
      </rPr>
      <t xml:space="preserve"> et le </t>
    </r>
    <r>
      <rPr>
        <b/>
        <i/>
        <sz val="12"/>
        <color theme="1"/>
        <rFont val="Franklin Gothic Book"/>
        <family val="2"/>
      </rPr>
      <t>nom du paiement</t>
    </r>
    <r>
      <rPr>
        <i/>
        <sz val="12"/>
        <color theme="1"/>
        <rFont val="Franklin Gothic Book"/>
        <family val="2"/>
      </rPr>
      <t xml:space="preserve"> sur le menu déroulant</t>
    </r>
  </si>
  <si>
    <r>
      <t xml:space="preserve">3. Indiquez si le flux de paiements est (i) </t>
    </r>
    <r>
      <rPr>
        <b/>
        <i/>
        <sz val="12"/>
        <color theme="1"/>
        <rFont val="Franklin Gothic Book"/>
        <family val="2"/>
      </rPr>
      <t>perçu par projet</t>
    </r>
    <r>
      <rPr>
        <i/>
        <sz val="12"/>
        <color theme="1"/>
        <rFont val="Franklin Gothic Book"/>
        <family val="2"/>
      </rPr>
      <t xml:space="preserve"> et (ii) </t>
    </r>
    <r>
      <rPr>
        <b/>
        <i/>
        <sz val="12"/>
        <color theme="1"/>
        <rFont val="Franklin Gothic Book"/>
        <family val="2"/>
      </rPr>
      <t>déclaré par projet</t>
    </r>
  </si>
  <si>
    <r>
      <t xml:space="preserve">4. Inscrivez l’information de projet : </t>
    </r>
    <r>
      <rPr>
        <b/>
        <i/>
        <sz val="12"/>
        <color theme="1"/>
        <rFont val="Franklin Gothic Book"/>
        <family val="2"/>
      </rPr>
      <t>nom du projet</t>
    </r>
    <r>
      <rPr>
        <i/>
        <sz val="12"/>
        <color theme="1"/>
        <rFont val="Franklin Gothic Book"/>
        <family val="2"/>
      </rPr>
      <t xml:space="preserve"> et </t>
    </r>
    <r>
      <rPr>
        <b/>
        <i/>
        <sz val="12"/>
        <color theme="1"/>
        <rFont val="Franklin Gothic Book"/>
        <family val="2"/>
      </rPr>
      <t>devise de déclaration</t>
    </r>
  </si>
  <si>
    <r>
      <t xml:space="preserve">5. Inscrivez la </t>
    </r>
    <r>
      <rPr>
        <b/>
        <i/>
        <sz val="12"/>
        <color theme="1"/>
        <rFont val="Franklin Gothic Book"/>
        <family val="2"/>
      </rPr>
      <t>valeur des revenus</t>
    </r>
    <r>
      <rPr>
        <i/>
        <sz val="12"/>
        <color theme="1"/>
        <rFont val="Franklin Gothic Book"/>
        <family val="2"/>
      </rPr>
      <t xml:space="preserve"> </t>
    </r>
    <r>
      <rPr>
        <i/>
        <u/>
        <sz val="12"/>
        <color theme="1"/>
        <rFont val="Franklin Gothic Book"/>
        <family val="2"/>
      </rPr>
      <t>telle que divulguée par le gouvernement</t>
    </r>
    <r>
      <rPr>
        <i/>
        <sz val="12"/>
        <color theme="1"/>
        <rFont val="Franklin Gothic Book"/>
        <family val="2"/>
      </rPr>
      <t xml:space="preserve"> et ajoutez tout commentaire pertinent.</t>
    </r>
  </si>
  <si>
    <t>Recettes de l’État par entreprise et projet</t>
  </si>
  <si>
    <r>
      <t>Exigence ITIE 4.1.c</t>
    </r>
    <r>
      <rPr>
        <i/>
        <u/>
        <sz val="10.5"/>
        <rFont val="Franklin Gothic Book"/>
        <family val="2"/>
      </rPr>
      <t xml:space="preserve">: Paiements des entreprises </t>
    </r>
    <r>
      <rPr>
        <i/>
        <u/>
        <sz val="10.5"/>
        <color theme="10"/>
        <rFont val="Franklin Gothic Book"/>
        <family val="2"/>
      </rPr>
      <t>;  Exigence ITIE 4.7</t>
    </r>
    <r>
      <rPr>
        <i/>
        <u/>
        <sz val="10.5"/>
        <rFont val="Franklin Gothic Book"/>
        <family val="2"/>
      </rPr>
      <t>: Déclaration par projet</t>
    </r>
  </si>
  <si>
    <t>Entreprise</t>
  </si>
  <si>
    <t>Nom du paiement</t>
  </si>
  <si>
    <t>Perçu par projet (O/N)</t>
  </si>
  <si>
    <t>Déclaré par projet (O/N)</t>
  </si>
  <si>
    <t>Nom du projet</t>
  </si>
  <si>
    <t>Devise de déclaration</t>
  </si>
  <si>
    <t>Valeur de revenus</t>
  </si>
  <si>
    <t>Paiement effectué en nature?</t>
  </si>
  <si>
    <t>Volume en nature (si applicable)</t>
  </si>
  <si>
    <t>Unité (si applicable)</t>
  </si>
  <si>
    <t>Commentaires</t>
  </si>
  <si>
    <t>Ajouter ci-dessous, à titre de commentaire, toute information supplémentaire qu’il ne serait pas nécessaire d’inclure dans le tableau ci-dessus.</t>
  </si>
  <si>
    <t xml:space="preserve">Total reconciliated (from EITI Report): </t>
  </si>
  <si>
    <r>
      <rPr>
        <b/>
        <sz val="10.5"/>
        <color theme="1"/>
        <rFont val="Calibri"/>
        <family val="2"/>
      </rPr>
      <t>Tableau 1 - Codes de pays</t>
    </r>
  </si>
  <si>
    <r>
      <rPr>
        <b/>
        <sz val="10.5"/>
        <color theme="1"/>
        <rFont val="Calibri"/>
        <family val="2"/>
      </rPr>
      <t>Tableau 2 - Options simples</t>
    </r>
  </si>
  <si>
    <r>
      <rPr>
        <b/>
        <sz val="10.5"/>
        <color theme="1"/>
        <rFont val="Calibri"/>
        <family val="2"/>
      </rPr>
      <t>Tableau 3 - Options de déclaration</t>
    </r>
  </si>
  <si>
    <r>
      <rPr>
        <b/>
        <sz val="10.5"/>
        <color theme="1"/>
        <rFont val="Calibri"/>
        <family val="2"/>
      </rPr>
      <t>Tableau 5 - Liste de matières premières</t>
    </r>
  </si>
  <si>
    <r>
      <rPr>
        <b/>
        <sz val="10.5"/>
        <color theme="1"/>
        <rFont val="Calibri"/>
        <family val="2"/>
      </rPr>
      <t>Tableau 6 - Codes/Classification GFS</t>
    </r>
  </si>
  <si>
    <r>
      <rPr>
        <b/>
        <sz val="10.5"/>
        <color theme="1"/>
        <rFont val="Calibri"/>
        <family val="2"/>
      </rPr>
      <t>Tableau 7 - Secteurs</t>
    </r>
  </si>
  <si>
    <r>
      <rPr>
        <b/>
        <sz val="10.5"/>
        <color theme="1"/>
        <rFont val="Calibri"/>
        <family val="2"/>
      </rPr>
      <t>Tableau 8 - Phases de projet</t>
    </r>
  </si>
  <si>
    <t>Tableau 9 - Types d'agences gouvernementales</t>
  </si>
  <si>
    <r>
      <rPr>
        <b/>
        <sz val="10.5"/>
        <color theme="1"/>
        <rFont val="Calibri"/>
        <family val="2"/>
      </rPr>
      <t>Nom de pays ou région</t>
    </r>
  </si>
  <si>
    <r>
      <rPr>
        <b/>
        <sz val="10.5"/>
        <color theme="1"/>
        <rFont val="Calibri"/>
        <family val="2"/>
      </rPr>
      <t>Code ISO de pays (alpha 2)</t>
    </r>
  </si>
  <si>
    <r>
      <rPr>
        <b/>
        <sz val="10.5"/>
        <color theme="1"/>
        <rFont val="Calibri"/>
        <family val="2"/>
      </rPr>
      <t>Code ISO de devise (alpha 3)</t>
    </r>
  </si>
  <si>
    <r>
      <rPr>
        <b/>
        <sz val="10.5"/>
        <color theme="1"/>
        <rFont val="Calibri"/>
        <family val="2"/>
      </rPr>
      <t>Code numérique ISO (UN M49)</t>
    </r>
  </si>
  <si>
    <r>
      <rPr>
        <b/>
        <sz val="10.5"/>
        <color theme="1"/>
        <rFont val="Calibri"/>
        <family val="2"/>
      </rPr>
      <t>Code de devise (ISO 4217)</t>
    </r>
  </si>
  <si>
    <r>
      <rPr>
        <b/>
        <sz val="10.5"/>
        <color theme="1"/>
        <rFont val="Calibri"/>
        <family val="2"/>
      </rPr>
      <t>Code numérique de devise (ISO 4217)</t>
    </r>
  </si>
  <si>
    <r>
      <rPr>
        <b/>
        <sz val="10.5"/>
        <color theme="1"/>
        <rFont val="Calibri"/>
        <family val="2"/>
      </rPr>
      <t>Devise</t>
    </r>
  </si>
  <si>
    <t>Liste</t>
  </si>
  <si>
    <r>
      <rPr>
        <b/>
        <sz val="11"/>
        <color theme="1"/>
        <rFont val="Calibri"/>
        <family val="2"/>
        <scheme val="minor"/>
      </rPr>
      <t>Code de produit HS</t>
    </r>
  </si>
  <si>
    <t>Description de produit HS</t>
  </si>
  <si>
    <r>
      <rPr>
        <b/>
        <sz val="11"/>
        <color theme="1"/>
        <rFont val="Calibri"/>
        <family val="2"/>
        <scheme val="minor"/>
      </rPr>
      <t>Description de produit HS av. volume</t>
    </r>
  </si>
  <si>
    <r>
      <rPr>
        <b/>
        <sz val="10.5"/>
        <color theme="1"/>
        <rFont val="Calibri"/>
        <family val="2"/>
      </rPr>
      <t>Combiné</t>
    </r>
  </si>
  <si>
    <r>
      <rPr>
        <b/>
        <sz val="10.5"/>
        <color theme="1"/>
        <rFont val="Calibri"/>
        <family val="2"/>
      </rPr>
      <t>Codes GFS des flux de revenus issus des entreprises extractives</t>
    </r>
  </si>
  <si>
    <r>
      <rPr>
        <b/>
        <sz val="10.5"/>
        <color theme="1"/>
        <rFont val="Calibri"/>
        <family val="2"/>
      </rPr>
      <t>Code GFS</t>
    </r>
  </si>
  <si>
    <r>
      <rPr>
        <b/>
        <sz val="10.5"/>
        <color theme="1"/>
        <rFont val="Calibri"/>
        <family val="2"/>
      </rPr>
      <t>GFS Niveau 1</t>
    </r>
  </si>
  <si>
    <r>
      <rPr>
        <b/>
        <sz val="10.5"/>
        <color theme="1"/>
        <rFont val="Calibri"/>
        <family val="2"/>
      </rPr>
      <t>GFS Niveau 2</t>
    </r>
  </si>
  <si>
    <r>
      <rPr>
        <b/>
        <sz val="10.5"/>
        <color theme="1"/>
        <rFont val="Calibri"/>
        <family val="2"/>
      </rPr>
      <t>GFS Niveau 3</t>
    </r>
  </si>
  <si>
    <r>
      <rPr>
        <b/>
        <sz val="10.5"/>
        <color theme="1"/>
        <rFont val="Calibri"/>
        <family val="2"/>
      </rPr>
      <t>GFS Niveau 4</t>
    </r>
  </si>
  <si>
    <r>
      <rPr>
        <b/>
        <sz val="10.5"/>
        <color theme="1"/>
        <rFont val="Calibri"/>
        <family val="2"/>
      </rPr>
      <t>Secteur (s)</t>
    </r>
  </si>
  <si>
    <t>Étapes du projet</t>
  </si>
  <si>
    <t>Afghanistan</t>
  </si>
  <si>
    <t>AF</t>
  </si>
  <si>
    <t>AFG</t>
  </si>
  <si>
    <t>4</t>
  </si>
  <si>
    <t>AFN</t>
  </si>
  <si>
    <t>Afghani afghan</t>
  </si>
  <si>
    <t>&lt;Sélectionner l’option&gt;</t>
  </si>
  <si>
    <t>&lt;Rapportage ITIE ou divulgation systématique?&gt;</t>
  </si>
  <si>
    <t>2606</t>
  </si>
  <si>
    <t>Aluminium (2606)</t>
  </si>
  <si>
    <t>Aluminium (2606), volume</t>
  </si>
  <si>
    <t>Impôts ordinaires sur le revenu, le bénéfice et les plus-values</t>
  </si>
  <si>
    <t>1112E1</t>
  </si>
  <si>
    <t>Impôts (11E)</t>
  </si>
  <si>
    <t>Impôts sur le revenu, le bénéfice et les plus-values</t>
  </si>
  <si>
    <t>&lt;Sélectionner le secteur&gt;</t>
  </si>
  <si>
    <t>&lt;Sélectionner l’étape&gt;</t>
  </si>
  <si>
    <t>Afrique du Sud</t>
  </si>
  <si>
    <t>ZA</t>
  </si>
  <si>
    <t>ZAF</t>
  </si>
  <si>
    <t>710</t>
  </si>
  <si>
    <t>ZAR</t>
  </si>
  <si>
    <t>Rand sud-africain</t>
  </si>
  <si>
    <r>
      <rPr>
        <sz val="10.5"/>
        <color theme="1"/>
        <rFont val="Calibri"/>
        <family val="2"/>
      </rPr>
      <t>Oui, divulgation systématique</t>
    </r>
  </si>
  <si>
    <t>2524</t>
  </si>
  <si>
    <t>Amiante (2524)</t>
  </si>
  <si>
    <t>Amiante (2524), volume</t>
  </si>
  <si>
    <t>Impôts extraordinaires sur le revenu, le bénéfice et les plus-values (1112E2)</t>
  </si>
  <si>
    <t>Impôts extraordinaires sur le revenu, le bénéfice et les plus-values</t>
  </si>
  <si>
    <t>1112E2</t>
  </si>
  <si>
    <t>Impôts sur le revenu, le bénéfice et les plus-values (111E)</t>
  </si>
  <si>
    <t>Administration d'Etat fédéré</t>
  </si>
  <si>
    <t>Albanie</t>
  </si>
  <si>
    <t>AL</t>
  </si>
  <si>
    <t>ALB</t>
  </si>
  <si>
    <t>8</t>
  </si>
  <si>
    <t>ALL</t>
  </si>
  <si>
    <t>Lek albanais</t>
  </si>
  <si>
    <t>Partiellement</t>
  </si>
  <si>
    <t>2514</t>
  </si>
  <si>
    <t>Ardoise (2514)</t>
  </si>
  <si>
    <t>Ardoise (2514), volume</t>
  </si>
  <si>
    <t>Impôts sur la masse salariale et la force de travail (112E)</t>
  </si>
  <si>
    <t>Impôts sur la masse salariale et la force de travail</t>
  </si>
  <si>
    <t>112E</t>
  </si>
  <si>
    <t>Administration locale</t>
  </si>
  <si>
    <t>Algérie</t>
  </si>
  <si>
    <t>DZ</t>
  </si>
  <si>
    <t>DZA</t>
  </si>
  <si>
    <t>12</t>
  </si>
  <si>
    <t>DZD</t>
  </si>
  <si>
    <t>Dinar algérien</t>
  </si>
  <si>
    <t>7106</t>
  </si>
  <si>
    <t>Argent (7106)</t>
  </si>
  <si>
    <t>Impôts sur la propriété (113E)</t>
  </si>
  <si>
    <t>Impôts sur la propriété</t>
  </si>
  <si>
    <t>113E</t>
  </si>
  <si>
    <t>Allemagne</t>
  </si>
  <si>
    <t>DE</t>
  </si>
  <si>
    <t>DEU</t>
  </si>
  <si>
    <t>276</t>
  </si>
  <si>
    <t>EUR</t>
  </si>
  <si>
    <t>Euro</t>
  </si>
  <si>
    <t>7202</t>
  </si>
  <si>
    <t>Ferro-alliages (7202)</t>
  </si>
  <si>
    <t>Ferro-alliages (7202), volume</t>
  </si>
  <si>
    <t>Impôts généraux sur les biens et services (TVA, taxes sur les ventes, taxes sur le chiffre d’affaires)</t>
  </si>
  <si>
    <t>1141E</t>
  </si>
  <si>
    <t>Impôts sur les biens et services (114E)</t>
  </si>
  <si>
    <t>Impôts généraux sur les biens et services (TVA, taxes sur les ventes, taxes sur le chiffre d’affaires (1141E)</t>
  </si>
  <si>
    <t>Autres</t>
  </si>
  <si>
    <t>Andorre</t>
  </si>
  <si>
    <t>AD</t>
  </si>
  <si>
    <t>AND</t>
  </si>
  <si>
    <t>20</t>
  </si>
  <si>
    <t>2509</t>
  </si>
  <si>
    <t>Droits d’accise (1142E)</t>
  </si>
  <si>
    <t>Droits d’accise</t>
  </si>
  <si>
    <t>1142E</t>
  </si>
  <si>
    <t>Angola</t>
  </si>
  <si>
    <t>AO</t>
  </si>
  <si>
    <t>AGO</t>
  </si>
  <si>
    <t>24</t>
  </si>
  <si>
    <t>AOA</t>
  </si>
  <si>
    <t>Kwanza angolais</t>
  </si>
  <si>
    <r>
      <rPr>
        <b/>
        <sz val="10.5"/>
        <color theme="1"/>
        <rFont val="Calibri"/>
        <family val="2"/>
      </rPr>
      <t>Tableau 4 - Liste des codes de devise</t>
    </r>
  </si>
  <si>
    <t>2617</t>
  </si>
  <si>
    <t>Autres (2617)</t>
  </si>
  <si>
    <t>Droits de licence</t>
  </si>
  <si>
    <t>114521E</t>
  </si>
  <si>
    <t>Impôts sur l’usage de biens/permission d’utiliser des biens ou d’exécuter des activités (1145E)</t>
  </si>
  <si>
    <t>Anguilla</t>
  </si>
  <si>
    <t>AI</t>
  </si>
  <si>
    <t>AIA</t>
  </si>
  <si>
    <t>660</t>
  </si>
  <si>
    <t>XCD</t>
  </si>
  <si>
    <t>Dollar des Caraïbes orientales</t>
  </si>
  <si>
    <r>
      <rPr>
        <b/>
        <sz val="10.5"/>
        <color theme="0"/>
        <rFont val="Calibri"/>
        <family val="2"/>
      </rPr>
      <t>Code de devise (ISO 4217)</t>
    </r>
  </si>
  <si>
    <r>
      <rPr>
        <b/>
        <sz val="10.5"/>
        <color theme="0"/>
        <rFont val="Calibri"/>
        <family val="2"/>
      </rPr>
      <t>Code numérique de devise (ISO 4217)</t>
    </r>
  </si>
  <si>
    <r>
      <rPr>
        <b/>
        <sz val="10.5"/>
        <color theme="0"/>
        <rFont val="Calibri"/>
        <family val="2"/>
      </rPr>
      <t>Devise</t>
    </r>
  </si>
  <si>
    <t>2508</t>
  </si>
  <si>
    <t>Autres argiles (2508)</t>
  </si>
  <si>
    <t>Taxes sur les émissions et la pollution</t>
  </si>
  <si>
    <t>114522E</t>
  </si>
  <si>
    <t>Antigua et Barbuda</t>
  </si>
  <si>
    <t>AG</t>
  </si>
  <si>
    <t>ATG</t>
  </si>
  <si>
    <t>28</t>
  </si>
  <si>
    <r>
      <rPr>
        <sz val="10.5"/>
        <color theme="1"/>
        <rFont val="Calibri"/>
        <family val="2"/>
      </rPr>
      <t>AED</t>
    </r>
  </si>
  <si>
    <r>
      <rPr>
        <sz val="10.5"/>
        <color theme="1"/>
        <rFont val="Calibri"/>
        <family val="2"/>
      </rPr>
      <t>Dirham des émirats arabes unis</t>
    </r>
  </si>
  <si>
    <t>2621</t>
  </si>
  <si>
    <t>Autres cendres et mâchefer (2621)</t>
  </si>
  <si>
    <t>Autres cendres et mâchefer (2621), volume</t>
  </si>
  <si>
    <t>Taxes sur les véhicules à moteur (11451E)</t>
  </si>
  <si>
    <t>Taxes sur les véhicules à moteur</t>
  </si>
  <si>
    <t>11451E</t>
  </si>
  <si>
    <t>Antilles néerlandaises</t>
  </si>
  <si>
    <t>AN</t>
  </si>
  <si>
    <t>ANT</t>
  </si>
  <si>
    <t>530</t>
  </si>
  <si>
    <t>ANG</t>
  </si>
  <si>
    <t>Florin des Antilles néerlandaises</t>
  </si>
  <si>
    <r>
      <rPr>
        <sz val="10.5"/>
        <color theme="1"/>
        <rFont val="Calibri"/>
        <family val="2"/>
      </rPr>
      <t>AFN</t>
    </r>
  </si>
  <si>
    <r>
      <rPr>
        <sz val="10.5"/>
        <color theme="1"/>
        <rFont val="Calibri"/>
        <family val="2"/>
      </rPr>
      <t>Afghani afghan</t>
    </r>
  </si>
  <si>
    <t>2714</t>
  </si>
  <si>
    <t>Bitume et asphalte (2714)</t>
  </si>
  <si>
    <t>Bitume et asphalte (2714), volume</t>
  </si>
  <si>
    <t>Droits de douane et autres droits d’importation</t>
  </si>
  <si>
    <t>1151E</t>
  </si>
  <si>
    <t>Taxes sur le commerce et les transactions au niveau international (115E)</t>
  </si>
  <si>
    <t>Arabie saoudite</t>
  </si>
  <si>
    <t>SA</t>
  </si>
  <si>
    <t>SAU</t>
  </si>
  <si>
    <t>682</t>
  </si>
  <si>
    <t>SAR</t>
  </si>
  <si>
    <t>Rial saoudite</t>
  </si>
  <si>
    <r>
      <rPr>
        <sz val="10.5"/>
        <color theme="1"/>
        <rFont val="Calibri"/>
        <family val="2"/>
      </rPr>
      <t>ALL</t>
    </r>
  </si>
  <si>
    <r>
      <rPr>
        <sz val="10.5"/>
        <color theme="1"/>
        <rFont val="Calibri"/>
        <family val="2"/>
      </rPr>
      <t>Lek albanais</t>
    </r>
  </si>
  <si>
    <t>2528</t>
  </si>
  <si>
    <t>Borates et concentrés naturels (2528)</t>
  </si>
  <si>
    <t>Borates et concentrés naturels (2528), volume</t>
  </si>
  <si>
    <t>Taxes sur les exportations (1152E)</t>
  </si>
  <si>
    <t>Taxes sur les exportations</t>
  </si>
  <si>
    <t>1152E</t>
  </si>
  <si>
    <t>Argentine</t>
  </si>
  <si>
    <t>AR</t>
  </si>
  <si>
    <t>ARG</t>
  </si>
  <si>
    <t>32</t>
  </si>
  <si>
    <t>ARS</t>
  </si>
  <si>
    <t>Peso argentin</t>
  </si>
  <si>
    <r>
      <rPr>
        <sz val="10.5"/>
        <color theme="1"/>
        <rFont val="Calibri"/>
        <family val="2"/>
      </rPr>
      <t>AMD</t>
    </r>
  </si>
  <si>
    <r>
      <rPr>
        <sz val="10.5"/>
        <color theme="1"/>
        <rFont val="Calibri"/>
        <family val="2"/>
      </rPr>
      <t>Dram arménien</t>
    </r>
  </si>
  <si>
    <t>2517</t>
  </si>
  <si>
    <t>Cailloux (2517)</t>
  </si>
  <si>
    <t>Cailloux (2517), volume</t>
  </si>
  <si>
    <t>Bénéfices des monopoles fiscaux sur les ressources naturelles (1153E1)</t>
  </si>
  <si>
    <t>Bénéfices des monopoles fiscaux sur les ressources naturelles</t>
  </si>
  <si>
    <t>1153E1</t>
  </si>
  <si>
    <t>Arménie</t>
  </si>
  <si>
    <t>AM</t>
  </si>
  <si>
    <t>ARM</t>
  </si>
  <si>
    <t>51</t>
  </si>
  <si>
    <t>AMD</t>
  </si>
  <si>
    <t>Dram arménien</t>
  </si>
  <si>
    <r>
      <rPr>
        <sz val="10.5"/>
        <color theme="1"/>
        <rFont val="Calibri"/>
        <family val="2"/>
      </rPr>
      <t>ANG</t>
    </r>
  </si>
  <si>
    <r>
      <rPr>
        <sz val="10.5"/>
        <color theme="1"/>
        <rFont val="Calibri"/>
        <family val="2"/>
      </rPr>
      <t>Florin des Antilles néerlandaises</t>
    </r>
  </si>
  <si>
    <t>2521</t>
  </si>
  <si>
    <t>Autres impôts payés par les entreprises exploitant des ressources naturelles</t>
  </si>
  <si>
    <t>116E</t>
  </si>
  <si>
    <t>Aruba</t>
  </si>
  <si>
    <t>AW</t>
  </si>
  <si>
    <t>ABW</t>
  </si>
  <si>
    <t>533</t>
  </si>
  <si>
    <t>AWG</t>
  </si>
  <si>
    <t>Florin d’Aruba</t>
  </si>
  <si>
    <r>
      <rPr>
        <sz val="10.5"/>
        <color theme="1"/>
        <rFont val="Calibri"/>
        <family val="2"/>
      </rPr>
      <t>AOA</t>
    </r>
  </si>
  <si>
    <r>
      <rPr>
        <sz val="10.5"/>
        <color theme="1"/>
        <rFont val="Calibri"/>
        <family val="2"/>
      </rPr>
      <t>Kwanza angolais</t>
    </r>
  </si>
  <si>
    <t>2519</t>
  </si>
  <si>
    <t>Carbonate de magnésium naturel (2519)</t>
  </si>
  <si>
    <t>Carbonate de magnésium naturel (2519), volume</t>
  </si>
  <si>
    <t>Cotisations patronales à la sécurité sociale (1212E)</t>
  </si>
  <si>
    <t>Cotisations patronales à la sécurité sociale</t>
  </si>
  <si>
    <t>1212E</t>
  </si>
  <si>
    <t>Cotisations sociales (12E)</t>
  </si>
  <si>
    <t>Australie</t>
  </si>
  <si>
    <t>AU</t>
  </si>
  <si>
    <t>AUS</t>
  </si>
  <si>
    <t>36</t>
  </si>
  <si>
    <t>AUD</t>
  </si>
  <si>
    <t>Dollar australien</t>
  </si>
  <si>
    <r>
      <rPr>
        <sz val="10.5"/>
        <color theme="1"/>
        <rFont val="Calibri"/>
        <family val="2"/>
      </rPr>
      <t>ARS</t>
    </r>
  </si>
  <si>
    <r>
      <rPr>
        <sz val="10.5"/>
        <color theme="1"/>
        <rFont val="Calibri"/>
        <family val="2"/>
      </rPr>
      <t>Peso argentin</t>
    </r>
  </si>
  <si>
    <t>2620</t>
  </si>
  <si>
    <t>Cendres et résidus (2620)</t>
  </si>
  <si>
    <t>Des entreprises d’État (1412E1)</t>
  </si>
  <si>
    <t>Des entreprises d’État</t>
  </si>
  <si>
    <t>1412E1</t>
  </si>
  <si>
    <t>Autre revenu (14E)</t>
  </si>
  <si>
    <t>Revenu dégagé de la propriété (141E)</t>
  </si>
  <si>
    <t>Dividendes (1412E)</t>
  </si>
  <si>
    <t>Autriche</t>
  </si>
  <si>
    <t>AT</t>
  </si>
  <si>
    <t>AUT</t>
  </si>
  <si>
    <t>40</t>
  </si>
  <si>
    <r>
      <rPr>
        <sz val="10.5"/>
        <color theme="1"/>
        <rFont val="Calibri"/>
        <family val="2"/>
      </rPr>
      <t>AUD</t>
    </r>
  </si>
  <si>
    <r>
      <rPr>
        <sz val="10.5"/>
        <color theme="1"/>
        <rFont val="Calibri"/>
        <family val="2"/>
      </rPr>
      <t>Dollar australien</t>
    </r>
  </si>
  <si>
    <t>2701</t>
  </si>
  <si>
    <t>Charbon (2701)</t>
  </si>
  <si>
    <t>Charbon (2701), volume</t>
  </si>
  <si>
    <t>Provenant de la participation de l’État</t>
  </si>
  <si>
    <t>1412E2</t>
  </si>
  <si>
    <t>Azerbaïdjan</t>
  </si>
  <si>
    <t>AZ</t>
  </si>
  <si>
    <t>AZE</t>
  </si>
  <si>
    <t>31</t>
  </si>
  <si>
    <t>AZN</t>
  </si>
  <si>
    <t>Manat azéri</t>
  </si>
  <si>
    <r>
      <rPr>
        <sz val="10.5"/>
        <color theme="1"/>
        <rFont val="Calibri"/>
        <family val="2"/>
      </rPr>
      <t>AWG</t>
    </r>
  </si>
  <si>
    <r>
      <rPr>
        <sz val="10.5"/>
        <color theme="1"/>
        <rFont val="Calibri"/>
        <family val="2"/>
      </rPr>
      <t>Florin d’Aruba</t>
    </r>
  </si>
  <si>
    <t>2522</t>
  </si>
  <si>
    <t>Chaux vive (2522)</t>
  </si>
  <si>
    <t>Chaux vive (2522), volume</t>
  </si>
  <si>
    <t>Retraits à partir du revenu de quasi-sociétés (1413E)</t>
  </si>
  <si>
    <t>Retraits à partir du revenu de quasi-sociétés</t>
  </si>
  <si>
    <t>1413E</t>
  </si>
  <si>
    <t>Bahamas</t>
  </si>
  <si>
    <t>BS</t>
  </si>
  <si>
    <t>BHS</t>
  </si>
  <si>
    <t>44</t>
  </si>
  <si>
    <t>BSD</t>
  </si>
  <si>
    <t>Dollar bahamien</t>
  </si>
  <si>
    <r>
      <rPr>
        <sz val="10.5"/>
        <color theme="1"/>
        <rFont val="Calibri"/>
        <family val="2"/>
      </rPr>
      <t>AZN</t>
    </r>
  </si>
  <si>
    <r>
      <rPr>
        <sz val="10.5"/>
        <color theme="1"/>
        <rFont val="Calibri"/>
        <family val="2"/>
      </rPr>
      <t>Manat azéri</t>
    </r>
  </si>
  <si>
    <t>2610</t>
  </si>
  <si>
    <t>Chrome (2610)</t>
  </si>
  <si>
    <t>Chrome (2610), volume</t>
  </si>
  <si>
    <t>Redevances</t>
  </si>
  <si>
    <t>1415E1</t>
  </si>
  <si>
    <t>Loyers (1415E)</t>
  </si>
  <si>
    <t>Bahreïn</t>
  </si>
  <si>
    <t>BH</t>
  </si>
  <si>
    <t>BHR</t>
  </si>
  <si>
    <t>48</t>
  </si>
  <si>
    <t>BHD</t>
  </si>
  <si>
    <t>Dinar de Bahreïn</t>
  </si>
  <si>
    <r>
      <rPr>
        <sz val="10.5"/>
        <color theme="1"/>
        <rFont val="Calibri"/>
        <family val="2"/>
      </rPr>
      <t>BAM</t>
    </r>
  </si>
  <si>
    <r>
      <rPr>
        <sz val="10.5"/>
        <color theme="1"/>
        <rFont val="Calibri"/>
        <family val="2"/>
      </rPr>
      <t>Mark convertible de Bosnie-Herzégovine</t>
    </r>
  </si>
  <si>
    <t>2523</t>
  </si>
  <si>
    <t>Ciment Portland (2523)</t>
  </si>
  <si>
    <t>Primes (1415E2)</t>
  </si>
  <si>
    <t>Primes</t>
  </si>
  <si>
    <t>1415E2</t>
  </si>
  <si>
    <t>Bangladesh</t>
  </si>
  <si>
    <t>BD</t>
  </si>
  <si>
    <t>BGD</t>
  </si>
  <si>
    <t>50</t>
  </si>
  <si>
    <t>BDT</t>
  </si>
  <si>
    <t>Taka bangladeshi</t>
  </si>
  <si>
    <r>
      <rPr>
        <sz val="10.5"/>
        <color theme="1"/>
        <rFont val="Calibri"/>
        <family val="2"/>
      </rPr>
      <t>BBD</t>
    </r>
  </si>
  <si>
    <r>
      <rPr>
        <sz val="10.5"/>
        <color theme="1"/>
        <rFont val="Calibri"/>
        <family val="2"/>
      </rPr>
      <t>Dollar de la Barbade</t>
    </r>
  </si>
  <si>
    <t>2605</t>
  </si>
  <si>
    <t>Cobalt (2605)</t>
  </si>
  <si>
    <t>Cobalt (2605), volume</t>
  </si>
  <si>
    <t>Livré/payé directement à l’État (1415E31)</t>
  </si>
  <si>
    <t>Livré/payé directement à l’État</t>
  </si>
  <si>
    <t>1415E31</t>
  </si>
  <si>
    <t>Droits sur la production (en nature ou en espèces)(1415E3)</t>
  </si>
  <si>
    <t>Barbade</t>
  </si>
  <si>
    <t>BB</t>
  </si>
  <si>
    <t>BRB</t>
  </si>
  <si>
    <t>52</t>
  </si>
  <si>
    <t>BBD</t>
  </si>
  <si>
    <t>Dollar de la Barbade</t>
  </si>
  <si>
    <r>
      <rPr>
        <sz val="10.5"/>
        <color theme="1"/>
        <rFont val="Calibri"/>
        <family val="2"/>
      </rPr>
      <t>BDT</t>
    </r>
  </si>
  <si>
    <r>
      <rPr>
        <sz val="10.5"/>
        <color theme="1"/>
        <rFont val="Calibri"/>
        <family val="2"/>
      </rPr>
      <t>Taka bangladeshi</t>
    </r>
  </si>
  <si>
    <t>2713</t>
  </si>
  <si>
    <t>Coke de pétrole (2713)</t>
  </si>
  <si>
    <t>Coke de pétrole (2713), volume</t>
  </si>
  <si>
    <t>Livré/payé à une/des entreprise(s) d’État</t>
  </si>
  <si>
    <t>1415E32</t>
  </si>
  <si>
    <t>Belarus</t>
  </si>
  <si>
    <t>BY</t>
  </si>
  <si>
    <t>BLR</t>
  </si>
  <si>
    <t>112</t>
  </si>
  <si>
    <t>BYR</t>
  </si>
  <si>
    <t>Rouble de Belarus</t>
  </si>
  <si>
    <r>
      <rPr>
        <sz val="10.5"/>
        <color theme="1"/>
        <rFont val="Calibri"/>
        <family val="2"/>
      </rPr>
      <t>BGN</t>
    </r>
  </si>
  <si>
    <r>
      <rPr>
        <sz val="10.5"/>
        <color theme="1"/>
        <rFont val="Calibri"/>
        <family val="2"/>
      </rPr>
      <t>Lev bulgare (ancien)</t>
    </r>
  </si>
  <si>
    <t>2704</t>
  </si>
  <si>
    <t>Coke et semi-coke (2704)</t>
  </si>
  <si>
    <t>Coke et semi-coke (2704), volume</t>
  </si>
  <si>
    <t>Transferts obligatoires à l’État (infrastructures et autres éléments) (1415E4)</t>
  </si>
  <si>
    <t>Transferts obligatoires à l’État (infrastructures et autres éléments)</t>
  </si>
  <si>
    <t>1415E4</t>
  </si>
  <si>
    <t>Belgique</t>
  </si>
  <si>
    <t>BE</t>
  </si>
  <si>
    <t>BEL</t>
  </si>
  <si>
    <t>56</t>
  </si>
  <si>
    <r>
      <rPr>
        <sz val="10.5"/>
        <color theme="1"/>
        <rFont val="Calibri"/>
        <family val="2"/>
      </rPr>
      <t>BHD</t>
    </r>
  </si>
  <si>
    <r>
      <rPr>
        <sz val="10.5"/>
        <color theme="1"/>
        <rFont val="Calibri"/>
        <family val="2"/>
      </rPr>
      <t>Dinar de Bahreïn</t>
    </r>
  </si>
  <si>
    <t>2527</t>
  </si>
  <si>
    <t>Cryolite naturelle (2527)</t>
  </si>
  <si>
    <t>Cryolite naturelle (2527), volume</t>
  </si>
  <si>
    <t>Autres paiements de loyer</t>
  </si>
  <si>
    <t>1415E5</t>
  </si>
  <si>
    <t>Belize</t>
  </si>
  <si>
    <t>BZ</t>
  </si>
  <si>
    <t>BLZ</t>
  </si>
  <si>
    <t>84</t>
  </si>
  <si>
    <t>BZD</t>
  </si>
  <si>
    <t>Dollar de Belize</t>
  </si>
  <si>
    <r>
      <rPr>
        <sz val="10.5"/>
        <color theme="1"/>
        <rFont val="Calibri"/>
        <family val="2"/>
      </rPr>
      <t>BIF</t>
    </r>
  </si>
  <si>
    <r>
      <rPr>
        <sz val="10.5"/>
        <color theme="1"/>
        <rFont val="Calibri"/>
        <family val="2"/>
      </rPr>
      <t>Franc du Burundi</t>
    </r>
  </si>
  <si>
    <t>2603</t>
  </si>
  <si>
    <t>Cuivre (2603)</t>
  </si>
  <si>
    <t>Cuivre (2603), volume</t>
  </si>
  <si>
    <t>Ventes de marchandises et de services par des entités de l’État (1421E)</t>
  </si>
  <si>
    <t>Ventes de marchandises et de services par des entités de l’État</t>
  </si>
  <si>
    <t>1421E</t>
  </si>
  <si>
    <t>Ventes de marchandises et de services (142E)</t>
  </si>
  <si>
    <t>Bénin</t>
  </si>
  <si>
    <t>BJ</t>
  </si>
  <si>
    <t>BEN</t>
  </si>
  <si>
    <t>204</t>
  </si>
  <si>
    <t>Franc CFA d’Afrique de l’Ouest</t>
  </si>
  <si>
    <r>
      <rPr>
        <sz val="10.5"/>
        <color theme="1"/>
        <rFont val="Calibri"/>
        <family val="2"/>
      </rPr>
      <t>BMD</t>
    </r>
  </si>
  <si>
    <r>
      <rPr>
        <sz val="10.5"/>
        <color theme="1"/>
        <rFont val="Calibri"/>
        <family val="2"/>
      </rPr>
      <t>Dollar des Bermudes</t>
    </r>
  </si>
  <si>
    <t>7102</t>
  </si>
  <si>
    <t>Diamants (7102)</t>
  </si>
  <si>
    <t>Diamants (7102), volume</t>
  </si>
  <si>
    <t>Frais administratifs pour services gouvernementaux</t>
  </si>
  <si>
    <t>1422E</t>
  </si>
  <si>
    <t>Bermudes</t>
  </si>
  <si>
    <t>BM</t>
  </si>
  <si>
    <t>BMU</t>
  </si>
  <si>
    <t>60</t>
  </si>
  <si>
    <t>BMD</t>
  </si>
  <si>
    <t>Dollar des Bermudes</t>
  </si>
  <si>
    <r>
      <rPr>
        <sz val="10.5"/>
        <color theme="1"/>
        <rFont val="Calibri"/>
        <family val="2"/>
      </rPr>
      <t>BND</t>
    </r>
  </si>
  <si>
    <r>
      <rPr>
        <sz val="10.5"/>
        <color theme="1"/>
        <rFont val="Calibri"/>
        <family val="2"/>
      </rPr>
      <t>Dollar de Brunei</t>
    </r>
  </si>
  <si>
    <t>2518</t>
  </si>
  <si>
    <t>Dolomite (2518)</t>
  </si>
  <si>
    <t>Dolomite (2518), volume</t>
  </si>
  <si>
    <t>Amendes, peines et dédits (143E)</t>
  </si>
  <si>
    <t>Amendes, peines et forfaits</t>
  </si>
  <si>
    <t>143E</t>
  </si>
  <si>
    <t>Amendes, peines et forfaits (143E)</t>
  </si>
  <si>
    <t>Amendes, peines et forfaits(143E)</t>
  </si>
  <si>
    <t>Bhoutan</t>
  </si>
  <si>
    <t>BT</t>
  </si>
  <si>
    <t>BTN</t>
  </si>
  <si>
    <t>64</t>
  </si>
  <si>
    <t>Nutum du Bhoutan</t>
  </si>
  <si>
    <r>
      <rPr>
        <sz val="10.5"/>
        <color theme="1"/>
        <rFont val="Calibri"/>
        <family val="2"/>
      </rPr>
      <t>BOB</t>
    </r>
  </si>
  <si>
    <r>
      <rPr>
        <sz val="10.5"/>
        <color theme="1"/>
        <rFont val="Calibri"/>
        <family val="2"/>
      </rPr>
      <t>Boliviano bolivien</t>
    </r>
  </si>
  <si>
    <t>2716</t>
  </si>
  <si>
    <t>Énergie électrique (2 716)</t>
  </si>
  <si>
    <t>Énergie électrique (2 716), volume</t>
  </si>
  <si>
    <t>Transferts volontaires à l’État (donations) (144E1)</t>
  </si>
  <si>
    <t>Transferts volontaires à l’État (donations)</t>
  </si>
  <si>
    <t>144E1</t>
  </si>
  <si>
    <t>Transferts volontaires à l’État (donations)(144E1)</t>
  </si>
  <si>
    <t>Bolivie</t>
  </si>
  <si>
    <t>BO</t>
  </si>
  <si>
    <t>BOL</t>
  </si>
  <si>
    <t>68</t>
  </si>
  <si>
    <t>BOB</t>
  </si>
  <si>
    <t>Boliviano bolivien</t>
  </si>
  <si>
    <r>
      <rPr>
        <sz val="10.5"/>
        <color theme="1"/>
        <rFont val="Calibri"/>
        <family val="2"/>
      </rPr>
      <t>BRL</t>
    </r>
  </si>
  <si>
    <r>
      <rPr>
        <sz val="10.5"/>
        <color theme="1"/>
        <rFont val="Calibri"/>
        <family val="2"/>
      </rPr>
      <t>Réal brésilien</t>
    </r>
  </si>
  <si>
    <t>2609</t>
  </si>
  <si>
    <t>Étain (2609)</t>
  </si>
  <si>
    <t>Étain (2609), volume</t>
  </si>
  <si>
    <t>&lt;Sélectionner à partir du menu&gt;</t>
  </si>
  <si>
    <t>Bosnie-Herzégovine</t>
  </si>
  <si>
    <t>BA</t>
  </si>
  <si>
    <t>BIH</t>
  </si>
  <si>
    <t>70</t>
  </si>
  <si>
    <t>BAM</t>
  </si>
  <si>
    <t>Mark convertible de Bosnie-Herzégovine</t>
  </si>
  <si>
    <r>
      <rPr>
        <sz val="10.5"/>
        <color theme="1"/>
        <rFont val="Calibri"/>
        <family val="2"/>
      </rPr>
      <t>BSD</t>
    </r>
  </si>
  <si>
    <r>
      <rPr>
        <sz val="10.5"/>
        <color theme="1"/>
        <rFont val="Calibri"/>
        <family val="2"/>
      </rPr>
      <t>Dollar bahamien</t>
    </r>
  </si>
  <si>
    <t>2512</t>
  </si>
  <si>
    <t>Farines siliceuses fossiles (2512)</t>
  </si>
  <si>
    <t>Farines siliceuses fossiles (2512), volume</t>
  </si>
  <si>
    <t>Botswana</t>
  </si>
  <si>
    <t>BW</t>
  </si>
  <si>
    <t>BWA</t>
  </si>
  <si>
    <t>72</t>
  </si>
  <si>
    <t>BWP</t>
  </si>
  <si>
    <t>Pula du Botswana</t>
  </si>
  <si>
    <r>
      <rPr>
        <sz val="10.5"/>
        <color theme="1"/>
        <rFont val="Calibri"/>
        <family val="2"/>
      </rPr>
      <t>BTN</t>
    </r>
  </si>
  <si>
    <t>2529</t>
  </si>
  <si>
    <t>Feldspath (2529)</t>
  </si>
  <si>
    <t>Feldspath (2529), volume</t>
  </si>
  <si>
    <t>Brésil</t>
  </si>
  <si>
    <t>BR</t>
  </si>
  <si>
    <t>BRA</t>
  </si>
  <si>
    <t>76</t>
  </si>
  <si>
    <t>BRL</t>
  </si>
  <si>
    <t>Réal brésilien</t>
  </si>
  <si>
    <r>
      <rPr>
        <sz val="10.5"/>
        <color theme="1"/>
        <rFont val="Calibri"/>
        <family val="2"/>
      </rPr>
      <t>BWP</t>
    </r>
  </si>
  <si>
    <r>
      <rPr>
        <sz val="10.5"/>
        <color theme="1"/>
        <rFont val="Calibri"/>
        <family val="2"/>
      </rPr>
      <t>Pula du Botswana</t>
    </r>
  </si>
  <si>
    <t>2601</t>
  </si>
  <si>
    <t>Fer (2601)</t>
  </si>
  <si>
    <t>Fer (2601), volume</t>
  </si>
  <si>
    <t>Bulgarie</t>
  </si>
  <si>
    <t>BG</t>
  </si>
  <si>
    <t>BGR</t>
  </si>
  <si>
    <t>100</t>
  </si>
  <si>
    <t>BGN</t>
  </si>
  <si>
    <t>Lev bulgare (ancien)</t>
  </si>
  <si>
    <r>
      <rPr>
        <sz val="10.5"/>
        <color theme="1"/>
        <rFont val="Calibri"/>
        <family val="2"/>
      </rPr>
      <t>BYR</t>
    </r>
  </si>
  <si>
    <r>
      <rPr>
        <sz val="10.5"/>
        <color theme="1"/>
        <rFont val="Calibri"/>
        <family val="2"/>
      </rPr>
      <t>Rouble de Belarus</t>
    </r>
  </si>
  <si>
    <t>2705</t>
  </si>
  <si>
    <t>Gaz de charbon (2705)</t>
  </si>
  <si>
    <t>Gaz de charbon (2705), volume</t>
  </si>
  <si>
    <t>Burkina Faso</t>
  </si>
  <si>
    <t>BF</t>
  </si>
  <si>
    <t>BFA</t>
  </si>
  <si>
    <t>854</t>
  </si>
  <si>
    <r>
      <rPr>
        <sz val="10.5"/>
        <color theme="1"/>
        <rFont val="Calibri"/>
        <family val="2"/>
      </rPr>
      <t>BZD</t>
    </r>
  </si>
  <si>
    <r>
      <rPr>
        <sz val="10.5"/>
        <color theme="1"/>
        <rFont val="Calibri"/>
        <family val="2"/>
      </rPr>
      <t>Dollar de Belize</t>
    </r>
  </si>
  <si>
    <t>2711</t>
  </si>
  <si>
    <t>Burundi</t>
  </si>
  <si>
    <t>BI</t>
  </si>
  <si>
    <t>BDI</t>
  </si>
  <si>
    <t>108</t>
  </si>
  <si>
    <t>BIF</t>
  </si>
  <si>
    <t>Franc du Burundi</t>
  </si>
  <si>
    <r>
      <rPr>
        <sz val="10.5"/>
        <color theme="1"/>
        <rFont val="Calibri"/>
        <family val="2"/>
      </rPr>
      <t>CAD</t>
    </r>
  </si>
  <si>
    <r>
      <rPr>
        <sz val="10.5"/>
        <color theme="1"/>
        <rFont val="Calibri"/>
        <family val="2"/>
      </rPr>
      <t>Dollar canadien</t>
    </r>
  </si>
  <si>
    <t>2712</t>
  </si>
  <si>
    <t>Gelée de pétrole (2712)</t>
  </si>
  <si>
    <t>Gelée de pétrole (2712), volume</t>
  </si>
  <si>
    <t>Cambodge</t>
  </si>
  <si>
    <t>KH</t>
  </si>
  <si>
    <t>KHM</t>
  </si>
  <si>
    <t>116</t>
  </si>
  <si>
    <t>KHR</t>
  </si>
  <si>
    <t>Riel cambodgien</t>
  </si>
  <si>
    <r>
      <rPr>
        <sz val="10.5"/>
        <color theme="1"/>
        <rFont val="Calibri"/>
        <family val="2"/>
      </rPr>
      <t>CDF</t>
    </r>
  </si>
  <si>
    <r>
      <rPr>
        <sz val="10.5"/>
        <color theme="1"/>
        <rFont val="Calibri"/>
        <family val="2"/>
      </rPr>
      <t>Franc congolais</t>
    </r>
  </si>
  <si>
    <t>2706</t>
  </si>
  <si>
    <t>Goudron distillé à partir de charbon (2706)</t>
  </si>
  <si>
    <t>Goudron distillé à partir de charbon (2706), volume</t>
  </si>
  <si>
    <t>Cameroun</t>
  </si>
  <si>
    <t>CM</t>
  </si>
  <si>
    <t>CMR</t>
  </si>
  <si>
    <t>120</t>
  </si>
  <si>
    <t>XAF</t>
  </si>
  <si>
    <t>Franc CFA d’Afrique centrale</t>
  </si>
  <si>
    <r>
      <rPr>
        <sz val="10.5"/>
        <color theme="1"/>
        <rFont val="Calibri"/>
        <family val="2"/>
      </rPr>
      <t>CHF</t>
    </r>
  </si>
  <si>
    <r>
      <rPr>
        <sz val="10.5"/>
        <color theme="1"/>
        <rFont val="Calibri"/>
        <family val="2"/>
      </rPr>
      <t>Franc suisse</t>
    </r>
  </si>
  <si>
    <t>2516</t>
  </si>
  <si>
    <t>Granite (2516)</t>
  </si>
  <si>
    <t>Granite (2516), volume</t>
  </si>
  <si>
    <t>Canada</t>
  </si>
  <si>
    <t>CA</t>
  </si>
  <si>
    <t>CAN</t>
  </si>
  <si>
    <t>124</t>
  </si>
  <si>
    <t>CAD</t>
  </si>
  <si>
    <t>Dollar canadien</t>
  </si>
  <si>
    <r>
      <rPr>
        <sz val="10.5"/>
        <color theme="1"/>
        <rFont val="Calibri"/>
        <family val="2"/>
      </rPr>
      <t>CLF</t>
    </r>
  </si>
  <si>
    <t>Unidad de Fomento chilien</t>
  </si>
  <si>
    <t>2504</t>
  </si>
  <si>
    <t>Graphite naturel (2504)</t>
  </si>
  <si>
    <t>Graphite naturel (2504), volume</t>
  </si>
  <si>
    <t>Cap Vert</t>
  </si>
  <si>
    <t>CV</t>
  </si>
  <si>
    <t>CPV</t>
  </si>
  <si>
    <t>132</t>
  </si>
  <si>
    <t>CVE</t>
  </si>
  <si>
    <t>Escudo cap-verdien</t>
  </si>
  <si>
    <r>
      <rPr>
        <sz val="10.5"/>
        <color theme="1"/>
        <rFont val="Calibri"/>
        <family val="2"/>
      </rPr>
      <t>CNH</t>
    </r>
  </si>
  <si>
    <r>
      <rPr>
        <sz val="10.5"/>
        <color theme="1"/>
        <rFont val="Calibri"/>
        <family val="2"/>
      </rPr>
      <t>Yuan renminbi chinois (off-shore)</t>
    </r>
  </si>
  <si>
    <t>2520</t>
  </si>
  <si>
    <t>Gypse (2520)</t>
  </si>
  <si>
    <t>Chili</t>
  </si>
  <si>
    <t>CL</t>
  </si>
  <si>
    <t>CHL</t>
  </si>
  <si>
    <t>152</t>
  </si>
  <si>
    <t>CLF</t>
  </si>
  <si>
    <r>
      <rPr>
        <sz val="10.5"/>
        <color theme="1"/>
        <rFont val="Calibri"/>
        <family val="2"/>
      </rPr>
      <t>COP</t>
    </r>
  </si>
  <si>
    <r>
      <rPr>
        <sz val="10.5"/>
        <color theme="1"/>
        <rFont val="Calibri"/>
        <family val="2"/>
      </rPr>
      <t>Peso colombien</t>
    </r>
  </si>
  <si>
    <t>2710</t>
  </si>
  <si>
    <t>Huiles de pétrole hors pétrole brut (2710)</t>
  </si>
  <si>
    <t>Huiles de pétrole hors pétrole brut (2710), volume</t>
  </si>
  <si>
    <t>Chine</t>
  </si>
  <si>
    <t>CN</t>
  </si>
  <si>
    <t>CHN</t>
  </si>
  <si>
    <t>156</t>
  </si>
  <si>
    <t>CNH</t>
  </si>
  <si>
    <t>Yuan renminbi chinois (off-shore)</t>
  </si>
  <si>
    <r>
      <rPr>
        <sz val="10.5"/>
        <color theme="1"/>
        <rFont val="Calibri"/>
        <family val="2"/>
      </rPr>
      <t>CRC</t>
    </r>
  </si>
  <si>
    <r>
      <rPr>
        <sz val="10.5"/>
        <color theme="1"/>
        <rFont val="Calibri"/>
        <family val="2"/>
      </rPr>
      <t>Colon costaricain</t>
    </r>
  </si>
  <si>
    <t>2507</t>
  </si>
  <si>
    <t>Kaolin (2507)</t>
  </si>
  <si>
    <t>Kaolin (2507), volume</t>
  </si>
  <si>
    <t>Chypre</t>
  </si>
  <si>
    <t>CY</t>
  </si>
  <si>
    <t>CYP</t>
  </si>
  <si>
    <t>196</t>
  </si>
  <si>
    <r>
      <rPr>
        <sz val="10.5"/>
        <color theme="1"/>
        <rFont val="Calibri"/>
        <family val="2"/>
      </rPr>
      <t>CUC</t>
    </r>
  </si>
  <si>
    <r>
      <rPr>
        <sz val="10.5"/>
        <color theme="1"/>
        <rFont val="Calibri"/>
        <family val="2"/>
      </rPr>
      <t>Peso cubain convertible</t>
    </r>
  </si>
  <si>
    <t>2702</t>
  </si>
  <si>
    <t>Lignite (2702)</t>
  </si>
  <si>
    <t>Lignite (2702), volume</t>
  </si>
  <si>
    <t>Colombie</t>
  </si>
  <si>
    <t>CO</t>
  </si>
  <si>
    <t>COL</t>
  </si>
  <si>
    <t>170</t>
  </si>
  <si>
    <t>COP</t>
  </si>
  <si>
    <t>Peso colombien</t>
  </si>
  <si>
    <r>
      <rPr>
        <sz val="10.5"/>
        <color theme="1"/>
        <rFont val="Calibri"/>
        <family val="2"/>
      </rPr>
      <t>CVE</t>
    </r>
  </si>
  <si>
    <r>
      <rPr>
        <sz val="10.5"/>
        <color theme="1"/>
        <rFont val="Calibri"/>
        <family val="2"/>
      </rPr>
      <t>Escudo cap-verdien</t>
    </r>
  </si>
  <si>
    <t>2619</t>
  </si>
  <si>
    <t>Mâchefer (2619)</t>
  </si>
  <si>
    <t>Mâchefer (2619), volume</t>
  </si>
  <si>
    <t>Comores</t>
  </si>
  <si>
    <t>KM</t>
  </si>
  <si>
    <t>COM</t>
  </si>
  <si>
    <t>174</t>
  </si>
  <si>
    <t>KMF</t>
  </si>
  <si>
    <t>Franc comorien</t>
  </si>
  <si>
    <r>
      <rPr>
        <sz val="10.5"/>
        <color theme="1"/>
        <rFont val="Calibri"/>
        <family val="2"/>
      </rPr>
      <t>CZK</t>
    </r>
  </si>
  <si>
    <r>
      <rPr>
        <sz val="10.5"/>
        <color theme="1"/>
        <rFont val="Calibri"/>
        <family val="2"/>
      </rPr>
      <t>Couronne tchèque</t>
    </r>
  </si>
  <si>
    <t>2602</t>
  </si>
  <si>
    <t>Corée (du Nord)</t>
  </si>
  <si>
    <t>KP</t>
  </si>
  <si>
    <t>PRK</t>
  </si>
  <si>
    <t>408</t>
  </si>
  <si>
    <t>KPW</t>
  </si>
  <si>
    <t>Won nord-coréen</t>
  </si>
  <si>
    <r>
      <rPr>
        <sz val="10.5"/>
        <color theme="1"/>
        <rFont val="Calibri"/>
        <family val="2"/>
      </rPr>
      <t>DJF</t>
    </r>
  </si>
  <si>
    <r>
      <rPr>
        <sz val="10.5"/>
        <color theme="1"/>
        <rFont val="Calibri"/>
        <family val="2"/>
      </rPr>
      <t>Franc djiboutien</t>
    </r>
  </si>
  <si>
    <t>2515</t>
  </si>
  <si>
    <t>Marbre (2515)</t>
  </si>
  <si>
    <t>Marbre (2515), volume</t>
  </si>
  <si>
    <t>Corée (du Sud)</t>
  </si>
  <si>
    <t>KR</t>
  </si>
  <si>
    <t>KOR</t>
  </si>
  <si>
    <t>410</t>
  </si>
  <si>
    <t>KRW</t>
  </si>
  <si>
    <t>Won sud-coréen</t>
  </si>
  <si>
    <r>
      <rPr>
        <sz val="10.5"/>
        <color theme="1"/>
        <rFont val="Calibri"/>
        <family val="2"/>
      </rPr>
      <t>DKK</t>
    </r>
  </si>
  <si>
    <r>
      <rPr>
        <sz val="10.5"/>
        <color theme="1"/>
        <rFont val="Calibri"/>
        <family val="2"/>
      </rPr>
      <t>Couronne danoise</t>
    </r>
  </si>
  <si>
    <t>2715</t>
  </si>
  <si>
    <t>Mélanges bitumineux (2715)</t>
  </si>
  <si>
    <t>Mélanges bitumineux (2715), volume</t>
  </si>
  <si>
    <t>Costa Rica</t>
  </si>
  <si>
    <t>CR</t>
  </si>
  <si>
    <t>CRI</t>
  </si>
  <si>
    <t>188</t>
  </si>
  <si>
    <t>CRC</t>
  </si>
  <si>
    <t>Colon costaricain</t>
  </si>
  <si>
    <r>
      <rPr>
        <sz val="10.5"/>
        <color theme="1"/>
        <rFont val="Calibri"/>
        <family val="2"/>
      </rPr>
      <t>DOP</t>
    </r>
  </si>
  <si>
    <r>
      <rPr>
        <sz val="10.5"/>
        <color theme="1"/>
        <rFont val="Calibri"/>
        <family val="2"/>
      </rPr>
      <t>Peso dominicain</t>
    </r>
  </si>
  <si>
    <t>2616</t>
  </si>
  <si>
    <t>Métaux précieux (2616)</t>
  </si>
  <si>
    <t>Métaux précieux (2616), volume</t>
  </si>
  <si>
    <t>Côte d’Ivoire</t>
  </si>
  <si>
    <t>CI</t>
  </si>
  <si>
    <t>CIV</t>
  </si>
  <si>
    <t>384</t>
  </si>
  <si>
    <r>
      <rPr>
        <sz val="10.5"/>
        <color theme="1"/>
        <rFont val="Calibri"/>
        <family val="2"/>
      </rPr>
      <t>DZD</t>
    </r>
  </si>
  <si>
    <r>
      <rPr>
        <sz val="10.5"/>
        <color theme="1"/>
        <rFont val="Calibri"/>
        <family val="2"/>
      </rPr>
      <t>Dinar algérien</t>
    </r>
  </si>
  <si>
    <t>2525</t>
  </si>
  <si>
    <t>Mica (2525)</t>
  </si>
  <si>
    <t>Mica (2525), volume</t>
  </si>
  <si>
    <t>Croatie</t>
  </si>
  <si>
    <t>HR</t>
  </si>
  <si>
    <t>HRV</t>
  </si>
  <si>
    <t>191</t>
  </si>
  <si>
    <t>HRK</t>
  </si>
  <si>
    <t>Kuna croate</t>
  </si>
  <si>
    <r>
      <rPr>
        <sz val="10.5"/>
        <color theme="1"/>
        <rFont val="Calibri"/>
        <family val="2"/>
      </rPr>
      <t>EGP</t>
    </r>
  </si>
  <si>
    <r>
      <rPr>
        <sz val="10.5"/>
        <color theme="1"/>
        <rFont val="Calibri"/>
        <family val="2"/>
      </rPr>
      <t>Livre égyptienne</t>
    </r>
  </si>
  <si>
    <t>2613</t>
  </si>
  <si>
    <t>Molybdène (2613)</t>
  </si>
  <si>
    <t>Molybdène (2613), volume</t>
  </si>
  <si>
    <t>Cuba</t>
  </si>
  <si>
    <t>CU</t>
  </si>
  <si>
    <t>CUB</t>
  </si>
  <si>
    <t>192</t>
  </si>
  <si>
    <t>CUC</t>
  </si>
  <si>
    <t>Peso cubain convertible</t>
  </si>
  <si>
    <r>
      <rPr>
        <sz val="10.5"/>
        <color theme="1"/>
        <rFont val="Calibri"/>
        <family val="2"/>
      </rPr>
      <t>ERN</t>
    </r>
  </si>
  <si>
    <r>
      <rPr>
        <sz val="10.5"/>
        <color theme="1"/>
        <rFont val="Calibri"/>
        <family val="2"/>
      </rPr>
      <t>Nakfa érythréen</t>
    </r>
  </si>
  <si>
    <t>2604</t>
  </si>
  <si>
    <t>Nickel (2604)</t>
  </si>
  <si>
    <t>Nickel (2604), volume</t>
  </si>
  <si>
    <t>Danemark</t>
  </si>
  <si>
    <t>DK</t>
  </si>
  <si>
    <t>DNK</t>
  </si>
  <si>
    <t>208</t>
  </si>
  <si>
    <t>DKK</t>
  </si>
  <si>
    <t>Couronne danoise</t>
  </si>
  <si>
    <r>
      <rPr>
        <sz val="10.5"/>
        <color theme="1"/>
        <rFont val="Calibri"/>
        <family val="2"/>
      </rPr>
      <t>ETB</t>
    </r>
  </si>
  <si>
    <r>
      <rPr>
        <sz val="10.5"/>
        <color theme="1"/>
        <rFont val="Calibri"/>
        <family val="2"/>
      </rPr>
      <t>Birr éthiopien</t>
    </r>
  </si>
  <si>
    <t>2615</t>
  </si>
  <si>
    <t>Niobium, Vanadium, Zirconium (2615)</t>
  </si>
  <si>
    <t>Niobium, Vanadium, Zirconium (2615), volume</t>
  </si>
  <si>
    <t>Darussalam de Brunei</t>
  </si>
  <si>
    <t>BN</t>
  </si>
  <si>
    <t>BRN</t>
  </si>
  <si>
    <t>96</t>
  </si>
  <si>
    <t>BND</t>
  </si>
  <si>
    <t>Dollar de Brunei</t>
  </si>
  <si>
    <r>
      <rPr>
        <sz val="10.5"/>
        <color theme="1"/>
        <rFont val="Calibri"/>
        <family val="2"/>
      </rPr>
      <t>EUR</t>
    </r>
  </si>
  <si>
    <r>
      <rPr>
        <sz val="10.5"/>
        <color theme="1"/>
        <rFont val="Calibri"/>
        <family val="2"/>
      </rPr>
      <t>Euro</t>
    </r>
  </si>
  <si>
    <t>7108</t>
  </si>
  <si>
    <t>Djibouti</t>
  </si>
  <si>
    <t>DJ</t>
  </si>
  <si>
    <t>DJI</t>
  </si>
  <si>
    <t>262</t>
  </si>
  <si>
    <t>DJF</t>
  </si>
  <si>
    <t>Franc djiboutien</t>
  </si>
  <si>
    <r>
      <rPr>
        <sz val="10.5"/>
        <color theme="1"/>
        <rFont val="Calibri"/>
        <family val="2"/>
      </rPr>
      <t>FJD</t>
    </r>
  </si>
  <si>
    <r>
      <rPr>
        <sz val="10.5"/>
        <color theme="1"/>
        <rFont val="Calibri"/>
        <family val="2"/>
      </rPr>
      <t>Dollar fidjien</t>
    </r>
  </si>
  <si>
    <t>2709</t>
  </si>
  <si>
    <t>Pétrole brut (2709)</t>
  </si>
  <si>
    <t>Pétrole brut (2709), volume</t>
  </si>
  <si>
    <t>Dominique</t>
  </si>
  <si>
    <t>DM</t>
  </si>
  <si>
    <t>DMA</t>
  </si>
  <si>
    <t>212</t>
  </si>
  <si>
    <r>
      <rPr>
        <sz val="10.5"/>
        <color theme="1"/>
        <rFont val="Calibri"/>
        <family val="2"/>
      </rPr>
      <t>FKP</t>
    </r>
  </si>
  <si>
    <r>
      <rPr>
        <sz val="10.5"/>
        <color theme="1"/>
        <rFont val="Calibri"/>
        <family val="2"/>
      </rPr>
      <t>Livre des Malouines</t>
    </r>
  </si>
  <si>
    <t>2510</t>
  </si>
  <si>
    <t>Égypte</t>
  </si>
  <si>
    <t>EG</t>
  </si>
  <si>
    <t>EGY</t>
  </si>
  <si>
    <t>818</t>
  </si>
  <si>
    <t>EGP</t>
  </si>
  <si>
    <t>Livre égyptienne</t>
  </si>
  <si>
    <r>
      <rPr>
        <sz val="10.5"/>
        <color theme="1"/>
        <rFont val="Calibri"/>
        <family val="2"/>
      </rPr>
      <t>GBP</t>
    </r>
  </si>
  <si>
    <r>
      <rPr>
        <sz val="10.5"/>
        <color theme="1"/>
        <rFont val="Calibri"/>
        <family val="2"/>
      </rPr>
      <t>Livre sterling</t>
    </r>
  </si>
  <si>
    <t>2513</t>
  </si>
  <si>
    <t>Pierre ponce (2513)</t>
  </si>
  <si>
    <t>Pierre ponce (2513), volume</t>
  </si>
  <si>
    <t>Émirats arabes unis</t>
  </si>
  <si>
    <t>AE</t>
  </si>
  <si>
    <t>ARE</t>
  </si>
  <si>
    <t>784</t>
  </si>
  <si>
    <t>AED</t>
  </si>
  <si>
    <t>Dirham des Émirats arabes unis</t>
  </si>
  <si>
    <r>
      <rPr>
        <sz val="10.5"/>
        <color theme="1"/>
        <rFont val="Calibri"/>
        <family val="2"/>
      </rPr>
      <t>GEL</t>
    </r>
  </si>
  <si>
    <r>
      <rPr>
        <sz val="10.5"/>
        <color theme="1"/>
        <rFont val="Calibri"/>
        <family val="2"/>
      </rPr>
      <t>Géorgie</t>
    </r>
  </si>
  <si>
    <t>2607</t>
  </si>
  <si>
    <t>Plomb (2607)</t>
  </si>
  <si>
    <t>Plomb (2607), volume</t>
  </si>
  <si>
    <t>Équateur</t>
  </si>
  <si>
    <t>EC</t>
  </si>
  <si>
    <t>ECU</t>
  </si>
  <si>
    <t>218</t>
  </si>
  <si>
    <t>USD</t>
  </si>
  <si>
    <t>Dollar des États-Unis</t>
  </si>
  <si>
    <r>
      <rPr>
        <sz val="10.5"/>
        <color theme="1"/>
        <rFont val="Calibri"/>
        <family val="2"/>
      </rPr>
      <t>GGP</t>
    </r>
  </si>
  <si>
    <r>
      <rPr>
        <sz val="10.5"/>
        <color theme="1"/>
        <rFont val="Calibri"/>
        <family val="2"/>
      </rPr>
      <t>Livre</t>
    </r>
  </si>
  <si>
    <t>2707</t>
  </si>
  <si>
    <t>Produits de distillation du goudron de charbon (2707)</t>
  </si>
  <si>
    <t>Produits de distillation du goudron de charbon (2707), volume</t>
  </si>
  <si>
    <t>Érythrée</t>
  </si>
  <si>
    <t>ER</t>
  </si>
  <si>
    <t>ERI</t>
  </si>
  <si>
    <t>232</t>
  </si>
  <si>
    <t>ERN</t>
  </si>
  <si>
    <t>Nakfa érythréen</t>
  </si>
  <si>
    <r>
      <rPr>
        <sz val="10.5"/>
        <color theme="1"/>
        <rFont val="Calibri"/>
        <family val="2"/>
      </rPr>
      <t>GHS</t>
    </r>
  </si>
  <si>
    <r>
      <rPr>
        <sz val="10.5"/>
        <color theme="1"/>
        <rFont val="Calibri"/>
        <family val="2"/>
      </rPr>
      <t>Cedi ghanéen</t>
    </r>
  </si>
  <si>
    <t>2502</t>
  </si>
  <si>
    <t>Pyrites de fer (2502)</t>
  </si>
  <si>
    <t>Pyrites de fer (2502), volume</t>
  </si>
  <si>
    <t>Espagne</t>
  </si>
  <si>
    <t>ES</t>
  </si>
  <si>
    <t>ESP</t>
  </si>
  <si>
    <t>724</t>
  </si>
  <si>
    <r>
      <rPr>
        <sz val="10.5"/>
        <color theme="1"/>
        <rFont val="Calibri"/>
        <family val="2"/>
      </rPr>
      <t>GIP</t>
    </r>
  </si>
  <si>
    <r>
      <rPr>
        <sz val="10.5"/>
        <color theme="1"/>
        <rFont val="Calibri"/>
        <family val="2"/>
      </rPr>
      <t>Livre de Gibraltar</t>
    </r>
  </si>
  <si>
    <t>2506</t>
  </si>
  <si>
    <t>Quartz (2506)</t>
  </si>
  <si>
    <t>Quartz (2506), volume</t>
  </si>
  <si>
    <t>Estonie</t>
  </si>
  <si>
    <t>EE</t>
  </si>
  <si>
    <t>EST</t>
  </si>
  <si>
    <t>233</t>
  </si>
  <si>
    <r>
      <rPr>
        <sz val="10.5"/>
        <color theme="1"/>
        <rFont val="Calibri"/>
        <family val="2"/>
      </rPr>
      <t>GMD</t>
    </r>
  </si>
  <si>
    <r>
      <rPr>
        <sz val="10.5"/>
        <color theme="1"/>
        <rFont val="Calibri"/>
        <family val="2"/>
      </rPr>
      <t>Dalasi gambien</t>
    </r>
  </si>
  <si>
    <t>2505</t>
  </si>
  <si>
    <t>Sables naturels (2505)</t>
  </si>
  <si>
    <t>Sables naturels (2505), volume</t>
  </si>
  <si>
    <t>Eswatini</t>
  </si>
  <si>
    <t>SZ</t>
  </si>
  <si>
    <t>SWZ</t>
  </si>
  <si>
    <t>748</t>
  </si>
  <si>
    <t>SZL</t>
  </si>
  <si>
    <t>Lilangeni swazi</t>
  </si>
  <si>
    <r>
      <rPr>
        <sz val="10.5"/>
        <color theme="1"/>
        <rFont val="Calibri"/>
        <family val="2"/>
      </rPr>
      <t>GNF</t>
    </r>
  </si>
  <si>
    <r>
      <rPr>
        <sz val="10.5"/>
        <color theme="1"/>
        <rFont val="Calibri"/>
        <family val="2"/>
      </rPr>
      <t>Franc guinéen</t>
    </r>
  </si>
  <si>
    <t>2618</t>
  </si>
  <si>
    <t>Scorie granulée (2618)</t>
  </si>
  <si>
    <t>Scorie granulée (2618), volume</t>
  </si>
  <si>
    <t>États-Unis</t>
  </si>
  <si>
    <t>US</t>
  </si>
  <si>
    <t>USA</t>
  </si>
  <si>
    <t>840</t>
  </si>
  <si>
    <r>
      <rPr>
        <sz val="10.5"/>
        <color theme="1"/>
        <rFont val="Calibri"/>
        <family val="2"/>
      </rPr>
      <t>GTQ</t>
    </r>
  </si>
  <si>
    <r>
      <rPr>
        <sz val="10.5"/>
        <color theme="1"/>
        <rFont val="Calibri"/>
        <family val="2"/>
      </rPr>
      <t>Quetzal guatémaltèque</t>
    </r>
  </si>
  <si>
    <t>2501</t>
  </si>
  <si>
    <t>Sel et chlorure de sodium pur (2501)</t>
  </si>
  <si>
    <t>Sel et chlorure de sodium pur (2501), volume</t>
  </si>
  <si>
    <t>Éthiopie</t>
  </si>
  <si>
    <t>ET</t>
  </si>
  <si>
    <t>ETH</t>
  </si>
  <si>
    <t>231</t>
  </si>
  <si>
    <t>ETB</t>
  </si>
  <si>
    <t>Birr éthiopien</t>
  </si>
  <si>
    <r>
      <rPr>
        <sz val="10.5"/>
        <color theme="1"/>
        <rFont val="Calibri"/>
        <family val="2"/>
      </rPr>
      <t>GYD</t>
    </r>
  </si>
  <si>
    <r>
      <rPr>
        <sz val="10.5"/>
        <color theme="1"/>
        <rFont val="Calibri"/>
        <family val="2"/>
      </rPr>
      <t>Dollar guyanais</t>
    </r>
  </si>
  <si>
    <t>2503</t>
  </si>
  <si>
    <t>Soufre de tout type (2503)</t>
  </si>
  <si>
    <t>Soufre de tout type (2503), volume</t>
  </si>
  <si>
    <t>Fédération de Russie</t>
  </si>
  <si>
    <t>RU</t>
  </si>
  <si>
    <t>RUS</t>
  </si>
  <si>
    <t>643</t>
  </si>
  <si>
    <t>RUB</t>
  </si>
  <si>
    <t>Rouble russe</t>
  </si>
  <si>
    <r>
      <rPr>
        <sz val="10.5"/>
        <color theme="1"/>
        <rFont val="Calibri"/>
        <family val="2"/>
      </rPr>
      <t>HKD</t>
    </r>
  </si>
  <si>
    <t>Dollar de Hong Kong</t>
  </si>
  <si>
    <t>2526</t>
  </si>
  <si>
    <t>Stéatite naturelle (2526)</t>
  </si>
  <si>
    <t>Stéatite naturelle (2526), volume</t>
  </si>
  <si>
    <t>Fidji</t>
  </si>
  <si>
    <t>FJ</t>
  </si>
  <si>
    <t>FJI</t>
  </si>
  <si>
    <t>242</t>
  </si>
  <si>
    <t>FJD</t>
  </si>
  <si>
    <t>Dollar fidjien</t>
  </si>
  <si>
    <r>
      <rPr>
        <sz val="10.5"/>
        <color theme="1"/>
        <rFont val="Calibri"/>
        <family val="2"/>
      </rPr>
      <t>HNL</t>
    </r>
  </si>
  <si>
    <r>
      <rPr>
        <sz val="10.5"/>
        <color theme="1"/>
        <rFont val="Calibri"/>
        <family val="2"/>
      </rPr>
      <t>Lempira hondurien</t>
    </r>
  </si>
  <si>
    <t>2530</t>
  </si>
  <si>
    <t>Substances minérales non spécifiées ailleurs (2530)</t>
  </si>
  <si>
    <t>Substances minérales non spécifiées ailleurs (2530), volume</t>
  </si>
  <si>
    <t>Finlande</t>
  </si>
  <si>
    <t>FI</t>
  </si>
  <si>
    <t>FIN</t>
  </si>
  <si>
    <t>246</t>
  </si>
  <si>
    <r>
      <rPr>
        <sz val="10.5"/>
        <color theme="1"/>
        <rFont val="Calibri"/>
        <family val="2"/>
      </rPr>
      <t>HRK</t>
    </r>
  </si>
  <si>
    <r>
      <rPr>
        <sz val="10.5"/>
        <color theme="1"/>
        <rFont val="Calibri"/>
        <family val="2"/>
      </rPr>
      <t>Kuna croate</t>
    </r>
  </si>
  <si>
    <t>2511</t>
  </si>
  <si>
    <t>Sulfate de baryum naturel (2511)</t>
  </si>
  <si>
    <t>Sulfate de baryum naturel (2511), volume</t>
  </si>
  <si>
    <t>France</t>
  </si>
  <si>
    <t>FR</t>
  </si>
  <si>
    <t>FRA</t>
  </si>
  <si>
    <t>250</t>
  </si>
  <si>
    <r>
      <rPr>
        <sz val="10.5"/>
        <color theme="1"/>
        <rFont val="Calibri"/>
        <family val="2"/>
      </rPr>
      <t>HTG</t>
    </r>
  </si>
  <si>
    <r>
      <rPr>
        <sz val="10.5"/>
        <color theme="1"/>
        <rFont val="Calibri"/>
        <family val="2"/>
      </rPr>
      <t>Gourde haïtienne</t>
    </r>
  </si>
  <si>
    <t>2614</t>
  </si>
  <si>
    <t>Titane (2614)</t>
  </si>
  <si>
    <t>Titane (2614), volume</t>
  </si>
  <si>
    <t>Gabon</t>
  </si>
  <si>
    <t>GA</t>
  </si>
  <si>
    <t>GAB</t>
  </si>
  <si>
    <t>266</t>
  </si>
  <si>
    <r>
      <rPr>
        <sz val="10.5"/>
        <color theme="1"/>
        <rFont val="Calibri"/>
        <family val="2"/>
      </rPr>
      <t>HUF</t>
    </r>
  </si>
  <si>
    <r>
      <rPr>
        <sz val="10.5"/>
        <color theme="1"/>
        <rFont val="Calibri"/>
        <family val="2"/>
      </rPr>
      <t>Forint hongrois</t>
    </r>
  </si>
  <si>
    <t>2703</t>
  </si>
  <si>
    <t>Tourbe (2703)</t>
  </si>
  <si>
    <t>Tourbe (2703), volume</t>
  </si>
  <si>
    <t>Gambie</t>
  </si>
  <si>
    <t>GM</t>
  </si>
  <si>
    <t>GMB</t>
  </si>
  <si>
    <t>270</t>
  </si>
  <si>
    <t>GMD</t>
  </si>
  <si>
    <t>Dalasi gambien</t>
  </si>
  <si>
    <r>
      <rPr>
        <sz val="10.5"/>
        <color theme="1"/>
        <rFont val="Calibri"/>
        <family val="2"/>
      </rPr>
      <t>IDR</t>
    </r>
  </si>
  <si>
    <r>
      <rPr>
        <sz val="10.5"/>
        <color theme="1"/>
        <rFont val="Calibri"/>
        <family val="2"/>
      </rPr>
      <t>Roupie indonésienne</t>
    </r>
  </si>
  <si>
    <t>2708</t>
  </si>
  <si>
    <t>Tourbe et coke de tourbe (2708)</t>
  </si>
  <si>
    <t>Tourbe et coke de tourbe (2708), volume</t>
  </si>
  <si>
    <t>Géorgie</t>
  </si>
  <si>
    <t>GE</t>
  </si>
  <si>
    <t>GEO</t>
  </si>
  <si>
    <t>268</t>
  </si>
  <si>
    <t>GEL</t>
  </si>
  <si>
    <t>Lari géorgien</t>
  </si>
  <si>
    <r>
      <rPr>
        <sz val="10.5"/>
        <color theme="1"/>
        <rFont val="Calibri"/>
        <family val="2"/>
      </rPr>
      <t>ILS</t>
    </r>
  </si>
  <si>
    <r>
      <rPr>
        <sz val="10.5"/>
        <color theme="1"/>
        <rFont val="Calibri"/>
        <family val="2"/>
      </rPr>
      <t>Nouveau shekel israélien</t>
    </r>
  </si>
  <si>
    <t>2611</t>
  </si>
  <si>
    <t>Tungstène (2611)</t>
  </si>
  <si>
    <t>Tungstène (2611), volume</t>
  </si>
  <si>
    <t>Géorgie du Sud et les Îles Sandwich du Sud</t>
  </si>
  <si>
    <t>GS</t>
  </si>
  <si>
    <t>SGS</t>
  </si>
  <si>
    <t>239</t>
  </si>
  <si>
    <r>
      <rPr>
        <sz val="10.5"/>
        <color theme="1"/>
        <rFont val="Calibri"/>
        <family val="2"/>
      </rPr>
      <t>IMP</t>
    </r>
  </si>
  <si>
    <r>
      <rPr>
        <sz val="10.5"/>
        <color theme="1"/>
        <rFont val="Calibri"/>
        <family val="2"/>
      </rPr>
      <t>Livre de l’Île de Man</t>
    </r>
  </si>
  <si>
    <t>2612</t>
  </si>
  <si>
    <t>Uranium ou thorium (2612)</t>
  </si>
  <si>
    <t>Uranium ou thorium (2612), volume</t>
  </si>
  <si>
    <t>Ghana</t>
  </si>
  <si>
    <t>GH</t>
  </si>
  <si>
    <t>GHA</t>
  </si>
  <si>
    <t>288</t>
  </si>
  <si>
    <t>GHS</t>
  </si>
  <si>
    <t>Cedi ghanéen</t>
  </si>
  <si>
    <r>
      <rPr>
        <sz val="10.5"/>
        <color theme="1"/>
        <rFont val="Calibri"/>
        <family val="2"/>
      </rPr>
      <t>INR</t>
    </r>
  </si>
  <si>
    <r>
      <rPr>
        <sz val="10.5"/>
        <color theme="1"/>
        <rFont val="Calibri"/>
        <family val="2"/>
      </rPr>
      <t>Roupie indienne</t>
    </r>
  </si>
  <si>
    <t>2608</t>
  </si>
  <si>
    <t>Zinc (2608)</t>
  </si>
  <si>
    <t>Zinc (2608), volume</t>
  </si>
  <si>
    <t>Gibraltar</t>
  </si>
  <si>
    <t>GI</t>
  </si>
  <si>
    <t>GIB</t>
  </si>
  <si>
    <t>292</t>
  </si>
  <si>
    <t>GIP</t>
  </si>
  <si>
    <t>Livre de Gibraltar</t>
  </si>
  <si>
    <r>
      <rPr>
        <sz val="10.5"/>
        <color theme="1"/>
        <rFont val="Calibri"/>
        <family val="2"/>
      </rPr>
      <t>IQD</t>
    </r>
  </si>
  <si>
    <r>
      <rPr>
        <sz val="10.5"/>
        <color theme="1"/>
        <rFont val="Calibri"/>
        <family val="2"/>
      </rPr>
      <t>Dinar irakien</t>
    </r>
  </si>
  <si>
    <t>Pierres gemmes (précieuses ou fines) autres que les diamants (7103)</t>
  </si>
  <si>
    <t>Pierres gemmes (précieuses ou fines) autres que les diamants (7103), volume</t>
  </si>
  <si>
    <t>Grèce</t>
  </si>
  <si>
    <t>GR</t>
  </si>
  <si>
    <t>GRC</t>
  </si>
  <si>
    <t>300</t>
  </si>
  <si>
    <r>
      <rPr>
        <sz val="10.5"/>
        <color theme="1"/>
        <rFont val="Calibri"/>
        <family val="2"/>
      </rPr>
      <t>IRR</t>
    </r>
  </si>
  <si>
    <r>
      <rPr>
        <sz val="10.5"/>
        <color theme="1"/>
        <rFont val="Calibri"/>
        <family val="2"/>
      </rPr>
      <t>Rial iranien</t>
    </r>
  </si>
  <si>
    <t>Grenade</t>
  </si>
  <si>
    <t>GD</t>
  </si>
  <si>
    <t>GRD</t>
  </si>
  <si>
    <t>308</t>
  </si>
  <si>
    <r>
      <rPr>
        <sz val="10.5"/>
        <color theme="1"/>
        <rFont val="Calibri"/>
        <family val="2"/>
      </rPr>
      <t>ISK</t>
    </r>
  </si>
  <si>
    <r>
      <rPr>
        <sz val="10.5"/>
        <color theme="1"/>
        <rFont val="Calibri"/>
        <family val="2"/>
      </rPr>
      <t>Couronne islandaise</t>
    </r>
  </si>
  <si>
    <t>Groenland</t>
  </si>
  <si>
    <t>GL</t>
  </si>
  <si>
    <t>GRL</t>
  </si>
  <si>
    <t>304</t>
  </si>
  <si>
    <r>
      <rPr>
        <sz val="10.5"/>
        <color theme="1"/>
        <rFont val="Calibri"/>
        <family val="2"/>
      </rPr>
      <t>JEP</t>
    </r>
  </si>
  <si>
    <r>
      <rPr>
        <sz val="10.5"/>
        <color theme="1"/>
        <rFont val="Calibri"/>
        <family val="2"/>
      </rPr>
      <t>Livre de Jersey</t>
    </r>
  </si>
  <si>
    <t>Guadeloupe</t>
  </si>
  <si>
    <t>GP</t>
  </si>
  <si>
    <t>GLP</t>
  </si>
  <si>
    <t>312</t>
  </si>
  <si>
    <r>
      <rPr>
        <sz val="10.5"/>
        <color theme="1"/>
        <rFont val="Calibri"/>
        <family val="2"/>
      </rPr>
      <t>JMD</t>
    </r>
  </si>
  <si>
    <r>
      <rPr>
        <sz val="10.5"/>
        <color theme="1"/>
        <rFont val="Calibri"/>
        <family val="2"/>
      </rPr>
      <t>Dollar de la Jamaïque</t>
    </r>
  </si>
  <si>
    <t>Guam</t>
  </si>
  <si>
    <t>GU</t>
  </si>
  <si>
    <t>GUM</t>
  </si>
  <si>
    <t>316</t>
  </si>
  <si>
    <r>
      <rPr>
        <sz val="10.5"/>
        <color theme="1"/>
        <rFont val="Calibri"/>
        <family val="2"/>
      </rPr>
      <t>JOD</t>
    </r>
  </si>
  <si>
    <r>
      <rPr>
        <sz val="10.5"/>
        <color theme="1"/>
        <rFont val="Calibri"/>
        <family val="2"/>
      </rPr>
      <t>Dinar jordanien</t>
    </r>
  </si>
  <si>
    <t>Guatemala</t>
  </si>
  <si>
    <t>GT</t>
  </si>
  <si>
    <t>GTM</t>
  </si>
  <si>
    <t>320</t>
  </si>
  <si>
    <t>GTQ</t>
  </si>
  <si>
    <t>Quetzal guatémaltèque</t>
  </si>
  <si>
    <r>
      <rPr>
        <sz val="10.5"/>
        <color theme="1"/>
        <rFont val="Calibri"/>
        <family val="2"/>
      </rPr>
      <t>JPY</t>
    </r>
  </si>
  <si>
    <r>
      <rPr>
        <sz val="10.5"/>
        <color theme="1"/>
        <rFont val="Calibri"/>
        <family val="2"/>
      </rPr>
      <t>Yen japonais</t>
    </r>
  </si>
  <si>
    <t>Guernesey</t>
  </si>
  <si>
    <t>GG</t>
  </si>
  <si>
    <t>GGY</t>
  </si>
  <si>
    <t>831</t>
  </si>
  <si>
    <t>GGP</t>
  </si>
  <si>
    <t>Livre</t>
  </si>
  <si>
    <r>
      <rPr>
        <sz val="10.5"/>
        <color theme="1"/>
        <rFont val="Calibri"/>
        <family val="2"/>
      </rPr>
      <t>KES</t>
    </r>
  </si>
  <si>
    <r>
      <rPr>
        <sz val="10.5"/>
        <color theme="1"/>
        <rFont val="Calibri"/>
        <family val="2"/>
      </rPr>
      <t>Shilling kenyan</t>
    </r>
  </si>
  <si>
    <t>Guinée</t>
  </si>
  <si>
    <t>GN</t>
  </si>
  <si>
    <t>GIN</t>
  </si>
  <si>
    <t>324</t>
  </si>
  <si>
    <t>GNF</t>
  </si>
  <si>
    <t>Franc guinéen</t>
  </si>
  <si>
    <r>
      <rPr>
        <sz val="10.5"/>
        <color theme="1"/>
        <rFont val="Calibri"/>
        <family val="2"/>
      </rPr>
      <t>KGS</t>
    </r>
  </si>
  <si>
    <r>
      <rPr>
        <sz val="10.5"/>
        <color theme="1"/>
        <rFont val="Calibri"/>
        <family val="2"/>
      </rPr>
      <t>Sum kirghize</t>
    </r>
  </si>
  <si>
    <t>Guinée équatoriale</t>
  </si>
  <si>
    <t>GQ</t>
  </si>
  <si>
    <t>GNQ</t>
  </si>
  <si>
    <t>226</t>
  </si>
  <si>
    <r>
      <rPr>
        <sz val="10.5"/>
        <color theme="1"/>
        <rFont val="Calibri"/>
        <family val="2"/>
      </rPr>
      <t>KHR</t>
    </r>
  </si>
  <si>
    <r>
      <rPr>
        <sz val="10.5"/>
        <color theme="1"/>
        <rFont val="Calibri"/>
        <family val="2"/>
      </rPr>
      <t>Riel cambodgien</t>
    </r>
  </si>
  <si>
    <t>Guinée-Bissau</t>
  </si>
  <si>
    <t>GW</t>
  </si>
  <si>
    <t>GNB</t>
  </si>
  <si>
    <t>624</t>
  </si>
  <si>
    <r>
      <rPr>
        <sz val="10.5"/>
        <color theme="1"/>
        <rFont val="Calibri"/>
        <family val="2"/>
      </rPr>
      <t>KMF</t>
    </r>
  </si>
  <si>
    <r>
      <rPr>
        <sz val="10.5"/>
        <color theme="1"/>
        <rFont val="Calibri"/>
        <family val="2"/>
      </rPr>
      <t>Franc comorien</t>
    </r>
  </si>
  <si>
    <t>Guyana</t>
  </si>
  <si>
    <t>GY</t>
  </si>
  <si>
    <t>GUY</t>
  </si>
  <si>
    <t>328</t>
  </si>
  <si>
    <t>GYD</t>
  </si>
  <si>
    <t>Dollar guyanais</t>
  </si>
  <si>
    <r>
      <rPr>
        <sz val="10.5"/>
        <color theme="1"/>
        <rFont val="Calibri"/>
        <family val="2"/>
      </rPr>
      <t>KPW</t>
    </r>
  </si>
  <si>
    <r>
      <rPr>
        <sz val="10.5"/>
        <color theme="1"/>
        <rFont val="Calibri"/>
        <family val="2"/>
      </rPr>
      <t>Won nord-coréen</t>
    </r>
  </si>
  <si>
    <t>Guyane française</t>
  </si>
  <si>
    <t>GF</t>
  </si>
  <si>
    <t>GUF</t>
  </si>
  <si>
    <t>254</t>
  </si>
  <si>
    <r>
      <rPr>
        <sz val="10.5"/>
        <color theme="1"/>
        <rFont val="Calibri"/>
        <family val="2"/>
      </rPr>
      <t>KRW</t>
    </r>
  </si>
  <si>
    <r>
      <rPr>
        <sz val="10.5"/>
        <color theme="1"/>
        <rFont val="Calibri"/>
        <family val="2"/>
      </rPr>
      <t>Won sud-coréen</t>
    </r>
  </si>
  <si>
    <t>Haïti</t>
  </si>
  <si>
    <t>HT</t>
  </si>
  <si>
    <t>HTI</t>
  </si>
  <si>
    <t>332</t>
  </si>
  <si>
    <t>HTG</t>
  </si>
  <si>
    <t>Gourde haïtienne</t>
  </si>
  <si>
    <r>
      <rPr>
        <sz val="10.5"/>
        <color theme="1"/>
        <rFont val="Calibri"/>
        <family val="2"/>
      </rPr>
      <t>KWD</t>
    </r>
  </si>
  <si>
    <t>Dinar koweitien</t>
  </si>
  <si>
    <t>Honduras</t>
  </si>
  <si>
    <t>HN</t>
  </si>
  <si>
    <t>HND</t>
  </si>
  <si>
    <t>340</t>
  </si>
  <si>
    <t>HNL</t>
  </si>
  <si>
    <t>Lempira hondurien</t>
  </si>
  <si>
    <r>
      <rPr>
        <sz val="10.5"/>
        <color theme="1"/>
        <rFont val="Calibri"/>
        <family val="2"/>
      </rPr>
      <t>KYD</t>
    </r>
  </si>
  <si>
    <r>
      <rPr>
        <sz val="10.5"/>
        <color theme="1"/>
        <rFont val="Calibri"/>
        <family val="2"/>
      </rPr>
      <t>Dollar des Îles Caïman</t>
    </r>
  </si>
  <si>
    <t>Hong Kong</t>
  </si>
  <si>
    <t>HK</t>
  </si>
  <si>
    <t>HKG</t>
  </si>
  <si>
    <t>344</t>
  </si>
  <si>
    <t>HKD</t>
  </si>
  <si>
    <r>
      <rPr>
        <sz val="10.5"/>
        <color theme="1"/>
        <rFont val="Calibri"/>
        <family val="2"/>
      </rPr>
      <t>KZT</t>
    </r>
  </si>
  <si>
    <r>
      <rPr>
        <sz val="10.5"/>
        <color theme="1"/>
        <rFont val="Calibri"/>
        <family val="2"/>
      </rPr>
      <t>Tenge kazakh</t>
    </r>
  </si>
  <si>
    <t>Hongrie</t>
  </si>
  <si>
    <t>HU</t>
  </si>
  <si>
    <t>HUN</t>
  </si>
  <si>
    <t>348</t>
  </si>
  <si>
    <t>HUF</t>
  </si>
  <si>
    <t>Forint hongrois</t>
  </si>
  <si>
    <r>
      <rPr>
        <sz val="10.5"/>
        <color theme="1"/>
        <rFont val="Calibri"/>
        <family val="2"/>
      </rPr>
      <t>LAK</t>
    </r>
  </si>
  <si>
    <r>
      <rPr>
        <sz val="10.5"/>
        <color theme="1"/>
        <rFont val="Calibri"/>
        <family val="2"/>
      </rPr>
      <t>Kip laotien</t>
    </r>
  </si>
  <si>
    <t>Île de Man</t>
  </si>
  <si>
    <t>IM</t>
  </si>
  <si>
    <t>IMN</t>
  </si>
  <si>
    <t>833</t>
  </si>
  <si>
    <t>IMP</t>
  </si>
  <si>
    <t>Livre de l’Île de Man</t>
  </si>
  <si>
    <r>
      <rPr>
        <sz val="10.5"/>
        <color theme="1"/>
        <rFont val="Calibri"/>
        <family val="2"/>
      </rPr>
      <t>LBP</t>
    </r>
  </si>
  <si>
    <r>
      <rPr>
        <sz val="10.5"/>
        <color theme="1"/>
        <rFont val="Calibri"/>
        <family val="2"/>
      </rPr>
      <t>Livre libanaise</t>
    </r>
  </si>
  <si>
    <t>Île de Noël</t>
  </si>
  <si>
    <t>CX</t>
  </si>
  <si>
    <t>CXR</t>
  </si>
  <si>
    <t>162</t>
  </si>
  <si>
    <r>
      <rPr>
        <sz val="10.5"/>
        <color theme="1"/>
        <rFont val="Calibri"/>
        <family val="2"/>
      </rPr>
      <t>LKR</t>
    </r>
  </si>
  <si>
    <r>
      <rPr>
        <sz val="10.5"/>
        <color theme="1"/>
        <rFont val="Calibri"/>
        <family val="2"/>
      </rPr>
      <t>Roupie du Sri Lanka</t>
    </r>
  </si>
  <si>
    <t>Îles Féroé</t>
  </si>
  <si>
    <t>FO</t>
  </si>
  <si>
    <t>FRO</t>
  </si>
  <si>
    <t>234</t>
  </si>
  <si>
    <r>
      <rPr>
        <sz val="10.5"/>
        <color theme="1"/>
        <rFont val="Calibri"/>
        <family val="2"/>
      </rPr>
      <t>LRD</t>
    </r>
  </si>
  <si>
    <r>
      <rPr>
        <sz val="10.5"/>
        <color theme="1"/>
        <rFont val="Calibri"/>
        <family val="2"/>
      </rPr>
      <t>Dollar du Libéria</t>
    </r>
  </si>
  <si>
    <t>Îles Heard et McDonald</t>
  </si>
  <si>
    <t>HM</t>
  </si>
  <si>
    <t>HMD</t>
  </si>
  <si>
    <t>334</t>
  </si>
  <si>
    <r>
      <rPr>
        <sz val="10.5"/>
        <color theme="1"/>
        <rFont val="Calibri"/>
        <family val="2"/>
      </rPr>
      <t>LSL</t>
    </r>
  </si>
  <si>
    <r>
      <rPr>
        <sz val="10.5"/>
        <color theme="1"/>
        <rFont val="Calibri"/>
        <family val="2"/>
      </rPr>
      <t>Loti du Lesotho</t>
    </r>
  </si>
  <si>
    <t>Îles Keeling</t>
  </si>
  <si>
    <t>CC</t>
  </si>
  <si>
    <t>CCK</t>
  </si>
  <si>
    <t>166</t>
  </si>
  <si>
    <r>
      <rPr>
        <sz val="10.5"/>
        <color theme="1"/>
        <rFont val="Calibri"/>
        <family val="2"/>
      </rPr>
      <t>LYD</t>
    </r>
  </si>
  <si>
    <r>
      <rPr>
        <sz val="10.5"/>
        <color theme="1"/>
        <rFont val="Calibri"/>
        <family val="2"/>
      </rPr>
      <t>Dinar libyen</t>
    </r>
  </si>
  <si>
    <t>Îles Marianne septentrionales</t>
  </si>
  <si>
    <t>MP</t>
  </si>
  <si>
    <t>MNP</t>
  </si>
  <si>
    <t>580</t>
  </si>
  <si>
    <r>
      <rPr>
        <sz val="10.5"/>
        <color theme="1"/>
        <rFont val="Calibri"/>
        <family val="2"/>
      </rPr>
      <t>MAD</t>
    </r>
  </si>
  <si>
    <r>
      <rPr>
        <sz val="10.5"/>
        <color theme="1"/>
        <rFont val="Calibri"/>
        <family val="2"/>
      </rPr>
      <t>Dirham marocain</t>
    </r>
  </si>
  <si>
    <t>Îles Marshall</t>
  </si>
  <si>
    <t>MH</t>
  </si>
  <si>
    <t>MHL</t>
  </si>
  <si>
    <t>584</t>
  </si>
  <si>
    <r>
      <rPr>
        <sz val="10.5"/>
        <color theme="1"/>
        <rFont val="Calibri"/>
        <family val="2"/>
      </rPr>
      <t>MDL</t>
    </r>
  </si>
  <si>
    <r>
      <rPr>
        <sz val="10.5"/>
        <color theme="1"/>
        <rFont val="Calibri"/>
        <family val="2"/>
      </rPr>
      <t>Leu moldave</t>
    </r>
  </si>
  <si>
    <t>Îles Norfolk</t>
  </si>
  <si>
    <t>NF</t>
  </si>
  <si>
    <t>NFK</t>
  </si>
  <si>
    <t>574</t>
  </si>
  <si>
    <r>
      <rPr>
        <sz val="10.5"/>
        <color theme="1"/>
        <rFont val="Calibri"/>
        <family val="2"/>
      </rPr>
      <t>MGA</t>
    </r>
  </si>
  <si>
    <r>
      <rPr>
        <sz val="10.5"/>
        <color theme="1"/>
        <rFont val="Calibri"/>
        <family val="2"/>
      </rPr>
      <t>Ariary malgache</t>
    </r>
  </si>
  <si>
    <t>Îles Salomon</t>
  </si>
  <si>
    <t>KY</t>
  </si>
  <si>
    <t>CYM</t>
  </si>
  <si>
    <t>136</t>
  </si>
  <si>
    <t>KYD</t>
  </si>
  <si>
    <t>Dollar des Îles Caïman</t>
  </si>
  <si>
    <r>
      <rPr>
        <sz val="10.5"/>
        <color theme="1"/>
        <rFont val="Calibri"/>
        <family val="2"/>
      </rPr>
      <t>MKD</t>
    </r>
  </si>
  <si>
    <r>
      <rPr>
        <sz val="10.5"/>
        <color theme="1"/>
        <rFont val="Calibri"/>
        <family val="2"/>
      </rPr>
      <t>Denar macédonien</t>
    </r>
  </si>
  <si>
    <t>SB</t>
  </si>
  <si>
    <t>SLB</t>
  </si>
  <si>
    <t>90</t>
  </si>
  <si>
    <t>SBD</t>
  </si>
  <si>
    <t>Dollar des Îles Salomon</t>
  </si>
  <si>
    <r>
      <rPr>
        <sz val="10.5"/>
        <color theme="1"/>
        <rFont val="Calibri"/>
        <family val="2"/>
      </rPr>
      <t>MMK</t>
    </r>
  </si>
  <si>
    <r>
      <rPr>
        <sz val="10.5"/>
        <color theme="1"/>
        <rFont val="Calibri"/>
        <family val="2"/>
      </rPr>
      <t>Kyat birman</t>
    </r>
  </si>
  <si>
    <t>Îles Svalbard et Jan Mayen</t>
  </si>
  <si>
    <t>SJ</t>
  </si>
  <si>
    <t>SJM</t>
  </si>
  <si>
    <t>744</t>
  </si>
  <si>
    <r>
      <rPr>
        <sz val="10.5"/>
        <color theme="1"/>
        <rFont val="Calibri"/>
        <family val="2"/>
      </rPr>
      <t>MNT</t>
    </r>
  </si>
  <si>
    <r>
      <rPr>
        <sz val="10.5"/>
        <color theme="1"/>
        <rFont val="Calibri"/>
        <family val="2"/>
      </rPr>
      <t>Tugrik mongole</t>
    </r>
  </si>
  <si>
    <t>Îles Turques et Caïques</t>
  </si>
  <si>
    <t>TC</t>
  </si>
  <si>
    <t>TCA</t>
  </si>
  <si>
    <t>796</t>
  </si>
  <si>
    <r>
      <rPr>
        <sz val="10.5"/>
        <color theme="1"/>
        <rFont val="Calibri"/>
        <family val="2"/>
      </rPr>
      <t>MOP</t>
    </r>
  </si>
  <si>
    <r>
      <rPr>
        <sz val="10.5"/>
        <color theme="1"/>
        <rFont val="Calibri"/>
        <family val="2"/>
      </rPr>
      <t>Patca de Macao</t>
    </r>
  </si>
  <si>
    <t>Îles Vierges britanniques</t>
  </si>
  <si>
    <t>VG</t>
  </si>
  <si>
    <t>VGB</t>
  </si>
  <si>
    <t>92</t>
  </si>
  <si>
    <r>
      <rPr>
        <sz val="10.5"/>
        <color theme="1"/>
        <rFont val="Calibri"/>
        <family val="2"/>
      </rPr>
      <t>MRO</t>
    </r>
  </si>
  <si>
    <r>
      <rPr>
        <sz val="10.5"/>
        <color theme="1"/>
        <rFont val="Calibri"/>
        <family val="2"/>
      </rPr>
      <t>Ouguiya mauritanien</t>
    </r>
  </si>
  <si>
    <t>Îles Vierges, États-Unis</t>
  </si>
  <si>
    <t>VI</t>
  </si>
  <si>
    <t>VIR</t>
  </si>
  <si>
    <t>850</t>
  </si>
  <si>
    <r>
      <rPr>
        <sz val="10.5"/>
        <color theme="1"/>
        <rFont val="Calibri"/>
        <family val="2"/>
      </rPr>
      <t>MUR</t>
    </r>
  </si>
  <si>
    <r>
      <rPr>
        <sz val="10.5"/>
        <color theme="1"/>
        <rFont val="Calibri"/>
        <family val="2"/>
      </rPr>
      <t>Roupie mauricienne</t>
    </r>
  </si>
  <si>
    <t>Îles Wallis et Futuna</t>
  </si>
  <si>
    <t>WF</t>
  </si>
  <si>
    <t>WLF</t>
  </si>
  <si>
    <t>876</t>
  </si>
  <si>
    <r>
      <rPr>
        <sz val="10.5"/>
        <color theme="1"/>
        <rFont val="Calibri"/>
        <family val="2"/>
      </rPr>
      <t>MVR</t>
    </r>
  </si>
  <si>
    <r>
      <rPr>
        <sz val="10.5"/>
        <color theme="1"/>
        <rFont val="Calibri"/>
        <family val="2"/>
      </rPr>
      <t>Rufiyaa des Maldives</t>
    </r>
  </si>
  <si>
    <t>Îles Åland</t>
  </si>
  <si>
    <t>AX</t>
  </si>
  <si>
    <t>ALA</t>
  </si>
  <si>
    <t>248</t>
  </si>
  <si>
    <r>
      <rPr>
        <sz val="10.5"/>
        <color theme="1"/>
        <rFont val="Calibri"/>
        <family val="2"/>
      </rPr>
      <t>MWK</t>
    </r>
  </si>
  <si>
    <r>
      <rPr>
        <sz val="10.5"/>
        <color theme="1"/>
        <rFont val="Calibri"/>
        <family val="2"/>
      </rPr>
      <t>Kwacha du Malawi</t>
    </r>
  </si>
  <si>
    <t>Inde</t>
  </si>
  <si>
    <t>IN</t>
  </si>
  <si>
    <t>IND</t>
  </si>
  <si>
    <t>356</t>
  </si>
  <si>
    <t>INR</t>
  </si>
  <si>
    <t>Roupie indienne</t>
  </si>
  <si>
    <r>
      <rPr>
        <sz val="10.5"/>
        <color theme="1"/>
        <rFont val="Calibri"/>
        <family val="2"/>
      </rPr>
      <t>MXN</t>
    </r>
  </si>
  <si>
    <r>
      <rPr>
        <sz val="10.5"/>
        <color theme="1"/>
        <rFont val="Calibri"/>
        <family val="2"/>
      </rPr>
      <t>Peso mexicain</t>
    </r>
  </si>
  <si>
    <t>Indonésie</t>
  </si>
  <si>
    <t>ID</t>
  </si>
  <si>
    <t>IDN</t>
  </si>
  <si>
    <t>360</t>
  </si>
  <si>
    <t>IDR</t>
  </si>
  <si>
    <t>Roupie indonésienne</t>
  </si>
  <si>
    <r>
      <rPr>
        <sz val="10.5"/>
        <color theme="1"/>
        <rFont val="Calibri"/>
        <family val="2"/>
      </rPr>
      <t>MYR</t>
    </r>
  </si>
  <si>
    <r>
      <rPr>
        <sz val="10.5"/>
        <color theme="1"/>
        <rFont val="Calibri"/>
        <family val="2"/>
      </rPr>
      <t>Ringgit malais</t>
    </r>
  </si>
  <si>
    <t>Irak</t>
  </si>
  <si>
    <t>IQ</t>
  </si>
  <si>
    <t>IRQ</t>
  </si>
  <si>
    <t>368</t>
  </si>
  <si>
    <t>IQD</t>
  </si>
  <si>
    <t>Dinar irakien</t>
  </si>
  <si>
    <r>
      <rPr>
        <sz val="10.5"/>
        <color theme="1"/>
        <rFont val="Calibri"/>
        <family val="2"/>
      </rPr>
      <t>MZN</t>
    </r>
  </si>
  <si>
    <r>
      <rPr>
        <sz val="10.5"/>
        <color theme="1"/>
        <rFont val="Calibri"/>
        <family val="2"/>
      </rPr>
      <t>Metical mozambicain</t>
    </r>
  </si>
  <si>
    <t>Iran</t>
  </si>
  <si>
    <t>IR</t>
  </si>
  <si>
    <t>IRN</t>
  </si>
  <si>
    <t>364</t>
  </si>
  <si>
    <t>IRR</t>
  </si>
  <si>
    <t>Rial iranien</t>
  </si>
  <si>
    <r>
      <rPr>
        <sz val="10.5"/>
        <color theme="1"/>
        <rFont val="Calibri"/>
        <family val="2"/>
      </rPr>
      <t>NAD</t>
    </r>
  </si>
  <si>
    <r>
      <rPr>
        <sz val="10.5"/>
        <color theme="1"/>
        <rFont val="Calibri"/>
        <family val="2"/>
      </rPr>
      <t>Dollar namibien</t>
    </r>
  </si>
  <si>
    <t>Irlande</t>
  </si>
  <si>
    <t>IE</t>
  </si>
  <si>
    <t>IRL</t>
  </si>
  <si>
    <t>372</t>
  </si>
  <si>
    <r>
      <rPr>
        <sz val="10.5"/>
        <color theme="1"/>
        <rFont val="Calibri"/>
        <family val="2"/>
      </rPr>
      <t>NGN</t>
    </r>
  </si>
  <si>
    <r>
      <rPr>
        <sz val="10.5"/>
        <color theme="1"/>
        <rFont val="Calibri"/>
        <family val="2"/>
      </rPr>
      <t>Naira  nigérian</t>
    </r>
  </si>
  <si>
    <t>Islande</t>
  </si>
  <si>
    <t>IS</t>
  </si>
  <si>
    <t>ISL</t>
  </si>
  <si>
    <t>352</t>
  </si>
  <si>
    <t>ISK</t>
  </si>
  <si>
    <t>Couronne islandaise</t>
  </si>
  <si>
    <r>
      <rPr>
        <sz val="10.5"/>
        <color theme="1"/>
        <rFont val="Calibri"/>
        <family val="2"/>
      </rPr>
      <t>NIO</t>
    </r>
  </si>
  <si>
    <r>
      <rPr>
        <sz val="10.5"/>
        <color theme="1"/>
        <rFont val="Calibri"/>
        <family val="2"/>
      </rPr>
      <t xml:space="preserve">Cordoba oro nicaraguayen </t>
    </r>
  </si>
  <si>
    <t>Israël</t>
  </si>
  <si>
    <t>IL</t>
  </si>
  <si>
    <t>ISR</t>
  </si>
  <si>
    <t>376</t>
  </si>
  <si>
    <t>ILS</t>
  </si>
  <si>
    <t>Nouveau shekel israélien</t>
  </si>
  <si>
    <r>
      <rPr>
        <sz val="10.5"/>
        <color theme="1"/>
        <rFont val="Calibri"/>
        <family val="2"/>
      </rPr>
      <t>NOK</t>
    </r>
  </si>
  <si>
    <r>
      <rPr>
        <sz val="10.5"/>
        <color theme="1"/>
        <rFont val="Calibri"/>
        <family val="2"/>
      </rPr>
      <t>Couronne norvégienne</t>
    </r>
  </si>
  <si>
    <t>Italie</t>
  </si>
  <si>
    <t>IT</t>
  </si>
  <si>
    <t>ITA</t>
  </si>
  <si>
    <t>380</t>
  </si>
  <si>
    <r>
      <rPr>
        <sz val="10.5"/>
        <color theme="1"/>
        <rFont val="Calibri"/>
        <family val="2"/>
      </rPr>
      <t>NPR</t>
    </r>
  </si>
  <si>
    <r>
      <rPr>
        <sz val="10.5"/>
        <color theme="1"/>
        <rFont val="Calibri"/>
        <family val="2"/>
      </rPr>
      <t>Roupie népalaise</t>
    </r>
  </si>
  <si>
    <t>Jamaïque</t>
  </si>
  <si>
    <t>JM</t>
  </si>
  <si>
    <t>JAM</t>
  </si>
  <si>
    <t>388</t>
  </si>
  <si>
    <t>JMD</t>
  </si>
  <si>
    <t>Dollar de la Jamaïque</t>
  </si>
  <si>
    <r>
      <rPr>
        <sz val="10.5"/>
        <color theme="1"/>
        <rFont val="Calibri"/>
        <family val="2"/>
      </rPr>
      <t>NZD</t>
    </r>
  </si>
  <si>
    <r>
      <rPr>
        <sz val="10.5"/>
        <color theme="1"/>
        <rFont val="Calibri"/>
        <family val="2"/>
      </rPr>
      <t>Dollar néo-zélandais</t>
    </r>
  </si>
  <si>
    <t>Japon</t>
  </si>
  <si>
    <t>JP</t>
  </si>
  <si>
    <t>JPN</t>
  </si>
  <si>
    <t>392</t>
  </si>
  <si>
    <t>JPY</t>
  </si>
  <si>
    <t>Yen japonais</t>
  </si>
  <si>
    <r>
      <rPr>
        <sz val="10.5"/>
        <color theme="1"/>
        <rFont val="Calibri"/>
        <family val="2"/>
      </rPr>
      <t>OMR</t>
    </r>
  </si>
  <si>
    <r>
      <rPr>
        <sz val="10.5"/>
        <color theme="1"/>
        <rFont val="Calibri"/>
        <family val="2"/>
      </rPr>
      <t>Rial omanais</t>
    </r>
  </si>
  <si>
    <t>Jersey</t>
  </si>
  <si>
    <t>JE</t>
  </si>
  <si>
    <t>JEY</t>
  </si>
  <si>
    <t>832</t>
  </si>
  <si>
    <t>JEP</t>
  </si>
  <si>
    <t>Livre de Jersey</t>
  </si>
  <si>
    <r>
      <rPr>
        <sz val="10.5"/>
        <color theme="1"/>
        <rFont val="Calibri"/>
        <family val="2"/>
      </rPr>
      <t>PAB</t>
    </r>
  </si>
  <si>
    <t>Balboa panaméen</t>
  </si>
  <si>
    <t>Jordanie</t>
  </si>
  <si>
    <t>JO</t>
  </si>
  <si>
    <t>JOR</t>
  </si>
  <si>
    <t>400</t>
  </si>
  <si>
    <t>JOD</t>
  </si>
  <si>
    <t>Dinar jordanien</t>
  </si>
  <si>
    <r>
      <rPr>
        <sz val="10.5"/>
        <color theme="1"/>
        <rFont val="Calibri"/>
        <family val="2"/>
      </rPr>
      <t>PEN</t>
    </r>
  </si>
  <si>
    <r>
      <rPr>
        <sz val="10.5"/>
        <color theme="1"/>
        <rFont val="Calibri"/>
        <family val="2"/>
      </rPr>
      <t>Sol péruvien</t>
    </r>
  </si>
  <si>
    <t>Kazakhstan</t>
  </si>
  <si>
    <t>KZ</t>
  </si>
  <si>
    <t>KAZ</t>
  </si>
  <si>
    <t>398</t>
  </si>
  <si>
    <t>KZT</t>
  </si>
  <si>
    <t>Tenge kazakh</t>
  </si>
  <si>
    <r>
      <rPr>
        <sz val="10.5"/>
        <color theme="1"/>
        <rFont val="Calibri"/>
        <family val="2"/>
      </rPr>
      <t>PGK</t>
    </r>
  </si>
  <si>
    <t>Kina de Papouasie-Nouvelle-Guinée</t>
  </si>
  <si>
    <t>Kenya</t>
  </si>
  <si>
    <t>KE</t>
  </si>
  <si>
    <t>KEN</t>
  </si>
  <si>
    <t>404</t>
  </si>
  <si>
    <t>KES</t>
  </si>
  <si>
    <t>Shilling kenyan</t>
  </si>
  <si>
    <r>
      <rPr>
        <sz val="10.5"/>
        <color theme="1"/>
        <rFont val="Calibri"/>
        <family val="2"/>
      </rPr>
      <t>PHP</t>
    </r>
  </si>
  <si>
    <r>
      <rPr>
        <sz val="10.5"/>
        <color theme="1"/>
        <rFont val="Calibri"/>
        <family val="2"/>
      </rPr>
      <t>Peso philippin</t>
    </r>
  </si>
  <si>
    <t>Kiribati</t>
  </si>
  <si>
    <t>KI</t>
  </si>
  <si>
    <t>KIR</t>
  </si>
  <si>
    <t>296</t>
  </si>
  <si>
    <r>
      <rPr>
        <sz val="10.5"/>
        <color theme="1"/>
        <rFont val="Calibri"/>
        <family val="2"/>
      </rPr>
      <t>PKR</t>
    </r>
  </si>
  <si>
    <r>
      <rPr>
        <sz val="10.5"/>
        <color theme="1"/>
        <rFont val="Calibri"/>
        <family val="2"/>
      </rPr>
      <t>Roupie pakistanaise</t>
    </r>
  </si>
  <si>
    <t>Kosovo</t>
  </si>
  <si>
    <t>XK</t>
  </si>
  <si>
    <t>XKX</t>
  </si>
  <si>
    <t>-</t>
  </si>
  <si>
    <r>
      <rPr>
        <sz val="10.5"/>
        <color theme="1"/>
        <rFont val="Calibri"/>
        <family val="2"/>
      </rPr>
      <t>PLN</t>
    </r>
  </si>
  <si>
    <r>
      <rPr>
        <sz val="10.5"/>
        <color theme="1"/>
        <rFont val="Calibri"/>
        <family val="2"/>
      </rPr>
      <t>Zloty polonais</t>
    </r>
  </si>
  <si>
    <t>Koweït</t>
  </si>
  <si>
    <t>KW</t>
  </si>
  <si>
    <t>KWT</t>
  </si>
  <si>
    <t>414</t>
  </si>
  <si>
    <t>KWD</t>
  </si>
  <si>
    <r>
      <rPr>
        <sz val="10.5"/>
        <color theme="1"/>
        <rFont val="Calibri"/>
        <family val="2"/>
      </rPr>
      <t>PYG</t>
    </r>
  </si>
  <si>
    <r>
      <rPr>
        <sz val="10.5"/>
        <color theme="1"/>
        <rFont val="Calibri"/>
        <family val="2"/>
      </rPr>
      <t>Guarani paraguayen</t>
    </r>
  </si>
  <si>
    <t>Lesotho</t>
  </si>
  <si>
    <t>LS</t>
  </si>
  <si>
    <t>LSO</t>
  </si>
  <si>
    <t>426</t>
  </si>
  <si>
    <t>LSL</t>
  </si>
  <si>
    <t>Loti du Lesotho</t>
  </si>
  <si>
    <r>
      <rPr>
        <sz val="10.5"/>
        <color theme="1"/>
        <rFont val="Calibri"/>
        <family val="2"/>
      </rPr>
      <t>QAR</t>
    </r>
  </si>
  <si>
    <t>Riyal du Qatar</t>
  </si>
  <si>
    <t>Lettonie</t>
  </si>
  <si>
    <t>LV</t>
  </si>
  <si>
    <t>LVA</t>
  </si>
  <si>
    <t>428</t>
  </si>
  <si>
    <r>
      <rPr>
        <sz val="10.5"/>
        <color theme="1"/>
        <rFont val="Calibri"/>
        <family val="2"/>
      </rPr>
      <t>RON</t>
    </r>
  </si>
  <si>
    <r>
      <rPr>
        <sz val="10.5"/>
        <color theme="1"/>
        <rFont val="Calibri"/>
        <family val="2"/>
      </rPr>
      <t>Leu roumain</t>
    </r>
  </si>
  <si>
    <t>Liban</t>
  </si>
  <si>
    <t>LB</t>
  </si>
  <si>
    <t>LBN</t>
  </si>
  <si>
    <t>422</t>
  </si>
  <si>
    <t>LBP</t>
  </si>
  <si>
    <t>Livre libanaise</t>
  </si>
  <si>
    <r>
      <rPr>
        <sz val="10.5"/>
        <color theme="1"/>
        <rFont val="Calibri"/>
        <family val="2"/>
      </rPr>
      <t>RSD</t>
    </r>
  </si>
  <si>
    <r>
      <rPr>
        <sz val="10.5"/>
        <color theme="1"/>
        <rFont val="Calibri"/>
        <family val="2"/>
      </rPr>
      <t>Dinar serbe</t>
    </r>
  </si>
  <si>
    <t>Libéria</t>
  </si>
  <si>
    <t>LR</t>
  </si>
  <si>
    <t>LBR</t>
  </si>
  <si>
    <t>430</t>
  </si>
  <si>
    <t>LRD</t>
  </si>
  <si>
    <t>Dollar du Libéria</t>
  </si>
  <si>
    <r>
      <rPr>
        <sz val="10.5"/>
        <color theme="1"/>
        <rFont val="Calibri"/>
        <family val="2"/>
      </rPr>
      <t>RUB</t>
    </r>
  </si>
  <si>
    <r>
      <rPr>
        <sz val="10.5"/>
        <color theme="1"/>
        <rFont val="Calibri"/>
        <family val="2"/>
      </rPr>
      <t>Rouble russe</t>
    </r>
  </si>
  <si>
    <t>Libye</t>
  </si>
  <si>
    <t>LY</t>
  </si>
  <si>
    <t>LBY</t>
  </si>
  <si>
    <t>434</t>
  </si>
  <si>
    <t>LYD</t>
  </si>
  <si>
    <t>Dinar libyen</t>
  </si>
  <si>
    <r>
      <rPr>
        <sz val="10.5"/>
        <color theme="1"/>
        <rFont val="Calibri"/>
        <family val="2"/>
      </rPr>
      <t>RWF</t>
    </r>
  </si>
  <si>
    <r>
      <rPr>
        <sz val="10.5"/>
        <color theme="1"/>
        <rFont val="Calibri"/>
        <family val="2"/>
      </rPr>
      <t>Franc rwandais</t>
    </r>
  </si>
  <si>
    <t>Liechtenstein</t>
  </si>
  <si>
    <t>LI</t>
  </si>
  <si>
    <t>LIE</t>
  </si>
  <si>
    <t>438</t>
  </si>
  <si>
    <t>CHF</t>
  </si>
  <si>
    <t>Franc suisse</t>
  </si>
  <si>
    <r>
      <rPr>
        <sz val="10.5"/>
        <color theme="1"/>
        <rFont val="Calibri"/>
        <family val="2"/>
      </rPr>
      <t>SAR</t>
    </r>
  </si>
  <si>
    <r>
      <rPr>
        <sz val="10.5"/>
        <color theme="1"/>
        <rFont val="Calibri"/>
        <family val="2"/>
      </rPr>
      <t>Rial saoudite</t>
    </r>
  </si>
  <si>
    <t>Lituanie</t>
  </si>
  <si>
    <t>LT</t>
  </si>
  <si>
    <t>LTU</t>
  </si>
  <si>
    <t>440</t>
  </si>
  <si>
    <r>
      <rPr>
        <sz val="10.5"/>
        <color theme="1"/>
        <rFont val="Calibri"/>
        <family val="2"/>
      </rPr>
      <t>SBD</t>
    </r>
  </si>
  <si>
    <r>
      <rPr>
        <sz val="10.5"/>
        <color theme="1"/>
        <rFont val="Calibri"/>
        <family val="2"/>
      </rPr>
      <t>Dollar des Îles Salomon</t>
    </r>
  </si>
  <si>
    <t>Luxembourg</t>
  </si>
  <si>
    <t>LU</t>
  </si>
  <si>
    <t>LUX</t>
  </si>
  <si>
    <t>442</t>
  </si>
  <si>
    <r>
      <rPr>
        <sz val="10.5"/>
        <color theme="1"/>
        <rFont val="Calibri"/>
        <family val="2"/>
      </rPr>
      <t>SCR</t>
    </r>
  </si>
  <si>
    <r>
      <rPr>
        <sz val="10.5"/>
        <color theme="1"/>
        <rFont val="Calibri"/>
        <family val="2"/>
      </rPr>
      <t>Roupie seychelloise</t>
    </r>
  </si>
  <si>
    <t>Macao</t>
  </si>
  <si>
    <t>MO</t>
  </si>
  <si>
    <t>MAC</t>
  </si>
  <si>
    <t>446</t>
  </si>
  <si>
    <t>MOP</t>
  </si>
  <si>
    <t>Patca de Macao</t>
  </si>
  <si>
    <r>
      <rPr>
        <sz val="10.5"/>
        <color theme="1"/>
        <rFont val="Calibri"/>
        <family val="2"/>
      </rPr>
      <t>SDG</t>
    </r>
  </si>
  <si>
    <r>
      <rPr>
        <sz val="10.5"/>
        <color theme="1"/>
        <rFont val="Calibri"/>
        <family val="2"/>
      </rPr>
      <t>Livre soudanaise</t>
    </r>
  </si>
  <si>
    <t>Macédoine</t>
  </si>
  <si>
    <t>MK</t>
  </si>
  <si>
    <t>MKD</t>
  </si>
  <si>
    <t>807</t>
  </si>
  <si>
    <t>Denar macédonien</t>
  </si>
  <si>
    <r>
      <rPr>
        <sz val="10.5"/>
        <color theme="1"/>
        <rFont val="Calibri"/>
        <family val="2"/>
      </rPr>
      <t>SEK</t>
    </r>
  </si>
  <si>
    <r>
      <rPr>
        <sz val="10.5"/>
        <color theme="1"/>
        <rFont val="Calibri"/>
        <family val="2"/>
      </rPr>
      <t>Couronne suédoise</t>
    </r>
  </si>
  <si>
    <t>Madagascar</t>
  </si>
  <si>
    <t>MG</t>
  </si>
  <si>
    <t>MDG</t>
  </si>
  <si>
    <t>450</t>
  </si>
  <si>
    <t>MGA</t>
  </si>
  <si>
    <t>Ariary malgache</t>
  </si>
  <si>
    <r>
      <rPr>
        <sz val="10.5"/>
        <color theme="1"/>
        <rFont val="Calibri"/>
        <family val="2"/>
      </rPr>
      <t>SGD</t>
    </r>
  </si>
  <si>
    <r>
      <rPr>
        <sz val="10.5"/>
        <color theme="1"/>
        <rFont val="Calibri"/>
        <family val="2"/>
      </rPr>
      <t>Dollar de Singapour</t>
    </r>
  </si>
  <si>
    <t>Malaisie</t>
  </si>
  <si>
    <t>MY</t>
  </si>
  <si>
    <t>MYS</t>
  </si>
  <si>
    <t>458</t>
  </si>
  <si>
    <t>MYR</t>
  </si>
  <si>
    <t>Ringgit malais</t>
  </si>
  <si>
    <r>
      <rPr>
        <sz val="10.5"/>
        <color theme="1"/>
        <rFont val="Calibri"/>
        <family val="2"/>
      </rPr>
      <t>SHP</t>
    </r>
  </si>
  <si>
    <r>
      <rPr>
        <sz val="10.5"/>
        <color theme="1"/>
        <rFont val="Calibri"/>
        <family val="2"/>
      </rPr>
      <t>Livre de Saint Hélène</t>
    </r>
  </si>
  <si>
    <t>Malawi</t>
  </si>
  <si>
    <t>MW</t>
  </si>
  <si>
    <t>MWI</t>
  </si>
  <si>
    <t>454</t>
  </si>
  <si>
    <t>MWK</t>
  </si>
  <si>
    <t>Kwacha du Malawi</t>
  </si>
  <si>
    <r>
      <rPr>
        <sz val="10.5"/>
        <color theme="1"/>
        <rFont val="Calibri"/>
        <family val="2"/>
      </rPr>
      <t>SLL</t>
    </r>
  </si>
  <si>
    <r>
      <rPr>
        <sz val="10.5"/>
        <color theme="1"/>
        <rFont val="Calibri"/>
        <family val="2"/>
      </rPr>
      <t>Leone sierra-léonaise</t>
    </r>
  </si>
  <si>
    <t>Maldives</t>
  </si>
  <si>
    <t>MV</t>
  </si>
  <si>
    <t>MDV</t>
  </si>
  <si>
    <t>462</t>
  </si>
  <si>
    <t>MVR</t>
  </si>
  <si>
    <t>Rufiyaa des Maldives</t>
  </si>
  <si>
    <r>
      <rPr>
        <sz val="10.5"/>
        <color theme="1"/>
        <rFont val="Calibri"/>
        <family val="2"/>
      </rPr>
      <t>SOS</t>
    </r>
  </si>
  <si>
    <t>Shilling somalien</t>
  </si>
  <si>
    <t>Mali</t>
  </si>
  <si>
    <t>ML</t>
  </si>
  <si>
    <t>MLI</t>
  </si>
  <si>
    <t>466</t>
  </si>
  <si>
    <r>
      <rPr>
        <sz val="10.5"/>
        <color theme="1"/>
        <rFont val="Calibri"/>
        <family val="2"/>
      </rPr>
      <t>SRD</t>
    </r>
  </si>
  <si>
    <r>
      <rPr>
        <sz val="10.5"/>
        <color theme="1"/>
        <rFont val="Calibri"/>
        <family val="2"/>
      </rPr>
      <t>Dollar du Suriname</t>
    </r>
  </si>
  <si>
    <t>Malouines</t>
  </si>
  <si>
    <t>FK</t>
  </si>
  <si>
    <t>FLK</t>
  </si>
  <si>
    <t>238</t>
  </si>
  <si>
    <t>FKP</t>
  </si>
  <si>
    <t>Livre des Malouines</t>
  </si>
  <si>
    <r>
      <rPr>
        <sz val="10.5"/>
        <color theme="1"/>
        <rFont val="Calibri"/>
        <family val="2"/>
      </rPr>
      <t>SSP</t>
    </r>
  </si>
  <si>
    <r>
      <rPr>
        <sz val="10.5"/>
        <color theme="1"/>
        <rFont val="Calibri"/>
        <family val="2"/>
      </rPr>
      <t>Livre sud-soudanaise</t>
    </r>
  </si>
  <si>
    <t>Malte</t>
  </si>
  <si>
    <t>MT</t>
  </si>
  <si>
    <t>MLT</t>
  </si>
  <si>
    <t>470</t>
  </si>
  <si>
    <r>
      <rPr>
        <sz val="10.5"/>
        <color theme="1"/>
        <rFont val="Calibri"/>
        <family val="2"/>
      </rPr>
      <t>STD</t>
    </r>
  </si>
  <si>
    <r>
      <rPr>
        <sz val="10.5"/>
        <color theme="1"/>
        <rFont val="Calibri"/>
        <family val="2"/>
      </rPr>
      <t>Dobra de Sao Tomé-et-Principe</t>
    </r>
  </si>
  <si>
    <t>Maroc</t>
  </si>
  <si>
    <t>MA</t>
  </si>
  <si>
    <t>MAR</t>
  </si>
  <si>
    <t>504</t>
  </si>
  <si>
    <t>MAD</t>
  </si>
  <si>
    <t>Dirham marocain</t>
  </si>
  <si>
    <r>
      <rPr>
        <sz val="10.5"/>
        <color theme="1"/>
        <rFont val="Calibri"/>
        <family val="2"/>
      </rPr>
      <t>SYP</t>
    </r>
  </si>
  <si>
    <r>
      <rPr>
        <sz val="10.5"/>
        <color theme="1"/>
        <rFont val="Calibri"/>
        <family val="2"/>
      </rPr>
      <t>Livre syrienne</t>
    </r>
  </si>
  <si>
    <t>Martinique</t>
  </si>
  <si>
    <t>MQ</t>
  </si>
  <si>
    <t>MTQ</t>
  </si>
  <si>
    <t>474</t>
  </si>
  <si>
    <r>
      <rPr>
        <sz val="10.5"/>
        <color theme="1"/>
        <rFont val="Calibri"/>
        <family val="2"/>
      </rPr>
      <t>SZL</t>
    </r>
  </si>
  <si>
    <r>
      <rPr>
        <sz val="10.5"/>
        <color theme="1"/>
        <rFont val="Calibri"/>
        <family val="2"/>
      </rPr>
      <t>Lilangeni swazi</t>
    </r>
  </si>
  <si>
    <t>Maurice</t>
  </si>
  <si>
    <t>MU</t>
  </si>
  <si>
    <t>MUS</t>
  </si>
  <si>
    <t>480</t>
  </si>
  <si>
    <t>MUR</t>
  </si>
  <si>
    <t>Roupie mauricienne</t>
  </si>
  <si>
    <r>
      <rPr>
        <sz val="10.5"/>
        <color theme="1"/>
        <rFont val="Calibri"/>
        <family val="2"/>
      </rPr>
      <t>THB</t>
    </r>
  </si>
  <si>
    <r>
      <rPr>
        <sz val="10.5"/>
        <color theme="1"/>
        <rFont val="Calibri"/>
        <family val="2"/>
      </rPr>
      <t>Baht thaïlandais</t>
    </r>
  </si>
  <si>
    <t>Mauritanie</t>
  </si>
  <si>
    <t>MR</t>
  </si>
  <si>
    <t>MRT</t>
  </si>
  <si>
    <t>478</t>
  </si>
  <si>
    <t>MRO</t>
  </si>
  <si>
    <t>Ouguiya mauritanien</t>
  </si>
  <si>
    <r>
      <rPr>
        <sz val="10.5"/>
        <color theme="1"/>
        <rFont val="Calibri"/>
        <family val="2"/>
      </rPr>
      <t>TJS</t>
    </r>
  </si>
  <si>
    <t>Tadjikistan</t>
  </si>
  <si>
    <t>Mayotte</t>
  </si>
  <si>
    <t>YT</t>
  </si>
  <si>
    <t>MYT</t>
  </si>
  <si>
    <t>175</t>
  </si>
  <si>
    <r>
      <rPr>
        <sz val="10.5"/>
        <color theme="1"/>
        <rFont val="Calibri"/>
        <family val="2"/>
      </rPr>
      <t>TMT</t>
    </r>
  </si>
  <si>
    <r>
      <rPr>
        <sz val="10.5"/>
        <color theme="1"/>
        <rFont val="Calibri"/>
        <family val="2"/>
      </rPr>
      <t>Nouveau manat turkmène</t>
    </r>
  </si>
  <si>
    <t>Mexique</t>
  </si>
  <si>
    <t>MX</t>
  </si>
  <si>
    <t>MEX</t>
  </si>
  <si>
    <t>484</t>
  </si>
  <si>
    <t>MXN</t>
  </si>
  <si>
    <t>Peso mexicain</t>
  </si>
  <si>
    <r>
      <rPr>
        <sz val="10.5"/>
        <color theme="1"/>
        <rFont val="Calibri"/>
        <family val="2"/>
      </rPr>
      <t>TND</t>
    </r>
  </si>
  <si>
    <r>
      <rPr>
        <sz val="10.5"/>
        <color theme="1"/>
        <rFont val="Calibri"/>
        <family val="2"/>
      </rPr>
      <t>Tunisie</t>
    </r>
  </si>
  <si>
    <t>Micronésie</t>
  </si>
  <si>
    <t>FM</t>
  </si>
  <si>
    <t>FSM</t>
  </si>
  <si>
    <t>583</t>
  </si>
  <si>
    <r>
      <rPr>
        <sz val="10.5"/>
        <color theme="1"/>
        <rFont val="Calibri"/>
        <family val="2"/>
      </rPr>
      <t>TOP</t>
    </r>
  </si>
  <si>
    <r>
      <rPr>
        <sz val="10.5"/>
        <color theme="1"/>
        <rFont val="Calibri"/>
        <family val="2"/>
      </rPr>
      <t>Pa’anga des Îles Tonga</t>
    </r>
  </si>
  <si>
    <t>Moldova</t>
  </si>
  <si>
    <t>MD</t>
  </si>
  <si>
    <t>MDA</t>
  </si>
  <si>
    <t>498</t>
  </si>
  <si>
    <t>MDL</t>
  </si>
  <si>
    <t>Leu moldave</t>
  </si>
  <si>
    <r>
      <rPr>
        <sz val="10.5"/>
        <color theme="1"/>
        <rFont val="Calibri"/>
        <family val="2"/>
      </rPr>
      <t>TRY</t>
    </r>
  </si>
  <si>
    <r>
      <rPr>
        <sz val="10.5"/>
        <color theme="1"/>
        <rFont val="Calibri"/>
        <family val="2"/>
      </rPr>
      <t>Lire turque</t>
    </r>
  </si>
  <si>
    <t>Monaco</t>
  </si>
  <si>
    <t>MC</t>
  </si>
  <si>
    <t>MCO</t>
  </si>
  <si>
    <t>492</t>
  </si>
  <si>
    <r>
      <rPr>
        <sz val="10.5"/>
        <color theme="1"/>
        <rFont val="Calibri"/>
        <family val="2"/>
      </rPr>
      <t>TTD</t>
    </r>
  </si>
  <si>
    <r>
      <rPr>
        <sz val="10.5"/>
        <color theme="1"/>
        <rFont val="Calibri"/>
        <family val="2"/>
      </rPr>
      <t>Dollar de Trinité-et-Tobago</t>
    </r>
  </si>
  <si>
    <t>Mongolie</t>
  </si>
  <si>
    <t>MN</t>
  </si>
  <si>
    <t>MNG</t>
  </si>
  <si>
    <t>496</t>
  </si>
  <si>
    <t>MNT</t>
  </si>
  <si>
    <t>Tugrik mongole</t>
  </si>
  <si>
    <r>
      <rPr>
        <sz val="10.5"/>
        <color theme="1"/>
        <rFont val="Calibri"/>
        <family val="2"/>
      </rPr>
      <t>TVD</t>
    </r>
  </si>
  <si>
    <r>
      <rPr>
        <sz val="10.5"/>
        <color theme="1"/>
        <rFont val="Calibri"/>
        <family val="2"/>
      </rPr>
      <t>Dollar de Tuvalu</t>
    </r>
  </si>
  <si>
    <t>Monténégro</t>
  </si>
  <si>
    <t>ME</t>
  </si>
  <si>
    <t>MNE</t>
  </si>
  <si>
    <t>499</t>
  </si>
  <si>
    <r>
      <rPr>
        <sz val="10.5"/>
        <color theme="1"/>
        <rFont val="Calibri"/>
        <family val="2"/>
      </rPr>
      <t>TWD</t>
    </r>
  </si>
  <si>
    <r>
      <rPr>
        <sz val="10.5"/>
        <color theme="1"/>
        <rFont val="Calibri"/>
        <family val="2"/>
      </rPr>
      <t>Nouveau dollar taïwanais</t>
    </r>
  </si>
  <si>
    <t>Montserrat</t>
  </si>
  <si>
    <t>MS</t>
  </si>
  <si>
    <t>MSR</t>
  </si>
  <si>
    <t>500</t>
  </si>
  <si>
    <r>
      <rPr>
        <sz val="10.5"/>
        <color theme="1"/>
        <rFont val="Calibri"/>
        <family val="2"/>
      </rPr>
      <t>TZS</t>
    </r>
  </si>
  <si>
    <r>
      <rPr>
        <sz val="10.5"/>
        <color theme="1"/>
        <rFont val="Calibri"/>
        <family val="2"/>
      </rPr>
      <t>Shilling tanzanien</t>
    </r>
  </si>
  <si>
    <t>Mozambique</t>
  </si>
  <si>
    <t>MZ</t>
  </si>
  <si>
    <t>MOZ</t>
  </si>
  <si>
    <t>508</t>
  </si>
  <si>
    <t>MZN</t>
  </si>
  <si>
    <t>Metical mozambicain</t>
  </si>
  <si>
    <r>
      <rPr>
        <sz val="10.5"/>
        <color theme="1"/>
        <rFont val="Calibri"/>
        <family val="2"/>
      </rPr>
      <t>UAH</t>
    </r>
  </si>
  <si>
    <r>
      <rPr>
        <sz val="10.5"/>
        <color theme="1"/>
        <rFont val="Calibri"/>
        <family val="2"/>
      </rPr>
      <t>Hryvnia ukrainien</t>
    </r>
  </si>
  <si>
    <t>Myanmar</t>
  </si>
  <si>
    <t>MM</t>
  </si>
  <si>
    <t>MMR</t>
  </si>
  <si>
    <t>104</t>
  </si>
  <si>
    <t>MMK</t>
  </si>
  <si>
    <t>Kyat birman</t>
  </si>
  <si>
    <r>
      <rPr>
        <sz val="10.5"/>
        <color theme="1"/>
        <rFont val="Calibri"/>
        <family val="2"/>
      </rPr>
      <t>UGX</t>
    </r>
  </si>
  <si>
    <r>
      <rPr>
        <sz val="10.5"/>
        <color theme="1"/>
        <rFont val="Calibri"/>
        <family val="2"/>
      </rPr>
      <t>Shilling ougandais</t>
    </r>
  </si>
  <si>
    <t>Namibie</t>
  </si>
  <si>
    <t>NA</t>
  </si>
  <si>
    <t>NAM</t>
  </si>
  <si>
    <t>516</t>
  </si>
  <si>
    <t>NAD</t>
  </si>
  <si>
    <t>Dollar namibien</t>
  </si>
  <si>
    <r>
      <rPr>
        <sz val="10.5"/>
        <color theme="1"/>
        <rFont val="Calibri"/>
        <family val="2"/>
      </rPr>
      <t>USD</t>
    </r>
  </si>
  <si>
    <r>
      <rPr>
        <sz val="10.5"/>
        <color theme="1"/>
        <rFont val="Calibri"/>
        <family val="2"/>
      </rPr>
      <t>Dollar des États-Unis</t>
    </r>
  </si>
  <si>
    <t>Nauru</t>
  </si>
  <si>
    <t>NR</t>
  </si>
  <si>
    <t>NRU</t>
  </si>
  <si>
    <t>520</t>
  </si>
  <si>
    <t>Népal</t>
  </si>
  <si>
    <t>NP</t>
  </si>
  <si>
    <t>NPL</t>
  </si>
  <si>
    <t>524</t>
  </si>
  <si>
    <t>NPR</t>
  </si>
  <si>
    <t>Roupie népalaise</t>
  </si>
  <si>
    <r>
      <rPr>
        <sz val="10.5"/>
        <color theme="1"/>
        <rFont val="Calibri"/>
        <family val="2"/>
      </rPr>
      <t>UYU</t>
    </r>
  </si>
  <si>
    <r>
      <rPr>
        <sz val="10.5"/>
        <color theme="1"/>
        <rFont val="Calibri"/>
        <family val="2"/>
      </rPr>
      <t xml:space="preserve">Peso uruguayen </t>
    </r>
  </si>
  <si>
    <t>Nicaragua</t>
  </si>
  <si>
    <t>NI</t>
  </si>
  <si>
    <t>NIC</t>
  </si>
  <si>
    <t>558</t>
  </si>
  <si>
    <t>NIO</t>
  </si>
  <si>
    <t xml:space="preserve">Cordoba oro nicaraguayen </t>
  </si>
  <si>
    <r>
      <rPr>
        <sz val="10.5"/>
        <color theme="1"/>
        <rFont val="Calibri"/>
        <family val="2"/>
      </rPr>
      <t>UZS</t>
    </r>
  </si>
  <si>
    <t>Sum ouzbèque</t>
  </si>
  <si>
    <t>Niger</t>
  </si>
  <si>
    <t>NE</t>
  </si>
  <si>
    <t>NER</t>
  </si>
  <si>
    <t>562</t>
  </si>
  <si>
    <r>
      <rPr>
        <sz val="10.5"/>
        <color theme="1"/>
        <rFont val="Calibri"/>
        <family val="2"/>
      </rPr>
      <t>VEF</t>
    </r>
  </si>
  <si>
    <t>Bolivar fuerte vénézuélien</t>
  </si>
  <si>
    <t>Nigeria</t>
  </si>
  <si>
    <t>NG</t>
  </si>
  <si>
    <t>NGA</t>
  </si>
  <si>
    <t>566</t>
  </si>
  <si>
    <t>NGN</t>
  </si>
  <si>
    <t>Naira  nigérian</t>
  </si>
  <si>
    <r>
      <rPr>
        <sz val="10.5"/>
        <color theme="1"/>
        <rFont val="Calibri"/>
        <family val="2"/>
      </rPr>
      <t>VND</t>
    </r>
  </si>
  <si>
    <r>
      <rPr>
        <sz val="10.5"/>
        <color theme="1"/>
        <rFont val="Calibri"/>
        <family val="2"/>
      </rPr>
      <t>Dong vietnamien</t>
    </r>
  </si>
  <si>
    <t>Niue</t>
  </si>
  <si>
    <t>NU</t>
  </si>
  <si>
    <t>NIU</t>
  </si>
  <si>
    <t>570</t>
  </si>
  <si>
    <r>
      <rPr>
        <sz val="10.5"/>
        <color theme="1"/>
        <rFont val="Calibri"/>
        <family val="2"/>
      </rPr>
      <t>VUV</t>
    </r>
  </si>
  <si>
    <r>
      <rPr>
        <sz val="10.5"/>
        <color theme="1"/>
        <rFont val="Calibri"/>
        <family val="2"/>
      </rPr>
      <t>Vatu de Vanuatu</t>
    </r>
  </si>
  <si>
    <t>Norvège</t>
  </si>
  <si>
    <t>NO</t>
  </si>
  <si>
    <t>NOR</t>
  </si>
  <si>
    <t>578</t>
  </si>
  <si>
    <t>NOK</t>
  </si>
  <si>
    <t>Couronne norvégienne</t>
  </si>
  <si>
    <r>
      <rPr>
        <sz val="10.5"/>
        <color theme="1"/>
        <rFont val="Calibri"/>
        <family val="2"/>
      </rPr>
      <t>WST</t>
    </r>
  </si>
  <si>
    <r>
      <rPr>
        <sz val="10.5"/>
        <color theme="1"/>
        <rFont val="Calibri"/>
        <family val="2"/>
      </rPr>
      <t>Tala de Samoa</t>
    </r>
  </si>
  <si>
    <t>Nouvelle Calédonie</t>
  </si>
  <si>
    <t>NC</t>
  </si>
  <si>
    <t>NCL</t>
  </si>
  <si>
    <t>540</t>
  </si>
  <si>
    <r>
      <rPr>
        <sz val="10.5"/>
        <color theme="1"/>
        <rFont val="Calibri"/>
        <family val="2"/>
      </rPr>
      <t>XAF</t>
    </r>
  </si>
  <si>
    <r>
      <rPr>
        <sz val="10.5"/>
        <color theme="1"/>
        <rFont val="Calibri"/>
        <family val="2"/>
      </rPr>
      <t>Franc CFA d’Afrique centrale</t>
    </r>
  </si>
  <si>
    <t>Nouvelle-Zélande</t>
  </si>
  <si>
    <t>NZ</t>
  </si>
  <si>
    <t>NZL</t>
  </si>
  <si>
    <t>554</t>
  </si>
  <si>
    <t>NZD</t>
  </si>
  <si>
    <t>Dollar néo-zélandaise</t>
  </si>
  <si>
    <r>
      <rPr>
        <sz val="10.5"/>
        <color theme="1"/>
        <rFont val="Calibri"/>
        <family val="2"/>
      </rPr>
      <t>XCD</t>
    </r>
  </si>
  <si>
    <r>
      <rPr>
        <sz val="10.5"/>
        <color theme="1"/>
        <rFont val="Calibri"/>
        <family val="2"/>
      </rPr>
      <t>Dollar des Caraïbes orientales</t>
    </r>
  </si>
  <si>
    <t>Oman</t>
  </si>
  <si>
    <t>OM</t>
  </si>
  <si>
    <t>OMN</t>
  </si>
  <si>
    <t>512</t>
  </si>
  <si>
    <t>OMR</t>
  </si>
  <si>
    <t>Rial omani</t>
  </si>
  <si>
    <r>
      <rPr>
        <sz val="10.5"/>
        <color theme="1"/>
        <rFont val="Calibri"/>
        <family val="2"/>
      </rPr>
      <t>XOF</t>
    </r>
  </si>
  <si>
    <r>
      <rPr>
        <sz val="10.5"/>
        <color theme="1"/>
        <rFont val="Calibri"/>
        <family val="2"/>
      </rPr>
      <t>Franc CFA d’Afrique de l’Ouest</t>
    </r>
  </si>
  <si>
    <t>Ouganda</t>
  </si>
  <si>
    <t>UG</t>
  </si>
  <si>
    <t>UGA</t>
  </si>
  <si>
    <t>800</t>
  </si>
  <si>
    <t>UGX</t>
  </si>
  <si>
    <t>Shilling ougandais</t>
  </si>
  <si>
    <r>
      <rPr>
        <sz val="10.5"/>
        <color theme="1"/>
        <rFont val="Calibri"/>
        <family val="2"/>
      </rPr>
      <t>YER</t>
    </r>
  </si>
  <si>
    <r>
      <rPr>
        <sz val="10.5"/>
        <color theme="1"/>
        <rFont val="Calibri"/>
        <family val="2"/>
      </rPr>
      <t>Rial yéménite</t>
    </r>
  </si>
  <si>
    <t>Ouzbékistan</t>
  </si>
  <si>
    <t>UZ</t>
  </si>
  <si>
    <t>UZB</t>
  </si>
  <si>
    <t>860</t>
  </si>
  <si>
    <t>UZS</t>
  </si>
  <si>
    <r>
      <rPr>
        <sz val="10.5"/>
        <color theme="1"/>
        <rFont val="Calibri"/>
        <family val="2"/>
      </rPr>
      <t>ZAR</t>
    </r>
  </si>
  <si>
    <r>
      <rPr>
        <sz val="10.5"/>
        <color theme="1"/>
        <rFont val="Calibri"/>
        <family val="2"/>
      </rPr>
      <t>Rand sud-africain</t>
    </r>
  </si>
  <si>
    <t>Pakistan</t>
  </si>
  <si>
    <t>PK</t>
  </si>
  <si>
    <t>PAK</t>
  </si>
  <si>
    <t>586</t>
  </si>
  <si>
    <t>PKR</t>
  </si>
  <si>
    <t>Roupie pakistanaise</t>
  </si>
  <si>
    <r>
      <rPr>
        <sz val="10.5"/>
        <color theme="1"/>
        <rFont val="Calibri"/>
        <family val="2"/>
      </rPr>
      <t>ZMW</t>
    </r>
  </si>
  <si>
    <r>
      <rPr>
        <sz val="10.5"/>
        <color theme="1"/>
        <rFont val="Calibri"/>
        <family val="2"/>
      </rPr>
      <t>Kwacha zambien</t>
    </r>
  </si>
  <si>
    <t>Palau</t>
  </si>
  <si>
    <t>PW</t>
  </si>
  <si>
    <t>PLW</t>
  </si>
  <si>
    <t>585</t>
  </si>
  <si>
    <t>Panama</t>
  </si>
  <si>
    <t>PA</t>
  </si>
  <si>
    <t>PAN</t>
  </si>
  <si>
    <t>591</t>
  </si>
  <si>
    <t>PAB</t>
  </si>
  <si>
    <t>Papouasie-Nouvelle-Guinée</t>
  </si>
  <si>
    <t>PG</t>
  </si>
  <si>
    <t>PNG</t>
  </si>
  <si>
    <t>598</t>
  </si>
  <si>
    <t>PGK</t>
  </si>
  <si>
    <t>Paraguay</t>
  </si>
  <si>
    <t>PY</t>
  </si>
  <si>
    <t>PRY</t>
  </si>
  <si>
    <t>600</t>
  </si>
  <si>
    <t>PYG</t>
  </si>
  <si>
    <t>Guarani paraguayen</t>
  </si>
  <si>
    <t>Pays-Bas</t>
  </si>
  <si>
    <t>NL</t>
  </si>
  <si>
    <t>NLD</t>
  </si>
  <si>
    <t>528</t>
  </si>
  <si>
    <t>Pérou</t>
  </si>
  <si>
    <t>PE</t>
  </si>
  <si>
    <t>PER</t>
  </si>
  <si>
    <t>604</t>
  </si>
  <si>
    <t>PEN</t>
  </si>
  <si>
    <t>Sol péruvien</t>
  </si>
  <si>
    <t>Philippines</t>
  </si>
  <si>
    <t>PH</t>
  </si>
  <si>
    <t>PHL</t>
  </si>
  <si>
    <t>608</t>
  </si>
  <si>
    <t>PHP</t>
  </si>
  <si>
    <t>Peso philippin</t>
  </si>
  <si>
    <t>Pitcairn</t>
  </si>
  <si>
    <t>PN</t>
  </si>
  <si>
    <t>PCN</t>
  </si>
  <si>
    <t>612</t>
  </si>
  <si>
    <t>Pologne</t>
  </si>
  <si>
    <t>PL</t>
  </si>
  <si>
    <t>POL</t>
  </si>
  <si>
    <t>616</t>
  </si>
  <si>
    <t>PLN</t>
  </si>
  <si>
    <t>Zloty polonais</t>
  </si>
  <si>
    <t>Polynésie française</t>
  </si>
  <si>
    <t>PF</t>
  </si>
  <si>
    <t>PYF</t>
  </si>
  <si>
    <t>258</t>
  </si>
  <si>
    <t>Porto Rico</t>
  </si>
  <si>
    <t>PR</t>
  </si>
  <si>
    <t>PRI</t>
  </si>
  <si>
    <t>630</t>
  </si>
  <si>
    <t>Portugal</t>
  </si>
  <si>
    <t>PT</t>
  </si>
  <si>
    <t>PRT</t>
  </si>
  <si>
    <t>620</t>
  </si>
  <si>
    <t>Qatar</t>
  </si>
  <si>
    <t>QA</t>
  </si>
  <si>
    <t>QAT</t>
  </si>
  <si>
    <t>634</t>
  </si>
  <si>
    <t>QAR</t>
  </si>
  <si>
    <t>Rial du Qatar</t>
  </si>
  <si>
    <t>République centrafricaine</t>
  </si>
  <si>
    <t>CF</t>
  </si>
  <si>
    <t>CAF</t>
  </si>
  <si>
    <t>140</t>
  </si>
  <si>
    <t>République démocratique du Congo</t>
  </si>
  <si>
    <t>CD</t>
  </si>
  <si>
    <t>COD</t>
  </si>
  <si>
    <t>180</t>
  </si>
  <si>
    <t>CDF</t>
  </si>
  <si>
    <t>Franc congolais</t>
  </si>
  <si>
    <t>République dominicaine</t>
  </si>
  <si>
    <t>DO</t>
  </si>
  <si>
    <t>DOM</t>
  </si>
  <si>
    <t>214</t>
  </si>
  <si>
    <t>DOP</t>
  </si>
  <si>
    <t>Peso dominicain</t>
  </si>
  <si>
    <t>République du Congo</t>
  </si>
  <si>
    <t>CG</t>
  </si>
  <si>
    <t>COG</t>
  </si>
  <si>
    <t>178</t>
  </si>
  <si>
    <t>République kirghize</t>
  </si>
  <si>
    <t>KG</t>
  </si>
  <si>
    <t>KGZ</t>
  </si>
  <si>
    <t>417</t>
  </si>
  <si>
    <t>KGS</t>
  </si>
  <si>
    <t>Sum kirghize</t>
  </si>
  <si>
    <t>République tchèque</t>
  </si>
  <si>
    <t>CZ</t>
  </si>
  <si>
    <t>CZE</t>
  </si>
  <si>
    <t>203</t>
  </si>
  <si>
    <t>CZK</t>
  </si>
  <si>
    <t>Couronne tchèque</t>
  </si>
  <si>
    <t>Réunion</t>
  </si>
  <si>
    <t>RE</t>
  </si>
  <si>
    <t>REU</t>
  </si>
  <si>
    <t>638</t>
  </si>
  <si>
    <t>Roumanie</t>
  </si>
  <si>
    <t>RO</t>
  </si>
  <si>
    <t>ROU</t>
  </si>
  <si>
    <t>642</t>
  </si>
  <si>
    <t>RON</t>
  </si>
  <si>
    <t>Leu roumain</t>
  </si>
  <si>
    <t>Royaume-Uni</t>
  </si>
  <si>
    <t>GB</t>
  </si>
  <si>
    <t>GBR</t>
  </si>
  <si>
    <t>826</t>
  </si>
  <si>
    <t>GBP</t>
  </si>
  <si>
    <t>Livre sterling</t>
  </si>
  <si>
    <t>RPD du Laos</t>
  </si>
  <si>
    <t>LA</t>
  </si>
  <si>
    <t>LAO</t>
  </si>
  <si>
    <t>418</t>
  </si>
  <si>
    <t>LAK</t>
  </si>
  <si>
    <t>Kip laotien</t>
  </si>
  <si>
    <t>Rwanda</t>
  </si>
  <si>
    <t>RW</t>
  </si>
  <si>
    <t>RWA</t>
  </si>
  <si>
    <t>646</t>
  </si>
  <si>
    <t>RWF</t>
  </si>
  <si>
    <t>Franc rwandais</t>
  </si>
  <si>
    <t>Sahara occidental</t>
  </si>
  <si>
    <t>EH</t>
  </si>
  <si>
    <t>ESH</t>
  </si>
  <si>
    <t>732</t>
  </si>
  <si>
    <t>Saint Hélène</t>
  </si>
  <si>
    <t>SH</t>
  </si>
  <si>
    <t>SHN</t>
  </si>
  <si>
    <t>654</t>
  </si>
  <si>
    <t>SHP</t>
  </si>
  <si>
    <t>Livre de Saint Hélène</t>
  </si>
  <si>
    <t>Saint Kitts et Nevis</t>
  </si>
  <si>
    <t>KN</t>
  </si>
  <si>
    <t>KNA</t>
  </si>
  <si>
    <t>659</t>
  </si>
  <si>
    <t>Saint Marin</t>
  </si>
  <si>
    <t>SM</t>
  </si>
  <si>
    <t>SMR</t>
  </si>
  <si>
    <t>674</t>
  </si>
  <si>
    <t>Saint Pierre et Miquelon</t>
  </si>
  <si>
    <t>PM</t>
  </si>
  <si>
    <t>SPM</t>
  </si>
  <si>
    <t>666</t>
  </si>
  <si>
    <t>Saint Vincent et les Grenadines</t>
  </si>
  <si>
    <t>VC</t>
  </si>
  <si>
    <t>VCT</t>
  </si>
  <si>
    <t>670</t>
  </si>
  <si>
    <t>Saint-Barthélemy</t>
  </si>
  <si>
    <t>BL</t>
  </si>
  <si>
    <t>BLM</t>
  </si>
  <si>
    <t>652</t>
  </si>
  <si>
    <t>Sainte Lucie</t>
  </si>
  <si>
    <t>LC</t>
  </si>
  <si>
    <t>LCA</t>
  </si>
  <si>
    <t>662</t>
  </si>
  <si>
    <t>Saint-Martin</t>
  </si>
  <si>
    <t>MF</t>
  </si>
  <si>
    <t>MAF</t>
  </si>
  <si>
    <t>663</t>
  </si>
  <si>
    <t>Salvador</t>
  </si>
  <si>
    <t>SV</t>
  </si>
  <si>
    <t>SLV</t>
  </si>
  <si>
    <t>222</t>
  </si>
  <si>
    <t>Samoa</t>
  </si>
  <si>
    <t>WS</t>
  </si>
  <si>
    <t>WSM</t>
  </si>
  <si>
    <t>882</t>
  </si>
  <si>
    <t>WST</t>
  </si>
  <si>
    <t>Tala de Samoa</t>
  </si>
  <si>
    <t>Samoa américaines</t>
  </si>
  <si>
    <t>AS</t>
  </si>
  <si>
    <t>ASM</t>
  </si>
  <si>
    <t>16</t>
  </si>
  <si>
    <t>Sao Tomé-et-Principe</t>
  </si>
  <si>
    <t>ST</t>
  </si>
  <si>
    <t>STP</t>
  </si>
  <si>
    <t>678</t>
  </si>
  <si>
    <t>STD</t>
  </si>
  <si>
    <t>Dobra de Sao Tomé-et-Principe</t>
  </si>
  <si>
    <t>SN</t>
  </si>
  <si>
    <t>SEN</t>
  </si>
  <si>
    <t>686</t>
  </si>
  <si>
    <t>Serbie</t>
  </si>
  <si>
    <t>RS</t>
  </si>
  <si>
    <t>SRB</t>
  </si>
  <si>
    <t>688</t>
  </si>
  <si>
    <t>RSD</t>
  </si>
  <si>
    <t>Dinar serbe</t>
  </si>
  <si>
    <t>Seychelles</t>
  </si>
  <si>
    <t>SC</t>
  </si>
  <si>
    <t>SYC</t>
  </si>
  <si>
    <t>690</t>
  </si>
  <si>
    <t>SCR</t>
  </si>
  <si>
    <t>Roupie seychelloise</t>
  </si>
  <si>
    <t>Sierra Leone</t>
  </si>
  <si>
    <t>SL</t>
  </si>
  <si>
    <t>SLE</t>
  </si>
  <si>
    <t>694</t>
  </si>
  <si>
    <t>SLL</t>
  </si>
  <si>
    <t>Leone sierra-léonais</t>
  </si>
  <si>
    <t>Singapour</t>
  </si>
  <si>
    <t>SG</t>
  </si>
  <si>
    <t>SGP</t>
  </si>
  <si>
    <t>702</t>
  </si>
  <si>
    <t>SGD</t>
  </si>
  <si>
    <t>Dollar de Singapour</t>
  </si>
  <si>
    <t>Slovaquie</t>
  </si>
  <si>
    <t>SK</t>
  </si>
  <si>
    <t>SVK</t>
  </si>
  <si>
    <t>703</t>
  </si>
  <si>
    <t>Slovénie</t>
  </si>
  <si>
    <t>SI</t>
  </si>
  <si>
    <t>SVN</t>
  </si>
  <si>
    <t>705</t>
  </si>
  <si>
    <t>Somalie</t>
  </si>
  <si>
    <t>SO</t>
  </si>
  <si>
    <t>SOM</t>
  </si>
  <si>
    <t>706</t>
  </si>
  <si>
    <t>SOS</t>
  </si>
  <si>
    <t>Soudan</t>
  </si>
  <si>
    <t>SD</t>
  </si>
  <si>
    <t>SDN</t>
  </si>
  <si>
    <t>736</t>
  </si>
  <si>
    <t>SDG</t>
  </si>
  <si>
    <t>Livre soudanaise</t>
  </si>
  <si>
    <t>Soudan du Sud</t>
  </si>
  <si>
    <t>SS</t>
  </si>
  <si>
    <t>SSD</t>
  </si>
  <si>
    <t>728</t>
  </si>
  <si>
    <t>SSP</t>
  </si>
  <si>
    <t>Livre sud-soudanaise</t>
  </si>
  <si>
    <t>Sri Lanka</t>
  </si>
  <si>
    <t>LK</t>
  </si>
  <si>
    <t>LKA</t>
  </si>
  <si>
    <t>144</t>
  </si>
  <si>
    <t>LKR</t>
  </si>
  <si>
    <t>Roupie du Sri Lanka</t>
  </si>
  <si>
    <t>Suède</t>
  </si>
  <si>
    <t>SE</t>
  </si>
  <si>
    <t>SWE</t>
  </si>
  <si>
    <t>752</t>
  </si>
  <si>
    <t>SEK</t>
  </si>
  <si>
    <t>Couronne suédoise</t>
  </si>
  <si>
    <t>Suisse</t>
  </si>
  <si>
    <t>CH</t>
  </si>
  <si>
    <t>CHE</t>
  </si>
  <si>
    <t>756</t>
  </si>
  <si>
    <t>Suriname</t>
  </si>
  <si>
    <t>SR</t>
  </si>
  <si>
    <t>SUR</t>
  </si>
  <si>
    <t>740</t>
  </si>
  <si>
    <t>SRD</t>
  </si>
  <si>
    <t>Dollar du Suriname</t>
  </si>
  <si>
    <t>Syrie</t>
  </si>
  <si>
    <t>SY</t>
  </si>
  <si>
    <t>SYR</t>
  </si>
  <si>
    <t>760</t>
  </si>
  <si>
    <t>SYP</t>
  </si>
  <si>
    <t>Livre syrienne</t>
  </si>
  <si>
    <t>TJ</t>
  </si>
  <si>
    <t>TJK</t>
  </si>
  <si>
    <t>762</t>
  </si>
  <si>
    <t>TJS</t>
  </si>
  <si>
    <t>Somoni tadjik</t>
  </si>
  <si>
    <t>Taïwan</t>
  </si>
  <si>
    <t>TW</t>
  </si>
  <si>
    <t>TWN</t>
  </si>
  <si>
    <t>158</t>
  </si>
  <si>
    <t>TWD</t>
  </si>
  <si>
    <t>Nouveau dollar taïwanais</t>
  </si>
  <si>
    <t>Tanzanie</t>
  </si>
  <si>
    <t>TZ</t>
  </si>
  <si>
    <t>TZA</t>
  </si>
  <si>
    <t>834</t>
  </si>
  <si>
    <t>TZS</t>
  </si>
  <si>
    <t>Shilling tanzanien</t>
  </si>
  <si>
    <t>Tchad</t>
  </si>
  <si>
    <t>TD</t>
  </si>
  <si>
    <t>TCD</t>
  </si>
  <si>
    <t>148</t>
  </si>
  <si>
    <t>Territoire britannique de l’océan Indien</t>
  </si>
  <si>
    <t>IO</t>
  </si>
  <si>
    <t>IOT</t>
  </si>
  <si>
    <t>86</t>
  </si>
  <si>
    <t>Territoire palestinien</t>
  </si>
  <si>
    <t>PS</t>
  </si>
  <si>
    <t>PSE</t>
  </si>
  <si>
    <t>275</t>
  </si>
  <si>
    <t>Territoires français australs</t>
  </si>
  <si>
    <t>TF</t>
  </si>
  <si>
    <t>ATF</t>
  </si>
  <si>
    <t>260</t>
  </si>
  <si>
    <t>Thaïlande</t>
  </si>
  <si>
    <t>TH</t>
  </si>
  <si>
    <t>THA</t>
  </si>
  <si>
    <t>764</t>
  </si>
  <si>
    <t>THB</t>
  </si>
  <si>
    <t>Baht thaïlandais</t>
  </si>
  <si>
    <t>Timor-Leste</t>
  </si>
  <si>
    <t>TL</t>
  </si>
  <si>
    <t>TLS</t>
  </si>
  <si>
    <t>626</t>
  </si>
  <si>
    <t>Togo</t>
  </si>
  <si>
    <t>TG</t>
  </si>
  <si>
    <t>TGO</t>
  </si>
  <si>
    <t>768</t>
  </si>
  <si>
    <t>Tokelau</t>
  </si>
  <si>
    <t>TK</t>
  </si>
  <si>
    <t>TKL</t>
  </si>
  <si>
    <t>772</t>
  </si>
  <si>
    <t>Tonga</t>
  </si>
  <si>
    <t>TO</t>
  </si>
  <si>
    <t>TON</t>
  </si>
  <si>
    <t>776</t>
  </si>
  <si>
    <t>TOP</t>
  </si>
  <si>
    <t>Pa’anga des Îles Tonga</t>
  </si>
  <si>
    <t>Trinité-et-Tobago</t>
  </si>
  <si>
    <t>TT</t>
  </si>
  <si>
    <t>TTO</t>
  </si>
  <si>
    <t>780</t>
  </si>
  <si>
    <t>TTD</t>
  </si>
  <si>
    <t>Dollar de Trinité-et-Tobago</t>
  </si>
  <si>
    <t>Tunisie</t>
  </si>
  <si>
    <t>TN</t>
  </si>
  <si>
    <t>TUN</t>
  </si>
  <si>
    <t>788</t>
  </si>
  <si>
    <t>TND</t>
  </si>
  <si>
    <t>Dinar tunisien</t>
  </si>
  <si>
    <t>Turkménistan</t>
  </si>
  <si>
    <t>TM</t>
  </si>
  <si>
    <t>TKM</t>
  </si>
  <si>
    <t>795</t>
  </si>
  <si>
    <t>TMT</t>
  </si>
  <si>
    <t>Nouveau manat turkmène</t>
  </si>
  <si>
    <t>Turquie</t>
  </si>
  <si>
    <t>TR</t>
  </si>
  <si>
    <t>TUR</t>
  </si>
  <si>
    <t>792</t>
  </si>
  <si>
    <t>TRY</t>
  </si>
  <si>
    <t>Lire turque</t>
  </si>
  <si>
    <t>Tuvalu</t>
  </si>
  <si>
    <t>TV</t>
  </si>
  <si>
    <t>TUV</t>
  </si>
  <si>
    <t>798</t>
  </si>
  <si>
    <t>TVD</t>
  </si>
  <si>
    <t>Dollar de Tuvalu</t>
  </si>
  <si>
    <t>Ukraine</t>
  </si>
  <si>
    <t>UA</t>
  </si>
  <si>
    <t>UKR</t>
  </si>
  <si>
    <t>804</t>
  </si>
  <si>
    <t>UAH</t>
  </si>
  <si>
    <t>Hryvnia ukrainien</t>
  </si>
  <si>
    <t>Uruguay</t>
  </si>
  <si>
    <t>UY</t>
  </si>
  <si>
    <t>URY</t>
  </si>
  <si>
    <t>858</t>
  </si>
  <si>
    <t>UYU</t>
  </si>
  <si>
    <t>Peso uruguayen</t>
  </si>
  <si>
    <t>Vanuatu</t>
  </si>
  <si>
    <t>VU</t>
  </si>
  <si>
    <t>VUT</t>
  </si>
  <si>
    <t>548</t>
  </si>
  <si>
    <t>VUV</t>
  </si>
  <si>
    <t>Vatu de Vanuatu</t>
  </si>
  <si>
    <t>Vatican</t>
  </si>
  <si>
    <t>VA</t>
  </si>
  <si>
    <t>VAT</t>
  </si>
  <si>
    <t>336</t>
  </si>
  <si>
    <t>Venezuela</t>
  </si>
  <si>
    <t>VE</t>
  </si>
  <si>
    <t>VEN</t>
  </si>
  <si>
    <t>862</t>
  </si>
  <si>
    <t>VEF</t>
  </si>
  <si>
    <t>Vietnam</t>
  </si>
  <si>
    <t>VN</t>
  </si>
  <si>
    <t>VNM</t>
  </si>
  <si>
    <t>704</t>
  </si>
  <si>
    <t>VND</t>
  </si>
  <si>
    <t>Dong vietnamien</t>
  </si>
  <si>
    <t>Yémen</t>
  </si>
  <si>
    <t>YE</t>
  </si>
  <si>
    <t>YEM</t>
  </si>
  <si>
    <t>887</t>
  </si>
  <si>
    <t>YER</t>
  </si>
  <si>
    <t>Rial yéménite</t>
  </si>
  <si>
    <t>Zambie</t>
  </si>
  <si>
    <t>ZM</t>
  </si>
  <si>
    <t>ZMB</t>
  </si>
  <si>
    <t>894</t>
  </si>
  <si>
    <t>ZMW</t>
  </si>
  <si>
    <t>Kwacha zambien</t>
  </si>
  <si>
    <t>Zimbabwe</t>
  </si>
  <si>
    <t>ZW</t>
  </si>
  <si>
    <t>ZWE</t>
  </si>
  <si>
    <t>716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</si>
</sst>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00_-;\-* #,##0.00_-;_-* &quot;-&quot;??_-;_-@_-"/>
    <numFmt numFmtId="165" formatCode="_ * #,##0.00_ ;_ * \-#,##0.00_ ;_ * &quot;-&quot;??_ ;_ @_ "/>
    <numFmt numFmtId="166" formatCode="_ * #,##0.0000_ ;_ * \-#,##0.0000_ ;_ * &quot;-&quot;??_ ;_ @_ "/>
    <numFmt numFmtId="167" formatCode="yyyy\-mm\-dd"/>
    <numFmt numFmtId="168" formatCode="0.0\ %"/>
    <numFmt numFmtId="169" formatCode="_ * #,##0_ ;_ * \-#,##0_ ;_ * &quot;-&quot;??_ ;_ @_ "/>
    <numFmt numFmtId="170" formatCode="_ * #,##0.0_ ;_ * \-#,##0.0_ ;_ * &quot;-&quot;??_ ;_ @_ "/>
  </numFmts>
  <fonts count="76">
    <font>
      <sz val="10.5"/>
      <color theme="1"/>
      <name val="Calibri"/>
      <family val="2"/>
    </font>
    <font>
      <sz val="10.5"/>
      <color theme="1"/>
      <name val="Calibri"/>
      <family val="2"/>
    </font>
    <font>
      <b/>
      <sz val="10.5"/>
      <color theme="0"/>
      <name val="Calibri"/>
      <family val="2"/>
    </font>
    <font>
      <b/>
      <sz val="10.5"/>
      <color theme="1"/>
      <name val="Calibri"/>
      <family val="2"/>
    </font>
    <font>
      <u/>
      <sz val="10.5"/>
      <color theme="10"/>
      <name val="Calibri"/>
      <family val="2"/>
    </font>
    <font>
      <sz val="12"/>
      <color theme="1"/>
      <name val="Calibri"/>
      <family val="2"/>
      <scheme val="minor"/>
    </font>
    <font>
      <u/>
      <sz val="12"/>
      <color theme="10"/>
      <name val="Calibri"/>
      <family val="2"/>
      <scheme val="minor"/>
    </font>
    <font>
      <b/>
      <sz val="11"/>
      <color theme="1"/>
      <name val="Calibri"/>
      <family val="2"/>
      <scheme val="minor"/>
    </font>
    <font>
      <i/>
      <sz val="10.5"/>
      <color rgb="FF7F7F7F"/>
      <name val="Calibri"/>
      <family val="2"/>
    </font>
    <font>
      <i/>
      <sz val="10.5"/>
      <color theme="1"/>
      <name val="Calibri"/>
      <family val="2"/>
    </font>
    <font>
      <sz val="12"/>
      <color theme="1"/>
      <name val="Franklin Gothic Book"/>
      <family val="2"/>
    </font>
    <font>
      <i/>
      <sz val="12"/>
      <color rgb="FF000000"/>
      <name val="Franklin Gothic Book"/>
      <family val="2"/>
    </font>
    <font>
      <sz val="12"/>
      <color rgb="FF000000"/>
      <name val="Franklin Gothic Book"/>
      <family val="2"/>
    </font>
    <font>
      <b/>
      <sz val="18"/>
      <color rgb="FF000000"/>
      <name val="Franklin Gothic Book"/>
      <family val="2"/>
    </font>
    <font>
      <i/>
      <sz val="12"/>
      <name val="Franklin Gothic Book"/>
      <family val="2"/>
    </font>
    <font>
      <sz val="12"/>
      <name val="Franklin Gothic Book"/>
      <family val="2"/>
    </font>
    <font>
      <b/>
      <sz val="12"/>
      <name val="Franklin Gothic Book"/>
      <family val="2"/>
    </font>
    <font>
      <u/>
      <sz val="12"/>
      <color rgb="FF0070C0"/>
      <name val="Franklin Gothic Book"/>
      <family val="2"/>
    </font>
    <font>
      <b/>
      <u/>
      <sz val="12"/>
      <name val="Franklin Gothic Book"/>
      <family val="2"/>
    </font>
    <font>
      <b/>
      <sz val="12"/>
      <color rgb="FF000000"/>
      <name val="Franklin Gothic Book"/>
      <family val="2"/>
    </font>
    <font>
      <u/>
      <sz val="12"/>
      <color rgb="FF0076AF"/>
      <name val="Franklin Gothic Book"/>
      <family val="2"/>
    </font>
    <font>
      <u/>
      <sz val="12"/>
      <color theme="10"/>
      <name val="Franklin Gothic Book"/>
      <family val="2"/>
    </font>
    <font>
      <b/>
      <u/>
      <sz val="12"/>
      <color theme="1"/>
      <name val="Franklin Gothic Book"/>
      <family val="2"/>
    </font>
    <font>
      <b/>
      <i/>
      <sz val="12"/>
      <color theme="1"/>
      <name val="Franklin Gothic Book"/>
      <family val="2"/>
    </font>
    <font>
      <b/>
      <i/>
      <u/>
      <sz val="12"/>
      <color theme="1"/>
      <name val="Franklin Gothic Book"/>
      <family val="2"/>
    </font>
    <font>
      <i/>
      <sz val="12"/>
      <color theme="1"/>
      <name val="Franklin Gothic Book"/>
      <family val="2"/>
    </font>
    <font>
      <i/>
      <u/>
      <sz val="12"/>
      <color theme="1"/>
      <name val="Franklin Gothic Book"/>
      <family val="2"/>
    </font>
    <font>
      <b/>
      <u/>
      <sz val="12"/>
      <color rgb="FF0070C0"/>
      <name val="Franklin Gothic Book"/>
      <family val="2"/>
    </font>
    <font>
      <b/>
      <u/>
      <sz val="12"/>
      <color theme="10"/>
      <name val="Franklin Gothic Book"/>
      <family val="2"/>
    </font>
    <font>
      <b/>
      <sz val="10"/>
      <color theme="1"/>
      <name val="Franklin Gothic Book"/>
      <family val="2"/>
    </font>
    <font>
      <b/>
      <sz val="10"/>
      <color rgb="FF0076AF"/>
      <name val="Franklin Gothic Book"/>
      <family val="2"/>
    </font>
    <font>
      <i/>
      <u/>
      <sz val="12"/>
      <color rgb="FF0076AF"/>
      <name val="Franklin Gothic Book"/>
      <family val="2"/>
    </font>
    <font>
      <i/>
      <sz val="12"/>
      <color theme="10"/>
      <name val="Franklin Gothic Book"/>
      <family val="2"/>
    </font>
    <font>
      <u/>
      <sz val="10.5"/>
      <color theme="10"/>
      <name val="Franklin Gothic Book"/>
      <family val="2"/>
    </font>
    <font>
      <b/>
      <i/>
      <sz val="12"/>
      <color rgb="FF000000"/>
      <name val="Franklin Gothic Book"/>
      <family val="2"/>
    </font>
    <font>
      <b/>
      <i/>
      <u/>
      <sz val="16"/>
      <color theme="1"/>
      <name val="Franklin Gothic Book"/>
      <family val="2"/>
    </font>
    <font>
      <b/>
      <i/>
      <sz val="12"/>
      <name val="Franklin Gothic Book"/>
      <family val="2"/>
    </font>
    <font>
      <i/>
      <u/>
      <sz val="12"/>
      <color theme="10"/>
      <name val="Franklin Gothic Book"/>
      <family val="2"/>
    </font>
    <font>
      <b/>
      <i/>
      <u/>
      <sz val="12"/>
      <color theme="10"/>
      <name val="Franklin Gothic Book"/>
      <family val="2"/>
    </font>
    <font>
      <i/>
      <u/>
      <sz val="12"/>
      <color rgb="FF000000"/>
      <name val="Franklin Gothic Book"/>
      <family val="2"/>
    </font>
    <font>
      <b/>
      <i/>
      <u/>
      <sz val="12"/>
      <color rgb="FF000000"/>
      <name val="Franklin Gothic Book"/>
      <family val="2"/>
    </font>
    <font>
      <i/>
      <sz val="12"/>
      <color rgb="FF0076AF"/>
      <name val="Franklin Gothic Book"/>
      <family val="2"/>
    </font>
    <font>
      <sz val="10.5"/>
      <color theme="1"/>
      <name val="Franklin Gothic Book"/>
      <family val="2"/>
    </font>
    <font>
      <i/>
      <sz val="10.5"/>
      <color theme="1"/>
      <name val="Franklin Gothic Book"/>
      <family val="2"/>
    </font>
    <font>
      <i/>
      <sz val="12"/>
      <color rgb="FF0070C0"/>
      <name val="Franklin Gothic Book"/>
      <family val="2"/>
    </font>
    <font>
      <b/>
      <sz val="10.5"/>
      <name val="Franklin Gothic Book"/>
      <family val="2"/>
    </font>
    <font>
      <b/>
      <sz val="14"/>
      <color rgb="FF000000"/>
      <name val="Franklin Gothic Book"/>
      <family val="2"/>
    </font>
    <font>
      <sz val="14"/>
      <color theme="1"/>
      <name val="Franklin Gothic Book"/>
      <family val="2"/>
    </font>
    <font>
      <b/>
      <sz val="14"/>
      <color theme="1"/>
      <name val="Franklin Gothic Book"/>
      <family val="2"/>
    </font>
    <font>
      <b/>
      <u/>
      <sz val="10.5"/>
      <color theme="10"/>
      <name val="Franklin Gothic Book"/>
      <family val="2"/>
    </font>
    <font>
      <i/>
      <sz val="10.5"/>
      <color rgb="FF000000"/>
      <name val="Franklin Gothic Book"/>
      <family val="2"/>
    </font>
    <font>
      <sz val="10.5"/>
      <color rgb="FF000000"/>
      <name val="Franklin Gothic Book"/>
      <family val="2"/>
    </font>
    <font>
      <sz val="10.5"/>
      <name val="Franklin Gothic Book"/>
      <family val="2"/>
    </font>
    <font>
      <i/>
      <sz val="10.5"/>
      <name val="Franklin Gothic Book"/>
      <family val="2"/>
    </font>
    <font>
      <i/>
      <sz val="10.5"/>
      <color theme="10"/>
      <name val="Franklin Gothic Book"/>
      <family val="2"/>
    </font>
    <font>
      <i/>
      <u/>
      <sz val="10.5"/>
      <color rgb="FF0076AF"/>
      <name val="Franklin Gothic Book"/>
      <family val="2"/>
    </font>
    <font>
      <b/>
      <sz val="14"/>
      <color rgb="FF0076AF"/>
      <name val="Franklin Gothic Book"/>
      <family val="2"/>
    </font>
    <font>
      <b/>
      <sz val="12"/>
      <color theme="0"/>
      <name val="Franklin Gothic Book"/>
      <family val="2"/>
    </font>
    <font>
      <b/>
      <sz val="12"/>
      <color theme="1"/>
      <name val="Franklin Gothic Book"/>
      <family val="2"/>
    </font>
    <font>
      <i/>
      <u/>
      <sz val="12"/>
      <name val="Franklin Gothic Book"/>
      <family val="2"/>
    </font>
    <font>
      <b/>
      <sz val="18"/>
      <color theme="1"/>
      <name val="Franklin Gothic Book"/>
      <family val="2"/>
    </font>
    <font>
      <b/>
      <sz val="10.5"/>
      <color theme="1"/>
      <name val="Franklin Gothic Book"/>
      <family val="2"/>
    </font>
    <font>
      <i/>
      <u/>
      <sz val="10.5"/>
      <color theme="10"/>
      <name val="Franklin Gothic Book"/>
      <family val="2"/>
    </font>
    <font>
      <i/>
      <sz val="10.5"/>
      <color rgb="FF7F7F7F"/>
      <name val="Franklin Gothic Book"/>
      <family val="2"/>
    </font>
    <font>
      <b/>
      <i/>
      <u/>
      <sz val="10.5"/>
      <color theme="1"/>
      <name val="Franklin Gothic Book"/>
      <family val="2"/>
    </font>
    <font>
      <u/>
      <sz val="10.5"/>
      <color rgb="FF0076AF"/>
      <name val="Franklin Gothic Book"/>
      <family val="2"/>
    </font>
    <font>
      <sz val="10.5"/>
      <color theme="10"/>
      <name val="Franklin Gothic Book"/>
      <family val="2"/>
    </font>
    <font>
      <b/>
      <sz val="10.5"/>
      <color theme="10"/>
      <name val="Franklin Gothic Book"/>
      <family val="2"/>
    </font>
    <font>
      <b/>
      <sz val="16"/>
      <color theme="1"/>
      <name val="Franklin Gothic Book"/>
      <family val="2"/>
    </font>
    <font>
      <sz val="11"/>
      <color theme="1"/>
      <name val="Franklin Gothic Book"/>
      <family val="2"/>
    </font>
    <font>
      <i/>
      <sz val="11"/>
      <color rgb="FF000000"/>
      <name val="Franklin Gothic Book"/>
      <family val="2"/>
    </font>
    <font>
      <b/>
      <u/>
      <sz val="10.5"/>
      <name val="Franklin Gothic Book"/>
      <family val="2"/>
    </font>
    <font>
      <i/>
      <u/>
      <sz val="10.5"/>
      <name val="Franklin Gothic Book"/>
      <family val="2"/>
    </font>
    <font>
      <b/>
      <u/>
      <sz val="12"/>
      <color theme="4"/>
      <name val="Franklin Gothic Book"/>
      <family val="2"/>
    </font>
    <font>
      <b/>
      <i/>
      <sz val="10.5"/>
      <color theme="1"/>
      <name val="Franklin Gothic Book"/>
      <family val="2"/>
    </font>
    <font>
      <sz val="11"/>
      <color rgb="FF000000"/>
      <name val="Calibri"/>
      <family val="2"/>
    </font>
  </fonts>
  <fills count="12">
    <fill>
      <patternFill patternType="none"/>
    </fill>
    <fill>
      <patternFill patternType="gray125"/>
    </fill>
    <fill>
      <patternFill patternType="solid">
        <fgColor theme="0" tint="-0.14999847407452621"/>
        <bgColor indexed="64"/>
      </patternFill>
    </fill>
    <fill>
      <patternFill patternType="solid">
        <fgColor theme="4"/>
        <bgColor theme="4"/>
      </patternFill>
    </fill>
    <fill>
      <patternFill patternType="solid">
        <fgColor rgb="FFF2F2F2"/>
        <bgColor indexed="64"/>
      </patternFill>
    </fill>
    <fill>
      <patternFill patternType="solid">
        <fgColor rgb="FFD9D9D9"/>
        <bgColor indexed="64"/>
      </patternFill>
    </fill>
    <fill>
      <patternFill patternType="solid">
        <fgColor theme="4" tint="0.79998168889431442"/>
        <bgColor indexed="64"/>
      </patternFill>
    </fill>
    <fill>
      <patternFill patternType="solid">
        <fgColor theme="0"/>
        <bgColor indexed="64"/>
      </patternFill>
    </fill>
    <fill>
      <patternFill patternType="solid">
        <fgColor rgb="FFF6A70A"/>
        <bgColor indexed="64"/>
      </patternFill>
    </fill>
    <fill>
      <patternFill patternType="solid">
        <fgColor rgb="FF165B89"/>
        <bgColor indexed="64"/>
      </patternFill>
    </fill>
    <fill>
      <patternFill patternType="solid">
        <fgColor rgb="FFF2F2F2"/>
        <bgColor theme="4" tint="0.79998168889431442"/>
      </patternFill>
    </fill>
    <fill>
      <patternFill patternType="solid">
        <fgColor theme="2"/>
        <bgColor indexed="64"/>
      </patternFill>
    </fill>
  </fills>
  <borders count="46">
    <border>
      <left/>
      <right/>
      <top/>
      <bottom/>
      <diagonal/>
    </border>
    <border>
      <left/>
      <right/>
      <top style="thin">
        <color indexed="64"/>
      </top>
      <bottom/>
      <diagonal/>
    </border>
    <border>
      <left/>
      <right/>
      <top/>
      <bottom style="medium">
        <color indexed="64"/>
      </bottom>
      <diagonal/>
    </border>
    <border>
      <left/>
      <right/>
      <top/>
      <bottom style="medium">
        <color rgb="FF0076AF"/>
      </bottom>
      <diagonal/>
    </border>
    <border>
      <left style="medium">
        <color theme="0"/>
      </left>
      <right style="medium">
        <color theme="0"/>
      </right>
      <top style="medium">
        <color theme="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0"/>
      </right>
      <top/>
      <bottom style="medium">
        <color indexed="64"/>
      </bottom>
      <diagonal/>
    </border>
    <border>
      <left style="thin">
        <color theme="0"/>
      </left>
      <right style="thin">
        <color theme="0"/>
      </right>
      <top/>
      <bottom style="medium">
        <color indexed="64"/>
      </bottom>
      <diagonal/>
    </border>
    <border>
      <left style="thin">
        <color theme="0"/>
      </left>
      <right/>
      <top/>
      <bottom style="medium">
        <color indexed="64"/>
      </bottom>
      <diagonal/>
    </border>
    <border>
      <left/>
      <right style="thin">
        <color theme="0"/>
      </right>
      <top style="thin">
        <color indexed="64"/>
      </top>
      <bottom/>
      <diagonal/>
    </border>
    <border>
      <left style="thin">
        <color theme="0"/>
      </left>
      <right/>
      <top style="thin">
        <color indexed="64"/>
      </top>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style="medium">
        <color indexed="64"/>
      </top>
      <bottom style="medium">
        <color indexed="64"/>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top style="thin">
        <color indexed="64"/>
      </top>
      <bottom style="double">
        <color indexed="64"/>
      </bottom>
      <diagonal/>
    </border>
    <border>
      <left/>
      <right/>
      <top style="medium">
        <color rgb="FF0076AF"/>
      </top>
      <bottom/>
      <diagonal/>
    </border>
    <border>
      <left/>
      <right/>
      <top/>
      <bottom style="thin">
        <color indexed="64"/>
      </bottom>
      <diagonal/>
    </border>
    <border>
      <left/>
      <right/>
      <top/>
      <bottom style="medium">
        <color theme="0"/>
      </bottom>
      <diagonal/>
    </border>
    <border>
      <left/>
      <right/>
      <top style="medium">
        <color theme="0"/>
      </top>
      <bottom/>
      <diagonal/>
    </border>
    <border>
      <left style="thin">
        <color theme="0"/>
      </left>
      <right/>
      <top style="medium">
        <color auto="1"/>
      </top>
      <bottom style="medium">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thin">
        <color theme="0"/>
      </right>
      <top style="medium">
        <color indexed="64"/>
      </top>
      <bottom style="medium">
        <color indexed="64"/>
      </bottom>
      <diagonal/>
    </border>
    <border>
      <left/>
      <right/>
      <top style="thin">
        <color indexed="64"/>
      </top>
      <bottom style="thin">
        <color indexed="64"/>
      </bottom>
      <diagonal/>
    </border>
    <border>
      <left style="thin">
        <color theme="0"/>
      </left>
      <right/>
      <top/>
      <bottom style="thin">
        <color indexed="64"/>
      </bottom>
      <diagonal/>
    </border>
    <border>
      <left/>
      <right/>
      <top style="medium">
        <color indexed="64"/>
      </top>
      <bottom style="medium">
        <color rgb="FF188FBB"/>
      </bottom>
      <diagonal/>
    </border>
    <border>
      <left style="medium">
        <color indexed="64"/>
      </left>
      <right/>
      <top/>
      <bottom/>
      <diagonal/>
    </border>
    <border>
      <left/>
      <right/>
      <top/>
      <bottom style="thin">
        <color rgb="FF188FBB"/>
      </bottom>
      <diagonal/>
    </border>
  </borders>
  <cellStyleXfs count="9">
    <xf numFmtId="0" fontId="0" fillId="0" borderId="0"/>
    <xf numFmtId="165" fontId="1" fillId="0" borderId="0" applyFont="0" applyFill="0" applyBorder="0" applyAlignment="0" applyProtection="0"/>
    <xf numFmtId="0" fontId="4" fillId="0" borderId="0" applyNumberFormat="0" applyFill="0" applyBorder="0" applyAlignment="0" applyProtection="0"/>
    <xf numFmtId="0" fontId="5" fillId="0" borderId="0"/>
    <xf numFmtId="0" fontId="6" fillId="0" borderId="0" applyNumberFormat="0" applyFill="0" applyBorder="0" applyAlignment="0" applyProtection="0"/>
    <xf numFmtId="0" fontId="8" fillId="0" borderId="0" applyNumberForma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75" fillId="0" borderId="0"/>
  </cellStyleXfs>
  <cellXfs count="376">
    <xf numFmtId="0" fontId="0" fillId="0" borderId="0" xfId="0"/>
    <xf numFmtId="0" fontId="0" fillId="0" borderId="8" xfId="0" applyBorder="1"/>
    <xf numFmtId="0" fontId="0" fillId="0" borderId="9" xfId="0" applyBorder="1"/>
    <xf numFmtId="0" fontId="0" fillId="0" borderId="0" xfId="0" applyAlignment="1">
      <alignment wrapText="1"/>
    </xf>
    <xf numFmtId="0" fontId="2" fillId="3" borderId="15" xfId="0" applyFont="1" applyFill="1" applyBorder="1" applyAlignment="1">
      <alignment wrapText="1"/>
    </xf>
    <xf numFmtId="0" fontId="3" fillId="0" borderId="0" xfId="0" applyFont="1" applyAlignment="1">
      <alignment wrapText="1"/>
    </xf>
    <xf numFmtId="49" fontId="7" fillId="0" borderId="0" xfId="0" applyNumberFormat="1" applyFont="1" applyAlignment="1">
      <alignment horizontal="left" wrapText="1"/>
    </xf>
    <xf numFmtId="0" fontId="9" fillId="0" borderId="0" xfId="0" quotePrefix="1" applyFont="1" applyAlignment="1">
      <alignment wrapText="1"/>
    </xf>
    <xf numFmtId="49" fontId="0" fillId="0" borderId="0" xfId="0" applyNumberFormat="1" applyAlignment="1">
      <alignment wrapText="1"/>
    </xf>
    <xf numFmtId="0" fontId="2" fillId="3" borderId="16" xfId="0" applyFont="1" applyFill="1" applyBorder="1" applyAlignment="1">
      <alignment wrapText="1"/>
    </xf>
    <xf numFmtId="0" fontId="0" fillId="0" borderId="8" xfId="0" applyBorder="1" applyAlignment="1">
      <alignment wrapText="1"/>
    </xf>
    <xf numFmtId="0" fontId="0" fillId="0" borderId="9" xfId="0" applyBorder="1" applyAlignment="1">
      <alignment wrapText="1"/>
    </xf>
    <xf numFmtId="0" fontId="10" fillId="0" borderId="0" xfId="3" applyFont="1" applyAlignment="1">
      <alignment horizontal="left" vertical="center"/>
    </xf>
    <xf numFmtId="0" fontId="10" fillId="0" borderId="0" xfId="3" applyFont="1" applyAlignment="1">
      <alignment horizontal="right" vertical="center"/>
    </xf>
    <xf numFmtId="0" fontId="11" fillId="2" borderId="0" xfId="3" applyFont="1" applyFill="1" applyAlignment="1">
      <alignment horizontal="left" vertical="center"/>
    </xf>
    <xf numFmtId="0" fontId="12" fillId="2" borderId="0" xfId="3" applyFont="1" applyFill="1" applyAlignment="1">
      <alignment horizontal="left" vertical="center"/>
    </xf>
    <xf numFmtId="0" fontId="10" fillId="2" borderId="0" xfId="3" applyFont="1" applyFill="1" applyAlignment="1">
      <alignment horizontal="left" vertical="center"/>
    </xf>
    <xf numFmtId="0" fontId="13" fillId="2" borderId="0" xfId="3" applyFont="1" applyFill="1" applyAlignment="1">
      <alignment vertical="center"/>
    </xf>
    <xf numFmtId="0" fontId="10" fillId="2" borderId="0" xfId="3" applyFont="1" applyFill="1" applyAlignment="1">
      <alignment vertical="center"/>
    </xf>
    <xf numFmtId="0" fontId="14" fillId="2" borderId="0" xfId="3" applyFont="1" applyFill="1" applyAlignment="1">
      <alignment vertical="center"/>
    </xf>
    <xf numFmtId="0" fontId="11" fillId="2" borderId="0" xfId="3" applyFont="1" applyFill="1" applyAlignment="1">
      <alignment vertical="center"/>
    </xf>
    <xf numFmtId="0" fontId="15" fillId="5" borderId="0" xfId="3" applyFont="1" applyFill="1" applyAlignment="1">
      <alignment horizontal="left" vertical="center"/>
    </xf>
    <xf numFmtId="0" fontId="11" fillId="2" borderId="0" xfId="3" applyFont="1" applyFill="1" applyAlignment="1">
      <alignment horizontal="left" vertical="center" wrapText="1" indent="2"/>
    </xf>
    <xf numFmtId="0" fontId="16" fillId="5" borderId="0" xfId="3" applyFont="1" applyFill="1" applyAlignment="1">
      <alignment vertical="center"/>
    </xf>
    <xf numFmtId="0" fontId="11" fillId="2" borderId="0" xfId="3" applyFont="1" applyFill="1" applyAlignment="1">
      <alignment vertical="center" wrapText="1"/>
    </xf>
    <xf numFmtId="0" fontId="15" fillId="5" borderId="0" xfId="3" applyFont="1" applyFill="1" applyAlignment="1">
      <alignment vertical="center"/>
    </xf>
    <xf numFmtId="0" fontId="16" fillId="2" borderId="0" xfId="3" applyFont="1" applyFill="1" applyAlignment="1">
      <alignment vertical="center"/>
    </xf>
    <xf numFmtId="0" fontId="15" fillId="2" borderId="0" xfId="3" applyFont="1" applyFill="1" applyAlignment="1">
      <alignment vertical="center"/>
    </xf>
    <xf numFmtId="0" fontId="12" fillId="2" borderId="0" xfId="3" applyFont="1" applyFill="1" applyAlignment="1">
      <alignment vertical="center"/>
    </xf>
    <xf numFmtId="0" fontId="18" fillId="5" borderId="0" xfId="3" applyFont="1" applyFill="1" applyAlignment="1">
      <alignment vertical="center"/>
    </xf>
    <xf numFmtId="0" fontId="19" fillId="2" borderId="0" xfId="3" applyFont="1" applyFill="1" applyAlignment="1">
      <alignment vertical="center"/>
    </xf>
    <xf numFmtId="0" fontId="15" fillId="5" borderId="0" xfId="3" applyFont="1" applyFill="1" applyAlignment="1">
      <alignment horizontal="left" vertical="center" indent="2"/>
    </xf>
    <xf numFmtId="0" fontId="20" fillId="2" borderId="0" xfId="2" applyFont="1" applyFill="1" applyBorder="1" applyAlignment="1"/>
    <xf numFmtId="0" fontId="10" fillId="7" borderId="0" xfId="3" applyFont="1" applyFill="1" applyAlignment="1">
      <alignment horizontal="left" vertical="center"/>
    </xf>
    <xf numFmtId="0" fontId="12" fillId="7" borderId="0" xfId="3" applyFont="1" applyFill="1" applyAlignment="1">
      <alignment vertical="center"/>
    </xf>
    <xf numFmtId="0" fontId="21" fillId="7" borderId="0" xfId="2" applyFont="1" applyFill="1" applyBorder="1" applyAlignment="1"/>
    <xf numFmtId="0" fontId="10" fillId="0" borderId="0" xfId="3" applyFont="1" applyAlignment="1">
      <alignment horizontal="left" vertical="center" wrapText="1"/>
    </xf>
    <xf numFmtId="0" fontId="18" fillId="6" borderId="38" xfId="3" applyFont="1" applyFill="1" applyBorder="1" applyAlignment="1">
      <alignment horizontal="left" vertical="center" wrapText="1"/>
    </xf>
    <xf numFmtId="0" fontId="18" fillId="0" borderId="38" xfId="3" applyFont="1" applyBorder="1" applyAlignment="1">
      <alignment horizontal="left" vertical="center" wrapText="1"/>
    </xf>
    <xf numFmtId="0" fontId="22" fillId="7" borderId="0" xfId="3" applyFont="1" applyFill="1" applyAlignment="1">
      <alignment horizontal="left" vertical="center"/>
    </xf>
    <xf numFmtId="0" fontId="21" fillId="2" borderId="0" xfId="4" applyFont="1" applyFill="1" applyBorder="1" applyAlignment="1"/>
    <xf numFmtId="0" fontId="12" fillId="0" borderId="0" xfId="3" applyFont="1" applyAlignment="1">
      <alignment vertical="center"/>
    </xf>
    <xf numFmtId="0" fontId="21" fillId="0" borderId="0" xfId="4" applyFont="1" applyFill="1" applyBorder="1" applyAlignment="1"/>
    <xf numFmtId="0" fontId="23" fillId="4" borderId="27" xfId="3" applyFont="1" applyFill="1" applyBorder="1" applyAlignment="1">
      <alignment vertical="center" wrapText="1"/>
    </xf>
    <xf numFmtId="0" fontId="25" fillId="0" borderId="0" xfId="3" applyFont="1" applyAlignment="1">
      <alignment vertical="center" wrapText="1"/>
    </xf>
    <xf numFmtId="0" fontId="23" fillId="4" borderId="30" xfId="3" applyFont="1" applyFill="1" applyBorder="1" applyAlignment="1">
      <alignment vertical="center" wrapText="1"/>
    </xf>
    <xf numFmtId="0" fontId="25" fillId="4" borderId="1" xfId="3" applyFont="1" applyFill="1" applyBorder="1" applyAlignment="1">
      <alignment vertical="center" wrapText="1"/>
    </xf>
    <xf numFmtId="0" fontId="25" fillId="4" borderId="31" xfId="3" applyFont="1" applyFill="1" applyBorder="1" applyAlignment="1">
      <alignment vertical="center" wrapText="1"/>
    </xf>
    <xf numFmtId="0" fontId="25" fillId="4" borderId="28" xfId="3" applyFont="1" applyFill="1" applyBorder="1" applyAlignment="1">
      <alignment vertical="center" wrapText="1"/>
    </xf>
    <xf numFmtId="0" fontId="25" fillId="4" borderId="34" xfId="3" applyFont="1" applyFill="1" applyBorder="1" applyAlignment="1">
      <alignment vertical="center" wrapText="1"/>
    </xf>
    <xf numFmtId="0" fontId="25" fillId="4" borderId="0" xfId="3" applyFont="1" applyFill="1" applyAlignment="1">
      <alignment vertical="center" wrapText="1"/>
    </xf>
    <xf numFmtId="0" fontId="25" fillId="4" borderId="35" xfId="3" applyFont="1" applyFill="1" applyBorder="1" applyAlignment="1">
      <alignment vertical="center" wrapText="1"/>
    </xf>
    <xf numFmtId="0" fontId="26" fillId="4" borderId="29" xfId="3" applyFont="1" applyFill="1" applyBorder="1" applyAlignment="1">
      <alignment vertical="center" wrapText="1"/>
    </xf>
    <xf numFmtId="0" fontId="25" fillId="4" borderId="33" xfId="3" applyFont="1" applyFill="1" applyBorder="1" applyAlignment="1">
      <alignment vertical="center" wrapText="1"/>
    </xf>
    <xf numFmtId="0" fontId="12" fillId="0" borderId="3" xfId="3" applyFont="1" applyBorder="1" applyAlignment="1">
      <alignment vertical="center"/>
    </xf>
    <xf numFmtId="0" fontId="10" fillId="0" borderId="3" xfId="3" applyFont="1" applyBorder="1" applyAlignment="1">
      <alignment horizontal="left" vertical="center"/>
    </xf>
    <xf numFmtId="0" fontId="25" fillId="0" borderId="0" xfId="3" applyFont="1" applyAlignment="1">
      <alignment horizontal="left" vertical="center"/>
    </xf>
    <xf numFmtId="0" fontId="12" fillId="0" borderId="0" xfId="3" applyFont="1" applyAlignment="1">
      <alignment horizontal="left" vertical="center" indent="2"/>
    </xf>
    <xf numFmtId="0" fontId="11" fillId="0" borderId="0" xfId="3" applyFont="1" applyAlignment="1">
      <alignment vertical="center"/>
    </xf>
    <xf numFmtId="0" fontId="19" fillId="0" borderId="0" xfId="3" applyFont="1" applyAlignment="1">
      <alignment vertical="center"/>
    </xf>
    <xf numFmtId="0" fontId="11" fillId="0" borderId="0" xfId="3" applyFont="1" applyAlignment="1">
      <alignment horizontal="left" vertical="center"/>
    </xf>
    <xf numFmtId="0" fontId="11" fillId="0" borderId="0" xfId="3" applyFont="1" applyAlignment="1">
      <alignment horizontal="left" vertical="center" indent="2"/>
    </xf>
    <xf numFmtId="167" fontId="11" fillId="0" borderId="0" xfId="3" applyNumberFormat="1" applyFont="1" applyAlignment="1">
      <alignment vertical="center"/>
    </xf>
    <xf numFmtId="0" fontId="11" fillId="0" borderId="0" xfId="3" applyFont="1" applyAlignment="1">
      <alignment horizontal="left" vertical="center" wrapText="1" indent="2"/>
    </xf>
    <xf numFmtId="0" fontId="31" fillId="0" borderId="0" xfId="3" applyFont="1" applyAlignment="1">
      <alignment vertical="center"/>
    </xf>
    <xf numFmtId="0" fontId="11" fillId="0" borderId="0" xfId="3" applyFont="1" applyAlignment="1">
      <alignment horizontal="left" vertical="center" indent="4"/>
    </xf>
    <xf numFmtId="0" fontId="11" fillId="0" borderId="0" xfId="3" applyFont="1" applyAlignment="1">
      <alignment horizontal="left" vertical="center" indent="6"/>
    </xf>
    <xf numFmtId="0" fontId="32" fillId="0" borderId="0" xfId="2" applyFont="1" applyFill="1" applyBorder="1" applyAlignment="1">
      <alignment horizontal="left" vertical="center" indent="2"/>
    </xf>
    <xf numFmtId="166" fontId="11" fillId="0" borderId="0" xfId="1" applyNumberFormat="1" applyFont="1" applyFill="1" applyBorder="1" applyAlignment="1">
      <alignment vertical="center"/>
    </xf>
    <xf numFmtId="0" fontId="33" fillId="0" borderId="0" xfId="2" applyFont="1" applyFill="1" applyBorder="1" applyAlignment="1">
      <alignment horizontal="left" vertical="center" wrapText="1"/>
    </xf>
    <xf numFmtId="0" fontId="23" fillId="0" borderId="0" xfId="3" applyFont="1" applyAlignment="1">
      <alignment horizontal="left" vertical="center"/>
    </xf>
    <xf numFmtId="0" fontId="34" fillId="0" borderId="0" xfId="3" applyFont="1" applyAlignment="1">
      <alignment vertical="center"/>
    </xf>
    <xf numFmtId="10" fontId="11" fillId="0" borderId="0" xfId="3" applyNumberFormat="1" applyFont="1" applyAlignment="1">
      <alignment horizontal="left" vertical="center"/>
    </xf>
    <xf numFmtId="0" fontId="35" fillId="5" borderId="0" xfId="3" applyFont="1" applyFill="1" applyAlignment="1">
      <alignment horizontal="left" vertical="center"/>
    </xf>
    <xf numFmtId="0" fontId="10" fillId="5" borderId="0" xfId="3" applyFont="1" applyFill="1" applyAlignment="1">
      <alignment horizontal="left" vertical="center"/>
    </xf>
    <xf numFmtId="0" fontId="25" fillId="5" borderId="0" xfId="3" applyFont="1" applyFill="1" applyAlignment="1">
      <alignment vertical="center" wrapText="1"/>
    </xf>
    <xf numFmtId="0" fontId="37" fillId="2" borderId="0" xfId="2" applyFont="1" applyFill="1"/>
    <xf numFmtId="0" fontId="37" fillId="0" borderId="0" xfId="2" applyFont="1" applyFill="1"/>
    <xf numFmtId="0" fontId="22" fillId="0" borderId="0" xfId="3" applyFont="1" applyAlignment="1">
      <alignment horizontal="left" vertical="center"/>
    </xf>
    <xf numFmtId="0" fontId="18" fillId="0" borderId="38" xfId="3" applyFont="1" applyBorder="1" applyAlignment="1">
      <alignment horizontal="left" vertical="center"/>
    </xf>
    <xf numFmtId="0" fontId="10" fillId="0" borderId="0" xfId="3" quotePrefix="1" applyFont="1" applyAlignment="1">
      <alignment horizontal="left" vertical="center"/>
    </xf>
    <xf numFmtId="0" fontId="13" fillId="0" borderId="2" xfId="3" applyFont="1" applyBorder="1" applyAlignment="1" applyProtection="1">
      <alignment vertical="center"/>
      <protection locked="0"/>
    </xf>
    <xf numFmtId="0" fontId="10" fillId="0" borderId="2" xfId="3" applyFont="1" applyBorder="1" applyAlignment="1">
      <alignment horizontal="left" vertical="center"/>
    </xf>
    <xf numFmtId="0" fontId="10" fillId="0" borderId="2" xfId="3" applyFont="1" applyBorder="1" applyAlignment="1">
      <alignment vertical="center"/>
    </xf>
    <xf numFmtId="0" fontId="26" fillId="0" borderId="0" xfId="3" applyFont="1" applyAlignment="1">
      <alignment horizontal="left" vertical="center"/>
    </xf>
    <xf numFmtId="0" fontId="39" fillId="0" borderId="2" xfId="3" applyFont="1" applyBorder="1" applyAlignment="1" applyProtection="1">
      <alignment horizontal="left" vertical="center"/>
      <protection locked="0"/>
    </xf>
    <xf numFmtId="0" fontId="26" fillId="0" borderId="2" xfId="3" applyFont="1" applyBorder="1" applyAlignment="1">
      <alignment horizontal="left" vertical="center"/>
    </xf>
    <xf numFmtId="0" fontId="40" fillId="0" borderId="2" xfId="3" applyFont="1" applyBorder="1" applyAlignment="1">
      <alignment horizontal="left" vertical="center"/>
    </xf>
    <xf numFmtId="0" fontId="24" fillId="0" borderId="2" xfId="3" applyFont="1" applyBorder="1" applyAlignment="1">
      <alignment horizontal="left" vertical="center"/>
    </xf>
    <xf numFmtId="0" fontId="19" fillId="0" borderId="5" xfId="3" applyFont="1" applyBorder="1" applyAlignment="1">
      <alignment vertical="center"/>
    </xf>
    <xf numFmtId="0" fontId="19" fillId="0" borderId="10" xfId="3" applyFont="1" applyBorder="1" applyAlignment="1" applyProtection="1">
      <alignment vertical="center"/>
      <protection locked="0"/>
    </xf>
    <xf numFmtId="0" fontId="11" fillId="0" borderId="2" xfId="3" applyFont="1" applyBorder="1" applyAlignment="1">
      <alignment horizontal="left" vertical="center"/>
    </xf>
    <xf numFmtId="0" fontId="11" fillId="0" borderId="5" xfId="3" applyFont="1" applyBorder="1" applyAlignment="1" applyProtection="1">
      <alignment horizontal="left" vertical="center" indent="2"/>
      <protection locked="0"/>
    </xf>
    <xf numFmtId="0" fontId="25" fillId="6" borderId="7" xfId="3" applyFont="1" applyFill="1" applyBorder="1" applyAlignment="1">
      <alignment horizontal="left" vertical="center"/>
    </xf>
    <xf numFmtId="0" fontId="12" fillId="0" borderId="5" xfId="3" applyFont="1" applyBorder="1" applyAlignment="1" applyProtection="1">
      <alignment horizontal="left" vertical="center" indent="2"/>
      <protection locked="0"/>
    </xf>
    <xf numFmtId="0" fontId="11" fillId="0" borderId="6" xfId="3" applyFont="1" applyBorder="1" applyAlignment="1">
      <alignment vertical="center"/>
    </xf>
    <xf numFmtId="0" fontId="12" fillId="0" borderId="10" xfId="3" applyFont="1" applyBorder="1" applyAlignment="1" applyProtection="1">
      <alignment horizontal="left" vertical="center" indent="2"/>
      <protection locked="0"/>
    </xf>
    <xf numFmtId="0" fontId="25" fillId="0" borderId="2" xfId="3" applyFont="1" applyBorder="1" applyAlignment="1">
      <alignment horizontal="left" vertical="center"/>
    </xf>
    <xf numFmtId="0" fontId="11" fillId="0" borderId="11" xfId="3" applyFont="1" applyBorder="1" applyAlignment="1">
      <alignment vertical="center"/>
    </xf>
    <xf numFmtId="0" fontId="25" fillId="6" borderId="12" xfId="3" applyFont="1" applyFill="1" applyBorder="1" applyAlignment="1">
      <alignment horizontal="left" vertical="center"/>
    </xf>
    <xf numFmtId="0" fontId="11" fillId="0" borderId="10" xfId="3" applyFont="1" applyBorder="1" applyAlignment="1" applyProtection="1">
      <alignment horizontal="left" vertical="center" indent="2"/>
      <protection locked="0"/>
    </xf>
    <xf numFmtId="0" fontId="10" fillId="7" borderId="17" xfId="3" applyFont="1" applyFill="1" applyBorder="1" applyAlignment="1">
      <alignment horizontal="left" vertical="center"/>
    </xf>
    <xf numFmtId="0" fontId="11" fillId="0" borderId="5" xfId="3" applyFont="1" applyBorder="1" applyAlignment="1" applyProtection="1">
      <alignment horizontal="left" vertical="center" wrapText="1" indent="2"/>
      <protection locked="0"/>
    </xf>
    <xf numFmtId="0" fontId="11" fillId="0" borderId="13" xfId="3" applyFont="1" applyBorder="1" applyAlignment="1" applyProtection="1">
      <alignment horizontal="left" vertical="center" wrapText="1" indent="2"/>
      <protection locked="0"/>
    </xf>
    <xf numFmtId="0" fontId="25" fillId="0" borderId="1" xfId="3" applyFont="1" applyBorder="1" applyAlignment="1">
      <alignment horizontal="left" vertical="center"/>
    </xf>
    <xf numFmtId="0" fontId="25" fillId="6" borderId="1" xfId="3" applyFont="1" applyFill="1" applyBorder="1" applyAlignment="1">
      <alignment horizontal="left" vertical="center"/>
    </xf>
    <xf numFmtId="0" fontId="25" fillId="6" borderId="0" xfId="3" applyFont="1" applyFill="1" applyAlignment="1">
      <alignment horizontal="left" vertical="center"/>
    </xf>
    <xf numFmtId="0" fontId="25" fillId="0" borderId="13" xfId="3" applyFont="1" applyBorder="1" applyAlignment="1">
      <alignment horizontal="left" vertical="center"/>
    </xf>
    <xf numFmtId="0" fontId="25" fillId="6" borderId="14" xfId="3" applyFont="1" applyFill="1" applyBorder="1" applyAlignment="1">
      <alignment horizontal="left" vertical="center"/>
    </xf>
    <xf numFmtId="0" fontId="25" fillId="0" borderId="12" xfId="3" applyFont="1" applyBorder="1" applyAlignment="1">
      <alignment horizontal="left" vertical="center"/>
    </xf>
    <xf numFmtId="0" fontId="31" fillId="6" borderId="2" xfId="3" applyFont="1" applyFill="1" applyBorder="1" applyAlignment="1">
      <alignment vertical="center"/>
    </xf>
    <xf numFmtId="0" fontId="42" fillId="0" borderId="0" xfId="3" applyFont="1" applyAlignment="1">
      <alignment horizontal="left" vertical="center"/>
    </xf>
    <xf numFmtId="0" fontId="42" fillId="0" borderId="26" xfId="3" applyFont="1" applyBorder="1" applyAlignment="1">
      <alignment horizontal="left" vertical="center"/>
    </xf>
    <xf numFmtId="0" fontId="42" fillId="0" borderId="17" xfId="3" applyFont="1" applyBorder="1" applyAlignment="1">
      <alignment horizontal="left" vertical="center"/>
    </xf>
    <xf numFmtId="0" fontId="11" fillId="0" borderId="0" xfId="3" applyFont="1" applyAlignment="1">
      <alignment horizontal="left" vertical="center" indent="1"/>
    </xf>
    <xf numFmtId="0" fontId="43" fillId="0" borderId="0" xfId="3" applyFont="1" applyAlignment="1">
      <alignment horizontal="left" vertical="center"/>
    </xf>
    <xf numFmtId="0" fontId="31" fillId="6" borderId="39" xfId="3" applyFont="1" applyFill="1" applyBorder="1" applyAlignment="1">
      <alignment vertical="center"/>
    </xf>
    <xf numFmtId="0" fontId="11" fillId="0" borderId="2" xfId="3" applyFont="1" applyBorder="1" applyAlignment="1">
      <alignment horizontal="left" vertical="center" indent="1"/>
    </xf>
    <xf numFmtId="0" fontId="43" fillId="0" borderId="2" xfId="3" applyFont="1" applyBorder="1" applyAlignment="1">
      <alignment horizontal="left" vertical="center"/>
    </xf>
    <xf numFmtId="0" fontId="42" fillId="0" borderId="2" xfId="3" applyFont="1" applyBorder="1" applyAlignment="1">
      <alignment horizontal="left" vertical="center"/>
    </xf>
    <xf numFmtId="0" fontId="31" fillId="6" borderId="0" xfId="3" applyFont="1" applyFill="1" applyAlignment="1">
      <alignment vertical="center"/>
    </xf>
    <xf numFmtId="0" fontId="10" fillId="0" borderId="17" xfId="3" applyFont="1" applyBorder="1" applyAlignment="1">
      <alignment horizontal="left" vertical="center"/>
    </xf>
    <xf numFmtId="0" fontId="11" fillId="0" borderId="5" xfId="3" applyFont="1" applyBorder="1" applyAlignment="1" applyProtection="1">
      <alignment horizontal="left" vertical="center" indent="4"/>
      <protection locked="0"/>
    </xf>
    <xf numFmtId="0" fontId="11" fillId="0" borderId="5" xfId="3" applyFont="1" applyBorder="1" applyAlignment="1" applyProtection="1">
      <alignment horizontal="left" vertical="center" indent="6"/>
      <protection locked="0"/>
    </xf>
    <xf numFmtId="0" fontId="25" fillId="0" borderId="42" xfId="3" applyFont="1" applyBorder="1" applyAlignment="1">
      <alignment horizontal="left" vertical="center"/>
    </xf>
    <xf numFmtId="0" fontId="25" fillId="6" borderId="23" xfId="3" applyFont="1" applyFill="1" applyBorder="1" applyAlignment="1">
      <alignment horizontal="left" vertical="center"/>
    </xf>
    <xf numFmtId="0" fontId="32" fillId="0" borderId="1" xfId="2" applyFont="1" applyFill="1" applyBorder="1" applyAlignment="1" applyProtection="1">
      <alignment horizontal="left" vertical="center" indent="2"/>
      <protection locked="0"/>
    </xf>
    <xf numFmtId="0" fontId="11" fillId="0" borderId="0" xfId="3" applyFont="1" applyAlignment="1" applyProtection="1">
      <alignment horizontal="left" vertical="center" indent="4"/>
      <protection locked="0"/>
    </xf>
    <xf numFmtId="0" fontId="11" fillId="0" borderId="23" xfId="3" applyFont="1" applyBorder="1" applyAlignment="1" applyProtection="1">
      <alignment horizontal="left" vertical="center" indent="4"/>
      <protection locked="0"/>
    </xf>
    <xf numFmtId="0" fontId="25" fillId="0" borderId="23" xfId="3" applyFont="1" applyBorder="1" applyAlignment="1">
      <alignment horizontal="left" vertical="center"/>
    </xf>
    <xf numFmtId="0" fontId="21" fillId="0" borderId="5" xfId="2" applyFont="1" applyFill="1" applyBorder="1" applyAlignment="1" applyProtection="1">
      <alignment horizontal="left" vertical="center" wrapText="1"/>
      <protection locked="0"/>
    </xf>
    <xf numFmtId="0" fontId="11" fillId="0" borderId="1" xfId="3" applyFont="1" applyBorder="1" applyAlignment="1">
      <alignment vertical="center"/>
    </xf>
    <xf numFmtId="0" fontId="11" fillId="0" borderId="10" xfId="3" applyFont="1" applyBorder="1" applyAlignment="1" applyProtection="1">
      <alignment horizontal="left" vertical="center" indent="4"/>
      <protection locked="0"/>
    </xf>
    <xf numFmtId="0" fontId="25" fillId="6" borderId="2" xfId="3" applyFont="1" applyFill="1" applyBorder="1" applyAlignment="1">
      <alignment horizontal="left" vertical="center"/>
    </xf>
    <xf numFmtId="0" fontId="19" fillId="0" borderId="2" xfId="3" applyFont="1" applyBorder="1" applyAlignment="1" applyProtection="1">
      <alignment vertical="center"/>
      <protection locked="0"/>
    </xf>
    <xf numFmtId="0" fontId="23" fillId="0" borderId="2" xfId="3" applyFont="1" applyBorder="1" applyAlignment="1">
      <alignment horizontal="left" vertical="center"/>
    </xf>
    <xf numFmtId="10" fontId="34" fillId="0" borderId="17" xfId="3" applyNumberFormat="1" applyFont="1" applyBorder="1" applyAlignment="1">
      <alignment vertical="center"/>
    </xf>
    <xf numFmtId="10" fontId="11" fillId="0" borderId="6" xfId="3" applyNumberFormat="1" applyFont="1" applyBorder="1" applyAlignment="1">
      <alignment horizontal="left" vertical="center"/>
    </xf>
    <xf numFmtId="0" fontId="25" fillId="0" borderId="7" xfId="3" applyFont="1" applyBorder="1" applyAlignment="1">
      <alignment horizontal="left" vertical="center"/>
    </xf>
    <xf numFmtId="10" fontId="10" fillId="0" borderId="0" xfId="6" applyNumberFormat="1" applyFont="1" applyFill="1" applyAlignment="1">
      <alignment horizontal="left" vertical="center"/>
    </xf>
    <xf numFmtId="0" fontId="19" fillId="0" borderId="26" xfId="3" applyFont="1" applyBorder="1" applyAlignment="1" applyProtection="1">
      <alignment vertical="center"/>
      <protection locked="0"/>
    </xf>
    <xf numFmtId="0" fontId="23" fillId="0" borderId="17" xfId="3" applyFont="1" applyBorder="1" applyAlignment="1">
      <alignment horizontal="left" vertical="center"/>
    </xf>
    <xf numFmtId="0" fontId="34" fillId="0" borderId="17" xfId="3" applyFont="1" applyBorder="1" applyAlignment="1">
      <alignment vertical="center"/>
    </xf>
    <xf numFmtId="0" fontId="11" fillId="0" borderId="10" xfId="3" applyFont="1" applyBorder="1" applyAlignment="1" applyProtection="1">
      <alignment vertical="center"/>
      <protection locked="0"/>
    </xf>
    <xf numFmtId="0" fontId="12" fillId="5" borderId="0" xfId="3" applyFont="1" applyFill="1" applyAlignment="1">
      <alignment horizontal="left" vertical="center"/>
    </xf>
    <xf numFmtId="0" fontId="22" fillId="6" borderId="38" xfId="3" applyFont="1" applyFill="1" applyBorder="1" applyAlignment="1">
      <alignment horizontal="left" vertical="center" wrapText="1"/>
    </xf>
    <xf numFmtId="0" fontId="22" fillId="0" borderId="38" xfId="3" applyFont="1" applyBorder="1" applyAlignment="1">
      <alignment horizontal="left" vertical="center" wrapText="1"/>
    </xf>
    <xf numFmtId="0" fontId="13" fillId="0" borderId="0" xfId="3" applyFont="1" applyAlignment="1">
      <alignment vertical="center"/>
    </xf>
    <xf numFmtId="0" fontId="10" fillId="0" borderId="0" xfId="3" applyFont="1" applyAlignment="1">
      <alignment vertical="center"/>
    </xf>
    <xf numFmtId="0" fontId="12" fillId="0" borderId="0" xfId="3" applyFont="1" applyAlignment="1">
      <alignment horizontal="left" vertical="center"/>
    </xf>
    <xf numFmtId="0" fontId="46" fillId="0" borderId="0" xfId="3" applyFont="1" applyAlignment="1">
      <alignment horizontal="left" vertical="center"/>
    </xf>
    <xf numFmtId="0" fontId="47" fillId="0" borderId="0" xfId="3" applyFont="1" applyAlignment="1">
      <alignment horizontal="left" vertical="center"/>
    </xf>
    <xf numFmtId="0" fontId="48" fillId="0" borderId="0" xfId="3" applyFont="1" applyAlignment="1">
      <alignment horizontal="left" vertical="center"/>
    </xf>
    <xf numFmtId="0" fontId="49" fillId="0" borderId="27" xfId="2" applyFont="1" applyFill="1" applyBorder="1" applyAlignment="1">
      <alignment horizontal="left" vertical="center" wrapText="1"/>
    </xf>
    <xf numFmtId="0" fontId="50" fillId="0" borderId="27" xfId="3" applyFont="1" applyBorder="1" applyAlignment="1">
      <alignment vertical="center" wrapText="1"/>
    </xf>
    <xf numFmtId="0" fontId="42" fillId="6" borderId="27" xfId="3" applyFont="1" applyFill="1" applyBorder="1" applyAlignment="1">
      <alignment horizontal="left" vertical="center"/>
    </xf>
    <xf numFmtId="0" fontId="50" fillId="0" borderId="28" xfId="3" applyFont="1" applyBorder="1" applyAlignment="1">
      <alignment horizontal="left" vertical="center" indent="1"/>
    </xf>
    <xf numFmtId="0" fontId="50" fillId="0" borderId="28" xfId="3" applyFont="1" applyBorder="1" applyAlignment="1">
      <alignment vertical="center" wrapText="1"/>
    </xf>
    <xf numFmtId="0" fontId="42" fillId="6" borderId="28" xfId="3" applyFont="1" applyFill="1" applyBorder="1" applyAlignment="1">
      <alignment horizontal="left" vertical="center"/>
    </xf>
    <xf numFmtId="0" fontId="50" fillId="0" borderId="28" xfId="3" applyFont="1" applyBorder="1" applyAlignment="1">
      <alignment horizontal="left" vertical="center" indent="3"/>
    </xf>
    <xf numFmtId="0" fontId="50" fillId="0" borderId="29" xfId="3" applyFont="1" applyBorder="1" applyAlignment="1">
      <alignment horizontal="left" vertical="center" indent="3"/>
    </xf>
    <xf numFmtId="0" fontId="42" fillId="6" borderId="29" xfId="3" applyFont="1" applyFill="1" applyBorder="1" applyAlignment="1">
      <alignment horizontal="left" vertical="center"/>
    </xf>
    <xf numFmtId="0" fontId="50" fillId="0" borderId="0" xfId="3" applyFont="1" applyAlignment="1">
      <alignment horizontal="left" vertical="center"/>
    </xf>
    <xf numFmtId="0" fontId="51" fillId="0" borderId="0" xfId="3" applyFont="1" applyAlignment="1">
      <alignment horizontal="left" vertical="center"/>
    </xf>
    <xf numFmtId="0" fontId="10" fillId="0" borderId="35" xfId="3" applyFont="1" applyBorder="1" applyAlignment="1">
      <alignment horizontal="left" vertical="center"/>
    </xf>
    <xf numFmtId="0" fontId="50" fillId="0" borderId="0" xfId="3" applyFont="1" applyAlignment="1">
      <alignment horizontal="left" vertical="center" indent="5"/>
    </xf>
    <xf numFmtId="0" fontId="42" fillId="0" borderId="28" xfId="3" applyFont="1" applyBorder="1" applyAlignment="1">
      <alignment horizontal="left" vertical="center"/>
    </xf>
    <xf numFmtId="0" fontId="50" fillId="0" borderId="34" xfId="3" applyFont="1" applyBorder="1" applyAlignment="1">
      <alignment horizontal="left" vertical="center" indent="5"/>
    </xf>
    <xf numFmtId="0" fontId="50" fillId="0" borderId="34" xfId="3" applyFont="1" applyBorder="1" applyAlignment="1">
      <alignment horizontal="left" vertical="center" indent="1"/>
    </xf>
    <xf numFmtId="0" fontId="50" fillId="0" borderId="41" xfId="3" applyFont="1" applyBorder="1" applyAlignment="1">
      <alignment horizontal="left" vertical="center"/>
    </xf>
    <xf numFmtId="0" fontId="42" fillId="0" borderId="41" xfId="3" applyFont="1" applyBorder="1" applyAlignment="1">
      <alignment horizontal="left" vertical="center"/>
    </xf>
    <xf numFmtId="0" fontId="52" fillId="0" borderId="27" xfId="3" applyFont="1" applyBorder="1" applyAlignment="1">
      <alignment vertical="center"/>
    </xf>
    <xf numFmtId="0" fontId="50" fillId="0" borderId="29" xfId="3" applyFont="1" applyBorder="1" applyAlignment="1">
      <alignment horizontal="left" vertical="center" wrapText="1" indent="1"/>
    </xf>
    <xf numFmtId="0" fontId="42" fillId="0" borderId="27" xfId="3" applyFont="1" applyBorder="1" applyAlignment="1">
      <alignment vertical="center"/>
    </xf>
    <xf numFmtId="0" fontId="50" fillId="0" borderId="29" xfId="3" applyFont="1" applyBorder="1" applyAlignment="1">
      <alignment horizontal="left" vertical="center" indent="1"/>
    </xf>
    <xf numFmtId="0" fontId="50" fillId="0" borderId="28" xfId="3" applyFont="1" applyBorder="1" applyAlignment="1">
      <alignment horizontal="left" vertical="center" wrapText="1" indent="1"/>
    </xf>
    <xf numFmtId="0" fontId="50" fillId="0" borderId="28" xfId="3" applyFont="1" applyBorder="1" applyAlignment="1">
      <alignment horizontal="left" vertical="center" wrapText="1" indent="3"/>
    </xf>
    <xf numFmtId="0" fontId="50" fillId="0" borderId="29" xfId="3" applyFont="1" applyBorder="1" applyAlignment="1">
      <alignment horizontal="left" vertical="center" wrapText="1" indent="3"/>
    </xf>
    <xf numFmtId="0" fontId="51" fillId="0" borderId="27" xfId="3" applyFont="1" applyBorder="1" applyAlignment="1">
      <alignment vertical="center"/>
    </xf>
    <xf numFmtId="0" fontId="53" fillId="0" borderId="28" xfId="2" applyFont="1" applyFill="1" applyBorder="1" applyAlignment="1">
      <alignment horizontal="left" vertical="center" wrapText="1" indent="1"/>
    </xf>
    <xf numFmtId="0" fontId="53" fillId="0" borderId="29" xfId="2" applyFont="1" applyFill="1" applyBorder="1" applyAlignment="1">
      <alignment horizontal="left" vertical="center" wrapText="1" indent="1"/>
    </xf>
    <xf numFmtId="168" fontId="50" fillId="0" borderId="29" xfId="6" applyNumberFormat="1" applyFont="1" applyFill="1" applyBorder="1" applyAlignment="1">
      <alignment vertical="center" wrapText="1"/>
    </xf>
    <xf numFmtId="0" fontId="50" fillId="0" borderId="29" xfId="3" applyFont="1" applyBorder="1" applyAlignment="1">
      <alignment vertical="center" wrapText="1"/>
    </xf>
    <xf numFmtId="0" fontId="53" fillId="0" borderId="28" xfId="2" applyFont="1" applyFill="1" applyBorder="1" applyAlignment="1">
      <alignment horizontal="left" vertical="center" wrapText="1" indent="3"/>
    </xf>
    <xf numFmtId="0" fontId="10" fillId="0" borderId="28" xfId="3" applyFont="1" applyBorder="1" applyAlignment="1">
      <alignment horizontal="left" vertical="center"/>
    </xf>
    <xf numFmtId="0" fontId="50" fillId="0" borderId="28" xfId="3" applyFont="1" applyBorder="1" applyAlignment="1">
      <alignment horizontal="left" vertical="center" wrapText="1" indent="5"/>
    </xf>
    <xf numFmtId="0" fontId="51" fillId="0" borderId="0" xfId="3" applyFont="1" applyAlignment="1">
      <alignment vertical="center"/>
    </xf>
    <xf numFmtId="0" fontId="53" fillId="0" borderId="29" xfId="2" applyFont="1" applyFill="1" applyBorder="1" applyAlignment="1">
      <alignment horizontal="left" vertical="center" wrapText="1" indent="3"/>
    </xf>
    <xf numFmtId="0" fontId="42" fillId="0" borderId="35" xfId="3" applyFont="1" applyBorder="1" applyAlignment="1">
      <alignment horizontal="left" vertical="center"/>
    </xf>
    <xf numFmtId="0" fontId="50" fillId="7" borderId="27" xfId="3" applyFont="1" applyFill="1" applyBorder="1" applyAlignment="1">
      <alignment vertical="center" wrapText="1"/>
    </xf>
    <xf numFmtId="0" fontId="51" fillId="7" borderId="27" xfId="3" applyFont="1" applyFill="1" applyBorder="1" applyAlignment="1">
      <alignment vertical="center"/>
    </xf>
    <xf numFmtId="0" fontId="53" fillId="0" borderId="28" xfId="2" applyFont="1" applyFill="1" applyBorder="1" applyAlignment="1">
      <alignment horizontal="left" vertical="center" wrapText="1"/>
    </xf>
    <xf numFmtId="0" fontId="54" fillId="0" borderId="28" xfId="2" applyFont="1" applyFill="1" applyBorder="1" applyAlignment="1">
      <alignment horizontal="left" vertical="center" wrapText="1" indent="1"/>
    </xf>
    <xf numFmtId="0" fontId="50" fillId="0" borderId="0" xfId="3" applyFont="1" applyAlignment="1">
      <alignment vertical="center" wrapText="1"/>
    </xf>
    <xf numFmtId="0" fontId="10" fillId="5" borderId="19" xfId="3" applyFont="1" applyFill="1" applyBorder="1" applyAlignment="1">
      <alignment horizontal="left" vertical="center"/>
    </xf>
    <xf numFmtId="0" fontId="10" fillId="5" borderId="25" xfId="3" applyFont="1" applyFill="1" applyBorder="1" applyAlignment="1">
      <alignment horizontal="left" vertical="center"/>
    </xf>
    <xf numFmtId="0" fontId="29" fillId="0" borderId="0" xfId="0" applyFont="1" applyAlignment="1">
      <alignment vertical="center"/>
    </xf>
    <xf numFmtId="0" fontId="56" fillId="0" borderId="0" xfId="0" applyFont="1" applyAlignment="1">
      <alignment vertical="center"/>
    </xf>
    <xf numFmtId="0" fontId="42" fillId="0" borderId="0" xfId="0" applyFont="1"/>
    <xf numFmtId="0" fontId="24" fillId="5" borderId="0" xfId="3" applyFont="1" applyFill="1" applyAlignment="1">
      <alignment horizontal="left" vertical="center"/>
    </xf>
    <xf numFmtId="0" fontId="24" fillId="0" borderId="0" xfId="3" applyFont="1" applyAlignment="1">
      <alignment horizontal="left" vertical="center"/>
    </xf>
    <xf numFmtId="0" fontId="25" fillId="5" borderId="0" xfId="3" applyFont="1" applyFill="1" applyAlignment="1">
      <alignment horizontal="left" vertical="center" wrapText="1" indent="3"/>
    </xf>
    <xf numFmtId="0" fontId="21" fillId="2" borderId="0" xfId="2" applyFont="1" applyFill="1"/>
    <xf numFmtId="0" fontId="57" fillId="0" borderId="0" xfId="3" applyFont="1" applyAlignment="1">
      <alignment vertical="center"/>
    </xf>
    <xf numFmtId="0" fontId="58" fillId="0" borderId="0" xfId="3" applyFont="1" applyAlignment="1">
      <alignment horizontal="left" vertical="center"/>
    </xf>
    <xf numFmtId="0" fontId="25" fillId="0" borderId="0" xfId="3" applyFont="1" applyAlignment="1">
      <alignment vertical="center"/>
    </xf>
    <xf numFmtId="165" fontId="25" fillId="0" borderId="0" xfId="1" applyFont="1" applyFill="1" applyAlignment="1">
      <alignment horizontal="left" vertical="center"/>
    </xf>
    <xf numFmtId="169" fontId="25" fillId="0" borderId="0" xfId="1" applyNumberFormat="1" applyFont="1" applyFill="1" applyAlignment="1">
      <alignment horizontal="left" vertical="center"/>
    </xf>
    <xf numFmtId="0" fontId="10" fillId="0" borderId="0" xfId="0" applyFont="1"/>
    <xf numFmtId="0" fontId="35" fillId="5" borderId="0" xfId="0" applyFont="1" applyFill="1" applyAlignment="1">
      <alignment vertical="center" wrapText="1"/>
    </xf>
    <xf numFmtId="0" fontId="13" fillId="5" borderId="0" xfId="3" applyFont="1" applyFill="1" applyAlignment="1">
      <alignment vertical="center"/>
    </xf>
    <xf numFmtId="0" fontId="10" fillId="5" borderId="0" xfId="3" applyFont="1" applyFill="1" applyAlignment="1">
      <alignment vertical="center"/>
    </xf>
    <xf numFmtId="0" fontId="60" fillId="2" borderId="0" xfId="0" applyFont="1" applyFill="1" applyAlignment="1">
      <alignment vertical="center"/>
    </xf>
    <xf numFmtId="165" fontId="42" fillId="0" borderId="0" xfId="1" applyFont="1"/>
    <xf numFmtId="0" fontId="58" fillId="4" borderId="2" xfId="0" applyFont="1" applyFill="1" applyBorder="1" applyAlignment="1">
      <alignment vertical="center"/>
    </xf>
    <xf numFmtId="0" fontId="58" fillId="0" borderId="36" xfId="0" applyFont="1" applyBorder="1"/>
    <xf numFmtId="0" fontId="58" fillId="0" borderId="17" xfId="0" applyFont="1" applyBorder="1"/>
    <xf numFmtId="0" fontId="68" fillId="2" borderId="0" xfId="0" applyFont="1" applyFill="1" applyAlignment="1">
      <alignment vertical="center"/>
    </xf>
    <xf numFmtId="0" fontId="43" fillId="2" borderId="0" xfId="3" applyFont="1" applyFill="1" applyAlignment="1">
      <alignment horizontal="left" vertical="center" indent="1"/>
    </xf>
    <xf numFmtId="0" fontId="43" fillId="2" borderId="0" xfId="3" applyFont="1" applyFill="1" applyAlignment="1">
      <alignment horizontal="left" vertical="center"/>
    </xf>
    <xf numFmtId="165" fontId="43" fillId="2" borderId="0" xfId="1" applyFont="1" applyFill="1" applyBorder="1" applyAlignment="1">
      <alignment horizontal="left" vertical="center"/>
    </xf>
    <xf numFmtId="0" fontId="61" fillId="2" borderId="1" xfId="3" applyFont="1" applyFill="1" applyBorder="1" applyAlignment="1">
      <alignment horizontal="left" vertical="center"/>
    </xf>
    <xf numFmtId="165" fontId="61" fillId="2" borderId="1" xfId="1" applyFont="1" applyFill="1" applyBorder="1" applyAlignment="1">
      <alignment horizontal="left" vertical="center"/>
    </xf>
    <xf numFmtId="165" fontId="61" fillId="2" borderId="41" xfId="1" applyFont="1" applyFill="1" applyBorder="1" applyAlignment="1">
      <alignment horizontal="left" vertical="center"/>
    </xf>
    <xf numFmtId="0" fontId="43" fillId="2" borderId="1" xfId="3" applyFont="1" applyFill="1" applyBorder="1" applyAlignment="1">
      <alignment horizontal="left" vertical="center"/>
    </xf>
    <xf numFmtId="165" fontId="43" fillId="2" borderId="1" xfId="1" applyFont="1" applyFill="1" applyBorder="1" applyAlignment="1">
      <alignment horizontal="left" vertical="center"/>
    </xf>
    <xf numFmtId="165" fontId="43" fillId="2" borderId="23" xfId="1" applyFont="1" applyFill="1" applyBorder="1" applyAlignment="1">
      <alignment horizontal="left" vertical="center"/>
    </xf>
    <xf numFmtId="0" fontId="43" fillId="2" borderId="21" xfId="3" applyFont="1" applyFill="1" applyBorder="1" applyAlignment="1">
      <alignment horizontal="left" vertical="center"/>
    </xf>
    <xf numFmtId="165" fontId="43" fillId="2" borderId="41" xfId="1" applyFont="1" applyFill="1" applyBorder="1" applyAlignment="1">
      <alignment horizontal="left" vertical="center"/>
    </xf>
    <xf numFmtId="0" fontId="42" fillId="5" borderId="0" xfId="0" applyFont="1" applyFill="1"/>
    <xf numFmtId="0" fontId="42" fillId="5" borderId="0" xfId="0" applyFont="1" applyFill="1" applyAlignment="1">
      <alignment wrapText="1"/>
    </xf>
    <xf numFmtId="0" fontId="35" fillId="5" borderId="0" xfId="0" applyFont="1" applyFill="1" applyAlignment="1">
      <alignment vertical="center"/>
    </xf>
    <xf numFmtId="0" fontId="25" fillId="2" borderId="0" xfId="0" applyFont="1" applyFill="1" applyAlignment="1">
      <alignment horizontal="left" vertical="center" wrapText="1" indent="2"/>
    </xf>
    <xf numFmtId="169" fontId="42" fillId="0" borderId="0" xfId="1" applyNumberFormat="1" applyFont="1"/>
    <xf numFmtId="165" fontId="58" fillId="0" borderId="37" xfId="1" applyFont="1" applyBorder="1"/>
    <xf numFmtId="0" fontId="16" fillId="0" borderId="24" xfId="2" applyFont="1" applyFill="1" applyBorder="1" applyAlignment="1"/>
    <xf numFmtId="0" fontId="16" fillId="0" borderId="0" xfId="2" applyFont="1" applyFill="1" applyBorder="1" applyAlignment="1"/>
    <xf numFmtId="0" fontId="16" fillId="0" borderId="25" xfId="2" applyFont="1" applyFill="1" applyBorder="1" applyAlignment="1"/>
    <xf numFmtId="0" fontId="28" fillId="0" borderId="25" xfId="2" applyFont="1" applyFill="1" applyBorder="1" applyAlignment="1"/>
    <xf numFmtId="0" fontId="10" fillId="8" borderId="0" xfId="3" applyFont="1" applyFill="1" applyAlignment="1">
      <alignment horizontal="left" vertical="center"/>
    </xf>
    <xf numFmtId="0" fontId="22" fillId="8" borderId="38" xfId="3" applyFont="1" applyFill="1" applyBorder="1" applyAlignment="1">
      <alignment horizontal="left" vertical="center" wrapText="1"/>
    </xf>
    <xf numFmtId="0" fontId="11" fillId="8" borderId="6" xfId="3" applyFont="1" applyFill="1" applyBorder="1" applyAlignment="1">
      <alignment vertical="center"/>
    </xf>
    <xf numFmtId="167" fontId="11" fillId="8" borderId="6" xfId="3" applyNumberFormat="1" applyFont="1" applyFill="1" applyBorder="1" applyAlignment="1">
      <alignment vertical="center"/>
    </xf>
    <xf numFmtId="0" fontId="11" fillId="8" borderId="0" xfId="3" applyFont="1" applyFill="1" applyAlignment="1">
      <alignment vertical="center"/>
    </xf>
    <xf numFmtId="167" fontId="11" fillId="8" borderId="0" xfId="3" applyNumberFormat="1" applyFont="1" applyFill="1" applyAlignment="1">
      <alignment vertical="center"/>
    </xf>
    <xf numFmtId="0" fontId="41" fillId="8" borderId="23" xfId="3" applyFont="1" applyFill="1" applyBorder="1" applyAlignment="1">
      <alignment vertical="center"/>
    </xf>
    <xf numFmtId="0" fontId="11" fillId="8" borderId="39" xfId="3" applyFont="1" applyFill="1" applyBorder="1" applyAlignment="1">
      <alignment vertical="center" wrapText="1"/>
    </xf>
    <xf numFmtId="0" fontId="11" fillId="8" borderId="1" xfId="3" applyFont="1" applyFill="1" applyBorder="1" applyAlignment="1">
      <alignment vertical="center"/>
    </xf>
    <xf numFmtId="166" fontId="11" fillId="8" borderId="0" xfId="1" applyNumberFormat="1" applyFont="1" applyFill="1" applyBorder="1" applyAlignment="1">
      <alignment vertical="center"/>
    </xf>
    <xf numFmtId="0" fontId="50" fillId="8" borderId="28" xfId="3" applyFont="1" applyFill="1" applyBorder="1" applyAlignment="1">
      <alignment vertical="center" wrapText="1"/>
    </xf>
    <xf numFmtId="0" fontId="53" fillId="8" borderId="29" xfId="4" applyFont="1" applyFill="1" applyBorder="1" applyAlignment="1">
      <alignment vertical="center"/>
    </xf>
    <xf numFmtId="0" fontId="50" fillId="8" borderId="29" xfId="3" applyFont="1" applyFill="1" applyBorder="1" applyAlignment="1">
      <alignment vertical="center" wrapText="1"/>
    </xf>
    <xf numFmtId="0" fontId="69" fillId="0" borderId="0" xfId="3" applyFont="1" applyAlignment="1">
      <alignment horizontal="left" vertical="center"/>
    </xf>
    <xf numFmtId="0" fontId="70" fillId="0" borderId="27" xfId="3" applyFont="1" applyBorder="1" applyAlignment="1">
      <alignment vertical="center" wrapText="1"/>
    </xf>
    <xf numFmtId="0" fontId="69" fillId="6" borderId="27" xfId="3" applyFont="1" applyFill="1" applyBorder="1" applyAlignment="1">
      <alignment horizontal="left" vertical="center"/>
    </xf>
    <xf numFmtId="0" fontId="70" fillId="0" borderId="28" xfId="3" applyFont="1" applyBorder="1" applyAlignment="1">
      <alignment vertical="center" wrapText="1"/>
    </xf>
    <xf numFmtId="0" fontId="69" fillId="6" borderId="28" xfId="3" applyFont="1" applyFill="1" applyBorder="1" applyAlignment="1">
      <alignment horizontal="left" vertical="center"/>
    </xf>
    <xf numFmtId="0" fontId="70" fillId="0" borderId="28" xfId="3" applyFont="1" applyBorder="1" applyAlignment="1">
      <alignment horizontal="left" vertical="center" wrapText="1" indent="3"/>
    </xf>
    <xf numFmtId="0" fontId="69" fillId="0" borderId="28" xfId="3" applyFont="1" applyBorder="1" applyAlignment="1">
      <alignment horizontal="left" vertical="center"/>
    </xf>
    <xf numFmtId="0" fontId="70" fillId="0" borderId="29" xfId="3" applyFont="1" applyBorder="1" applyAlignment="1">
      <alignment horizontal="left" vertical="center" wrapText="1" indent="3"/>
    </xf>
    <xf numFmtId="0" fontId="69" fillId="6" borderId="29" xfId="3" applyFont="1" applyFill="1" applyBorder="1" applyAlignment="1">
      <alignment horizontal="left" vertical="center"/>
    </xf>
    <xf numFmtId="0" fontId="70" fillId="0" borderId="28" xfId="3" applyFont="1" applyBorder="1" applyAlignment="1">
      <alignment horizontal="left" vertical="center" wrapText="1" indent="1"/>
    </xf>
    <xf numFmtId="0" fontId="50" fillId="8" borderId="28" xfId="3" applyFont="1" applyFill="1" applyBorder="1" applyAlignment="1">
      <alignment horizontal="left" vertical="center" wrapText="1" indent="5"/>
    </xf>
    <xf numFmtId="0" fontId="46" fillId="8" borderId="0" xfId="3" applyFont="1" applyFill="1" applyAlignment="1">
      <alignment vertical="center"/>
    </xf>
    <xf numFmtId="0" fontId="25" fillId="8" borderId="0" xfId="3" applyFont="1" applyFill="1" applyAlignment="1">
      <alignment horizontal="left" vertical="center"/>
    </xf>
    <xf numFmtId="0" fontId="25" fillId="7" borderId="0" xfId="3" applyFont="1" applyFill="1" applyAlignment="1">
      <alignment horizontal="left" vertical="center"/>
    </xf>
    <xf numFmtId="0" fontId="46" fillId="7" borderId="0" xfId="3" applyFont="1" applyFill="1" applyAlignment="1">
      <alignment vertical="center"/>
    </xf>
    <xf numFmtId="0" fontId="57" fillId="9" borderId="43" xfId="3" applyFont="1" applyFill="1" applyBorder="1" applyAlignment="1">
      <alignment horizontal="left" vertical="center"/>
    </xf>
    <xf numFmtId="0" fontId="25" fillId="4" borderId="23" xfId="3" applyFont="1" applyFill="1" applyBorder="1" applyAlignment="1">
      <alignment vertical="center"/>
    </xf>
    <xf numFmtId="0" fontId="43" fillId="8" borderId="0" xfId="2" applyFont="1" applyFill="1" applyBorder="1" applyAlignment="1">
      <alignment horizontal="left" vertical="center" wrapText="1"/>
    </xf>
    <xf numFmtId="0" fontId="42" fillId="8" borderId="0" xfId="0" applyFont="1" applyFill="1"/>
    <xf numFmtId="0" fontId="42" fillId="0" borderId="23" xfId="3" applyFont="1" applyBorder="1" applyAlignment="1">
      <alignment horizontal="left" vertical="center"/>
    </xf>
    <xf numFmtId="0" fontId="18" fillId="0" borderId="40" xfId="2" applyFont="1" applyFill="1" applyBorder="1" applyAlignment="1" applyProtection="1">
      <alignment vertical="center"/>
      <protection locked="0"/>
    </xf>
    <xf numFmtId="0" fontId="50" fillId="8" borderId="28" xfId="3" applyFont="1" applyFill="1" applyBorder="1" applyAlignment="1">
      <alignment horizontal="left" vertical="center" wrapText="1" indent="3"/>
    </xf>
    <xf numFmtId="0" fontId="42" fillId="0" borderId="28" xfId="3" applyFont="1" applyBorder="1" applyAlignment="1">
      <alignment vertical="center"/>
    </xf>
    <xf numFmtId="0" fontId="62" fillId="0" borderId="28" xfId="2" applyFont="1" applyFill="1" applyBorder="1" applyAlignment="1">
      <alignment horizontal="left" vertical="center" wrapText="1"/>
    </xf>
    <xf numFmtId="0" fontId="50" fillId="0" borderId="29" xfId="3" applyFont="1" applyBorder="1" applyAlignment="1">
      <alignment vertical="center"/>
    </xf>
    <xf numFmtId="0" fontId="51" fillId="0" borderId="41" xfId="3" applyFont="1" applyBorder="1" applyAlignment="1">
      <alignment vertical="center"/>
    </xf>
    <xf numFmtId="0" fontId="58" fillId="0" borderId="0" xfId="0" applyFont="1"/>
    <xf numFmtId="165" fontId="58" fillId="0" borderId="0" xfId="1" applyFont="1" applyBorder="1"/>
    <xf numFmtId="14" fontId="10" fillId="8" borderId="0" xfId="3" applyNumberFormat="1" applyFont="1" applyFill="1" applyAlignment="1">
      <alignment horizontal="right" vertical="center"/>
    </xf>
    <xf numFmtId="0" fontId="4" fillId="8" borderId="23" xfId="2" applyFill="1" applyBorder="1" applyAlignment="1">
      <alignment vertical="center"/>
    </xf>
    <xf numFmtId="0" fontId="4" fillId="8" borderId="23" xfId="2" applyFill="1" applyBorder="1" applyAlignment="1">
      <alignment vertical="center" wrapText="1"/>
    </xf>
    <xf numFmtId="0" fontId="4" fillId="8" borderId="6" xfId="2" applyFill="1" applyBorder="1" applyAlignment="1">
      <alignment vertical="center"/>
    </xf>
    <xf numFmtId="3" fontId="50" fillId="8" borderId="28" xfId="3" applyNumberFormat="1" applyFont="1" applyFill="1" applyBorder="1" applyAlignment="1">
      <alignment vertical="center" wrapText="1"/>
    </xf>
    <xf numFmtId="0" fontId="42" fillId="6" borderId="28" xfId="3" applyFont="1" applyFill="1" applyBorder="1" applyAlignment="1">
      <alignment horizontal="left" vertical="center" wrapText="1"/>
    </xf>
    <xf numFmtId="0" fontId="4" fillId="8" borderId="28" xfId="2" applyFill="1" applyBorder="1" applyAlignment="1">
      <alignment vertical="center" wrapText="1"/>
    </xf>
    <xf numFmtId="3" fontId="4" fillId="8" borderId="28" xfId="2" applyNumberFormat="1" applyFill="1" applyBorder="1" applyAlignment="1">
      <alignment vertical="center" wrapText="1"/>
    </xf>
    <xf numFmtId="165" fontId="50" fillId="8" borderId="28" xfId="1" applyFont="1" applyFill="1" applyBorder="1" applyAlignment="1">
      <alignment vertical="center" wrapText="1"/>
    </xf>
    <xf numFmtId="170" fontId="50" fillId="8" borderId="28" xfId="1" applyNumberFormat="1" applyFont="1" applyFill="1" applyBorder="1" applyAlignment="1">
      <alignment vertical="center" wrapText="1"/>
    </xf>
    <xf numFmtId="169" fontId="50" fillId="8" borderId="28" xfId="1" applyNumberFormat="1" applyFont="1" applyFill="1" applyBorder="1" applyAlignment="1">
      <alignment vertical="center" wrapText="1"/>
    </xf>
    <xf numFmtId="169" fontId="4" fillId="0" borderId="0" xfId="2" applyNumberFormat="1" applyFill="1" applyAlignment="1">
      <alignment horizontal="left" vertical="center"/>
    </xf>
    <xf numFmtId="165" fontId="25" fillId="0" borderId="0" xfId="1" applyFont="1" applyFill="1" applyAlignment="1">
      <alignment horizontal="right" vertical="center"/>
    </xf>
    <xf numFmtId="0" fontId="10" fillId="5" borderId="0" xfId="3" applyFont="1" applyFill="1" applyAlignment="1">
      <alignment horizontal="left" vertical="center" wrapText="1"/>
    </xf>
    <xf numFmtId="0" fontId="14" fillId="2" borderId="0" xfId="0" applyFont="1" applyFill="1" applyAlignment="1">
      <alignment horizontal="left" vertical="center" wrapText="1"/>
    </xf>
    <xf numFmtId="0" fontId="25" fillId="2" borderId="0" xfId="0" applyFont="1" applyFill="1" applyAlignment="1">
      <alignment horizontal="left" vertical="center" wrapText="1"/>
    </xf>
    <xf numFmtId="0" fontId="14" fillId="5" borderId="0" xfId="3" applyFont="1" applyFill="1" applyAlignment="1">
      <alignment horizontal="left" vertical="center" wrapText="1"/>
    </xf>
    <xf numFmtId="0" fontId="61" fillId="2" borderId="0" xfId="0" applyFont="1" applyFill="1" applyAlignment="1">
      <alignment vertical="center"/>
    </xf>
    <xf numFmtId="0" fontId="42" fillId="0" borderId="0" xfId="0" applyFont="1" applyAlignment="1">
      <alignment vertical="center"/>
    </xf>
    <xf numFmtId="0" fontId="63" fillId="0" borderId="0" xfId="5" applyFont="1" applyAlignment="1">
      <alignment vertical="center"/>
    </xf>
    <xf numFmtId="0" fontId="42" fillId="0" borderId="0" xfId="0" applyFont="1" applyAlignment="1">
      <alignment vertical="center" wrapText="1"/>
    </xf>
    <xf numFmtId="165" fontId="42" fillId="0" borderId="0" xfId="1" applyFont="1" applyAlignment="1">
      <alignment vertical="center"/>
    </xf>
    <xf numFmtId="0" fontId="63" fillId="0" borderId="0" xfId="5" applyNumberFormat="1" applyFont="1" applyAlignment="1">
      <alignment vertical="center"/>
    </xf>
    <xf numFmtId="0" fontId="43" fillId="0" borderId="0" xfId="0" applyFont="1" applyAlignment="1">
      <alignment vertical="center"/>
    </xf>
    <xf numFmtId="0" fontId="58" fillId="0" borderId="36" xfId="0" applyFont="1" applyBorder="1" applyAlignment="1">
      <alignment vertical="center"/>
    </xf>
    <xf numFmtId="165" fontId="58" fillId="0" borderId="17" xfId="1" applyFont="1" applyBorder="1" applyAlignment="1">
      <alignment vertical="center"/>
    </xf>
    <xf numFmtId="0" fontId="42" fillId="0" borderId="44" xfId="0" applyFont="1" applyBorder="1" applyAlignment="1">
      <alignment vertical="center"/>
    </xf>
    <xf numFmtId="165" fontId="42" fillId="0" borderId="0" xfId="0" applyNumberFormat="1" applyFont="1" applyAlignment="1">
      <alignment vertical="center"/>
    </xf>
    <xf numFmtId="164" fontId="42" fillId="0" borderId="0" xfId="0" applyNumberFormat="1" applyFont="1" applyAlignment="1">
      <alignment vertical="center"/>
    </xf>
    <xf numFmtId="0" fontId="25" fillId="10" borderId="32" xfId="3" applyFont="1" applyFill="1" applyBorder="1" applyAlignment="1">
      <alignment vertical="center"/>
    </xf>
    <xf numFmtId="0" fontId="4" fillId="10" borderId="33" xfId="7" applyFill="1" applyBorder="1" applyAlignment="1">
      <alignment vertical="center" wrapText="1"/>
    </xf>
    <xf numFmtId="0" fontId="42" fillId="2" borderId="0" xfId="3" applyFont="1" applyFill="1" applyAlignment="1">
      <alignment horizontal="left" vertical="center"/>
    </xf>
    <xf numFmtId="165" fontId="42" fillId="2" borderId="0" xfId="1" applyFont="1" applyFill="1" applyBorder="1" applyAlignment="1">
      <alignment horizontal="left" vertical="center"/>
    </xf>
    <xf numFmtId="0" fontId="43" fillId="2" borderId="0" xfId="3" applyFont="1" applyFill="1" applyAlignment="1">
      <alignment vertical="center"/>
    </xf>
    <xf numFmtId="0" fontId="42" fillId="11" borderId="45" xfId="0" applyFont="1" applyFill="1" applyBorder="1"/>
    <xf numFmtId="169" fontId="42" fillId="11" borderId="45" xfId="1" applyNumberFormat="1" applyFont="1" applyFill="1" applyBorder="1"/>
    <xf numFmtId="0" fontId="42" fillId="0" borderId="45" xfId="0" applyFont="1" applyBorder="1"/>
    <xf numFmtId="169" fontId="42" fillId="0" borderId="45" xfId="1" applyNumberFormat="1" applyFont="1" applyBorder="1"/>
    <xf numFmtId="0" fontId="42" fillId="11" borderId="45" xfId="0" applyFont="1" applyFill="1" applyBorder="1" applyAlignment="1">
      <alignment wrapText="1"/>
    </xf>
    <xf numFmtId="169" fontId="74" fillId="2" borderId="0" xfId="3" applyNumberFormat="1" applyFont="1" applyFill="1" applyAlignment="1">
      <alignment vertical="center"/>
    </xf>
    <xf numFmtId="0" fontId="74" fillId="2" borderId="0" xfId="3" applyFont="1" applyFill="1" applyAlignment="1">
      <alignment horizontal="left" vertical="center" indent="1"/>
    </xf>
    <xf numFmtId="169" fontId="43" fillId="2" borderId="0" xfId="3" applyNumberFormat="1" applyFont="1" applyFill="1" applyAlignment="1">
      <alignment horizontal="left" vertical="center"/>
    </xf>
    <xf numFmtId="169" fontId="74" fillId="2" borderId="0" xfId="3" applyNumberFormat="1" applyFont="1" applyFill="1" applyAlignment="1">
      <alignment horizontal="left" vertical="center"/>
    </xf>
    <xf numFmtId="0" fontId="74" fillId="2" borderId="0" xfId="3" applyFont="1" applyFill="1" applyAlignment="1">
      <alignment horizontal="left" vertical="center"/>
    </xf>
    <xf numFmtId="0" fontId="28" fillId="2" borderId="4" xfId="2" applyFont="1" applyFill="1" applyBorder="1" applyAlignment="1">
      <alignment horizontal="center"/>
    </xf>
    <xf numFmtId="0" fontId="29" fillId="0" borderId="22" xfId="0" applyFont="1" applyBorder="1" applyAlignment="1">
      <alignment vertical="center"/>
    </xf>
    <xf numFmtId="0" fontId="29" fillId="0" borderId="0" xfId="0" applyFont="1" applyAlignment="1">
      <alignment vertical="center"/>
    </xf>
    <xf numFmtId="0" fontId="15" fillId="5" borderId="0" xfId="2" applyFont="1" applyFill="1" applyBorder="1" applyAlignment="1">
      <alignment vertical="center" wrapText="1"/>
    </xf>
    <xf numFmtId="0" fontId="11" fillId="2" borderId="0" xfId="3" applyFont="1" applyFill="1" applyAlignment="1">
      <alignment horizontal="left" vertical="center" wrapText="1" indent="2"/>
    </xf>
    <xf numFmtId="0" fontId="12" fillId="2" borderId="0" xfId="3" applyFont="1" applyFill="1" applyAlignment="1">
      <alignment vertical="center" wrapText="1"/>
    </xf>
    <xf numFmtId="0" fontId="16" fillId="5" borderId="0" xfId="2" applyFont="1" applyFill="1" applyAlignment="1">
      <alignment horizontal="center"/>
    </xf>
    <xf numFmtId="0" fontId="16" fillId="5" borderId="19" xfId="2" applyFont="1" applyFill="1" applyBorder="1" applyAlignment="1">
      <alignment horizontal="center"/>
    </xf>
    <xf numFmtId="0" fontId="26" fillId="4" borderId="34" xfId="3" applyFont="1" applyFill="1" applyBorder="1" applyAlignment="1">
      <alignment horizontal="left" vertical="center" wrapText="1"/>
    </xf>
    <xf numFmtId="0" fontId="26" fillId="4" borderId="0" xfId="3" applyFont="1" applyFill="1" applyAlignment="1">
      <alignment horizontal="left" vertical="center" wrapText="1"/>
    </xf>
    <xf numFmtId="0" fontId="26" fillId="4" borderId="32" xfId="3" applyFont="1" applyFill="1" applyBorder="1" applyAlignment="1">
      <alignment horizontal="left" vertical="center" wrapText="1"/>
    </xf>
    <xf numFmtId="0" fontId="26" fillId="4" borderId="23" xfId="3" applyFont="1" applyFill="1" applyBorder="1" applyAlignment="1">
      <alignment horizontal="left" vertical="center" wrapText="1"/>
    </xf>
    <xf numFmtId="0" fontId="15" fillId="5" borderId="0" xfId="2" applyFont="1" applyFill="1" applyBorder="1" applyAlignment="1">
      <alignment vertical="center"/>
    </xf>
    <xf numFmtId="0" fontId="14" fillId="5" borderId="0" xfId="3" applyFont="1" applyFill="1" applyAlignment="1">
      <alignment horizontal="left" vertical="center" wrapText="1" indent="3"/>
    </xf>
    <xf numFmtId="0" fontId="25" fillId="5" borderId="0" xfId="3" applyFont="1" applyFill="1" applyAlignment="1">
      <alignment horizontal="left" vertical="center" wrapText="1" indent="3"/>
    </xf>
    <xf numFmtId="0" fontId="25" fillId="5" borderId="0" xfId="3" applyFont="1" applyFill="1" applyAlignment="1">
      <alignment vertical="center" wrapText="1"/>
    </xf>
    <xf numFmtId="0" fontId="28" fillId="0" borderId="0" xfId="2" applyFont="1" applyFill="1" applyBorder="1" applyAlignment="1">
      <alignment horizontal="center" vertical="center"/>
    </xf>
    <xf numFmtId="0" fontId="28" fillId="2" borderId="20" xfId="2" applyFont="1" applyFill="1" applyBorder="1" applyAlignment="1">
      <alignment horizontal="center"/>
    </xf>
    <xf numFmtId="0" fontId="28" fillId="2" borderId="18" xfId="2" applyFont="1" applyFill="1" applyBorder="1" applyAlignment="1">
      <alignment horizontal="center"/>
    </xf>
    <xf numFmtId="0" fontId="21" fillId="2" borderId="0" xfId="2" applyFont="1" applyFill="1" applyAlignment="1"/>
    <xf numFmtId="0" fontId="37" fillId="2" borderId="0" xfId="2" applyFont="1" applyFill="1" applyAlignment="1"/>
    <xf numFmtId="0" fontId="16" fillId="5" borderId="24" xfId="2" applyFont="1" applyFill="1" applyBorder="1" applyAlignment="1">
      <alignment horizontal="center"/>
    </xf>
    <xf numFmtId="0" fontId="42" fillId="6" borderId="28" xfId="3" applyFont="1" applyFill="1" applyBorder="1" applyAlignment="1">
      <alignment horizontal="left" vertical="center" wrapText="1"/>
    </xf>
    <xf numFmtId="0" fontId="42" fillId="6" borderId="29" xfId="3" applyFont="1" applyFill="1" applyBorder="1" applyAlignment="1">
      <alignment horizontal="left" vertical="center" wrapText="1"/>
    </xf>
    <xf numFmtId="0" fontId="16" fillId="5" borderId="0" xfId="2" applyFont="1" applyFill="1" applyBorder="1" applyAlignment="1">
      <alignment horizontal="center"/>
    </xf>
    <xf numFmtId="0" fontId="28" fillId="2" borderId="0" xfId="2" applyFont="1" applyFill="1" applyBorder="1" applyAlignment="1">
      <alignment horizontal="center"/>
    </xf>
    <xf numFmtId="0" fontId="13" fillId="5" borderId="2" xfId="3" applyFont="1" applyFill="1" applyBorder="1" applyAlignment="1">
      <alignment vertical="center"/>
    </xf>
    <xf numFmtId="0" fontId="39" fillId="2" borderId="17" xfId="3" applyFont="1" applyFill="1" applyBorder="1" applyAlignment="1">
      <alignment horizontal="left" vertical="center"/>
    </xf>
    <xf numFmtId="0" fontId="25" fillId="0" borderId="0" xfId="3" applyFont="1" applyAlignment="1">
      <alignment horizontal="left" vertical="center"/>
    </xf>
    <xf numFmtId="0" fontId="14" fillId="2" borderId="0" xfId="0" applyFont="1" applyFill="1" applyAlignment="1">
      <alignment horizontal="left" vertical="center" wrapText="1"/>
    </xf>
    <xf numFmtId="0" fontId="43" fillId="2" borderId="0" xfId="0" applyFont="1" applyFill="1" applyAlignment="1">
      <alignment horizontal="left" vertical="center" wrapText="1"/>
    </xf>
    <xf numFmtId="0" fontId="43" fillId="8" borderId="5" xfId="2" applyFont="1" applyFill="1" applyBorder="1" applyAlignment="1">
      <alignment horizontal="left" vertical="center" wrapText="1"/>
    </xf>
    <xf numFmtId="0" fontId="10" fillId="5" borderId="0" xfId="3" applyFont="1" applyFill="1" applyAlignment="1">
      <alignment horizontal="left" vertical="center" wrapText="1"/>
    </xf>
    <xf numFmtId="0" fontId="62" fillId="0" borderId="0" xfId="2" applyFont="1" applyFill="1" applyBorder="1" applyAlignment="1">
      <alignment horizontal="left" vertical="center" wrapText="1"/>
    </xf>
    <xf numFmtId="0" fontId="62" fillId="2" borderId="5" xfId="2" applyFont="1" applyFill="1" applyBorder="1" applyAlignment="1">
      <alignment horizontal="left" vertical="center" wrapText="1"/>
    </xf>
    <xf numFmtId="0" fontId="62" fillId="2" borderId="0" xfId="2" applyFont="1" applyFill="1" applyBorder="1" applyAlignment="1">
      <alignment horizontal="left" vertical="center" wrapText="1"/>
    </xf>
    <xf numFmtId="0" fontId="52" fillId="2" borderId="0" xfId="2" applyFont="1" applyFill="1" applyAlignment="1">
      <alignment vertical="center"/>
    </xf>
    <xf numFmtId="0" fontId="66" fillId="2" borderId="0" xfId="2" applyFont="1" applyFill="1" applyAlignment="1">
      <alignment vertical="center"/>
    </xf>
    <xf numFmtId="0" fontId="64" fillId="2" borderId="0" xfId="0" applyFont="1" applyFill="1" applyAlignment="1">
      <alignment vertical="center" wrapText="1"/>
    </xf>
    <xf numFmtId="0" fontId="37" fillId="2" borderId="0" xfId="2" applyFont="1" applyFill="1" applyAlignment="1">
      <alignment vertical="center"/>
    </xf>
    <xf numFmtId="0" fontId="35" fillId="5" borderId="0" xfId="0" applyFont="1" applyFill="1" applyAlignment="1">
      <alignment vertical="center" wrapText="1"/>
    </xf>
    <xf numFmtId="0" fontId="25" fillId="2" borderId="0" xfId="0" applyFont="1" applyFill="1" applyAlignment="1">
      <alignment horizontal="left" vertical="center" wrapText="1"/>
    </xf>
    <xf numFmtId="0" fontId="14" fillId="5" borderId="0" xfId="3" applyFont="1" applyFill="1" applyAlignment="1">
      <alignment horizontal="left" vertical="center" wrapText="1"/>
    </xf>
    <xf numFmtId="0" fontId="16" fillId="5" borderId="24" xfId="2" applyFont="1" applyFill="1" applyBorder="1" applyAlignment="1">
      <alignment horizontal="center" vertical="center"/>
    </xf>
    <xf numFmtId="0" fontId="16" fillId="5" borderId="0" xfId="2" applyFont="1" applyFill="1" applyBorder="1" applyAlignment="1">
      <alignment horizontal="center" vertical="center"/>
    </xf>
    <xf numFmtId="0" fontId="16" fillId="5" borderId="25" xfId="2" applyFont="1" applyFill="1" applyBorder="1" applyAlignment="1">
      <alignment horizontal="center" vertical="center"/>
    </xf>
    <xf numFmtId="0" fontId="28" fillId="2" borderId="25" xfId="2" applyFont="1" applyFill="1" applyBorder="1" applyAlignment="1">
      <alignment horizontal="center" vertical="center"/>
    </xf>
    <xf numFmtId="0" fontId="28" fillId="2" borderId="25" xfId="2" applyFont="1" applyFill="1" applyBorder="1" applyAlignment="1">
      <alignment horizontal="center"/>
    </xf>
    <xf numFmtId="0" fontId="25" fillId="2" borderId="0" xfId="0" applyFont="1" applyFill="1" applyAlignment="1">
      <alignment horizontal="left" vertical="center" wrapText="1" indent="2"/>
    </xf>
    <xf numFmtId="0" fontId="13" fillId="2" borderId="0" xfId="3" applyFont="1" applyFill="1" applyAlignment="1">
      <alignment vertical="center"/>
    </xf>
    <xf numFmtId="0" fontId="62" fillId="8" borderId="0" xfId="2" applyFont="1" applyFill="1" applyBorder="1" applyAlignment="1">
      <alignment horizontal="left" vertical="center" wrapText="1"/>
    </xf>
    <xf numFmtId="0" fontId="62" fillId="8" borderId="5" xfId="2" applyFont="1" applyFill="1" applyBorder="1" applyAlignment="1">
      <alignment horizontal="left" vertical="center" wrapText="1"/>
    </xf>
  </cellXfs>
  <cellStyles count="9">
    <cellStyle name="Comma" xfId="1" builtinId="3"/>
    <cellStyle name="Explanatory Text" xfId="5" builtinId="53"/>
    <cellStyle name="Hyperlink" xfId="2" builtinId="8"/>
    <cellStyle name="Hyperlink 2" xfId="4" xr:uid="{00000000-0005-0000-0000-000001000000}"/>
    <cellStyle name="Hyperlink 3" xfId="7" xr:uid="{80D8CC8B-F371-469B-BCE5-150FBE353D7F}"/>
    <cellStyle name="Normal" xfId="0" builtinId="0"/>
    <cellStyle name="Normal 2" xfId="3" xr:uid="{00000000-0005-0000-0000-000004000000}"/>
    <cellStyle name="Normal 5" xfId="8" xr:uid="{A776ACBE-08B6-4764-B89F-68C174FB65CC}"/>
    <cellStyle name="Percent" xfId="6" builtinId="5"/>
  </cellStyles>
  <dxfs count="108">
    <dxf>
      <numFmt numFmtId="0" formatCode="General"/>
      <alignment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alignment vertical="bottom" textRotation="0" wrapText="1" indent="0" justifyLastLine="0" shrinkToFit="0" readingOrder="0"/>
    </dxf>
    <dxf>
      <alignment vertical="bottom" textRotation="0" wrapText="1" indent="0" justifyLastLine="0" shrinkToFit="0" readingOrder="0"/>
    </dxf>
    <dxf>
      <font>
        <b/>
        <i val="0"/>
        <strike val="0"/>
        <condense val="0"/>
        <extend val="0"/>
        <outline val="0"/>
        <shadow val="0"/>
        <u val="none"/>
        <vertAlign val="baseline"/>
        <sz val="11"/>
        <color theme="1"/>
        <name val="Calibri"/>
        <scheme val="minor"/>
      </font>
      <numFmt numFmtId="30" formatCode="@"/>
      <alignment horizontal="left"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0.5"/>
        <color theme="1"/>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0.5"/>
        <color theme="1"/>
        <name val="Calibri"/>
        <scheme val="none"/>
      </font>
      <alignment horizontal="general"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thin">
          <color theme="4" tint="0.39997558519241921"/>
        </bottom>
      </border>
    </dxf>
    <dxf>
      <border outline="0">
        <top style="thin">
          <color theme="4" tint="0.39997558519241921"/>
        </top>
      </border>
    </dxf>
    <dxf>
      <fill>
        <patternFill patternType="none">
          <fgColor indexed="64"/>
          <bgColor auto="1"/>
        </patternFill>
      </fill>
    </dxf>
    <dxf>
      <font>
        <b/>
        <i val="0"/>
        <strike val="0"/>
        <condense val="0"/>
        <extend val="0"/>
        <outline val="0"/>
        <shadow val="0"/>
        <u val="none"/>
        <vertAlign val="baseline"/>
        <sz val="10.5"/>
        <color theme="0"/>
        <name val="Calibri"/>
        <scheme val="none"/>
      </font>
      <fill>
        <patternFill patternType="solid">
          <fgColor theme="4"/>
          <bgColor theme="4"/>
        </patternFill>
      </fill>
      <alignment horizontal="general" vertical="bottom" textRotation="0" wrapText="0"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font>
        <b/>
        <i val="0"/>
        <strike val="0"/>
        <condense val="0"/>
        <extend val="0"/>
        <outline val="0"/>
        <shadow val="0"/>
        <u val="none"/>
        <vertAlign val="baseline"/>
        <sz val="10.5"/>
        <color theme="1"/>
        <name val="Calibri"/>
        <scheme val="none"/>
      </font>
      <alignment textRotation="0" wrapText="0" indent="0" justifyLastLine="0" shrinkToFit="0" readingOrder="0"/>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numFmt numFmtId="169" formatCode="_ * #,##0_ ;_ * \-#,##0_ ;_ * &quot;-&quot;??_ ;_ @_ "/>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b val="0"/>
        <i val="0"/>
        <strike val="0"/>
        <condense val="0"/>
        <extend val="0"/>
        <outline val="0"/>
        <shadow val="0"/>
        <u val="none"/>
        <vertAlign val="baseline"/>
        <sz val="10.5"/>
        <color theme="1"/>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numFmt numFmtId="0" formatCode="General"/>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b val="0"/>
        <i val="0"/>
        <strike val="0"/>
        <condense val="0"/>
        <extend val="0"/>
        <outline val="0"/>
        <shadow val="0"/>
        <u val="none"/>
        <vertAlign val="baseline"/>
        <sz val="10.5"/>
        <color theme="1"/>
        <name val="Franklin Gothic Book"/>
        <family val="2"/>
        <scheme val="none"/>
      </font>
      <alignment vertical="center" textRotation="0" indent="0" justifyLastLine="0" shrinkToFit="0" readingOrder="0"/>
    </dxf>
    <dxf>
      <font>
        <strike val="0"/>
        <outline val="0"/>
        <shadow val="0"/>
        <vertAlign val="baseline"/>
        <name val="Franklin Gothic Book"/>
        <family val="2"/>
        <scheme val="none"/>
      </font>
      <alignment vertical="center" textRotation="0" indent="0" justifyLastLine="0" shrinkToFit="0" readingOrder="0"/>
    </dxf>
    <dxf>
      <font>
        <strike val="0"/>
        <outline val="0"/>
        <shadow val="0"/>
        <vertAlign val="baseline"/>
        <name val="Franklin Gothic Book"/>
        <family val="2"/>
        <scheme val="none"/>
      </font>
      <alignment vertical="center" textRotation="0" indent="0" justifyLastLine="0" shrinkToFit="0" readingOrder="0"/>
    </dxf>
    <dxf>
      <font>
        <strike val="0"/>
        <outline val="0"/>
        <shadow val="0"/>
        <vertAlign val="baseline"/>
        <name val="Franklin Gothic Book"/>
        <family val="2"/>
        <scheme val="none"/>
      </font>
      <alignment vertical="center" textRotation="0" indent="0" justifyLastLine="0" shrinkToFit="0" readingOrder="0"/>
    </dxf>
    <dxf>
      <font>
        <strike val="0"/>
        <outline val="0"/>
        <shadow val="0"/>
        <vertAlign val="baseline"/>
        <name val="Franklin Gothic Book"/>
        <family val="2"/>
        <scheme val="none"/>
      </font>
      <alignment vertical="center" textRotation="0" indent="0" justifyLastLine="0" shrinkToFit="0" readingOrder="0"/>
    </dxf>
    <dxf>
      <font>
        <strike val="0"/>
        <outline val="0"/>
        <shadow val="0"/>
        <vertAlign val="baseline"/>
        <name val="Franklin Gothic Book"/>
        <family val="2"/>
        <scheme val="none"/>
      </font>
      <alignment vertical="center" textRotation="0" indent="0" justifyLastLine="0" shrinkToFit="0" readingOrder="0"/>
    </dxf>
    <dxf>
      <font>
        <strike val="0"/>
        <outline val="0"/>
        <shadow val="0"/>
        <vertAlign val="baseline"/>
        <name val="Franklin Gothic Book"/>
        <family val="2"/>
        <scheme val="none"/>
      </font>
      <numFmt numFmtId="0" formatCode="General"/>
      <alignment vertical="center" textRotation="0" indent="0" justifyLastLine="0" shrinkToFit="0" readingOrder="0"/>
    </dxf>
    <dxf>
      <font>
        <strike val="0"/>
        <outline val="0"/>
        <shadow val="0"/>
        <vertAlign val="baseline"/>
        <name val="Franklin Gothic Book"/>
        <family val="2"/>
        <scheme val="none"/>
      </font>
      <numFmt numFmtId="0" formatCode="General"/>
      <alignment vertical="center" textRotation="0" indent="0" justifyLastLine="0" shrinkToFit="0" readingOrder="0"/>
    </dxf>
    <dxf>
      <font>
        <strike val="0"/>
        <outline val="0"/>
        <shadow val="0"/>
        <vertAlign val="baseline"/>
        <name val="Franklin Gothic Book"/>
        <family val="2"/>
        <scheme val="none"/>
      </font>
      <numFmt numFmtId="0" formatCode="General"/>
      <alignment vertical="center" textRotation="0" indent="0" justifyLastLine="0" shrinkToFit="0" readingOrder="0"/>
    </dxf>
    <dxf>
      <font>
        <strike val="0"/>
        <outline val="0"/>
        <shadow val="0"/>
        <vertAlign val="baseline"/>
        <name val="Franklin Gothic Book"/>
        <family val="2"/>
        <scheme val="none"/>
      </font>
      <numFmt numFmtId="0" formatCode="General"/>
      <alignment vertical="center" textRotation="0" indent="0" justifyLastLine="0" shrinkToFit="0" readingOrder="0"/>
    </dxf>
    <dxf>
      <font>
        <strike val="0"/>
        <outline val="0"/>
        <shadow val="0"/>
        <vertAlign val="baseline"/>
        <name val="Franklin Gothic Book"/>
        <family val="2"/>
        <scheme val="none"/>
      </font>
      <alignment vertical="center" textRotation="0" indent="0" justifyLastLine="0" shrinkToFit="0" readingOrder="0"/>
    </dxf>
    <dxf>
      <font>
        <strike val="0"/>
        <outline val="0"/>
        <shadow val="0"/>
        <vertAlign val="baseline"/>
        <name val="Franklin Gothic Book"/>
        <family val="2"/>
        <scheme val="none"/>
      </font>
      <alignment vertical="center" textRotation="0" indent="0" justifyLastLine="0" shrinkToFit="0" readingOrder="0"/>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dxf>
    <dxf>
      <font>
        <strike val="0"/>
        <outline val="0"/>
        <shadow val="0"/>
        <vertAlign val="baseline"/>
        <name val="Franklin Gothic Book"/>
        <family val="2"/>
        <scheme val="none"/>
      </font>
    </dxf>
    <dxf>
      <border outline="0">
        <top style="medium">
          <color indexed="64"/>
        </top>
      </border>
    </dxf>
    <dxf>
      <font>
        <strike val="0"/>
        <outline val="0"/>
        <shadow val="0"/>
        <vertAlign val="baseline"/>
        <name val="Franklin Gothic Book"/>
        <family val="2"/>
        <scheme val="none"/>
      </font>
    </dxf>
    <dxf>
      <font>
        <b val="0"/>
        <i val="0"/>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vertAlign val="baseline"/>
        <name val="Franklin Gothic Book"/>
        <family val="2"/>
        <scheme val="none"/>
      </font>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i/>
        <strike val="0"/>
        <outline val="0"/>
        <shadow val="0"/>
        <vertAlign val="baseline"/>
        <sz val="12"/>
        <name val="Franklin Gothic Book"/>
        <family val="2"/>
        <scheme val="none"/>
      </font>
      <fill>
        <patternFill patternType="none">
          <fgColor indexed="64"/>
          <bgColor indexed="65"/>
        </patternFill>
      </fill>
      <alignment horizontal="left" vertical="center" textRotation="0" wrapText="0" indent="0" justifyLastLine="0" shrinkToFit="0" readingOrder="0"/>
    </dxf>
    <dxf>
      <border outline="0">
        <top style="medium">
          <color indexed="64"/>
        </top>
      </border>
    </dxf>
    <dxf>
      <font>
        <strike val="0"/>
        <outline val="0"/>
        <shadow val="0"/>
        <vertAlign val="baseline"/>
        <name val="Franklin Gothic Book"/>
        <family val="2"/>
        <scheme val="none"/>
      </font>
    </dxf>
    <dxf>
      <font>
        <b val="0"/>
        <i val="0"/>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9" formatCode="_ * #,##0_ ;_ * \-#,##0_ ;_ * &quot;-&quot;??_ ;_ @_ "/>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9" formatCode="_ * #,##0_ ;_ * \-#,##0_ ;_ * &quot;-&quot;??_ ;_ @_ "/>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vertAlign val="baseline"/>
        <name val="Franklin Gothic Book"/>
        <family val="2"/>
        <scheme val="none"/>
      </font>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vertAlign val="baseline"/>
        <name val="Franklin Gothic Book"/>
        <family val="2"/>
        <scheme val="none"/>
      </font>
    </dxf>
    <dxf>
      <border outline="0">
        <top style="medium">
          <color indexed="64"/>
        </top>
      </border>
    </dxf>
    <dxf>
      <font>
        <strike val="0"/>
        <outline val="0"/>
        <shadow val="0"/>
        <vertAlign val="baseline"/>
        <name val="Franklin Gothic Book"/>
        <family val="2"/>
        <scheme val="none"/>
      </font>
    </dxf>
    <dxf>
      <font>
        <b val="0"/>
        <i val="0"/>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border>
        <bottom style="thin">
          <color rgb="FF188FBB"/>
        </bottom>
      </border>
    </dxf>
    <dxf>
      <fill>
        <patternFill patternType="solid">
          <bgColor theme="2"/>
        </patternFill>
      </fill>
      <border>
        <bottom style="thin">
          <color rgb="FF188FBB"/>
        </bottom>
      </border>
    </dxf>
    <dxf>
      <font>
        <b/>
        <i val="0"/>
        <color theme="0"/>
      </font>
      <fill>
        <patternFill>
          <bgColor rgb="FF165B89"/>
        </patternFill>
      </fill>
      <border>
        <top style="thick">
          <color auto="1"/>
        </top>
        <bottom style="medium">
          <color rgb="FF188FBB"/>
        </bottom>
      </border>
    </dxf>
    <dxf>
      <border>
        <bottom style="thin">
          <color rgb="FF188FBB"/>
        </bottom>
      </border>
    </dxf>
    <dxf>
      <fill>
        <patternFill patternType="solid">
          <bgColor theme="2"/>
        </patternFill>
      </fill>
      <border>
        <bottom style="thin">
          <color rgb="FF188FBB"/>
        </bottom>
      </border>
    </dxf>
    <dxf>
      <font>
        <b/>
        <i val="0"/>
        <color theme="0"/>
      </font>
      <fill>
        <patternFill>
          <bgColor rgb="FF165B89"/>
        </patternFill>
      </fill>
      <border>
        <top style="thick">
          <color auto="1"/>
        </top>
        <bottom style="medium">
          <color rgb="FF188FBB"/>
        </bottom>
      </border>
    </dxf>
  </dxfs>
  <tableStyles count="3" defaultTableStyle="TableStyleMedium2" defaultPivotStyle="PivotStyleLight16">
    <tableStyle name="EITI Table" pivot="0" count="0" xr9:uid="{1E105F24-99F8-43C5-BDF9-D6A753A24FA2}"/>
    <tableStyle name="EITI Table 2" pivot="0" count="3" xr9:uid="{75225649-1FD3-452E-B344-3C5F7BA5401C}">
      <tableStyleElement type="headerRow" dxfId="107"/>
      <tableStyleElement type="firstRowStripe" dxfId="106"/>
      <tableStyleElement type="secondRowStripe" dxfId="105"/>
    </tableStyle>
    <tableStyle name="EITI Table 3" pivot="0" count="3" xr9:uid="{75225649-1FD3-452E-B344-3C5F7BA5401C}">
      <tableStyleElement type="headerRow" dxfId="104"/>
      <tableStyleElement type="firstRowStripe" dxfId="103"/>
      <tableStyleElement type="secondRowStripe" dxfId="102"/>
    </tableStyle>
  </tableStyles>
  <colors>
    <mruColors>
      <color rgb="FFF6A70A"/>
      <color rgb="FFF2F2F2"/>
      <color rgb="FF0076AF"/>
      <color rgb="FFD9D9D9"/>
      <color rgb="FFF0D9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1736679</xdr:colOff>
      <xdr:row>4</xdr:row>
      <xdr:rowOff>183252</xdr:rowOff>
    </xdr:to>
    <xdr:pic>
      <xdr:nvPicPr>
        <xdr:cNvPr id="7" name="Picture 6" descr="https://eiti.org/sites/default/files/styles/img-narrow/public/inline/logo_gradient_-_under.png?itok=F8fw0Tyz">
          <a:extLst>
            <a:ext uri="{FF2B5EF4-FFF2-40B4-BE49-F238E27FC236}">
              <a16:creationId xmlns:a16="http://schemas.microsoft.com/office/drawing/2014/main" id="{61640C93-182B-4D91-B8CE-534A3A65E723}"/>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248" t="7983" b="5883"/>
        <a:stretch/>
      </xdr:blipFill>
      <xdr:spPr bwMode="auto">
        <a:xfrm>
          <a:off x="277813" y="0"/>
          <a:ext cx="1736679" cy="994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xdr:row>
      <xdr:rowOff>45017</xdr:rowOff>
    </xdr:from>
    <xdr:to>
      <xdr:col>7</xdr:col>
      <xdr:colOff>0</xdr:colOff>
      <xdr:row>5</xdr:row>
      <xdr:rowOff>99390</xdr:rowOff>
    </xdr:to>
    <xdr:grpSp>
      <xdr:nvGrpSpPr>
        <xdr:cNvPr id="8" name="Group 7">
          <a:extLst>
            <a:ext uri="{FF2B5EF4-FFF2-40B4-BE49-F238E27FC236}">
              <a16:creationId xmlns:a16="http://schemas.microsoft.com/office/drawing/2014/main" id="{ED1E856C-C8D8-4A69-9BD1-D9667437E682}"/>
            </a:ext>
          </a:extLst>
        </xdr:cNvPr>
        <xdr:cNvGrpSpPr>
          <a:grpSpLocks/>
        </xdr:cNvGrpSpPr>
      </xdr:nvGrpSpPr>
      <xdr:grpSpPr bwMode="auto">
        <a:xfrm flipV="1">
          <a:off x="266700" y="1045142"/>
          <a:ext cx="13515975" cy="54373"/>
          <a:chOff x="1134" y="1904"/>
          <a:chExt cx="9546" cy="181"/>
        </a:xfrm>
      </xdr:grpSpPr>
      <xdr:sp macro="" textlink="">
        <xdr:nvSpPr>
          <xdr:cNvPr id="9" name="Rectangle 8">
            <a:extLst>
              <a:ext uri="{FF2B5EF4-FFF2-40B4-BE49-F238E27FC236}">
                <a16:creationId xmlns:a16="http://schemas.microsoft.com/office/drawing/2014/main" id="{2E72EF97-04EB-4C69-ABDD-AD665FD2B8B4}"/>
              </a:ext>
            </a:extLst>
          </xdr:cNvPr>
          <xdr:cNvSpPr>
            <a:spLocks/>
          </xdr:cNvSpPr>
        </xdr:nvSpPr>
        <xdr:spPr bwMode="auto">
          <a:xfrm>
            <a:off x="1134" y="1904"/>
            <a:ext cx="321"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0" name="Rectangle 9">
            <a:extLst>
              <a:ext uri="{FF2B5EF4-FFF2-40B4-BE49-F238E27FC236}">
                <a16:creationId xmlns:a16="http://schemas.microsoft.com/office/drawing/2014/main" id="{DAFE90F5-9E8A-48BC-9FC0-B1BC9C9EF2E3}"/>
              </a:ext>
            </a:extLst>
          </xdr:cNvPr>
          <xdr:cNvSpPr>
            <a:spLocks/>
          </xdr:cNvSpPr>
        </xdr:nvSpPr>
        <xdr:spPr bwMode="auto">
          <a:xfrm>
            <a:off x="1564" y="1904"/>
            <a:ext cx="121"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4" name="Rectangle 13">
            <a:extLst>
              <a:ext uri="{FF2B5EF4-FFF2-40B4-BE49-F238E27FC236}">
                <a16:creationId xmlns:a16="http://schemas.microsoft.com/office/drawing/2014/main" id="{826F2BEA-D9F9-4706-8913-3B37C0F9E61C}"/>
              </a:ext>
            </a:extLst>
          </xdr:cNvPr>
          <xdr:cNvSpPr>
            <a:spLocks/>
          </xdr:cNvSpPr>
        </xdr:nvSpPr>
        <xdr:spPr bwMode="auto">
          <a:xfrm>
            <a:off x="1682" y="1904"/>
            <a:ext cx="213"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5" name="Rectangle 14">
            <a:extLst>
              <a:ext uri="{FF2B5EF4-FFF2-40B4-BE49-F238E27FC236}">
                <a16:creationId xmlns:a16="http://schemas.microsoft.com/office/drawing/2014/main" id="{616F3F3E-32D9-4E9F-9875-9C4ACC925326}"/>
              </a:ext>
            </a:extLst>
          </xdr:cNvPr>
          <xdr:cNvSpPr>
            <a:spLocks/>
          </xdr:cNvSpPr>
        </xdr:nvSpPr>
        <xdr:spPr bwMode="auto">
          <a:xfrm>
            <a:off x="1449" y="1904"/>
            <a:ext cx="121"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6" name="Rectangle 15">
            <a:extLst>
              <a:ext uri="{FF2B5EF4-FFF2-40B4-BE49-F238E27FC236}">
                <a16:creationId xmlns:a16="http://schemas.microsoft.com/office/drawing/2014/main" id="{632467AE-B8EF-479C-8ABE-E4B87B75128D}"/>
              </a:ext>
            </a:extLst>
          </xdr:cNvPr>
          <xdr:cNvSpPr>
            <a:spLocks/>
          </xdr:cNvSpPr>
        </xdr:nvSpPr>
        <xdr:spPr bwMode="auto">
          <a:xfrm>
            <a:off x="2006" y="1904"/>
            <a:ext cx="220"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7" name="Rectangle 16">
            <a:extLst>
              <a:ext uri="{FF2B5EF4-FFF2-40B4-BE49-F238E27FC236}">
                <a16:creationId xmlns:a16="http://schemas.microsoft.com/office/drawing/2014/main" id="{509223E0-7FAC-46F2-99E3-1A136AC46D0D}"/>
              </a:ext>
            </a:extLst>
          </xdr:cNvPr>
          <xdr:cNvSpPr>
            <a:spLocks/>
          </xdr:cNvSpPr>
        </xdr:nvSpPr>
        <xdr:spPr bwMode="auto">
          <a:xfrm>
            <a:off x="1797" y="1904"/>
            <a:ext cx="310"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8" name="Rectangle 17">
            <a:extLst>
              <a:ext uri="{FF2B5EF4-FFF2-40B4-BE49-F238E27FC236}">
                <a16:creationId xmlns:a16="http://schemas.microsoft.com/office/drawing/2014/main" id="{408FDE80-9D68-4E68-9BC4-E67C1A9B1C75}"/>
              </a:ext>
            </a:extLst>
          </xdr:cNvPr>
          <xdr:cNvSpPr>
            <a:spLocks/>
          </xdr:cNvSpPr>
        </xdr:nvSpPr>
        <xdr:spPr bwMode="auto">
          <a:xfrm>
            <a:off x="2331" y="1904"/>
            <a:ext cx="8349"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9" name="Rectangle 18">
            <a:extLst>
              <a:ext uri="{FF2B5EF4-FFF2-40B4-BE49-F238E27FC236}">
                <a16:creationId xmlns:a16="http://schemas.microsoft.com/office/drawing/2014/main" id="{15D8932D-D2E1-47D4-A300-482A260DD3DF}"/>
              </a:ext>
            </a:extLst>
          </xdr:cNvPr>
          <xdr:cNvSpPr>
            <a:spLocks/>
          </xdr:cNvSpPr>
        </xdr:nvSpPr>
        <xdr:spPr bwMode="auto">
          <a:xfrm>
            <a:off x="2226" y="1909"/>
            <a:ext cx="108" cy="176"/>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4</xdr:row>
      <xdr:rowOff>200024</xdr:rowOff>
    </xdr:from>
    <xdr:to>
      <xdr:col>7</xdr:col>
      <xdr:colOff>0</xdr:colOff>
      <xdr:row>5</xdr:row>
      <xdr:rowOff>200024</xdr:rowOff>
    </xdr:to>
    <xdr:grpSp>
      <xdr:nvGrpSpPr>
        <xdr:cNvPr id="3" name="Group 2">
          <a:extLst>
            <a:ext uri="{FF2B5EF4-FFF2-40B4-BE49-F238E27FC236}">
              <a16:creationId xmlns:a16="http://schemas.microsoft.com/office/drawing/2014/main" id="{C65A8299-B3EA-458C-8DE3-6AF5BE52D529}"/>
            </a:ext>
          </a:extLst>
        </xdr:cNvPr>
        <xdr:cNvGrpSpPr>
          <a:grpSpLocks/>
        </xdr:cNvGrpSpPr>
      </xdr:nvGrpSpPr>
      <xdr:grpSpPr bwMode="auto">
        <a:xfrm>
          <a:off x="266700" y="0"/>
          <a:ext cx="13696950" cy="0"/>
          <a:chOff x="1133" y="1230"/>
          <a:chExt cx="8460" cy="208"/>
        </a:xfrm>
      </xdr:grpSpPr>
      <xdr:sp macro="" textlink="">
        <xdr:nvSpPr>
          <xdr:cNvPr id="4" name="Rektangel 2">
            <a:extLst>
              <a:ext uri="{FF2B5EF4-FFF2-40B4-BE49-F238E27FC236}">
                <a16:creationId xmlns:a16="http://schemas.microsoft.com/office/drawing/2014/main" id="{A533F3F1-6CF8-4E74-A2A8-CF7F1527F089}"/>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5" name="Rektangel 3">
            <a:extLst>
              <a:ext uri="{FF2B5EF4-FFF2-40B4-BE49-F238E27FC236}">
                <a16:creationId xmlns:a16="http://schemas.microsoft.com/office/drawing/2014/main" id="{E2275F57-1341-4AA4-AA80-F9B361BC26DB}"/>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200024</xdr:rowOff>
    </xdr:from>
    <xdr:to>
      <xdr:col>8</xdr:col>
      <xdr:colOff>0</xdr:colOff>
      <xdr:row>5</xdr:row>
      <xdr:rowOff>200024</xdr:rowOff>
    </xdr:to>
    <xdr:grpSp>
      <xdr:nvGrpSpPr>
        <xdr:cNvPr id="3" name="Group 2">
          <a:extLst>
            <a:ext uri="{FF2B5EF4-FFF2-40B4-BE49-F238E27FC236}">
              <a16:creationId xmlns:a16="http://schemas.microsoft.com/office/drawing/2014/main" id="{327F5133-DAE1-49FE-BA13-854C2168A81B}"/>
            </a:ext>
          </a:extLst>
        </xdr:cNvPr>
        <xdr:cNvGrpSpPr>
          <a:grpSpLocks/>
        </xdr:cNvGrpSpPr>
      </xdr:nvGrpSpPr>
      <xdr:grpSpPr bwMode="auto">
        <a:xfrm>
          <a:off x="266700" y="0"/>
          <a:ext cx="15554325" cy="0"/>
          <a:chOff x="1133" y="1230"/>
          <a:chExt cx="8460" cy="208"/>
        </a:xfrm>
      </xdr:grpSpPr>
      <xdr:sp macro="" textlink="">
        <xdr:nvSpPr>
          <xdr:cNvPr id="4" name="Rektangel 2">
            <a:extLst>
              <a:ext uri="{FF2B5EF4-FFF2-40B4-BE49-F238E27FC236}">
                <a16:creationId xmlns:a16="http://schemas.microsoft.com/office/drawing/2014/main" id="{0C52EB97-EF20-49FD-ABE0-FDCD3013BCE0}"/>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5" name="Rektangel 3">
            <a:extLst>
              <a:ext uri="{FF2B5EF4-FFF2-40B4-BE49-F238E27FC236}">
                <a16:creationId xmlns:a16="http://schemas.microsoft.com/office/drawing/2014/main" id="{0AC24B51-FA8F-4143-89F4-000FFE854C18}"/>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266699</xdr:colOff>
      <xdr:row>4</xdr:row>
      <xdr:rowOff>200024</xdr:rowOff>
    </xdr:from>
    <xdr:to>
      <xdr:col>4</xdr:col>
      <xdr:colOff>2285999</xdr:colOff>
      <xdr:row>6</xdr:row>
      <xdr:rowOff>0</xdr:rowOff>
    </xdr:to>
    <xdr:grpSp>
      <xdr:nvGrpSpPr>
        <xdr:cNvPr id="3" name="Group 2">
          <a:extLst>
            <a:ext uri="{FF2B5EF4-FFF2-40B4-BE49-F238E27FC236}">
              <a16:creationId xmlns:a16="http://schemas.microsoft.com/office/drawing/2014/main" id="{8C2159D8-7352-4E2D-A5BF-AE8DA13A5427}"/>
            </a:ext>
          </a:extLst>
        </xdr:cNvPr>
        <xdr:cNvGrpSpPr>
          <a:grpSpLocks/>
        </xdr:cNvGrpSpPr>
      </xdr:nvGrpSpPr>
      <xdr:grpSpPr bwMode="auto">
        <a:xfrm>
          <a:off x="266699" y="0"/>
          <a:ext cx="13096875" cy="0"/>
          <a:chOff x="1133" y="1230"/>
          <a:chExt cx="8460" cy="208"/>
        </a:xfrm>
      </xdr:grpSpPr>
      <xdr:sp macro="" textlink="">
        <xdr:nvSpPr>
          <xdr:cNvPr id="4" name="Rektangel 2">
            <a:extLst>
              <a:ext uri="{FF2B5EF4-FFF2-40B4-BE49-F238E27FC236}">
                <a16:creationId xmlns:a16="http://schemas.microsoft.com/office/drawing/2014/main" id="{07BB548C-1AB7-47DF-867C-650435759919}"/>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5" name="Rektangel 3">
            <a:extLst>
              <a:ext uri="{FF2B5EF4-FFF2-40B4-BE49-F238E27FC236}">
                <a16:creationId xmlns:a16="http://schemas.microsoft.com/office/drawing/2014/main" id="{9959B6CB-7FEE-4CD1-9F79-0BEC2E07616B}"/>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4</xdr:row>
      <xdr:rowOff>180974</xdr:rowOff>
    </xdr:from>
    <xdr:to>
      <xdr:col>14</xdr:col>
      <xdr:colOff>0</xdr:colOff>
      <xdr:row>6</xdr:row>
      <xdr:rowOff>0</xdr:rowOff>
    </xdr:to>
    <xdr:grpSp>
      <xdr:nvGrpSpPr>
        <xdr:cNvPr id="5" name="Group 4">
          <a:extLst>
            <a:ext uri="{FF2B5EF4-FFF2-40B4-BE49-F238E27FC236}">
              <a16:creationId xmlns:a16="http://schemas.microsoft.com/office/drawing/2014/main" id="{9B73E1E8-14D5-4032-BFBF-2C0E51B7CF8D}"/>
            </a:ext>
          </a:extLst>
        </xdr:cNvPr>
        <xdr:cNvGrpSpPr>
          <a:grpSpLocks/>
        </xdr:cNvGrpSpPr>
      </xdr:nvGrpSpPr>
      <xdr:grpSpPr bwMode="auto">
        <a:xfrm>
          <a:off x="200025" y="0"/>
          <a:ext cx="18164175" cy="0"/>
          <a:chOff x="1133" y="1230"/>
          <a:chExt cx="8460" cy="208"/>
        </a:xfrm>
      </xdr:grpSpPr>
      <xdr:sp macro="" textlink="">
        <xdr:nvSpPr>
          <xdr:cNvPr id="6" name="Rektangel 2">
            <a:extLst>
              <a:ext uri="{FF2B5EF4-FFF2-40B4-BE49-F238E27FC236}">
                <a16:creationId xmlns:a16="http://schemas.microsoft.com/office/drawing/2014/main" id="{98E8F3D6-7500-4A83-ADB1-5A3338A665E8}"/>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7" name="Rektangel 3">
            <a:extLst>
              <a:ext uri="{FF2B5EF4-FFF2-40B4-BE49-F238E27FC236}">
                <a16:creationId xmlns:a16="http://schemas.microsoft.com/office/drawing/2014/main" id="{49F7436F-6E45-494D-87AF-7C61A413D25E}"/>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twoCellAnchor editAs="oneCell">
    <xdr:from>
      <xdr:col>12</xdr:col>
      <xdr:colOff>8965</xdr:colOff>
      <xdr:row>28</xdr:row>
      <xdr:rowOff>212910</xdr:rowOff>
    </xdr:from>
    <xdr:to>
      <xdr:col>14</xdr:col>
      <xdr:colOff>9788</xdr:colOff>
      <xdr:row>48</xdr:row>
      <xdr:rowOff>254416</xdr:rowOff>
    </xdr:to>
    <xdr:pic>
      <xdr:nvPicPr>
        <xdr:cNvPr id="13" name="Picture 12">
          <a:extLst>
            <a:ext uri="{FF2B5EF4-FFF2-40B4-BE49-F238E27FC236}">
              <a16:creationId xmlns:a16="http://schemas.microsoft.com/office/drawing/2014/main" id="{EF5AD3F8-19EE-403C-8653-CF7C887B43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77083" y="5569322"/>
          <a:ext cx="6187888" cy="87742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7</xdr:col>
      <xdr:colOff>304800</xdr:colOff>
      <xdr:row>3</xdr:row>
      <xdr:rowOff>304800</xdr:rowOff>
    </xdr:to>
    <xdr:sp macro="" textlink="">
      <xdr:nvSpPr>
        <xdr:cNvPr id="8452" name="AutoShape 260">
          <a:extLst>
            <a:ext uri="{FF2B5EF4-FFF2-40B4-BE49-F238E27FC236}">
              <a16:creationId xmlns:a16="http://schemas.microsoft.com/office/drawing/2014/main" id="{496B0B5C-016C-4A77-A957-2A75F9D06302}"/>
            </a:ext>
          </a:extLst>
        </xdr:cNvPr>
        <xdr:cNvSpPr>
          <a:spLocks noChangeAspect="1" noChangeArrowheads="1"/>
        </xdr:cNvSpPr>
      </xdr:nvSpPr>
      <xdr:spPr bwMode="auto">
        <a:xfrm>
          <a:off x="11982450" y="54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xdr:row>
      <xdr:rowOff>0</xdr:rowOff>
    </xdr:from>
    <xdr:to>
      <xdr:col>7</xdr:col>
      <xdr:colOff>304800</xdr:colOff>
      <xdr:row>6</xdr:row>
      <xdr:rowOff>120650</xdr:rowOff>
    </xdr:to>
    <xdr:sp macro="" textlink="">
      <xdr:nvSpPr>
        <xdr:cNvPr id="8453" name="AutoShape 261">
          <a:extLst>
            <a:ext uri="{FF2B5EF4-FFF2-40B4-BE49-F238E27FC236}">
              <a16:creationId xmlns:a16="http://schemas.microsoft.com/office/drawing/2014/main" id="{64794F00-83CB-41CC-92ED-418896BD69DA}"/>
            </a:ext>
          </a:extLst>
        </xdr:cNvPr>
        <xdr:cNvSpPr>
          <a:spLocks noChangeAspect="1" noChangeArrowheads="1"/>
        </xdr:cNvSpPr>
      </xdr:nvSpPr>
      <xdr:spPr bwMode="auto">
        <a:xfrm>
          <a:off x="11982450" y="904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xdr:row>
      <xdr:rowOff>0</xdr:rowOff>
    </xdr:from>
    <xdr:to>
      <xdr:col>7</xdr:col>
      <xdr:colOff>304800</xdr:colOff>
      <xdr:row>10</xdr:row>
      <xdr:rowOff>304800</xdr:rowOff>
    </xdr:to>
    <xdr:sp macro="" textlink="">
      <xdr:nvSpPr>
        <xdr:cNvPr id="8454" name="AutoShape 262">
          <a:extLst>
            <a:ext uri="{FF2B5EF4-FFF2-40B4-BE49-F238E27FC236}">
              <a16:creationId xmlns:a16="http://schemas.microsoft.com/office/drawing/2014/main" id="{B292C71B-1E9D-403B-A372-5853D485832E}"/>
            </a:ext>
          </a:extLst>
        </xdr:cNvPr>
        <xdr:cNvSpPr>
          <a:spLocks noChangeAspect="1" noChangeArrowheads="1"/>
        </xdr:cNvSpPr>
      </xdr:nvSpPr>
      <xdr:spPr bwMode="auto">
        <a:xfrm>
          <a:off x="11982450" y="180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11</xdr:row>
      <xdr:rowOff>0</xdr:rowOff>
    </xdr:from>
    <xdr:to>
      <xdr:col>7</xdr:col>
      <xdr:colOff>304800</xdr:colOff>
      <xdr:row>11</xdr:row>
      <xdr:rowOff>304800</xdr:rowOff>
    </xdr:to>
    <xdr:sp macro="" textlink="">
      <xdr:nvSpPr>
        <xdr:cNvPr id="8455" name="AutoShape 263">
          <a:extLst>
            <a:ext uri="{FF2B5EF4-FFF2-40B4-BE49-F238E27FC236}">
              <a16:creationId xmlns:a16="http://schemas.microsoft.com/office/drawing/2014/main" id="{289AA93A-9991-48A0-A373-A229F378FECB}"/>
            </a:ext>
          </a:extLst>
        </xdr:cNvPr>
        <xdr:cNvSpPr>
          <a:spLocks noChangeAspect="1" noChangeArrowheads="1"/>
        </xdr:cNvSpPr>
      </xdr:nvSpPr>
      <xdr:spPr bwMode="auto">
        <a:xfrm>
          <a:off x="11982450" y="199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14</xdr:row>
      <xdr:rowOff>0</xdr:rowOff>
    </xdr:from>
    <xdr:to>
      <xdr:col>7</xdr:col>
      <xdr:colOff>304800</xdr:colOff>
      <xdr:row>14</xdr:row>
      <xdr:rowOff>304800</xdr:rowOff>
    </xdr:to>
    <xdr:sp macro="" textlink="">
      <xdr:nvSpPr>
        <xdr:cNvPr id="8456" name="AutoShape 264">
          <a:extLst>
            <a:ext uri="{FF2B5EF4-FFF2-40B4-BE49-F238E27FC236}">
              <a16:creationId xmlns:a16="http://schemas.microsoft.com/office/drawing/2014/main" id="{EAF65064-8F02-4FA7-A7B5-0C44FF177183}"/>
            </a:ext>
          </a:extLst>
        </xdr:cNvPr>
        <xdr:cNvSpPr>
          <a:spLocks noChangeAspect="1" noChangeArrowheads="1"/>
        </xdr:cNvSpPr>
      </xdr:nvSpPr>
      <xdr:spPr bwMode="auto">
        <a:xfrm>
          <a:off x="11982450" y="253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32</xdr:row>
      <xdr:rowOff>0</xdr:rowOff>
    </xdr:from>
    <xdr:to>
      <xdr:col>7</xdr:col>
      <xdr:colOff>304800</xdr:colOff>
      <xdr:row>33</xdr:row>
      <xdr:rowOff>0</xdr:rowOff>
    </xdr:to>
    <xdr:sp macro="" textlink="">
      <xdr:nvSpPr>
        <xdr:cNvPr id="8457" name="AutoShape 265">
          <a:extLst>
            <a:ext uri="{FF2B5EF4-FFF2-40B4-BE49-F238E27FC236}">
              <a16:creationId xmlns:a16="http://schemas.microsoft.com/office/drawing/2014/main" id="{A8EC7E47-AED7-47A1-8EBA-1338D705886F}"/>
            </a:ext>
          </a:extLst>
        </xdr:cNvPr>
        <xdr:cNvSpPr>
          <a:spLocks noChangeAspect="1" noChangeArrowheads="1"/>
        </xdr:cNvSpPr>
      </xdr:nvSpPr>
      <xdr:spPr bwMode="auto">
        <a:xfrm>
          <a:off x="11982450" y="579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33</xdr:row>
      <xdr:rowOff>0</xdr:rowOff>
    </xdr:from>
    <xdr:to>
      <xdr:col>7</xdr:col>
      <xdr:colOff>304800</xdr:colOff>
      <xdr:row>34</xdr:row>
      <xdr:rowOff>120650</xdr:rowOff>
    </xdr:to>
    <xdr:sp macro="" textlink="">
      <xdr:nvSpPr>
        <xdr:cNvPr id="8458" name="AutoShape 266">
          <a:extLst>
            <a:ext uri="{FF2B5EF4-FFF2-40B4-BE49-F238E27FC236}">
              <a16:creationId xmlns:a16="http://schemas.microsoft.com/office/drawing/2014/main" id="{813DB849-148A-4C95-AFF7-CC5535217238}"/>
            </a:ext>
          </a:extLst>
        </xdr:cNvPr>
        <xdr:cNvSpPr>
          <a:spLocks noChangeAspect="1" noChangeArrowheads="1"/>
        </xdr:cNvSpPr>
      </xdr:nvSpPr>
      <xdr:spPr bwMode="auto">
        <a:xfrm>
          <a:off x="11982450" y="597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34</xdr:row>
      <xdr:rowOff>0</xdr:rowOff>
    </xdr:from>
    <xdr:to>
      <xdr:col>7</xdr:col>
      <xdr:colOff>304800</xdr:colOff>
      <xdr:row>35</xdr:row>
      <xdr:rowOff>0</xdr:rowOff>
    </xdr:to>
    <xdr:sp macro="" textlink="">
      <xdr:nvSpPr>
        <xdr:cNvPr id="8459" name="AutoShape 267">
          <a:extLst>
            <a:ext uri="{FF2B5EF4-FFF2-40B4-BE49-F238E27FC236}">
              <a16:creationId xmlns:a16="http://schemas.microsoft.com/office/drawing/2014/main" id="{399F5770-645E-4974-B8D0-FDA3FC670348}"/>
            </a:ext>
          </a:extLst>
        </xdr:cNvPr>
        <xdr:cNvSpPr>
          <a:spLocks noChangeAspect="1" noChangeArrowheads="1"/>
        </xdr:cNvSpPr>
      </xdr:nvSpPr>
      <xdr:spPr bwMode="auto">
        <a:xfrm>
          <a:off x="11982450" y="615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40</xdr:row>
      <xdr:rowOff>0</xdr:rowOff>
    </xdr:from>
    <xdr:to>
      <xdr:col>7</xdr:col>
      <xdr:colOff>304800</xdr:colOff>
      <xdr:row>40</xdr:row>
      <xdr:rowOff>177800</xdr:rowOff>
    </xdr:to>
    <xdr:sp macro="" textlink="">
      <xdr:nvSpPr>
        <xdr:cNvPr id="8460" name="AutoShape 268">
          <a:extLst>
            <a:ext uri="{FF2B5EF4-FFF2-40B4-BE49-F238E27FC236}">
              <a16:creationId xmlns:a16="http://schemas.microsoft.com/office/drawing/2014/main" id="{3540829E-FEBF-4B84-8217-9EC53EE657D8}"/>
            </a:ext>
          </a:extLst>
        </xdr:cNvPr>
        <xdr:cNvSpPr>
          <a:spLocks noChangeAspect="1" noChangeArrowheads="1"/>
        </xdr:cNvSpPr>
      </xdr:nvSpPr>
      <xdr:spPr bwMode="auto">
        <a:xfrm>
          <a:off x="1198245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53</xdr:row>
      <xdr:rowOff>0</xdr:rowOff>
    </xdr:from>
    <xdr:to>
      <xdr:col>7</xdr:col>
      <xdr:colOff>304800</xdr:colOff>
      <xdr:row>54</xdr:row>
      <xdr:rowOff>120650</xdr:rowOff>
    </xdr:to>
    <xdr:sp macro="" textlink="">
      <xdr:nvSpPr>
        <xdr:cNvPr id="8461" name="AutoShape 269">
          <a:extLst>
            <a:ext uri="{FF2B5EF4-FFF2-40B4-BE49-F238E27FC236}">
              <a16:creationId xmlns:a16="http://schemas.microsoft.com/office/drawing/2014/main" id="{A78A90D2-195B-4FBD-AF60-C3B086559529}"/>
            </a:ext>
          </a:extLst>
        </xdr:cNvPr>
        <xdr:cNvSpPr>
          <a:spLocks noChangeAspect="1" noChangeArrowheads="1"/>
        </xdr:cNvSpPr>
      </xdr:nvSpPr>
      <xdr:spPr bwMode="auto">
        <a:xfrm>
          <a:off x="11982450" y="9591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67</xdr:row>
      <xdr:rowOff>0</xdr:rowOff>
    </xdr:from>
    <xdr:to>
      <xdr:col>7</xdr:col>
      <xdr:colOff>304800</xdr:colOff>
      <xdr:row>68</xdr:row>
      <xdr:rowOff>120650</xdr:rowOff>
    </xdr:to>
    <xdr:sp macro="" textlink="">
      <xdr:nvSpPr>
        <xdr:cNvPr id="8462" name="AutoShape 270">
          <a:extLst>
            <a:ext uri="{FF2B5EF4-FFF2-40B4-BE49-F238E27FC236}">
              <a16:creationId xmlns:a16="http://schemas.microsoft.com/office/drawing/2014/main" id="{2E200D32-A97A-4153-8CCC-04937B2E2688}"/>
            </a:ext>
          </a:extLst>
        </xdr:cNvPr>
        <xdr:cNvSpPr>
          <a:spLocks noChangeAspect="1" noChangeArrowheads="1"/>
        </xdr:cNvSpPr>
      </xdr:nvSpPr>
      <xdr:spPr bwMode="auto">
        <a:xfrm>
          <a:off x="11982450" y="1212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69</xdr:row>
      <xdr:rowOff>0</xdr:rowOff>
    </xdr:from>
    <xdr:to>
      <xdr:col>7</xdr:col>
      <xdr:colOff>304800</xdr:colOff>
      <xdr:row>69</xdr:row>
      <xdr:rowOff>304800</xdr:rowOff>
    </xdr:to>
    <xdr:sp macro="" textlink="">
      <xdr:nvSpPr>
        <xdr:cNvPr id="8463" name="AutoShape 271">
          <a:extLst>
            <a:ext uri="{FF2B5EF4-FFF2-40B4-BE49-F238E27FC236}">
              <a16:creationId xmlns:a16="http://schemas.microsoft.com/office/drawing/2014/main" id="{B012AC0A-BE7D-45C6-9293-6FAD1D2EF2C9}"/>
            </a:ext>
          </a:extLst>
        </xdr:cNvPr>
        <xdr:cNvSpPr>
          <a:spLocks noChangeAspect="1" noChangeArrowheads="1"/>
        </xdr:cNvSpPr>
      </xdr:nvSpPr>
      <xdr:spPr bwMode="auto">
        <a:xfrm>
          <a:off x="11982450" y="1248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79</xdr:row>
      <xdr:rowOff>0</xdr:rowOff>
    </xdr:from>
    <xdr:to>
      <xdr:col>7</xdr:col>
      <xdr:colOff>304800</xdr:colOff>
      <xdr:row>80</xdr:row>
      <xdr:rowOff>120650</xdr:rowOff>
    </xdr:to>
    <xdr:sp macro="" textlink="">
      <xdr:nvSpPr>
        <xdr:cNvPr id="8464" name="AutoShape 272">
          <a:extLst>
            <a:ext uri="{FF2B5EF4-FFF2-40B4-BE49-F238E27FC236}">
              <a16:creationId xmlns:a16="http://schemas.microsoft.com/office/drawing/2014/main" id="{F30DB2BC-2787-4312-9085-801DB8B5B4BA}"/>
            </a:ext>
          </a:extLst>
        </xdr:cNvPr>
        <xdr:cNvSpPr>
          <a:spLocks noChangeAspect="1" noChangeArrowheads="1"/>
        </xdr:cNvSpPr>
      </xdr:nvSpPr>
      <xdr:spPr bwMode="auto">
        <a:xfrm>
          <a:off x="11982450" y="1429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85</xdr:row>
      <xdr:rowOff>0</xdr:rowOff>
    </xdr:from>
    <xdr:to>
      <xdr:col>7</xdr:col>
      <xdr:colOff>304800</xdr:colOff>
      <xdr:row>86</xdr:row>
      <xdr:rowOff>120650</xdr:rowOff>
    </xdr:to>
    <xdr:sp macro="" textlink="">
      <xdr:nvSpPr>
        <xdr:cNvPr id="8465" name="AutoShape 273">
          <a:extLst>
            <a:ext uri="{FF2B5EF4-FFF2-40B4-BE49-F238E27FC236}">
              <a16:creationId xmlns:a16="http://schemas.microsoft.com/office/drawing/2014/main" id="{471C0C8A-69A5-4E91-9DC3-D55BFBEF61A2}"/>
            </a:ext>
          </a:extLst>
        </xdr:cNvPr>
        <xdr:cNvSpPr>
          <a:spLocks noChangeAspect="1" noChangeArrowheads="1"/>
        </xdr:cNvSpPr>
      </xdr:nvSpPr>
      <xdr:spPr bwMode="auto">
        <a:xfrm>
          <a:off x="11982450" y="1538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86</xdr:row>
      <xdr:rowOff>0</xdr:rowOff>
    </xdr:from>
    <xdr:to>
      <xdr:col>7</xdr:col>
      <xdr:colOff>304800</xdr:colOff>
      <xdr:row>87</xdr:row>
      <xdr:rowOff>120650</xdr:rowOff>
    </xdr:to>
    <xdr:sp macro="" textlink="">
      <xdr:nvSpPr>
        <xdr:cNvPr id="8466" name="AutoShape 274">
          <a:extLst>
            <a:ext uri="{FF2B5EF4-FFF2-40B4-BE49-F238E27FC236}">
              <a16:creationId xmlns:a16="http://schemas.microsoft.com/office/drawing/2014/main" id="{6DC417FC-BE73-48EB-9780-E05F0BE7098F}"/>
            </a:ext>
          </a:extLst>
        </xdr:cNvPr>
        <xdr:cNvSpPr>
          <a:spLocks noChangeAspect="1" noChangeArrowheads="1"/>
        </xdr:cNvSpPr>
      </xdr:nvSpPr>
      <xdr:spPr bwMode="auto">
        <a:xfrm>
          <a:off x="11982450" y="1556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97</xdr:row>
      <xdr:rowOff>0</xdr:rowOff>
    </xdr:from>
    <xdr:to>
      <xdr:col>7</xdr:col>
      <xdr:colOff>304800</xdr:colOff>
      <xdr:row>98</xdr:row>
      <xdr:rowOff>120650</xdr:rowOff>
    </xdr:to>
    <xdr:sp macro="" textlink="">
      <xdr:nvSpPr>
        <xdr:cNvPr id="8467" name="AutoShape 275">
          <a:extLst>
            <a:ext uri="{FF2B5EF4-FFF2-40B4-BE49-F238E27FC236}">
              <a16:creationId xmlns:a16="http://schemas.microsoft.com/office/drawing/2014/main" id="{A4101640-AE25-4E61-AF4D-E27EEC8404C7}"/>
            </a:ext>
          </a:extLst>
        </xdr:cNvPr>
        <xdr:cNvSpPr>
          <a:spLocks noChangeAspect="1" noChangeArrowheads="1"/>
        </xdr:cNvSpPr>
      </xdr:nvSpPr>
      <xdr:spPr bwMode="auto">
        <a:xfrm>
          <a:off x="11982450" y="1755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108</xdr:row>
      <xdr:rowOff>0</xdr:rowOff>
    </xdr:from>
    <xdr:to>
      <xdr:col>7</xdr:col>
      <xdr:colOff>304800</xdr:colOff>
      <xdr:row>109</xdr:row>
      <xdr:rowOff>120650</xdr:rowOff>
    </xdr:to>
    <xdr:sp macro="" textlink="">
      <xdr:nvSpPr>
        <xdr:cNvPr id="8468" name="AutoShape 276">
          <a:extLst>
            <a:ext uri="{FF2B5EF4-FFF2-40B4-BE49-F238E27FC236}">
              <a16:creationId xmlns:a16="http://schemas.microsoft.com/office/drawing/2014/main" id="{73528F53-D73B-4D02-BE3C-0A2A88ADB061}"/>
            </a:ext>
          </a:extLst>
        </xdr:cNvPr>
        <xdr:cNvSpPr>
          <a:spLocks noChangeAspect="1" noChangeArrowheads="1"/>
        </xdr:cNvSpPr>
      </xdr:nvSpPr>
      <xdr:spPr bwMode="auto">
        <a:xfrm>
          <a:off x="11982450" y="1954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124</xdr:row>
      <xdr:rowOff>0</xdr:rowOff>
    </xdr:from>
    <xdr:to>
      <xdr:col>7</xdr:col>
      <xdr:colOff>304800</xdr:colOff>
      <xdr:row>125</xdr:row>
      <xdr:rowOff>120650</xdr:rowOff>
    </xdr:to>
    <xdr:sp macro="" textlink="">
      <xdr:nvSpPr>
        <xdr:cNvPr id="8469" name="AutoShape 277">
          <a:extLst>
            <a:ext uri="{FF2B5EF4-FFF2-40B4-BE49-F238E27FC236}">
              <a16:creationId xmlns:a16="http://schemas.microsoft.com/office/drawing/2014/main" id="{D3019745-D5D9-470F-9E52-135D5B74DAAF}"/>
            </a:ext>
          </a:extLst>
        </xdr:cNvPr>
        <xdr:cNvSpPr>
          <a:spLocks noChangeAspect="1" noChangeArrowheads="1"/>
        </xdr:cNvSpPr>
      </xdr:nvSpPr>
      <xdr:spPr bwMode="auto">
        <a:xfrm>
          <a:off x="11982450" y="2244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r65\Downloads\SD\2.0\Summary%20Data%202.0%20data%20validation%20french%20translatio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Companies" displayName="Companies" ref="B40:I66" totalsRowShown="0" headerRowDxfId="101" dataDxfId="100" tableBorderDxfId="99" headerRowCellStyle="Normal 2">
  <autoFilter ref="B40:I66" xr:uid="{00000000-0009-0000-0100-000009000000}"/>
  <tableColumns count="8">
    <tableColumn id="1" xr3:uid="{00000000-0010-0000-0000-000001000000}" name="Nom complet de l’entreprise" dataDxfId="98"/>
    <tableColumn id="7" xr3:uid="{808AAC1E-1D33-4EC8-B148-4FFBA7D63DC5}" name="Type d'entreprise" dataDxfId="97" dataCellStyle="Normal 2"/>
    <tableColumn id="2" xr3:uid="{00000000-0010-0000-0000-000002000000}" name="Identifiant de l’entreprise" dataDxfId="96"/>
    <tableColumn id="5" xr3:uid="{00000000-0010-0000-0000-000005000000}" name="Secteur" dataDxfId="95" dataCellStyle="Normal 2"/>
    <tableColumn id="3" xr3:uid="{00000000-0010-0000-0000-000003000000}" name="Matières premières (séparation par virgule)" dataDxfId="94" dataCellStyle="Normal 2"/>
    <tableColumn id="4" xr3:uid="{00000000-0010-0000-0000-000004000000}" name="Cotation boursière ou site Internet d’entreprise " dataDxfId="93"/>
    <tableColumn id="8" xr3:uid="{22462830-EB9B-4EA7-8DF6-E0AD5C287116}" name="Rapport financier audité (si indisponible, bilan comptable ou flux de trésorerie…)" dataDxfId="92"/>
    <tableColumn id="6" xr3:uid="{00000000-0010-0000-0000-000006000000}" name="Rapport de paiements à l’État" dataDxfId="91"/>
  </tableColumns>
  <tableStyleInfo name="EITI Tab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1000000}" name="Government_agencies" displayName="Government_agencies" ref="B20:E31" totalsRowShown="0" headerRowDxfId="90" dataDxfId="89" tableBorderDxfId="88" headerRowCellStyle="Normal 2">
  <autoFilter ref="B20:E31" xr:uid="{00000000-0009-0000-0100-00000B000000}"/>
  <tableColumns count="4">
    <tableColumn id="1" xr3:uid="{00000000-0010-0000-0100-000001000000}" name="Nom complet de l’entité" dataDxfId="87" dataCellStyle="Normal 2"/>
    <tableColumn id="4" xr3:uid="{A515A55C-F4BE-4632-9726-8C5991446E4D}" name="Type d'Agence" dataDxfId="86" dataCellStyle="Normal 2"/>
    <tableColumn id="2" xr3:uid="{00000000-0010-0000-0100-000002000000}" name="N° d’identifiant (le cas échéant)" dataDxfId="85"/>
    <tableColumn id="3" xr3:uid="{00000000-0010-0000-0100-000003000000}" name="Total déclaré" dataDxfId="84"/>
  </tableColumns>
  <tableStyleInfo name="EITI Table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2000000}" name="Companies15" displayName="Companies15" ref="B69:J112" totalsRowShown="0" headerRowDxfId="83" dataDxfId="82" tableBorderDxfId="81" headerRowCellStyle="Normal 2">
  <autoFilter ref="B69:J112" xr:uid="{00000000-0009-0000-0100-00000E000000}"/>
  <tableColumns count="9">
    <tableColumn id="1" xr3:uid="{00000000-0010-0000-0200-000001000000}" name="Nom complet du projet" dataDxfId="80"/>
    <tableColumn id="2" xr3:uid="{00000000-0010-0000-0200-000002000000}" name="Référence(s) de la convention juridique : contrat, licence, bail, concession,..." dataDxfId="79"/>
    <tableColumn id="3" xr3:uid="{00000000-0010-0000-0200-000003000000}" name="Sociétés associées, commencer par l’Opérateur" dataDxfId="78"/>
    <tableColumn id="5" xr3:uid="{00000000-0010-0000-0200-000005000000}" name="Matières premières (une matière/ligne)" dataDxfId="77" dataCellStyle="Normal 2"/>
    <tableColumn id="6" xr3:uid="{00000000-0010-0000-0200-000006000000}" name="Statut" dataDxfId="76"/>
    <tableColumn id="7" xr3:uid="{00000000-0010-0000-0200-000007000000}" name="Volume de production" dataDxfId="75"/>
    <tableColumn id="8" xr3:uid="{00000000-0010-0000-0200-000008000000}" name="Unité" dataDxfId="74"/>
    <tableColumn id="9" xr3:uid="{69ACE613-4186-4537-828E-9BCF9A056E9C}" name="Valeur de production" dataDxfId="73"/>
    <tableColumn id="10" xr3:uid="{34361E49-3DC3-4CE9-84F8-49A8DCDE718A}" name="Devise" dataDxfId="72"/>
  </tableColumns>
  <tableStyleInfo name="EITI Table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Government_revenues_table" displayName="Government_revenues_table" ref="B21:K76" totalsRowShown="0" headerRowDxfId="71" dataDxfId="70">
  <autoFilter ref="B21:K76" xr:uid="{00000000-0009-0000-0100-000006000000}"/>
  <sortState xmlns:xlrd2="http://schemas.microsoft.com/office/spreadsheetml/2017/richdata2" ref="B22:K76">
    <sortCondition ref="H21:H76"/>
  </sortState>
  <tableColumns count="10">
    <tableColumn id="8" xr3:uid="{00000000-0010-0000-0300-000008000000}" name="GFS Niveau 1" dataDxfId="69"/>
    <tableColumn id="9" xr3:uid="{00000000-0010-0000-0300-000009000000}" name="GFS Niveau 2" dataDxfId="68"/>
    <tableColumn id="10" xr3:uid="{00000000-0010-0000-0300-00000A000000}" name="GFS Niveau 3" dataDxfId="67"/>
    <tableColumn id="7" xr3:uid="{00000000-0010-0000-0300-000007000000}" name="GFS Niveau 4" dataDxfId="66"/>
    <tableColumn id="1" xr3:uid="{00000000-0010-0000-0300-000001000000}" name="Classification SFP" dataDxfId="65"/>
    <tableColumn id="11" xr3:uid="{00000000-0010-0000-0300-00000B000000}" name="Secteur" dataDxfId="64"/>
    <tableColumn id="3" xr3:uid="{00000000-0010-0000-0300-000003000000}" name="Nom du flux de revenus" dataDxfId="63"/>
    <tableColumn id="4" xr3:uid="{00000000-0010-0000-0300-000004000000}" name="Entité de l’État" dataDxfId="62"/>
    <tableColumn id="5" xr3:uid="{00000000-0010-0000-0300-000005000000}" name="Valeur des revenus" dataDxfId="61"/>
    <tableColumn id="2" xr3:uid="{8F9EFD48-22AC-49D1-90C9-330FE689ED70}" name="Devise" dataDxfId="60"/>
  </tableColumns>
  <tableStyleInfo name="EITI Table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4000000}" name="Table10" displayName="Table10" ref="B14:N167" totalsRowShown="0" headerRowDxfId="59" dataDxfId="58">
  <autoFilter ref="B14:N167" xr:uid="{00000000-0009-0000-0100-00000A000000}"/>
  <sortState xmlns:xlrd2="http://schemas.microsoft.com/office/spreadsheetml/2017/richdata2" ref="B15:N167">
    <sortCondition ref="E14:E167"/>
  </sortState>
  <tableColumns count="13">
    <tableColumn id="7" xr3:uid="{00000000-0010-0000-0400-000007000000}" name="Secteur" dataDxfId="57"/>
    <tableColumn id="1" xr3:uid="{00000000-0010-0000-0400-000001000000}" name="Entreprise" dataDxfId="56"/>
    <tableColumn id="3" xr3:uid="{00000000-0010-0000-0400-000003000000}" name="Entité de l’État" dataDxfId="55"/>
    <tableColumn id="4" xr3:uid="{00000000-0010-0000-0400-000004000000}" name="Nom du paiement" dataDxfId="54"/>
    <tableColumn id="5" xr3:uid="{00000000-0010-0000-0400-000005000000}" name="Perçu par projet (O/N)" dataDxfId="53"/>
    <tableColumn id="6" xr3:uid="{00000000-0010-0000-0400-000006000000}" name="Déclaré par projet (O/N)" dataDxfId="52"/>
    <tableColumn id="2" xr3:uid="{00000000-0010-0000-0400-000002000000}" name="Nom du projet" dataDxfId="51"/>
    <tableColumn id="13" xr3:uid="{00000000-0010-0000-0400-00000D000000}" name="Devise de déclaration" dataDxfId="50"/>
    <tableColumn id="14" xr3:uid="{00000000-0010-0000-0400-00000E000000}" name="Valeur de revenus" dataDxfId="49"/>
    <tableColumn id="18" xr3:uid="{00000000-0010-0000-0400-000012000000}" name="Paiement effectué en nature?" dataDxfId="48"/>
    <tableColumn id="8" xr3:uid="{4EDA321B-D206-45BE-AA21-450873EED28F}" name="Volume en nature (si applicable)" dataDxfId="47"/>
    <tableColumn id="9" xr3:uid="{7C32B81E-95F3-4AFA-A063-B66F8C1C5A0B}" name="Unité (si applicable)" dataDxfId="46"/>
    <tableColumn id="11" xr3:uid="{F3B0EE0C-7585-4B02-A792-5C92BFE24FBA}" name="Commentaires" dataDxfId="45"/>
  </tableColumns>
  <tableStyleInfo name="EITI Table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5000000}" name="Table1_Country_codes_and_currencies" displayName="Table1_Country_codes_and_currencies" ref="A2:G246" totalsRowShown="0" headerRowDxfId="44" dataDxfId="43">
  <autoFilter ref="A2:G246" xr:uid="{00000000-0009-0000-0100-000001000000}"/>
  <sortState xmlns:xlrd2="http://schemas.microsoft.com/office/spreadsheetml/2017/richdata2" ref="A3:G246">
    <sortCondition ref="A2:A246"/>
  </sortState>
  <tableColumns count="7">
    <tableColumn id="1" xr3:uid="{00000000-0010-0000-0500-000001000000}" name="Nom de pays ou région" dataDxfId="42"/>
    <tableColumn id="2" xr3:uid="{00000000-0010-0000-0500-000002000000}" name="Code ISO de pays (alpha 2)" dataDxfId="41"/>
    <tableColumn id="3" xr3:uid="{00000000-0010-0000-0500-000003000000}" name="Code ISO de devise (alpha 3)" dataDxfId="40"/>
    <tableColumn id="4" xr3:uid="{00000000-0010-0000-0500-000004000000}" name="Code numérique ISO (UN M49)" dataDxfId="39"/>
    <tableColumn id="5" xr3:uid="{00000000-0010-0000-0500-000005000000}" name="Code de devise (ISO 4217)" dataDxfId="38"/>
    <tableColumn id="6" xr3:uid="{00000000-0010-0000-0500-000006000000}" name="Code numérique de devise (ISO 4217)" dataDxfId="37"/>
    <tableColumn id="7" xr3:uid="{00000000-0010-0000-0500-000007000000}" name="Devise" dataDxfId="3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6000000}" name="Table2_Simple_options" displayName="Table2_Simple_options" ref="I2:I7" totalsRowShown="0" headerRowDxfId="35" dataDxfId="34">
  <autoFilter ref="I2:I7" xr:uid="{00000000-0009-0000-0100-000002000000}"/>
  <tableColumns count="1">
    <tableColumn id="1" xr3:uid="{00000000-0010-0000-0600-000001000000}" name="Liste" dataDxfId="3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7000000}" name="Table4_Currency_code_list" displayName="Table4_Currency_code_list" ref="I10:K168" totalsRowShown="0" headerRowDxfId="32" dataDxfId="31" headerRowBorderDxfId="29" tableBorderDxfId="30">
  <autoFilter ref="I10:K168" xr:uid="{00000000-0009-0000-0100-000004000000}"/>
  <tableColumns count="3">
    <tableColumn id="1" xr3:uid="{00000000-0010-0000-0700-000001000000}" name="Code de devise (ISO 4217)" dataDxfId="28"/>
    <tableColumn id="2" xr3:uid="{00000000-0010-0000-0700-000002000000}" name="Code numérique de devise (ISO 4217)" dataDxfId="27"/>
    <tableColumn id="3" xr3:uid="{00000000-0010-0000-0700-000003000000}" name="Devise" dataDxfId="2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8000000}" name="Table3_Reporting_options" displayName="Table3_Reporting_options" ref="K2:K7" totalsRowShown="0" headerRowDxfId="25" dataDxfId="24">
  <autoFilter ref="K2:K7" xr:uid="{00000000-0009-0000-0100-000003000000}"/>
  <tableColumns count="1">
    <tableColumn id="1" xr3:uid="{00000000-0010-0000-0800-000001000000}" name="Liste" dataDxfId="2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A000000}" name="Table6_GFS_codes_classification" displayName="Table6_GFS_codes_classification" ref="S2:Y30" totalsRowShown="0" headerRowDxfId="22" dataDxfId="21">
  <autoFilter ref="S2:Y30" xr:uid="{00000000-0009-0000-0100-000007000000}"/>
  <tableColumns count="7">
    <tableColumn id="4" xr3:uid="{00000000-0010-0000-0A00-000004000000}" name="Combiné" dataDxfId="20"/>
    <tableColumn id="1" xr3:uid="{00000000-0010-0000-0A00-000001000000}" name="Codes GFS des flux de revenus issus des entreprises extractives" dataDxfId="19"/>
    <tableColumn id="2" xr3:uid="{00000000-0010-0000-0A00-000002000000}" name="Code GFS" dataDxfId="18"/>
    <tableColumn id="5" xr3:uid="{00000000-0010-0000-0A00-000005000000}" name="GFS Niveau 1" dataDxfId="17"/>
    <tableColumn id="6" xr3:uid="{00000000-0010-0000-0A00-000006000000}" name="GFS Niveau 2" dataDxfId="16"/>
    <tableColumn id="7" xr3:uid="{00000000-0010-0000-0A00-000007000000}" name="GFS Niveau 3" dataDxfId="15"/>
    <tableColumn id="8" xr3:uid="{00000000-0010-0000-0A00-000008000000}" name="GFS Niveau 4" dataDxfId="1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B000000}" name="Table7_sectors" displayName="Table7_sectors" ref="AA2:AA9" totalsRowShown="0" headerRowDxfId="13" dataDxfId="12">
  <autoFilter ref="AA2:AA9" xr:uid="{00000000-0009-0000-0100-000008000000}"/>
  <tableColumns count="1">
    <tableColumn id="1" xr3:uid="{00000000-0010-0000-0B00-000001000000}" name="Secteur (s)" dataDxfId="1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C000000}" name="Table12" displayName="Table12" ref="AC2:AC8" totalsRowShown="0" headerRowDxfId="10" dataDxfId="9">
  <autoFilter ref="AC2:AC8" xr:uid="{00000000-0009-0000-0100-00000C000000}"/>
  <tableColumns count="1">
    <tableColumn id="1" xr3:uid="{00000000-0010-0000-0C00-000001000000}" name="Étapes du projet" dataDxfId="8"/>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DD3455F-4958-4C88-AAD7-2B3E95C9C1C1}" name="Table15" displayName="Table15" ref="AE2:AE7" totalsRowShown="0" headerRowDxfId="7" dataDxfId="6">
  <autoFilter ref="AE2:AE7" xr:uid="{CD58DBE6-DBB8-4355-BE05-6A7896FEE10E}"/>
  <tableColumns count="1">
    <tableColumn id="1" xr3:uid="{6A3BD155-D04E-45FA-B3C6-8D7C66767FAA}" name="Type d'Agence" dataDxfId="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9000000}" name="Table5_Commodities_list" displayName="Table5_Commodities_list" ref="N2:P74" totalsRowShown="0" headerRowDxfId="4" dataDxfId="3">
  <autoFilter ref="N2:P74" xr:uid="{00000000-0009-0000-0100-000005000000}"/>
  <tableColumns count="3">
    <tableColumn id="1" xr3:uid="{00000000-0010-0000-0900-000001000000}" name="Code de produit HS" dataDxfId="2"/>
    <tableColumn id="4" xr3:uid="{3E801F50-2500-42BD-BE8A-30F558C882A2}" name="Description de produit HS" dataDxfId="1"/>
    <tableColumn id="3" xr3:uid="{00000000-0010-0000-0900-000003000000}" name="Description de produit HS av. volume"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iti.org/fr/pays" TargetMode="External"/><Relationship Id="rId3" Type="http://schemas.openxmlformats.org/officeDocument/2006/relationships/hyperlink" Target="mailto:data@eiti.org" TargetMode="External"/><Relationship Id="rId7" Type="http://schemas.openxmlformats.org/officeDocument/2006/relationships/hyperlink" Target="https://eiti.org/fr" TargetMode="External"/><Relationship Id="rId12" Type="http://schemas.openxmlformats.org/officeDocument/2006/relationships/drawing" Target="../drawings/drawing1.xml"/><Relationship Id="rId2" Type="http://schemas.openxmlformats.org/officeDocument/2006/relationships/hyperlink" Target="mailto:data@eiti.org" TargetMode="External"/><Relationship Id="rId1" Type="http://schemas.openxmlformats.org/officeDocument/2006/relationships/hyperlink" Target="mailto:data@eiti.org" TargetMode="External"/><Relationship Id="rId6" Type="http://schemas.openxmlformats.org/officeDocument/2006/relationships/hyperlink" Target="mailto:data@eiti.org" TargetMode="External"/><Relationship Id="rId11" Type="http://schemas.openxmlformats.org/officeDocument/2006/relationships/printerSettings" Target="../printerSettings/printerSettings1.bin"/><Relationship Id="rId5" Type="http://schemas.openxmlformats.org/officeDocument/2006/relationships/hyperlink" Target="https://eiti.org/fr/donnees" TargetMode="External"/><Relationship Id="rId10" Type="http://schemas.openxmlformats.org/officeDocument/2006/relationships/hyperlink" Target="mailto:data@eiti.org" TargetMode="External"/><Relationship Id="rId4" Type="http://schemas.openxmlformats.org/officeDocument/2006/relationships/hyperlink" Target="mailto:data@eiti.org" TargetMode="External"/><Relationship Id="rId9" Type="http://schemas.openxmlformats.org/officeDocument/2006/relationships/hyperlink" Target="https://eiti.org/fr/document/modele-donnees-resumees-iti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eiti.org/fr/document/modele-donnees-resumees-itie" TargetMode="External"/><Relationship Id="rId13" Type="http://schemas.openxmlformats.org/officeDocument/2006/relationships/hyperlink" Target="https://donnees.itie.sn/wp-content/uploads/2021/12/Rapport-ITIE-S%C3%A9n%C3%A9gal-2020-final-Annexes-vf.xlsx" TargetMode="External"/><Relationship Id="rId3" Type="http://schemas.openxmlformats.org/officeDocument/2006/relationships/hyperlink" Target="mailto:data@eiti.org" TargetMode="External"/><Relationship Id="rId7" Type="http://schemas.openxmlformats.org/officeDocument/2006/relationships/hyperlink" Target="https://eiti.org/fr/pays" TargetMode="External"/><Relationship Id="rId12" Type="http://schemas.openxmlformats.org/officeDocument/2006/relationships/hyperlink" Target="https://itie.sn/wp-content/uploads/2021/12/Rapport-ITIE-2020-Senegal-vf.pdf" TargetMode="External"/><Relationship Id="rId17" Type="http://schemas.openxmlformats.org/officeDocument/2006/relationships/drawing" Target="../drawings/drawing2.xml"/><Relationship Id="rId2" Type="http://schemas.openxmlformats.org/officeDocument/2006/relationships/hyperlink" Target="mailto:data@eiti.org" TargetMode="External"/><Relationship Id="rId16" Type="http://schemas.openxmlformats.org/officeDocument/2006/relationships/printerSettings" Target="../printerSettings/printerSettings2.bin"/><Relationship Id="rId1" Type="http://schemas.openxmlformats.org/officeDocument/2006/relationships/hyperlink" Target="mailto:data@eiti.org" TargetMode="External"/><Relationship Id="rId6" Type="http://schemas.openxmlformats.org/officeDocument/2006/relationships/hyperlink" Target="https://eiti.org/fr" TargetMode="External"/><Relationship Id="rId11" Type="http://schemas.openxmlformats.org/officeDocument/2006/relationships/hyperlink" Target="https://eiti.org/fr/document/norme-itie-2019" TargetMode="External"/><Relationship Id="rId5" Type="http://schemas.openxmlformats.org/officeDocument/2006/relationships/hyperlink" Target="mailto:data@eiti.org" TargetMode="External"/><Relationship Id="rId15" Type="http://schemas.openxmlformats.org/officeDocument/2006/relationships/hyperlink" Target="mailto:itie.sn@bdo.tn" TargetMode="External"/><Relationship Id="rId10" Type="http://schemas.openxmlformats.org/officeDocument/2006/relationships/hyperlink" Target="https://eiti.org/fr/document/norme-itie-2016" TargetMode="External"/><Relationship Id="rId4" Type="http://schemas.openxmlformats.org/officeDocument/2006/relationships/hyperlink" Target="mailto:data@eiti.org" TargetMode="External"/><Relationship Id="rId9" Type="http://schemas.openxmlformats.org/officeDocument/2006/relationships/hyperlink" Target="https://fr.wikipedia.org/wiki/ISO_4217" TargetMode="External"/><Relationship Id="rId14" Type="http://schemas.openxmlformats.org/officeDocument/2006/relationships/hyperlink" Target="https://donnees.itie.sn/dashboard/"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eiti.org/fr/document/norme-itie-2016" TargetMode="External"/><Relationship Id="rId18" Type="http://schemas.openxmlformats.org/officeDocument/2006/relationships/hyperlink" Target="https://eiti.org/fr/document/norme-itie-2016" TargetMode="External"/><Relationship Id="rId26" Type="http://schemas.openxmlformats.org/officeDocument/2006/relationships/hyperlink" Target="mailto:data@eiti.org" TargetMode="External"/><Relationship Id="rId39" Type="http://schemas.openxmlformats.org/officeDocument/2006/relationships/hyperlink" Target="https://www.sec.gouv.sn/lois-et-reglements/conventions-mini&#232;res" TargetMode="External"/><Relationship Id="rId21" Type="http://schemas.openxmlformats.org/officeDocument/2006/relationships/hyperlink" Target="https://eiti.org/fr/document/norme-itie-2016" TargetMode="External"/><Relationship Id="rId34" Type="http://schemas.openxmlformats.org/officeDocument/2006/relationships/hyperlink" Target="http://www.wcoomd.org/fr/topics/nomenclature/instrument-and-tools/hs-nomenclature-2017-edition/hs-nomenclature-2017-edition.aspx" TargetMode="External"/><Relationship Id="rId42" Type="http://schemas.openxmlformats.org/officeDocument/2006/relationships/printerSettings" Target="../printerSettings/printerSettings3.bin"/><Relationship Id="rId7" Type="http://schemas.openxmlformats.org/officeDocument/2006/relationships/hyperlink" Target="https://eiti.org/fr/document/norme-itie-2016" TargetMode="External"/><Relationship Id="rId2" Type="http://schemas.openxmlformats.org/officeDocument/2006/relationships/hyperlink" Target="https://eiti.org/fr/document/norme-itie-2016" TargetMode="External"/><Relationship Id="rId16" Type="http://schemas.openxmlformats.org/officeDocument/2006/relationships/hyperlink" Target="https://eiti.org/fr/document/norme-itie-2016" TargetMode="External"/><Relationship Id="rId20" Type="http://schemas.openxmlformats.org/officeDocument/2006/relationships/hyperlink" Target="https://eiti.org/fr/document/norme-itie-2016" TargetMode="External"/><Relationship Id="rId29" Type="http://schemas.openxmlformats.org/officeDocument/2006/relationships/hyperlink" Target="https://eiti.org/fr/document/norme-itie-2016" TargetMode="External"/><Relationship Id="rId41" Type="http://schemas.openxmlformats.org/officeDocument/2006/relationships/hyperlink" Target="https://www.environnement.gouv.sn/search/node/Convention" TargetMode="External"/><Relationship Id="rId1" Type="http://schemas.openxmlformats.org/officeDocument/2006/relationships/hyperlink" Target="https://eiti.org/fr/document/norme-itie-2016" TargetMode="External"/><Relationship Id="rId6" Type="http://schemas.openxmlformats.org/officeDocument/2006/relationships/hyperlink" Target="https://eiti.org/fr/document/norme-itie-2016" TargetMode="External"/><Relationship Id="rId11" Type="http://schemas.openxmlformats.org/officeDocument/2006/relationships/hyperlink" Target="https://eiti.org/fr/document/norme-itie-2016" TargetMode="External"/><Relationship Id="rId24" Type="http://schemas.openxmlformats.org/officeDocument/2006/relationships/hyperlink" Target="mailto:data@eiti.org" TargetMode="External"/><Relationship Id="rId32" Type="http://schemas.openxmlformats.org/officeDocument/2006/relationships/hyperlink" Target="https://eiti.org/fr" TargetMode="External"/><Relationship Id="rId37" Type="http://schemas.openxmlformats.org/officeDocument/2006/relationships/hyperlink" Target="http://itie.sn/contrats-miniers/" TargetMode="External"/><Relationship Id="rId40" Type="http://schemas.openxmlformats.org/officeDocument/2006/relationships/hyperlink" Target="https://itie.sn/entreprises-detat/" TargetMode="External"/><Relationship Id="rId5" Type="http://schemas.openxmlformats.org/officeDocument/2006/relationships/hyperlink" Target="https://eiti.org/fr/document/norme-itie-2016" TargetMode="External"/><Relationship Id="rId15" Type="http://schemas.openxmlformats.org/officeDocument/2006/relationships/hyperlink" Target="https://eiti.org/fr/document/norme-itie-2016" TargetMode="External"/><Relationship Id="rId23" Type="http://schemas.openxmlformats.org/officeDocument/2006/relationships/hyperlink" Target="mailto:data@eiti.org" TargetMode="External"/><Relationship Id="rId28" Type="http://schemas.openxmlformats.org/officeDocument/2006/relationships/hyperlink" Target="https://eiti.org/fr/document/modele-donnees-resumees-itie" TargetMode="External"/><Relationship Id="rId36" Type="http://schemas.openxmlformats.org/officeDocument/2006/relationships/hyperlink" Target="https://portals.landfolio.com/Senegal/fr" TargetMode="External"/><Relationship Id="rId10" Type="http://schemas.openxmlformats.org/officeDocument/2006/relationships/hyperlink" Target="https://eiti.org/fr/document/norme-itie-2016" TargetMode="External"/><Relationship Id="rId19" Type="http://schemas.openxmlformats.org/officeDocument/2006/relationships/hyperlink" Target="https://eiti.org/fr/document/norme-itie-2016" TargetMode="External"/><Relationship Id="rId31" Type="http://schemas.openxmlformats.org/officeDocument/2006/relationships/hyperlink" Target="https://unstats.un.org/unsd/nationalaccount/sna2008.asp" TargetMode="External"/><Relationship Id="rId4" Type="http://schemas.openxmlformats.org/officeDocument/2006/relationships/hyperlink" Target="https://eiti.org/fr/document/norme-itie-2016" TargetMode="External"/><Relationship Id="rId9" Type="http://schemas.openxmlformats.org/officeDocument/2006/relationships/hyperlink" Target="https://eiti.org/fr/document/norme-itie-2016" TargetMode="External"/><Relationship Id="rId14" Type="http://schemas.openxmlformats.org/officeDocument/2006/relationships/hyperlink" Target="https://eiti.org/fr/document/norme-itie-2016" TargetMode="External"/><Relationship Id="rId22" Type="http://schemas.openxmlformats.org/officeDocument/2006/relationships/hyperlink" Target="mailto:data@eiti.org" TargetMode="External"/><Relationship Id="rId27" Type="http://schemas.openxmlformats.org/officeDocument/2006/relationships/hyperlink" Target="https://eiti.org/fr/pays" TargetMode="External"/><Relationship Id="rId30" Type="http://schemas.openxmlformats.org/officeDocument/2006/relationships/hyperlink" Target="https://eiti.org/fr/document/norme-itie-2016" TargetMode="External"/><Relationship Id="rId35" Type="http://schemas.openxmlformats.org/officeDocument/2006/relationships/hyperlink" Target="https://cadastre-petrolier.senegal.revenuedev.org/dashboard" TargetMode="External"/><Relationship Id="rId43" Type="http://schemas.openxmlformats.org/officeDocument/2006/relationships/drawing" Target="../drawings/drawing3.xml"/><Relationship Id="rId8" Type="http://schemas.openxmlformats.org/officeDocument/2006/relationships/hyperlink" Target="https://eiti.org/fr/document/norme-itie-2016" TargetMode="External"/><Relationship Id="rId3" Type="http://schemas.openxmlformats.org/officeDocument/2006/relationships/hyperlink" Target="https://eiti.org/fr/document/norme-itie-2016" TargetMode="External"/><Relationship Id="rId12" Type="http://schemas.openxmlformats.org/officeDocument/2006/relationships/hyperlink" Target="https://eiti.org/fr/document/norme-itie-2016" TargetMode="External"/><Relationship Id="rId17" Type="http://schemas.openxmlformats.org/officeDocument/2006/relationships/hyperlink" Target="https://eiti.org/fr/document/norme-itie-2016" TargetMode="External"/><Relationship Id="rId25" Type="http://schemas.openxmlformats.org/officeDocument/2006/relationships/hyperlink" Target="mailto:data@eiti.org" TargetMode="External"/><Relationship Id="rId33" Type="http://schemas.openxmlformats.org/officeDocument/2006/relationships/hyperlink" Target="https://eiti.org/fr/document/exigences-norme-itie-2016" TargetMode="External"/><Relationship Id="rId38" Type="http://schemas.openxmlformats.org/officeDocument/2006/relationships/hyperlink" Target="https://www.sec.gouv.sn/lois-et-reglements/conventions-mini&#232;re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total.sn/" TargetMode="External"/><Relationship Id="rId13" Type="http://schemas.openxmlformats.org/officeDocument/2006/relationships/hyperlink" Target="http://www.sococim.com/SOCOCIM-INDUSTRIES" TargetMode="External"/><Relationship Id="rId18" Type="http://schemas.openxmlformats.org/officeDocument/2006/relationships/hyperlink" Target="https://www.dangotecement.com/operations/senegal/" TargetMode="External"/><Relationship Id="rId26" Type="http://schemas.openxmlformats.org/officeDocument/2006/relationships/table" Target="../tables/table1.xml"/><Relationship Id="rId3" Type="http://schemas.openxmlformats.org/officeDocument/2006/relationships/hyperlink" Target="https://eiti.org/fr/pays" TargetMode="External"/><Relationship Id="rId21" Type="http://schemas.openxmlformats.org/officeDocument/2006/relationships/hyperlink" Target="https://www.africainvestmentgroup.co.uk/" TargetMode="External"/><Relationship Id="rId7" Type="http://schemas.openxmlformats.org/officeDocument/2006/relationships/hyperlink" Target="https://www.kosmosenergy.com/senegal/" TargetMode="External"/><Relationship Id="rId12" Type="http://schemas.openxmlformats.org/officeDocument/2006/relationships/hyperlink" Target="http://www.miferso.sn/" TargetMode="External"/><Relationship Id="rId17" Type="http://schemas.openxmlformats.org/officeDocument/2006/relationships/hyperlink" Target="http://www.ics.sn/" TargetMode="External"/><Relationship Id="rId25" Type="http://schemas.openxmlformats.org/officeDocument/2006/relationships/drawing" Target="../drawings/drawing4.xml"/><Relationship Id="rId2" Type="http://schemas.openxmlformats.org/officeDocument/2006/relationships/hyperlink" Target="https://eiti.org/fr/document/modele-donnees-resumees-itie" TargetMode="External"/><Relationship Id="rId16" Type="http://schemas.openxmlformats.org/officeDocument/2006/relationships/hyperlink" Target="https://gco.eramet.com/" TargetMode="External"/><Relationship Id="rId20" Type="http://schemas.openxmlformats.org/officeDocument/2006/relationships/hyperlink" Target="https://www.iamgold.com/French/exploitations/projets-de-developpement/Projet-Boto-Sngal/default.aspx" TargetMode="External"/><Relationship Id="rId1" Type="http://schemas.openxmlformats.org/officeDocument/2006/relationships/hyperlink" Target="mailto:data@eiti.org" TargetMode="External"/><Relationship Id="rId6" Type="http://schemas.openxmlformats.org/officeDocument/2006/relationships/hyperlink" Target="https://www.cairnenergy.com/" TargetMode="External"/><Relationship Id="rId11" Type="http://schemas.openxmlformats.org/officeDocument/2006/relationships/hyperlink" Target="https://atlas-oranto.com/portfolio/senegal/" TargetMode="External"/><Relationship Id="rId24" Type="http://schemas.openxmlformats.org/officeDocument/2006/relationships/printerSettings" Target="../printerSettings/printerSettings4.bin"/><Relationship Id="rId5" Type="http://schemas.openxmlformats.org/officeDocument/2006/relationships/hyperlink" Target="http://www.petrosen.sn/" TargetMode="External"/><Relationship Id="rId15" Type="http://schemas.openxmlformats.org/officeDocument/2006/relationships/hyperlink" Target="https://www.endeavourmining.com/investors/institutional-ownership%20https:/www.londonstockexchange.com/stock/EDV/endeavour-mining-plc/analysis" TargetMode="External"/><Relationship Id="rId23" Type="http://schemas.openxmlformats.org/officeDocument/2006/relationships/hyperlink" Target="http://www.creationdentreprise.sn/rechercher-une-societe" TargetMode="External"/><Relationship Id="rId28" Type="http://schemas.openxmlformats.org/officeDocument/2006/relationships/table" Target="../tables/table3.xml"/><Relationship Id="rId10" Type="http://schemas.openxmlformats.org/officeDocument/2006/relationships/hyperlink" Target="https://www.woodside.com.au/fr/what-we-do/international-exploration-developments-and-marketing/s%c3%a9n%c3%a9gal" TargetMode="External"/><Relationship Id="rId19" Type="http://schemas.openxmlformats.org/officeDocument/2006/relationships/hyperlink" Target="https://www.rml.com.au/" TargetMode="External"/><Relationship Id="rId4" Type="http://schemas.openxmlformats.org/officeDocument/2006/relationships/hyperlink" Target="mailto:data@eiti.org" TargetMode="External"/><Relationship Id="rId9" Type="http://schemas.openxmlformats.org/officeDocument/2006/relationships/hyperlink" Target="https://www.bp.com/" TargetMode="External"/><Relationship Id="rId14" Type="http://schemas.openxmlformats.org/officeDocument/2006/relationships/hyperlink" Target="https://www.endeavourmining.com/investors/institutional-ownership%20https:/www.londonstockexchange.com/stock/EDV/endeavour-mining-plc/analysis" TargetMode="External"/><Relationship Id="rId22" Type="http://schemas.openxmlformats.org/officeDocument/2006/relationships/hyperlink" Target="https://www.gecamines.cd/" TargetMode="External"/><Relationship Id="rId27"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imf.org/external/np/sta/gfsm/" TargetMode="External"/><Relationship Id="rId13" Type="http://schemas.openxmlformats.org/officeDocument/2006/relationships/table" Target="../tables/table4.xml"/><Relationship Id="rId3" Type="http://schemas.openxmlformats.org/officeDocument/2006/relationships/hyperlink" Target="https://eiti.org/document/standard" TargetMode="External"/><Relationship Id="rId7" Type="http://schemas.openxmlformats.org/officeDocument/2006/relationships/hyperlink" Target="mailto:data@eiti.org" TargetMode="External"/><Relationship Id="rId12" Type="http://schemas.openxmlformats.org/officeDocument/2006/relationships/drawing" Target="../drawings/drawing5.xml"/><Relationship Id="rId2" Type="http://schemas.openxmlformats.org/officeDocument/2006/relationships/hyperlink" Target="mailto:data@eiti.org" TargetMode="External"/><Relationship Id="rId1" Type="http://schemas.openxmlformats.org/officeDocument/2006/relationships/hyperlink" Target="https://eiti.org/document/standard" TargetMode="External"/><Relationship Id="rId6" Type="http://schemas.openxmlformats.org/officeDocument/2006/relationships/hyperlink" Target="https://eiti.org/fr/pays" TargetMode="External"/><Relationship Id="rId11" Type="http://schemas.openxmlformats.org/officeDocument/2006/relationships/printerSettings" Target="../printerSettings/printerSettings5.bin"/><Relationship Id="rId5" Type="http://schemas.openxmlformats.org/officeDocument/2006/relationships/hyperlink" Target="https://eiti.org/fr/document/modele-donnees-resumees-itie" TargetMode="External"/><Relationship Id="rId10" Type="http://schemas.openxmlformats.org/officeDocument/2006/relationships/hyperlink" Target="https://eiti.org/fr/document/exigences-norme-itie-2016" TargetMode="External"/><Relationship Id="rId4" Type="http://schemas.openxmlformats.org/officeDocument/2006/relationships/hyperlink" Target="https://eiti.org/fr/document/norme-itie-2016" TargetMode="External"/><Relationship Id="rId9" Type="http://schemas.openxmlformats.org/officeDocument/2006/relationships/hyperlink" Target="https://eiti.org/fr/document/modele-donnees-resumees-itie" TargetMode="External"/></Relationships>
</file>

<file path=xl/worksheets/_rels/sheet6.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https://eiti.org/fr/document/modele-donnees-resumees-itie" TargetMode="External"/><Relationship Id="rId7" Type="http://schemas.openxmlformats.org/officeDocument/2006/relationships/printerSettings" Target="../printerSettings/printerSettings6.bin"/><Relationship Id="rId2" Type="http://schemas.openxmlformats.org/officeDocument/2006/relationships/hyperlink" Target="mailto:data@eiti.org" TargetMode="External"/><Relationship Id="rId1" Type="http://schemas.openxmlformats.org/officeDocument/2006/relationships/hyperlink" Target="https://eiti.org/document/standard" TargetMode="External"/><Relationship Id="rId6" Type="http://schemas.openxmlformats.org/officeDocument/2006/relationships/hyperlink" Target="https://eiti.org/fr/document/exigences-norme-itie-2016" TargetMode="External"/><Relationship Id="rId5" Type="http://schemas.openxmlformats.org/officeDocument/2006/relationships/hyperlink" Target="mailto:data@eiti.org" TargetMode="External"/><Relationship Id="rId4" Type="http://schemas.openxmlformats.org/officeDocument/2006/relationships/hyperlink" Target="https://eiti.org/fr/pays" TargetMode="External"/></Relationships>
</file>

<file path=xl/worksheets/_rels/sheet7.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O122"/>
  <sheetViews>
    <sheetView showGridLines="0" zoomScale="70" zoomScaleNormal="70" workbookViewId="0">
      <selection activeCell="O51" sqref="O51"/>
    </sheetView>
  </sheetViews>
  <sheetFormatPr defaultColWidth="4" defaultRowHeight="24" customHeight="1"/>
  <cols>
    <col min="1" max="1" width="4" style="12"/>
    <col min="2" max="2" width="4" style="12" hidden="1" customWidth="1"/>
    <col min="3" max="3" width="76.5703125" style="12" customWidth="1"/>
    <col min="4" max="4" width="2.85546875" style="12" customWidth="1"/>
    <col min="5" max="5" width="61.85546875" style="12" customWidth="1"/>
    <col min="6" max="6" width="10.85546875" style="12" customWidth="1"/>
    <col min="7" max="7" width="50.5703125" style="12" customWidth="1"/>
    <col min="8" max="14" width="4" style="12"/>
    <col min="15" max="15" width="42" style="12" bestFit="1" customWidth="1"/>
    <col min="16" max="16384" width="4" style="12"/>
  </cols>
  <sheetData>
    <row r="1" spans="3:7" ht="15.75" customHeight="1"/>
    <row r="2" spans="3:7" ht="15.95"/>
    <row r="3" spans="3:7" ht="15.95">
      <c r="E3" s="13"/>
      <c r="G3" s="13"/>
    </row>
    <row r="4" spans="3:7" ht="15.95">
      <c r="E4" s="13" t="s">
        <v>0</v>
      </c>
      <c r="F4" s="239"/>
      <c r="G4" s="280">
        <v>44564</v>
      </c>
    </row>
    <row r="5" spans="3:7" ht="15.95"/>
    <row r="6" spans="3:7" ht="27" customHeight="1"/>
    <row r="7" spans="3:7" ht="0.6" customHeight="1"/>
    <row r="8" spans="3:7" ht="20.100000000000001" customHeight="1"/>
    <row r="9" spans="3:7" ht="15.95">
      <c r="C9" s="14"/>
      <c r="D9" s="15"/>
      <c r="E9" s="15"/>
      <c r="F9" s="16"/>
      <c r="G9" s="16"/>
    </row>
    <row r="10" spans="3:7" ht="22.5">
      <c r="C10" s="17" t="s">
        <v>1</v>
      </c>
      <c r="D10" s="18"/>
      <c r="E10" s="18"/>
      <c r="F10" s="16"/>
      <c r="G10" s="16"/>
    </row>
    <row r="11" spans="3:7" ht="15.95">
      <c r="C11" s="19" t="s">
        <v>2</v>
      </c>
      <c r="D11" s="20"/>
      <c r="E11" s="20"/>
      <c r="F11" s="16"/>
      <c r="G11" s="16"/>
    </row>
    <row r="12" spans="3:7" ht="15.95">
      <c r="C12" s="14"/>
      <c r="D12" s="15"/>
      <c r="E12" s="15"/>
      <c r="F12" s="16"/>
      <c r="G12" s="16"/>
    </row>
    <row r="13" spans="3:7" ht="15.95">
      <c r="C13" s="21" t="s">
        <v>3</v>
      </c>
      <c r="D13" s="15"/>
      <c r="E13" s="15"/>
      <c r="F13" s="16"/>
      <c r="G13" s="16"/>
    </row>
    <row r="14" spans="3:7" ht="15.95">
      <c r="C14" s="328" t="s">
        <v>4</v>
      </c>
      <c r="D14" s="328"/>
      <c r="E14" s="328"/>
      <c r="F14" s="16"/>
      <c r="G14" s="16"/>
    </row>
    <row r="15" spans="3:7" ht="15.95">
      <c r="C15" s="22"/>
      <c r="D15" s="22"/>
      <c r="E15" s="22"/>
      <c r="F15" s="16"/>
      <c r="G15" s="16"/>
    </row>
    <row r="16" spans="3:7" ht="15.95">
      <c r="C16" s="23" t="s">
        <v>5</v>
      </c>
      <c r="D16" s="24"/>
      <c r="E16" s="24"/>
      <c r="F16" s="16"/>
      <c r="G16" s="16"/>
    </row>
    <row r="17" spans="3:7" ht="15.95">
      <c r="C17" s="25" t="s">
        <v>6</v>
      </c>
      <c r="D17" s="24"/>
      <c r="E17" s="24"/>
      <c r="F17" s="16"/>
      <c r="G17" s="16"/>
    </row>
    <row r="18" spans="3:7" ht="15.95">
      <c r="C18" s="25" t="s">
        <v>7</v>
      </c>
      <c r="D18" s="24"/>
      <c r="E18" s="24"/>
      <c r="F18" s="16"/>
      <c r="G18" s="16"/>
    </row>
    <row r="19" spans="3:7" ht="15.95">
      <c r="C19" s="336" t="s">
        <v>8</v>
      </c>
      <c r="D19" s="336"/>
      <c r="E19" s="336"/>
      <c r="F19" s="16"/>
      <c r="G19" s="16"/>
    </row>
    <row r="20" spans="3:7" ht="32.1" customHeight="1">
      <c r="C20" s="327" t="s">
        <v>9</v>
      </c>
      <c r="D20" s="327"/>
      <c r="E20" s="327"/>
      <c r="F20" s="16"/>
      <c r="G20" s="16"/>
    </row>
    <row r="21" spans="3:7" ht="15.95">
      <c r="C21" s="24"/>
      <c r="D21" s="24"/>
      <c r="E21" s="24"/>
      <c r="F21" s="16"/>
      <c r="G21" s="16"/>
    </row>
    <row r="22" spans="3:7" ht="15.95">
      <c r="C22" s="26" t="s">
        <v>10</v>
      </c>
      <c r="D22" s="27"/>
      <c r="E22" s="27"/>
      <c r="F22" s="16"/>
      <c r="G22" s="16"/>
    </row>
    <row r="23" spans="3:7" ht="15.95">
      <c r="C23" s="27"/>
      <c r="D23" s="27"/>
      <c r="E23" s="27"/>
      <c r="F23" s="16"/>
      <c r="G23" s="16"/>
    </row>
    <row r="24" spans="3:7" ht="15.95">
      <c r="C24" s="28"/>
      <c r="D24" s="18"/>
      <c r="E24" s="18"/>
      <c r="F24" s="16"/>
      <c r="G24" s="16"/>
    </row>
    <row r="25" spans="3:7" ht="15.95">
      <c r="C25" s="29" t="s">
        <v>11</v>
      </c>
      <c r="D25" s="18"/>
      <c r="E25" s="18"/>
      <c r="F25" s="16"/>
      <c r="G25" s="16"/>
    </row>
    <row r="26" spans="3:7" ht="15.95">
      <c r="C26" s="30"/>
      <c r="D26" s="18"/>
      <c r="E26" s="18"/>
      <c r="F26" s="16"/>
      <c r="G26" s="16"/>
    </row>
    <row r="27" spans="3:7" ht="15.95">
      <c r="C27" s="31" t="s">
        <v>12</v>
      </c>
      <c r="D27" s="18"/>
      <c r="E27" s="18"/>
      <c r="F27" s="16"/>
      <c r="G27" s="16"/>
    </row>
    <row r="28" spans="3:7" ht="15.95">
      <c r="C28" s="31" t="s">
        <v>13</v>
      </c>
      <c r="D28" s="18"/>
      <c r="E28" s="18"/>
      <c r="F28" s="16"/>
      <c r="G28" s="16"/>
    </row>
    <row r="29" spans="3:7" ht="15.95">
      <c r="C29" s="31" t="s">
        <v>14</v>
      </c>
      <c r="D29" s="18"/>
      <c r="E29" s="18"/>
      <c r="F29" s="16"/>
      <c r="G29" s="16"/>
    </row>
    <row r="30" spans="3:7" ht="15.95">
      <c r="C30" s="31" t="s">
        <v>15</v>
      </c>
      <c r="D30" s="18"/>
      <c r="E30" s="18"/>
      <c r="F30" s="16"/>
      <c r="G30" s="16"/>
    </row>
    <row r="31" spans="3:7" ht="15.95">
      <c r="C31" s="31" t="s">
        <v>16</v>
      </c>
      <c r="D31" s="18"/>
      <c r="E31" s="18"/>
      <c r="F31" s="16"/>
      <c r="G31" s="16"/>
    </row>
    <row r="32" spans="3:7" ht="15.95">
      <c r="C32" s="28"/>
      <c r="D32" s="28"/>
      <c r="E32" s="28"/>
      <c r="F32" s="16"/>
      <c r="G32" s="16"/>
    </row>
    <row r="33" spans="3:7" ht="15.95">
      <c r="C33" s="329" t="s">
        <v>17</v>
      </c>
      <c r="D33" s="329"/>
      <c r="E33" s="32" t="s">
        <v>18</v>
      </c>
      <c r="F33" s="16"/>
      <c r="G33" s="16"/>
    </row>
    <row r="34" spans="3:7" s="33" customFormat="1" ht="15.95">
      <c r="C34" s="34"/>
      <c r="D34" s="34"/>
      <c r="E34" s="35"/>
    </row>
    <row r="35" spans="3:7" s="36" customFormat="1" ht="32.1">
      <c r="C35" s="240" t="s">
        <v>19</v>
      </c>
      <c r="E35" s="37" t="s">
        <v>20</v>
      </c>
      <c r="G35" s="38" t="s">
        <v>21</v>
      </c>
    </row>
    <row r="36" spans="3:7" s="33" customFormat="1" ht="15.95">
      <c r="C36" s="39"/>
      <c r="E36" s="39"/>
      <c r="G36" s="39"/>
    </row>
    <row r="37" spans="3:7" ht="15.95">
      <c r="C37" s="23" t="s">
        <v>22</v>
      </c>
      <c r="D37" s="28"/>
      <c r="E37" s="40"/>
      <c r="F37" s="16"/>
      <c r="G37" s="16"/>
    </row>
    <row r="38" spans="3:7" ht="15.95">
      <c r="C38" s="41"/>
      <c r="D38" s="41"/>
      <c r="E38" s="42"/>
    </row>
    <row r="40" spans="3:7" ht="15.6" customHeight="1">
      <c r="C40" s="43" t="s">
        <v>23</v>
      </c>
      <c r="D40" s="44"/>
      <c r="E40" s="45" t="s">
        <v>24</v>
      </c>
      <c r="F40" s="46"/>
      <c r="G40" s="47"/>
    </row>
    <row r="41" spans="3:7" ht="43.5" customHeight="1">
      <c r="C41" s="48" t="s">
        <v>25</v>
      </c>
      <c r="D41" s="44"/>
      <c r="E41" s="49" t="s">
        <v>26</v>
      </c>
      <c r="F41" s="50"/>
      <c r="G41" s="51"/>
    </row>
    <row r="42" spans="3:7" ht="45" customHeight="1">
      <c r="C42" s="48" t="s">
        <v>27</v>
      </c>
      <c r="D42" s="44"/>
      <c r="E42" s="332" t="s">
        <v>28</v>
      </c>
      <c r="F42" s="333"/>
      <c r="G42" s="51"/>
    </row>
    <row r="43" spans="3:7" ht="30" customHeight="1">
      <c r="C43" s="48" t="s">
        <v>29</v>
      </c>
      <c r="D43" s="44"/>
      <c r="E43" s="49" t="s">
        <v>30</v>
      </c>
      <c r="F43" s="50"/>
      <c r="G43" s="51"/>
    </row>
    <row r="44" spans="3:7" ht="48" customHeight="1">
      <c r="C44" s="52" t="s">
        <v>31</v>
      </c>
      <c r="D44" s="44"/>
      <c r="E44" s="334" t="s">
        <v>32</v>
      </c>
      <c r="F44" s="335"/>
      <c r="G44" s="53"/>
    </row>
    <row r="45" spans="3:7" ht="9" customHeight="1"/>
    <row r="46" spans="3:7" ht="17.25" customHeight="1" thickBot="1">
      <c r="C46" s="330" t="s">
        <v>33</v>
      </c>
      <c r="D46" s="330"/>
      <c r="E46" s="330"/>
      <c r="F46" s="330"/>
      <c r="G46" s="330"/>
    </row>
    <row r="47" spans="3:7" ht="24" customHeight="1" thickBot="1">
      <c r="C47" s="331" t="s">
        <v>34</v>
      </c>
      <c r="D47" s="331"/>
      <c r="E47" s="331"/>
      <c r="F47" s="331"/>
      <c r="G47" s="331"/>
    </row>
    <row r="48" spans="3:7" ht="19.5" customHeight="1" thickBot="1">
      <c r="C48" s="330" t="s">
        <v>35</v>
      </c>
      <c r="D48" s="330"/>
      <c r="E48" s="330"/>
      <c r="F48" s="330"/>
      <c r="G48" s="330"/>
    </row>
    <row r="49" spans="2:15" ht="18.75" customHeight="1" thickBot="1">
      <c r="C49" s="324" t="s">
        <v>36</v>
      </c>
      <c r="D49" s="324"/>
      <c r="E49" s="324"/>
      <c r="F49" s="324"/>
      <c r="G49" s="324"/>
    </row>
    <row r="50" spans="2:15" ht="16.5" thickBot="1">
      <c r="C50" s="54"/>
      <c r="D50" s="54"/>
      <c r="E50" s="54"/>
      <c r="F50" s="54"/>
      <c r="G50" s="55"/>
    </row>
    <row r="51" spans="2:15" ht="18.75" customHeight="1">
      <c r="C51" s="325" t="s">
        <v>37</v>
      </c>
      <c r="D51" s="325"/>
      <c r="E51" s="325"/>
    </row>
    <row r="52" spans="2:15" ht="15.95">
      <c r="C52" s="326" t="s">
        <v>38</v>
      </c>
      <c r="D52" s="326"/>
      <c r="E52" s="326"/>
    </row>
    <row r="53" spans="2:15" ht="15.95">
      <c r="B53" s="56" t="s">
        <v>39</v>
      </c>
      <c r="C53" s="57"/>
      <c r="D53" s="56"/>
      <c r="E53" s="58"/>
      <c r="F53" s="56"/>
      <c r="G53" s="56"/>
    </row>
    <row r="54" spans="2:15" ht="15.95">
      <c r="B54" s="59"/>
      <c r="C54" s="59"/>
      <c r="E54" s="60"/>
      <c r="G54" s="60"/>
    </row>
    <row r="55" spans="2:15" s="56" customFormat="1" ht="15.95">
      <c r="B55" s="56" t="s">
        <v>40</v>
      </c>
      <c r="C55" s="61"/>
      <c r="E55" s="62"/>
    </row>
    <row r="56" spans="2:15" s="56" customFormat="1" ht="15.95">
      <c r="B56" s="56" t="s">
        <v>40</v>
      </c>
      <c r="C56" s="61"/>
      <c r="E56" s="62"/>
    </row>
    <row r="57" spans="2:15" ht="15" customHeight="1">
      <c r="B57" s="59"/>
      <c r="C57" s="59"/>
      <c r="E57" s="60"/>
      <c r="G57" s="60"/>
    </row>
    <row r="58" spans="2:15" ht="15.95">
      <c r="B58" s="56" t="s">
        <v>41</v>
      </c>
      <c r="C58" s="63"/>
      <c r="D58" s="56"/>
      <c r="E58" s="58"/>
      <c r="F58" s="56"/>
      <c r="G58" s="56"/>
      <c r="O58" s="56"/>
    </row>
    <row r="59" spans="2:15" s="56" customFormat="1" ht="15.95">
      <c r="B59" s="56" t="s">
        <v>41</v>
      </c>
      <c r="C59" s="61"/>
      <c r="E59" s="58"/>
    </row>
    <row r="60" spans="2:15" ht="15.95">
      <c r="B60" s="56" t="s">
        <v>41</v>
      </c>
      <c r="C60" s="61"/>
      <c r="D60" s="56"/>
      <c r="E60" s="62"/>
      <c r="F60" s="56"/>
      <c r="G60" s="56"/>
    </row>
    <row r="61" spans="2:15" s="56" customFormat="1" ht="15.95">
      <c r="B61" s="56" t="s">
        <v>41</v>
      </c>
      <c r="C61" s="61"/>
      <c r="E61" s="58"/>
      <c r="G61" s="64"/>
    </row>
    <row r="62" spans="2:15" ht="15.95">
      <c r="B62" s="56" t="s">
        <v>41</v>
      </c>
      <c r="C62" s="63"/>
      <c r="D62" s="56"/>
      <c r="E62" s="58"/>
      <c r="F62" s="56"/>
      <c r="G62" s="56"/>
    </row>
    <row r="63" spans="2:15" ht="15.95">
      <c r="B63" s="56" t="s">
        <v>41</v>
      </c>
      <c r="C63" s="61"/>
      <c r="D63" s="56"/>
      <c r="E63" s="62"/>
      <c r="F63" s="56"/>
      <c r="G63" s="56"/>
    </row>
    <row r="64" spans="2:15" s="56" customFormat="1" ht="15.95">
      <c r="B64" s="56" t="s">
        <v>41</v>
      </c>
      <c r="C64" s="61"/>
      <c r="E64" s="58"/>
      <c r="G64" s="64"/>
    </row>
    <row r="65" spans="2:7" ht="15.95">
      <c r="B65" s="56" t="s">
        <v>41</v>
      </c>
      <c r="C65" s="63"/>
      <c r="D65" s="56"/>
      <c r="E65" s="58"/>
      <c r="F65" s="56"/>
      <c r="G65" s="56"/>
    </row>
    <row r="66" spans="2:7" s="56" customFormat="1" ht="15.95">
      <c r="B66" s="56" t="s">
        <v>41</v>
      </c>
      <c r="C66" s="61"/>
      <c r="E66" s="62"/>
    </row>
    <row r="67" spans="2:7" s="56" customFormat="1" ht="15.95">
      <c r="B67" s="56" t="s">
        <v>41</v>
      </c>
      <c r="C67" s="61"/>
      <c r="E67" s="58"/>
      <c r="G67" s="64"/>
    </row>
    <row r="68" spans="2:7" s="56" customFormat="1" ht="15.95">
      <c r="B68" s="59"/>
      <c r="C68" s="59"/>
      <c r="D68" s="12"/>
      <c r="E68" s="60"/>
      <c r="F68" s="12"/>
      <c r="G68" s="60"/>
    </row>
    <row r="69" spans="2:7" ht="15.95">
      <c r="B69" s="56" t="s">
        <v>42</v>
      </c>
      <c r="C69" s="57"/>
      <c r="D69" s="56"/>
      <c r="E69" s="58"/>
      <c r="F69" s="56"/>
      <c r="G69" s="56"/>
    </row>
    <row r="70" spans="2:7" s="56" customFormat="1" ht="15.95">
      <c r="B70" s="56" t="s">
        <v>42</v>
      </c>
      <c r="C70" s="65"/>
      <c r="E70" s="58"/>
    </row>
    <row r="71" spans="2:7" s="56" customFormat="1" ht="15.95">
      <c r="B71" s="56" t="s">
        <v>42</v>
      </c>
      <c r="C71" s="65"/>
      <c r="E71" s="58"/>
    </row>
    <row r="72" spans="2:7" ht="15.95">
      <c r="B72" s="56" t="s">
        <v>42</v>
      </c>
      <c r="C72" s="65"/>
      <c r="D72" s="56"/>
      <c r="E72" s="58"/>
      <c r="F72" s="56"/>
      <c r="G72" s="56"/>
    </row>
    <row r="73" spans="2:7" s="56" customFormat="1" ht="15.95">
      <c r="B73" s="56" t="s">
        <v>42</v>
      </c>
      <c r="C73" s="65"/>
      <c r="E73" s="58"/>
    </row>
    <row r="74" spans="2:7" s="56" customFormat="1" ht="15.95">
      <c r="B74" s="56" t="s">
        <v>42</v>
      </c>
      <c r="C74" s="66"/>
      <c r="E74" s="58"/>
    </row>
    <row r="75" spans="2:7" ht="15.95">
      <c r="B75" s="56" t="s">
        <v>42</v>
      </c>
      <c r="C75" s="65"/>
      <c r="D75" s="56"/>
      <c r="E75" s="58"/>
      <c r="F75" s="56"/>
      <c r="G75" s="56"/>
    </row>
    <row r="76" spans="2:7" ht="15.95">
      <c r="B76" s="56" t="s">
        <v>42</v>
      </c>
      <c r="C76" s="65"/>
      <c r="D76" s="56"/>
      <c r="E76" s="58"/>
      <c r="F76" s="56"/>
      <c r="G76" s="56"/>
    </row>
    <row r="77" spans="2:7" ht="15.95">
      <c r="B77" s="56" t="s">
        <v>42</v>
      </c>
      <c r="C77" s="67"/>
      <c r="D77" s="56"/>
      <c r="E77" s="58"/>
      <c r="F77" s="56"/>
      <c r="G77" s="56"/>
    </row>
    <row r="78" spans="2:7" ht="15.95">
      <c r="B78" s="56" t="s">
        <v>42</v>
      </c>
      <c r="C78" s="65"/>
      <c r="D78" s="56"/>
      <c r="E78" s="68"/>
      <c r="F78" s="56"/>
      <c r="G78" s="56"/>
    </row>
    <row r="79" spans="2:7" ht="15.95">
      <c r="B79" s="56" t="s">
        <v>42</v>
      </c>
      <c r="C79" s="69"/>
      <c r="D79" s="56"/>
      <c r="E79" s="58"/>
      <c r="F79" s="56"/>
      <c r="G79" s="56"/>
    </row>
    <row r="80" spans="2:7" ht="15.95">
      <c r="B80" s="56" t="s">
        <v>42</v>
      </c>
      <c r="C80" s="65"/>
      <c r="D80" s="56"/>
      <c r="E80" s="58"/>
      <c r="F80" s="56"/>
      <c r="G80" s="56"/>
    </row>
    <row r="81" spans="2:7" ht="15.95">
      <c r="B81" s="56" t="s">
        <v>42</v>
      </c>
      <c r="C81" s="65"/>
      <c r="D81" s="56"/>
      <c r="E81" s="58"/>
      <c r="F81" s="56"/>
      <c r="G81" s="56"/>
    </row>
    <row r="82" spans="2:7" ht="15.95">
      <c r="B82" s="56" t="s">
        <v>42</v>
      </c>
      <c r="C82" s="65"/>
      <c r="D82" s="56"/>
      <c r="E82" s="58"/>
      <c r="F82" s="56"/>
      <c r="G82" s="56"/>
    </row>
    <row r="83" spans="2:7" ht="15.95">
      <c r="B83" s="56" t="s">
        <v>42</v>
      </c>
      <c r="C83" s="65"/>
      <c r="D83" s="56"/>
      <c r="E83" s="58"/>
      <c r="F83" s="56"/>
      <c r="G83" s="56"/>
    </row>
    <row r="84" spans="2:7" ht="15.95">
      <c r="B84" s="56"/>
      <c r="C84" s="59"/>
      <c r="D84" s="70"/>
      <c r="E84" s="71"/>
      <c r="F84" s="70"/>
      <c r="G84" s="70"/>
    </row>
    <row r="85" spans="2:7" ht="15.95">
      <c r="B85" s="56"/>
      <c r="C85" s="61"/>
      <c r="D85" s="56"/>
      <c r="E85" s="72"/>
      <c r="F85" s="56"/>
      <c r="G85" s="56"/>
    </row>
    <row r="86" spans="2:7" ht="15.95">
      <c r="B86" s="56"/>
      <c r="C86" s="61"/>
      <c r="D86" s="56"/>
      <c r="E86" s="72"/>
      <c r="F86" s="56"/>
      <c r="G86" s="56"/>
    </row>
    <row r="87" spans="2:7" ht="15.95">
      <c r="B87" s="56"/>
      <c r="C87" s="61"/>
      <c r="D87" s="56"/>
      <c r="E87" s="72"/>
      <c r="F87" s="56"/>
      <c r="G87" s="56"/>
    </row>
    <row r="88" spans="2:7" ht="15.95">
      <c r="B88" s="56"/>
      <c r="C88" s="61"/>
      <c r="D88" s="56"/>
      <c r="E88" s="72"/>
      <c r="F88" s="56"/>
      <c r="G88" s="56"/>
    </row>
    <row r="89" spans="2:7" s="56" customFormat="1" ht="15.95">
      <c r="B89" s="59"/>
      <c r="C89" s="59"/>
      <c r="D89" s="70"/>
      <c r="E89" s="71"/>
      <c r="F89" s="70"/>
      <c r="G89" s="70"/>
    </row>
    <row r="90" spans="2:7" ht="15.95">
      <c r="B90" s="56" t="s">
        <v>43</v>
      </c>
      <c r="C90" s="61"/>
      <c r="D90" s="56"/>
      <c r="E90" s="58"/>
      <c r="F90" s="56"/>
      <c r="G90" s="56"/>
    </row>
    <row r="91" spans="2:7" ht="15.95">
      <c r="B91" s="56" t="s">
        <v>43</v>
      </c>
      <c r="C91" s="61"/>
      <c r="D91" s="56"/>
      <c r="E91" s="58"/>
      <c r="F91" s="56"/>
      <c r="G91" s="56"/>
    </row>
    <row r="92" spans="2:7" ht="15.95">
      <c r="B92" s="56" t="s">
        <v>43</v>
      </c>
      <c r="C92" s="61"/>
      <c r="D92" s="56"/>
      <c r="E92" s="58"/>
      <c r="F92" s="56"/>
      <c r="G92" s="56"/>
    </row>
    <row r="93" spans="2:7" ht="15.95">
      <c r="B93" s="56" t="s">
        <v>43</v>
      </c>
      <c r="C93" s="58"/>
      <c r="D93" s="56"/>
      <c r="E93" s="58"/>
      <c r="F93" s="56"/>
      <c r="G93" s="56"/>
    </row>
    <row r="94" spans="2:7" ht="15.95">
      <c r="C94" s="41"/>
      <c r="D94" s="41"/>
      <c r="E94" s="41"/>
      <c r="F94" s="41"/>
    </row>
    <row r="95" spans="2:7" ht="15.95"/>
    <row r="103" ht="15.95"/>
    <row r="104" ht="15.95"/>
    <row r="105" ht="15.95"/>
    <row r="106" ht="15.95"/>
    <row r="107" ht="15.95"/>
    <row r="108" ht="15.95"/>
    <row r="109" ht="15.95"/>
    <row r="110" ht="15.95"/>
    <row r="111" ht="15.95"/>
    <row r="112" ht="15.95"/>
    <row r="113" ht="15.95"/>
    <row r="114" ht="15.95"/>
    <row r="115" ht="15.95"/>
    <row r="116" ht="15.95"/>
    <row r="117" ht="15.95"/>
    <row r="118" ht="15.95"/>
    <row r="119" ht="15.95"/>
    <row r="120" ht="15.95"/>
    <row r="121" ht="15.95"/>
    <row r="122" ht="15.95"/>
  </sheetData>
  <mergeCells count="12">
    <mergeCell ref="C49:G49"/>
    <mergeCell ref="C51:E51"/>
    <mergeCell ref="C52:E52"/>
    <mergeCell ref="C20:E20"/>
    <mergeCell ref="C14:E14"/>
    <mergeCell ref="C33:D33"/>
    <mergeCell ref="C46:G46"/>
    <mergeCell ref="C47:G47"/>
    <mergeCell ref="C48:G48"/>
    <mergeCell ref="E42:F42"/>
    <mergeCell ref="E44:F44"/>
    <mergeCell ref="C19:E19"/>
  </mergeCells>
  <dataValidations count="5">
    <dataValidation type="whole" allowBlank="1" showInputMessage="1" showErrorMessage="1" errorTitle="Veuillez ne pas modifier" error="Veuillez ne pas modifier ces cellules" sqref="C50:E51 F50:G52 C43:C45 C9:C10 C12:C41 D9:G45" xr:uid="{13F155AD-BBB8-4E9A-B392-DA413267DE35}">
      <formula1>10000</formula1>
      <formula2>50000</formula2>
    </dataValidation>
    <dataValidation type="whole" errorStyle="warning" allowBlank="1" showInputMessage="1" showErrorMessage="1" errorTitle="Veuillez ne pas modifier" error="Renseigné par le Secrétariat International" sqref="G4" xr:uid="{F920BEDA-BF7E-4A43-83C5-3937312D3587}">
      <formula1>444</formula1>
      <formula2>555</formula2>
    </dataValidation>
    <dataValidation type="whole" allowBlank="1" showInputMessage="1" showErrorMessage="1" errorTitle="Veuillez ne pas modifier" error="Veuillez ne pas modifier ces cellules" sqref="C46:G49 C42" xr:uid="{EAE1BBC4-6443-47CD-9131-7AE0B65466F1}">
      <formula1>444</formula1>
      <formula2>445</formula2>
    </dataValidation>
    <dataValidation allowBlank="1" showInputMessage="1" showErrorMessage="1" errorTitle="Veuillez ne pas modifier" error="Veuillez ne pas modifier ces cellules" sqref="C52:E52" xr:uid="{655ACAC1-5954-4C64-B9C5-3C0536942680}"/>
    <dataValidation type="whole" allowBlank="1" showInputMessage="1" showErrorMessage="1" errorTitle="Veuillez ne pas modifier" error="Veuillez ne pas modifier ces cellules" sqref="C11" xr:uid="{4DD1DD63-FCE6-41BF-8EB8-0746FAC32F0A}">
      <formula1>4</formula1>
      <formula2>5</formula2>
    </dataValidation>
  </dataValidations>
  <hyperlinks>
    <hyperlink ref="C49:G49" r:id="rId1" display="Give us your feedback or report a conflict in the data! Write to us at  data@eiti.org" xr:uid="{00000000-0004-0000-0000-000003000000}"/>
    <hyperlink ref="G49" r:id="rId2" display="Give us your feedback or report a conflict in the data! Write to us at  data@eiti.org" xr:uid="{00000000-0004-0000-0000-000007000000}"/>
    <hyperlink ref="E49:F49" r:id="rId3" display="Give us your feedback or report a conflict in the data! Write to us at  data@eiti.org" xr:uid="{00000000-0004-0000-0000-00000B000000}"/>
    <hyperlink ref="F49" r:id="rId4" display="Give us your feedback or report a conflict in the data! Write to us at  data@eiti.org" xr:uid="{00000000-0004-0000-0000-00000F000000}"/>
    <hyperlink ref="C20:E20" r:id="rId5" display="4. Les données serviront à alimenter le référentiel mondial de données ITIE, disponible sur le site Internet international de l’ITIE à https://eiti.org/fr/donnees. Le fichier vous sera renvoyé, afin de pouvoir être publié sur les canaux de votre choix." xr:uid="{00000000-0004-0000-0000-000011000000}"/>
    <hyperlink ref="E33" r:id="rId6" xr:uid="{00000000-0004-0000-0000-000010000000}"/>
    <hyperlink ref="C46:G46" r:id="rId7" display="Pour plus d’information sur l’ITIE, visitez notre site Internet  https://eiti.org" xr:uid="{3E04576D-7ECA-4DE4-8061-A5DAEEDAD777}"/>
    <hyperlink ref="C47:G47" r:id="rId8" display="Vous voulez en savoir plus sur votre pays ? Vérifiez si votre pays met en œuvre la Norme ITIE en visitant https://eiti.org/countries" xr:uid="{59122BD4-E3AC-460E-97D6-C3A524F16B1E}"/>
    <hyperlink ref="C48:G48" r:id="rId9" display="Pour la version la plus récente des modèles de données résumées, consultez https://eiti.org/fr/document/modele-donnees-resumees-itie" xr:uid="{383869F0-2B8C-4CEC-ACE7-9224BDDDC087}"/>
    <hyperlink ref="C19:E19" r:id="rId10" display="3. Prière de soumettre cette fiche de données en même temps que le Rapport ITIE. L’envoyer au Secrétariat international à : data@eiti.org. " xr:uid="{FB3CFA49-57A4-49D6-8B35-1EE96AAAD3B8}"/>
  </hyperlinks>
  <pageMargins left="0.7" right="0.7" top="0.75" bottom="0.75" header="0.3" footer="0.3"/>
  <pageSetup paperSize="9" orientation="portrait"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126"/>
  <sheetViews>
    <sheetView showGridLines="0" topLeftCell="A15" zoomScale="70" zoomScaleNormal="70" workbookViewId="0">
      <selection activeCell="O40" sqref="O40"/>
    </sheetView>
  </sheetViews>
  <sheetFormatPr defaultColWidth="4" defaultRowHeight="24" customHeight="1"/>
  <cols>
    <col min="1" max="1" width="4" style="12"/>
    <col min="2" max="2" width="4" style="12" hidden="1" customWidth="1"/>
    <col min="3" max="3" width="84.140625" style="12" customWidth="1"/>
    <col min="4" max="4" width="2.85546875" style="12" customWidth="1"/>
    <col min="5" max="5" width="57.140625" style="12" customWidth="1"/>
    <col min="6" max="6" width="2.85546875" style="12" customWidth="1"/>
    <col min="7" max="7" width="58.42578125" style="12" customWidth="1"/>
    <col min="8" max="10" width="4" style="12"/>
    <col min="11" max="11" width="9.5703125" style="12" bestFit="1" customWidth="1"/>
    <col min="12" max="14" width="4" style="12"/>
    <col min="15" max="15" width="42" style="12" bestFit="1" customWidth="1"/>
    <col min="16" max="16" width="50" style="12" customWidth="1"/>
    <col min="17" max="16384" width="4" style="12"/>
  </cols>
  <sheetData>
    <row r="1" spans="3:9" ht="15.75" hidden="1" customHeight="1"/>
    <row r="2" spans="3:9" ht="15.95" hidden="1"/>
    <row r="3" spans="3:9" ht="15.95" hidden="1">
      <c r="E3" s="13"/>
      <c r="G3" s="13" t="s">
        <v>44</v>
      </c>
    </row>
    <row r="4" spans="3:9" ht="15.95" hidden="1">
      <c r="E4" s="13"/>
      <c r="G4" s="13">
        <f>Introduction!G4</f>
        <v>44564</v>
      </c>
    </row>
    <row r="5" spans="3:9" ht="15.95" hidden="1"/>
    <row r="6" spans="3:9" ht="15.95" hidden="1"/>
    <row r="7" spans="3:9" ht="15.95"/>
    <row r="8" spans="3:9" ht="15.95">
      <c r="C8" s="15" t="s">
        <v>45</v>
      </c>
      <c r="D8" s="15"/>
      <c r="E8" s="15"/>
      <c r="F8" s="15"/>
      <c r="G8" s="15"/>
    </row>
    <row r="9" spans="3:9" ht="19.5" customHeight="1">
      <c r="C9" s="73" t="s">
        <v>46</v>
      </c>
      <c r="D9" s="74"/>
      <c r="E9" s="74"/>
      <c r="F9" s="74"/>
      <c r="G9" s="73"/>
    </row>
    <row r="10" spans="3:9" ht="30.6" customHeight="1">
      <c r="C10" s="337" t="s">
        <v>47</v>
      </c>
      <c r="D10" s="337"/>
      <c r="E10" s="337"/>
      <c r="F10" s="75"/>
      <c r="G10" s="339"/>
    </row>
    <row r="11" spans="3:9" ht="31.5" customHeight="1">
      <c r="C11" s="338" t="s">
        <v>48</v>
      </c>
      <c r="D11" s="338"/>
      <c r="E11" s="338"/>
      <c r="F11" s="75"/>
      <c r="G11" s="339"/>
    </row>
    <row r="12" spans="3:9" ht="14.45" customHeight="1">
      <c r="C12" s="338" t="s">
        <v>49</v>
      </c>
      <c r="D12" s="338"/>
      <c r="E12" s="338"/>
      <c r="F12" s="338"/>
      <c r="G12" s="339"/>
    </row>
    <row r="13" spans="3:9" ht="14.1" customHeight="1">
      <c r="C13" s="76" t="s">
        <v>50</v>
      </c>
      <c r="D13" s="76"/>
      <c r="E13" s="76"/>
      <c r="F13" s="76"/>
      <c r="G13" s="339"/>
      <c r="H13" s="77"/>
      <c r="I13" s="77"/>
    </row>
    <row r="14" spans="3:9" ht="15.95">
      <c r="D14" s="78"/>
      <c r="E14" s="78"/>
    </row>
    <row r="15" spans="3:9" ht="32.1">
      <c r="C15" s="240" t="s">
        <v>19</v>
      </c>
      <c r="D15" s="33"/>
      <c r="E15" s="37" t="s">
        <v>51</v>
      </c>
      <c r="F15" s="33"/>
      <c r="G15" s="79" t="s">
        <v>21</v>
      </c>
    </row>
    <row r="16" spans="3:9" ht="15.95">
      <c r="D16" s="78"/>
      <c r="E16" s="78"/>
    </row>
    <row r="17" spans="1:7" ht="23.1" thickBot="1">
      <c r="B17" s="80"/>
      <c r="C17" s="81" t="s">
        <v>52</v>
      </c>
      <c r="D17" s="82"/>
      <c r="E17" s="83"/>
      <c r="F17" s="82"/>
      <c r="G17" s="82"/>
    </row>
    <row r="18" spans="1:7" ht="16.5" thickBot="1">
      <c r="A18" s="84"/>
      <c r="B18" s="84"/>
      <c r="C18" s="85" t="s">
        <v>53</v>
      </c>
      <c r="D18" s="86"/>
      <c r="E18" s="87" t="s">
        <v>54</v>
      </c>
      <c r="F18" s="86"/>
      <c r="G18" s="88" t="s">
        <v>55</v>
      </c>
    </row>
    <row r="19" spans="1:7" ht="16.5" thickBot="1">
      <c r="B19" s="89"/>
      <c r="C19" s="90" t="s">
        <v>39</v>
      </c>
      <c r="D19" s="82"/>
      <c r="E19" s="91"/>
      <c r="F19" s="82"/>
      <c r="G19" s="91"/>
    </row>
    <row r="20" spans="1:7" ht="15.95">
      <c r="A20" s="56"/>
      <c r="B20" s="56" t="s">
        <v>39</v>
      </c>
      <c r="C20" s="92" t="s">
        <v>56</v>
      </c>
      <c r="D20" s="56"/>
      <c r="E20" s="241" t="s">
        <v>57</v>
      </c>
      <c r="F20" s="56"/>
      <c r="G20" s="93"/>
    </row>
    <row r="21" spans="1:7" ht="15.95">
      <c r="A21" s="56"/>
      <c r="B21" s="56" t="s">
        <v>39</v>
      </c>
      <c r="C21" s="94" t="s">
        <v>58</v>
      </c>
      <c r="D21" s="56"/>
      <c r="E21" s="95" t="str">
        <f>IFERROR(VLOOKUP($E$20,Table1_Country_codes_and_currencies[],3,FALSE),"")</f>
        <v>SEN</v>
      </c>
      <c r="F21" s="56"/>
      <c r="G21" s="93"/>
    </row>
    <row r="22" spans="1:7" ht="15.95">
      <c r="B22" s="56" t="s">
        <v>39</v>
      </c>
      <c r="C22" s="94" t="s">
        <v>59</v>
      </c>
      <c r="D22" s="56"/>
      <c r="E22" s="95" t="str">
        <f>IFERROR(VLOOKUP($E$20,Table1_Country_codes_and_currencies[],7,FALSE),"")</f>
        <v>Franc CFA d’Afrique de l’Ouest</v>
      </c>
      <c r="F22" s="56"/>
      <c r="G22" s="93"/>
    </row>
    <row r="23" spans="1:7" ht="16.5" thickBot="1">
      <c r="B23" s="56" t="s">
        <v>39</v>
      </c>
      <c r="C23" s="96" t="s">
        <v>60</v>
      </c>
      <c r="D23" s="97"/>
      <c r="E23" s="98" t="str">
        <f>IFERROR(VLOOKUP($E$20,Table1_Country_codes_and_currencies[],5,FALSE),"")</f>
        <v>XOF</v>
      </c>
      <c r="F23" s="97"/>
      <c r="G23" s="99"/>
    </row>
    <row r="24" spans="1:7" ht="16.5" thickBot="1">
      <c r="B24" s="89"/>
      <c r="C24" s="90" t="s">
        <v>40</v>
      </c>
      <c r="D24" s="82"/>
      <c r="E24" s="91"/>
      <c r="F24" s="82"/>
      <c r="G24" s="91"/>
    </row>
    <row r="25" spans="1:7" ht="15.95">
      <c r="A25" s="56"/>
      <c r="B25" s="56" t="s">
        <v>40</v>
      </c>
      <c r="C25" s="92" t="s">
        <v>61</v>
      </c>
      <c r="D25" s="56"/>
      <c r="E25" s="242">
        <v>43831</v>
      </c>
      <c r="F25" s="56"/>
      <c r="G25" s="93"/>
    </row>
    <row r="26" spans="1:7" ht="16.5" thickBot="1">
      <c r="A26" s="56"/>
      <c r="B26" s="56" t="s">
        <v>40</v>
      </c>
      <c r="C26" s="100" t="s">
        <v>62</v>
      </c>
      <c r="D26" s="97"/>
      <c r="E26" s="242">
        <v>44196</v>
      </c>
      <c r="F26" s="97"/>
      <c r="G26" s="99"/>
    </row>
    <row r="27" spans="1:7" ht="16.5" thickBot="1">
      <c r="B27" s="89"/>
      <c r="C27" s="90" t="s">
        <v>41</v>
      </c>
      <c r="D27" s="82"/>
      <c r="E27" s="101"/>
      <c r="F27" s="82"/>
      <c r="G27" s="91"/>
    </row>
    <row r="28" spans="1:7" ht="15.95">
      <c r="B28" s="56" t="s">
        <v>41</v>
      </c>
      <c r="C28" s="102" t="s">
        <v>63</v>
      </c>
      <c r="D28" s="56"/>
      <c r="E28" s="241" t="s">
        <v>64</v>
      </c>
      <c r="F28" s="56"/>
      <c r="G28" s="93"/>
    </row>
    <row r="29" spans="1:7" ht="15.95">
      <c r="A29" s="56"/>
      <c r="B29" s="56" t="s">
        <v>41</v>
      </c>
      <c r="C29" s="92" t="s">
        <v>65</v>
      </c>
      <c r="D29" s="56"/>
      <c r="E29" s="243" t="s">
        <v>66</v>
      </c>
      <c r="F29" s="56"/>
      <c r="G29" s="93"/>
    </row>
    <row r="30" spans="1:7" ht="15.95">
      <c r="B30" s="56" t="s">
        <v>41</v>
      </c>
      <c r="C30" s="92" t="s">
        <v>67</v>
      </c>
      <c r="D30" s="56"/>
      <c r="E30" s="242">
        <v>44558</v>
      </c>
      <c r="F30" s="56"/>
      <c r="G30" s="93"/>
    </row>
    <row r="31" spans="1:7" ht="15.95">
      <c r="A31" s="56"/>
      <c r="B31" s="56" t="s">
        <v>41</v>
      </c>
      <c r="C31" s="92" t="s">
        <v>68</v>
      </c>
      <c r="D31" s="56"/>
      <c r="E31" s="281" t="s">
        <v>69</v>
      </c>
      <c r="F31" s="56"/>
      <c r="G31" s="93"/>
    </row>
    <row r="32" spans="1:7" ht="32.1">
      <c r="B32" s="56" t="s">
        <v>41</v>
      </c>
      <c r="C32" s="103" t="s">
        <v>70</v>
      </c>
      <c r="D32" s="104"/>
      <c r="E32" s="243" t="s">
        <v>71</v>
      </c>
      <c r="F32" s="104"/>
      <c r="G32" s="105"/>
    </row>
    <row r="33" spans="1:9" ht="15.95">
      <c r="B33" s="56" t="s">
        <v>41</v>
      </c>
      <c r="C33" s="92" t="s">
        <v>72</v>
      </c>
      <c r="D33" s="56"/>
      <c r="E33" s="244" t="s">
        <v>73</v>
      </c>
      <c r="F33" s="56"/>
      <c r="G33" s="106"/>
    </row>
    <row r="34" spans="1:9" ht="15.95">
      <c r="A34" s="56"/>
      <c r="B34" s="56" t="s">
        <v>41</v>
      </c>
      <c r="C34" s="92" t="s">
        <v>74</v>
      </c>
      <c r="D34" s="56"/>
      <c r="E34" s="245" t="s">
        <v>73</v>
      </c>
      <c r="F34" s="56"/>
      <c r="G34" s="106"/>
    </row>
    <row r="35" spans="1:9" ht="15.95">
      <c r="B35" s="56" t="s">
        <v>41</v>
      </c>
      <c r="C35" s="103" t="s">
        <v>75</v>
      </c>
      <c r="D35" s="104"/>
      <c r="E35" s="243" t="s">
        <v>64</v>
      </c>
      <c r="F35" s="107"/>
      <c r="G35" s="108"/>
    </row>
    <row r="36" spans="1:9" ht="15.95">
      <c r="A36" s="56"/>
      <c r="B36" s="56" t="s">
        <v>41</v>
      </c>
      <c r="C36" s="92" t="s">
        <v>76</v>
      </c>
      <c r="D36" s="56"/>
      <c r="E36" s="242">
        <v>44558</v>
      </c>
      <c r="F36" s="56"/>
      <c r="G36" s="93"/>
    </row>
    <row r="37" spans="1:9" ht="16.5" thickBot="1">
      <c r="A37" s="56"/>
      <c r="B37" s="56" t="s">
        <v>41</v>
      </c>
      <c r="C37" s="92" t="s">
        <v>77</v>
      </c>
      <c r="D37" s="109"/>
      <c r="E37" s="281" t="s">
        <v>78</v>
      </c>
      <c r="F37" s="97"/>
      <c r="G37" s="110"/>
      <c r="H37" s="111"/>
      <c r="I37" s="111"/>
    </row>
    <row r="38" spans="1:9" ht="15.95" customHeight="1" thickBot="1">
      <c r="C38" s="272" t="s">
        <v>79</v>
      </c>
      <c r="D38" s="112"/>
      <c r="E38" s="58"/>
      <c r="F38" s="113"/>
      <c r="G38" s="64"/>
      <c r="H38" s="111"/>
      <c r="I38" s="111"/>
    </row>
    <row r="39" spans="1:9" ht="15.95">
      <c r="A39" s="56"/>
      <c r="B39" s="59"/>
      <c r="C39" s="114" t="s">
        <v>80</v>
      </c>
      <c r="D39" s="115"/>
      <c r="E39" s="246" t="s">
        <v>81</v>
      </c>
      <c r="F39" s="111"/>
      <c r="G39" s="116"/>
      <c r="H39" s="111"/>
      <c r="I39" s="111"/>
    </row>
    <row r="40" spans="1:9" ht="16.5" thickBot="1">
      <c r="B40" s="56" t="s">
        <v>42</v>
      </c>
      <c r="C40" s="117" t="s">
        <v>82</v>
      </c>
      <c r="D40" s="118"/>
      <c r="E40" s="282" t="s">
        <v>83</v>
      </c>
      <c r="F40" s="119"/>
      <c r="G40" s="120"/>
      <c r="H40" s="111"/>
      <c r="I40" s="111"/>
    </row>
    <row r="41" spans="1:9" ht="18" customHeight="1" thickBot="1">
      <c r="A41" s="56"/>
      <c r="B41" s="56" t="s">
        <v>42</v>
      </c>
      <c r="C41" s="90" t="s">
        <v>42</v>
      </c>
      <c r="D41" s="82"/>
      <c r="E41" s="121"/>
      <c r="F41" s="82"/>
      <c r="G41" s="121"/>
    </row>
    <row r="42" spans="1:9" ht="15.6" customHeight="1">
      <c r="B42" s="56" t="s">
        <v>42</v>
      </c>
      <c r="C42" s="94" t="s">
        <v>84</v>
      </c>
      <c r="D42" s="56"/>
      <c r="E42" s="95"/>
      <c r="F42" s="56"/>
      <c r="G42" s="56"/>
    </row>
    <row r="43" spans="1:9" ht="16.5" customHeight="1">
      <c r="A43" s="56"/>
      <c r="B43" s="56" t="s">
        <v>42</v>
      </c>
      <c r="C43" s="122" t="s">
        <v>85</v>
      </c>
      <c r="D43" s="56"/>
      <c r="E43" s="243" t="s">
        <v>64</v>
      </c>
      <c r="F43" s="56"/>
      <c r="G43" s="106"/>
      <c r="H43" s="111"/>
      <c r="I43" s="111"/>
    </row>
    <row r="44" spans="1:9" ht="16.5" customHeight="1">
      <c r="A44" s="56"/>
      <c r="B44" s="56" t="s">
        <v>42</v>
      </c>
      <c r="C44" s="122" t="s">
        <v>86</v>
      </c>
      <c r="D44" s="56"/>
      <c r="E44" s="243" t="s">
        <v>64</v>
      </c>
      <c r="F44" s="56"/>
      <c r="G44" s="106"/>
      <c r="H44" s="111"/>
      <c r="I44" s="111"/>
    </row>
    <row r="45" spans="1:9" ht="15.6" customHeight="1">
      <c r="B45" s="56" t="s">
        <v>42</v>
      </c>
      <c r="C45" s="122" t="s">
        <v>87</v>
      </c>
      <c r="D45" s="56"/>
      <c r="E45" s="243" t="s">
        <v>64</v>
      </c>
      <c r="F45" s="56"/>
      <c r="G45" s="106"/>
      <c r="H45" s="111"/>
      <c r="I45" s="111"/>
    </row>
    <row r="46" spans="1:9" ht="18" customHeight="1">
      <c r="B46" s="56" t="s">
        <v>42</v>
      </c>
      <c r="C46" s="122" t="s">
        <v>88</v>
      </c>
      <c r="D46" s="56"/>
      <c r="E46" s="243" t="s">
        <v>89</v>
      </c>
      <c r="F46" s="56"/>
      <c r="G46" s="106"/>
    </row>
    <row r="47" spans="1:9" ht="15.95">
      <c r="B47" s="56" t="s">
        <v>42</v>
      </c>
      <c r="C47" s="123" t="s">
        <v>90</v>
      </c>
      <c r="D47" s="56"/>
      <c r="E47" s="243" t="s">
        <v>89</v>
      </c>
      <c r="F47" s="56"/>
      <c r="G47" s="106"/>
    </row>
    <row r="48" spans="1:9" ht="15.95">
      <c r="B48" s="56" t="s">
        <v>42</v>
      </c>
      <c r="C48" s="122" t="s">
        <v>91</v>
      </c>
      <c r="D48" s="56"/>
      <c r="E48" s="243">
        <v>9</v>
      </c>
      <c r="F48" s="56"/>
      <c r="G48" s="106"/>
      <c r="H48" s="111"/>
      <c r="I48" s="111"/>
    </row>
    <row r="49" spans="1:15" ht="15.95">
      <c r="B49" s="56" t="s">
        <v>42</v>
      </c>
      <c r="C49" s="122" t="s">
        <v>92</v>
      </c>
      <c r="D49" s="124"/>
      <c r="E49" s="243">
        <v>26</v>
      </c>
      <c r="F49" s="56"/>
      <c r="G49" s="125"/>
      <c r="H49" s="111"/>
      <c r="I49" s="111"/>
    </row>
    <row r="50" spans="1:15" ht="15.95">
      <c r="B50" s="56" t="s">
        <v>42</v>
      </c>
      <c r="C50" s="126" t="s">
        <v>93</v>
      </c>
      <c r="D50" s="56"/>
      <c r="E50" s="247" t="s">
        <v>94</v>
      </c>
      <c r="F50" s="104"/>
      <c r="G50" s="106"/>
      <c r="H50" s="111"/>
      <c r="I50" s="111"/>
    </row>
    <row r="51" spans="1:15" ht="15.95">
      <c r="B51" s="56" t="s">
        <v>42</v>
      </c>
      <c r="C51" s="127" t="s">
        <v>95</v>
      </c>
      <c r="D51" s="56"/>
      <c r="E51" s="248">
        <v>574.71</v>
      </c>
      <c r="F51" s="56"/>
      <c r="G51" s="106"/>
      <c r="H51" s="111"/>
      <c r="I51" s="111"/>
    </row>
    <row r="52" spans="1:15" ht="15.95">
      <c r="B52" s="56" t="s">
        <v>42</v>
      </c>
      <c r="C52" s="128" t="s">
        <v>96</v>
      </c>
      <c r="D52" s="129"/>
      <c r="E52" s="248" t="s">
        <v>97</v>
      </c>
      <c r="F52" s="129"/>
      <c r="G52" s="106"/>
      <c r="H52" s="111"/>
      <c r="I52" s="111"/>
    </row>
    <row r="53" spans="1:15" s="84" customFormat="1" ht="25.5" customHeight="1">
      <c r="A53" s="12"/>
      <c r="B53" s="56" t="s">
        <v>42</v>
      </c>
      <c r="C53" s="130" t="s">
        <v>98</v>
      </c>
      <c r="D53" s="56"/>
      <c r="E53" s="131"/>
      <c r="F53" s="56"/>
      <c r="G53" s="105"/>
      <c r="H53" s="12"/>
      <c r="I53" s="12"/>
    </row>
    <row r="54" spans="1:15" ht="15.6" customHeight="1">
      <c r="B54" s="56" t="s">
        <v>42</v>
      </c>
      <c r="C54" s="122" t="s">
        <v>99</v>
      </c>
      <c r="D54" s="56"/>
      <c r="E54" s="243" t="s">
        <v>64</v>
      </c>
      <c r="F54" s="56"/>
      <c r="G54" s="106"/>
    </row>
    <row r="55" spans="1:15" s="56" customFormat="1" ht="15.95">
      <c r="A55" s="12"/>
      <c r="C55" s="122" t="s">
        <v>100</v>
      </c>
      <c r="E55" s="243" t="s">
        <v>64</v>
      </c>
      <c r="G55" s="106"/>
      <c r="H55" s="12"/>
      <c r="I55" s="12"/>
    </row>
    <row r="56" spans="1:15" s="56" customFormat="1" ht="15.6" customHeight="1">
      <c r="A56" s="12"/>
      <c r="C56" s="122" t="s">
        <v>101</v>
      </c>
      <c r="E56" s="243" t="s">
        <v>64</v>
      </c>
      <c r="G56" s="106"/>
      <c r="H56" s="84"/>
      <c r="I56" s="84"/>
    </row>
    <row r="57" spans="1:15" ht="16.5" thickBot="1">
      <c r="B57" s="56"/>
      <c r="C57" s="132" t="s">
        <v>102</v>
      </c>
      <c r="D57" s="97"/>
      <c r="E57" s="243" t="s">
        <v>64</v>
      </c>
      <c r="F57" s="97"/>
      <c r="G57" s="133"/>
    </row>
    <row r="58" spans="1:15" ht="16.5" thickBot="1">
      <c r="B58" s="56"/>
      <c r="C58" s="134" t="s">
        <v>103</v>
      </c>
      <c r="D58" s="135"/>
      <c r="E58" s="136">
        <f>SUM(E59:E62)</f>
        <v>1</v>
      </c>
      <c r="F58" s="135"/>
      <c r="G58" s="135"/>
      <c r="H58" s="56"/>
      <c r="I58" s="56"/>
    </row>
    <row r="59" spans="1:15" ht="15.95">
      <c r="B59" s="56"/>
      <c r="C59" s="92" t="s">
        <v>104</v>
      </c>
      <c r="D59" s="56"/>
      <c r="E59" s="137">
        <f>COUNTIF('Partie 2 - Liste de pointage'!$D:$D,Listes!$K$4)/SUM(COUNTIF('Partie 2 - Liste de pointage'!$D:$D,"*Rapportage ITIE ou divulgation systématique?*"),COUNTIF('Partie 2 - Liste de pointage'!$D:$D,Listes!$K$4),COUNTIF('Partie 2 - Liste de pointage'!$D:$D,Listes!$K$5),COUNTIF('Partie 2 - Liste de pointage'!$D:$D,Listes!$K$6),COUNTIF('Partie 2 - Liste de pointage'!$D:$D,Listes!$K$7))</f>
        <v>0.11320754716981132</v>
      </c>
      <c r="F59" s="56"/>
      <c r="G59" s="138" t="s">
        <v>105</v>
      </c>
      <c r="H59" s="56"/>
      <c r="I59" s="56"/>
      <c r="K59" s="139"/>
    </row>
    <row r="60" spans="1:15" s="56" customFormat="1" ht="15.95">
      <c r="B60" s="89"/>
      <c r="C60" s="92" t="s">
        <v>106</v>
      </c>
      <c r="E60" s="137">
        <f>COUNTIF('Partie 2 - Liste de pointage'!$D:$D,Listes!$K$5)/SUM(COUNTIF('Partie 2 - Liste de pointage'!$D:$D,"*Rapportage ITIE ou divulgation systématique?*"),COUNTIF('Partie 2 - Liste de pointage'!$D:$D,Listes!$K$4),COUNTIF('Partie 2 - Liste de pointage'!$D:$D,Listes!$K$5),COUNTIF('Partie 2 - Liste de pointage'!$D:$D,Listes!$K$6),COUNTIF('Partie 2 - Liste de pointage'!$D:$D,Listes!$K$7))</f>
        <v>0.81132075471698117</v>
      </c>
      <c r="G60" s="138" t="s">
        <v>105</v>
      </c>
      <c r="H60" s="12"/>
      <c r="I60" s="12"/>
      <c r="K60" s="139"/>
    </row>
    <row r="61" spans="1:15" s="56" customFormat="1" ht="15.95">
      <c r="A61" s="12"/>
      <c r="B61" s="56" t="s">
        <v>43</v>
      </c>
      <c r="C61" s="92" t="s">
        <v>107</v>
      </c>
      <c r="E61" s="137">
        <f>COUNTIF('Partie 2 - Liste de pointage'!$D:$D,Listes!$K$6)/SUM(COUNTIF('Partie 2 - Liste de pointage'!$D:$D,"*Rapportage ITIE ou divulgation systématique?*"),COUNTIF('Partie 2 - Liste de pointage'!$D:$D,Listes!$K$4),COUNTIF('Partie 2 - Liste de pointage'!$D:$D,Listes!$K$5),COUNTIF('Partie 2 - Liste de pointage'!$D:$D,Listes!$K$6),COUNTIF('Partie 2 - Liste de pointage'!$D:$D,Listes!$K$7))</f>
        <v>5.6603773584905662E-2</v>
      </c>
      <c r="G61" s="138" t="s">
        <v>105</v>
      </c>
      <c r="H61" s="12"/>
      <c r="I61" s="12"/>
      <c r="K61" s="139"/>
    </row>
    <row r="62" spans="1:15" ht="15" customHeight="1" thickBot="1">
      <c r="B62" s="56" t="s">
        <v>43</v>
      </c>
      <c r="C62" s="92" t="s">
        <v>108</v>
      </c>
      <c r="D62" s="56"/>
      <c r="E62" s="137">
        <f>COUNTIF('Partie 2 - Liste de pointage'!$D:$D,Listes!$K$7)/SUM(COUNTIF('Partie 2 - Liste de pointage'!$D:$D,"*Rapportage ITIE ou divulgation systématique?*"),COUNTIF('Partie 2 - Liste de pointage'!$D:$D,Listes!$K$4),COUNTIF('Partie 2 - Liste de pointage'!$D:$D,Listes!$K$5),COUNTIF('Partie 2 - Liste de pointage'!$D:$D,Listes!$K$6),COUNTIF('Partie 2 - Liste de pointage'!$D:$D,Listes!$K$7))</f>
        <v>1.8867924528301886E-2</v>
      </c>
      <c r="F62" s="56"/>
      <c r="G62" s="138" t="s">
        <v>105</v>
      </c>
      <c r="K62" s="139"/>
    </row>
    <row r="63" spans="1:15" ht="16.5" thickBot="1">
      <c r="B63" s="56" t="s">
        <v>43</v>
      </c>
      <c r="C63" s="140" t="s">
        <v>109</v>
      </c>
      <c r="D63" s="141"/>
      <c r="E63" s="142"/>
      <c r="F63" s="141"/>
      <c r="G63" s="141"/>
      <c r="H63" s="56"/>
      <c r="I63" s="56"/>
      <c r="O63" s="56"/>
    </row>
    <row r="64" spans="1:15" s="56" customFormat="1" ht="15.95">
      <c r="A64" s="12"/>
      <c r="B64" s="56" t="s">
        <v>43</v>
      </c>
      <c r="C64" s="92" t="s">
        <v>110</v>
      </c>
      <c r="E64" s="241" t="s">
        <v>111</v>
      </c>
      <c r="G64" s="93"/>
    </row>
    <row r="65" spans="1:9" ht="15.95">
      <c r="C65" s="92" t="s">
        <v>112</v>
      </c>
      <c r="D65" s="56"/>
      <c r="E65" s="241" t="s">
        <v>66</v>
      </c>
      <c r="F65" s="56"/>
      <c r="G65" s="93"/>
    </row>
    <row r="66" spans="1:9" ht="12.75" customHeight="1">
      <c r="C66" s="92" t="s">
        <v>113</v>
      </c>
      <c r="D66" s="56"/>
      <c r="E66" s="283" t="s">
        <v>114</v>
      </c>
      <c r="F66" s="56"/>
      <c r="G66" s="93"/>
    </row>
    <row r="67" spans="1:9" ht="18.75" customHeight="1" thickBot="1">
      <c r="C67" s="143"/>
      <c r="D67" s="97"/>
      <c r="E67" s="98"/>
      <c r="F67" s="97"/>
      <c r="G67" s="109"/>
      <c r="H67" s="56"/>
      <c r="I67" s="56"/>
    </row>
    <row r="68" spans="1:9" s="56" customFormat="1" ht="17.25" customHeight="1">
      <c r="A68" s="12"/>
      <c r="B68" s="12"/>
      <c r="C68" s="41"/>
      <c r="D68" s="41"/>
      <c r="E68" s="41"/>
      <c r="F68" s="41"/>
      <c r="G68" s="12"/>
      <c r="H68" s="12"/>
      <c r="I68" s="12"/>
    </row>
    <row r="69" spans="1:9" ht="17.25" hidden="1" customHeight="1" thickBot="1">
      <c r="C69" s="330" t="s">
        <v>33</v>
      </c>
      <c r="D69" s="330"/>
      <c r="E69" s="330"/>
      <c r="F69" s="330"/>
      <c r="G69" s="330"/>
    </row>
    <row r="70" spans="1:9" ht="24" hidden="1" customHeight="1" thickBot="1">
      <c r="C70" s="331" t="s">
        <v>34</v>
      </c>
      <c r="D70" s="331"/>
      <c r="E70" s="331"/>
      <c r="F70" s="331"/>
      <c r="G70" s="331"/>
    </row>
    <row r="71" spans="1:9" ht="19.5" hidden="1" customHeight="1" thickBot="1">
      <c r="C71" s="330" t="s">
        <v>35</v>
      </c>
      <c r="D71" s="330"/>
      <c r="E71" s="330"/>
      <c r="F71" s="330"/>
      <c r="G71" s="330"/>
    </row>
    <row r="72" spans="1:9" ht="18.75" hidden="1" customHeight="1" thickBot="1">
      <c r="C72" s="324" t="s">
        <v>36</v>
      </c>
      <c r="D72" s="324"/>
      <c r="E72" s="324"/>
      <c r="F72" s="324"/>
      <c r="G72" s="324"/>
    </row>
    <row r="73" spans="1:9" ht="16.5" thickBot="1">
      <c r="B73" s="56" t="s">
        <v>42</v>
      </c>
      <c r="C73" s="54"/>
      <c r="D73" s="54"/>
      <c r="E73" s="54"/>
      <c r="F73" s="54"/>
      <c r="G73" s="55"/>
      <c r="H73" s="56"/>
      <c r="I73" s="56"/>
    </row>
    <row r="74" spans="1:9" s="56" customFormat="1" ht="15.95">
      <c r="B74" s="56" t="s">
        <v>42</v>
      </c>
      <c r="C74" s="325" t="s">
        <v>115</v>
      </c>
      <c r="D74" s="325"/>
      <c r="E74" s="325"/>
      <c r="F74" s="12"/>
      <c r="G74" s="12"/>
    </row>
    <row r="75" spans="1:9" s="56" customFormat="1" ht="15.95">
      <c r="B75" s="56" t="s">
        <v>42</v>
      </c>
      <c r="C75" s="326" t="s">
        <v>38</v>
      </c>
      <c r="D75" s="326"/>
      <c r="E75" s="326"/>
      <c r="F75" s="12"/>
      <c r="G75" s="12"/>
    </row>
    <row r="76" spans="1:9" ht="15.95">
      <c r="B76" s="56" t="s">
        <v>42</v>
      </c>
      <c r="C76" s="57"/>
      <c r="D76" s="56"/>
      <c r="E76" s="58"/>
      <c r="F76" s="56"/>
      <c r="G76" s="56"/>
    </row>
    <row r="77" spans="1:9" s="56" customFormat="1" ht="15.95">
      <c r="B77" s="56" t="s">
        <v>42</v>
      </c>
      <c r="C77" s="65"/>
      <c r="E77" s="58"/>
    </row>
    <row r="78" spans="1:9" s="56" customFormat="1" ht="15.95">
      <c r="B78" s="56" t="s">
        <v>42</v>
      </c>
      <c r="C78" s="65"/>
      <c r="E78" s="58"/>
    </row>
    <row r="79" spans="1:9" ht="15.95">
      <c r="B79" s="56" t="s">
        <v>42</v>
      </c>
      <c r="C79" s="65"/>
      <c r="D79" s="56"/>
      <c r="E79" s="58"/>
      <c r="F79" s="56"/>
      <c r="G79" s="56"/>
    </row>
    <row r="80" spans="1:9" ht="15.95">
      <c r="B80" s="56" t="s">
        <v>42</v>
      </c>
      <c r="C80" s="65"/>
      <c r="D80" s="56"/>
      <c r="E80" s="58"/>
      <c r="F80" s="56"/>
      <c r="G80" s="56"/>
      <c r="H80" s="56"/>
      <c r="I80" s="56"/>
    </row>
    <row r="81" spans="2:9" ht="15.95">
      <c r="B81" s="56" t="s">
        <v>42</v>
      </c>
      <c r="C81" s="66"/>
      <c r="D81" s="56"/>
      <c r="E81" s="58"/>
      <c r="F81" s="56"/>
      <c r="G81" s="56"/>
      <c r="H81" s="56"/>
      <c r="I81" s="56"/>
    </row>
    <row r="82" spans="2:9" ht="15.95">
      <c r="B82" s="56" t="s">
        <v>42</v>
      </c>
      <c r="C82" s="65"/>
      <c r="D82" s="56"/>
      <c r="E82" s="58"/>
      <c r="F82" s="56"/>
      <c r="G82" s="56"/>
    </row>
    <row r="83" spans="2:9" ht="15.95">
      <c r="B83" s="56" t="s">
        <v>42</v>
      </c>
      <c r="C83" s="65"/>
      <c r="D83" s="56"/>
      <c r="E83" s="58"/>
      <c r="F83" s="56"/>
      <c r="G83" s="56"/>
    </row>
    <row r="84" spans="2:9" ht="15.95">
      <c r="B84" s="56" t="s">
        <v>42</v>
      </c>
      <c r="C84" s="67"/>
      <c r="D84" s="56"/>
      <c r="E84" s="58"/>
      <c r="F84" s="56"/>
      <c r="G84" s="56"/>
    </row>
    <row r="85" spans="2:9" ht="15.95">
      <c r="B85" s="56" t="s">
        <v>42</v>
      </c>
      <c r="C85" s="65"/>
      <c r="D85" s="56"/>
      <c r="E85" s="68"/>
      <c r="F85" s="56"/>
      <c r="G85" s="56"/>
    </row>
    <row r="86" spans="2:9" ht="15.95">
      <c r="B86" s="56" t="s">
        <v>42</v>
      </c>
      <c r="C86" s="69"/>
      <c r="D86" s="56"/>
      <c r="E86" s="58"/>
      <c r="F86" s="56"/>
      <c r="G86" s="56"/>
    </row>
    <row r="87" spans="2:9" ht="15.95">
      <c r="B87" s="56" t="s">
        <v>42</v>
      </c>
      <c r="C87" s="65"/>
      <c r="D87" s="56"/>
      <c r="E87" s="58"/>
      <c r="F87" s="56"/>
      <c r="G87" s="56"/>
    </row>
    <row r="88" spans="2:9" ht="15.95">
      <c r="B88" s="56"/>
      <c r="C88" s="65"/>
      <c r="D88" s="56"/>
      <c r="E88" s="58"/>
      <c r="F88" s="56"/>
      <c r="G88" s="56"/>
    </row>
    <row r="89" spans="2:9" ht="15.95">
      <c r="B89" s="56"/>
      <c r="C89" s="65"/>
      <c r="D89" s="56"/>
      <c r="E89" s="58"/>
      <c r="F89" s="56"/>
      <c r="G89" s="56"/>
    </row>
    <row r="90" spans="2:9" ht="15.95">
      <c r="B90" s="56"/>
      <c r="C90" s="65"/>
      <c r="D90" s="56"/>
      <c r="E90" s="58"/>
      <c r="F90" s="56"/>
      <c r="G90" s="56"/>
    </row>
    <row r="91" spans="2:9" ht="15.95">
      <c r="B91" s="56"/>
      <c r="C91" s="59"/>
      <c r="D91" s="70"/>
      <c r="E91" s="71"/>
      <c r="F91" s="70"/>
      <c r="G91" s="70"/>
    </row>
    <row r="92" spans="2:9" ht="15.95">
      <c r="B92" s="56"/>
      <c r="C92" s="61"/>
      <c r="D92" s="56"/>
      <c r="E92" s="72"/>
      <c r="F92" s="56"/>
      <c r="G92" s="56"/>
    </row>
    <row r="93" spans="2:9" s="56" customFormat="1" ht="15.95">
      <c r="B93" s="59"/>
      <c r="C93" s="61"/>
      <c r="E93" s="72"/>
      <c r="H93" s="12"/>
      <c r="I93" s="12"/>
    </row>
    <row r="94" spans="2:9" ht="15.95">
      <c r="B94" s="56" t="s">
        <v>43</v>
      </c>
      <c r="C94" s="61"/>
      <c r="D94" s="56"/>
      <c r="E94" s="72"/>
      <c r="F94" s="56"/>
      <c r="G94" s="56"/>
    </row>
    <row r="95" spans="2:9" ht="15.95">
      <c r="B95" s="56" t="s">
        <v>43</v>
      </c>
      <c r="C95" s="61"/>
      <c r="D95" s="56"/>
      <c r="E95" s="72"/>
      <c r="F95" s="56"/>
      <c r="G95" s="56"/>
    </row>
    <row r="96" spans="2:9" ht="15.95">
      <c r="B96" s="56" t="s">
        <v>43</v>
      </c>
      <c r="C96" s="59"/>
      <c r="D96" s="70"/>
      <c r="E96" s="71"/>
      <c r="F96" s="70"/>
      <c r="G96" s="70"/>
      <c r="H96" s="56"/>
      <c r="I96" s="56"/>
    </row>
    <row r="97" spans="2:7" ht="15.95">
      <c r="B97" s="56" t="s">
        <v>43</v>
      </c>
      <c r="C97" s="61"/>
      <c r="D97" s="56"/>
      <c r="E97" s="58"/>
      <c r="F97" s="56"/>
      <c r="G97" s="56"/>
    </row>
    <row r="98" spans="2:7" ht="15.95">
      <c r="C98" s="61"/>
      <c r="D98" s="56"/>
      <c r="E98" s="58"/>
      <c r="F98" s="56"/>
      <c r="G98" s="56"/>
    </row>
    <row r="99" spans="2:7" ht="15.95">
      <c r="C99" s="61"/>
      <c r="D99" s="56"/>
      <c r="E99" s="58"/>
      <c r="F99" s="56"/>
      <c r="G99" s="56"/>
    </row>
    <row r="100" spans="2:7" ht="15.95">
      <c r="C100" s="58"/>
      <c r="D100" s="56"/>
      <c r="E100" s="58"/>
      <c r="F100" s="56"/>
      <c r="G100" s="56"/>
    </row>
    <row r="101" spans="2:7" ht="15" customHeight="1">
      <c r="C101" s="41"/>
      <c r="D101" s="41"/>
      <c r="E101" s="41"/>
      <c r="F101" s="41"/>
    </row>
    <row r="102" spans="2:7" ht="15" customHeight="1"/>
    <row r="103" spans="2:7" ht="15.95">
      <c r="C103" s="340"/>
      <c r="D103" s="340"/>
      <c r="E103" s="340"/>
      <c r="F103" s="340"/>
      <c r="G103" s="340"/>
    </row>
    <row r="104" spans="2:7" ht="15.95">
      <c r="C104" s="340"/>
      <c r="D104" s="340"/>
      <c r="E104" s="340"/>
      <c r="F104" s="340"/>
      <c r="G104" s="340"/>
    </row>
    <row r="105" spans="2:7" ht="18.75" customHeight="1">
      <c r="C105" s="340"/>
      <c r="D105" s="340"/>
      <c r="E105" s="340"/>
      <c r="F105" s="340"/>
      <c r="G105" s="340"/>
    </row>
    <row r="106" spans="2:7" ht="15.95">
      <c r="C106" s="340"/>
      <c r="D106" s="340"/>
      <c r="E106" s="340"/>
      <c r="F106" s="340"/>
      <c r="G106" s="340"/>
    </row>
    <row r="107" spans="2:7" ht="15.95">
      <c r="C107" s="41"/>
      <c r="D107" s="41"/>
      <c r="E107" s="41"/>
      <c r="F107" s="41"/>
    </row>
    <row r="108" spans="2:7" ht="15.95">
      <c r="C108" s="326"/>
      <c r="D108" s="326"/>
      <c r="E108" s="326"/>
    </row>
    <row r="109" spans="2:7" ht="15.95">
      <c r="C109" s="326"/>
      <c r="D109" s="326"/>
      <c r="E109" s="326"/>
    </row>
    <row r="110" spans="2:7" ht="15.95"/>
    <row r="111" spans="2:7" ht="15.95"/>
    <row r="112" spans="2:7" ht="15.95"/>
    <row r="113" ht="15.95"/>
    <row r="114" ht="15.95"/>
    <row r="115" ht="15.95"/>
    <row r="116" ht="15.95"/>
    <row r="117" ht="15.95"/>
    <row r="118" ht="15.95"/>
    <row r="119" ht="15.95"/>
    <row r="120" ht="15.95"/>
    <row r="121" ht="15.95"/>
    <row r="122" ht="15.95"/>
    <row r="123" ht="15.95"/>
    <row r="124" ht="15.95"/>
    <row r="125" ht="15.95"/>
    <row r="126" ht="15.95"/>
  </sheetData>
  <sheetProtection selectLockedCells="1"/>
  <dataConsolidate/>
  <mergeCells count="16">
    <mergeCell ref="C10:E10"/>
    <mergeCell ref="C11:E11"/>
    <mergeCell ref="C12:F12"/>
    <mergeCell ref="G10:G13"/>
    <mergeCell ref="C109:E109"/>
    <mergeCell ref="C103:G103"/>
    <mergeCell ref="C104:G104"/>
    <mergeCell ref="C105:G105"/>
    <mergeCell ref="C106:G106"/>
    <mergeCell ref="C108:E108"/>
    <mergeCell ref="C75:E75"/>
    <mergeCell ref="C69:G69"/>
    <mergeCell ref="C70:G70"/>
    <mergeCell ref="C71:G71"/>
    <mergeCell ref="C72:G72"/>
    <mergeCell ref="C74:E74"/>
  </mergeCells>
  <dataValidations xWindow="1029" yWindow="583" count="22">
    <dataValidation allowBlank="1" showInputMessage="1" showErrorMessage="1" promptTitle="URL" prompt="Veuillez insérer l'URL directe vers le document de référence" sqref="G37:G40 E40" xr:uid="{E079451B-F0E4-4AD3-9941-BD41CD0AABAD}"/>
    <dataValidation type="whole" operator="greaterThanOrEqual" allowBlank="1" showInputMessage="1" showErrorMessage="1" errorTitle="Nombre" error="Veuillez saisir uniquement des chiffres dans cette cellule. _x000a__x000a_Si des informations supplémentaires sont appropriées, veuillez les inclure dans les colonnes appropriées à droite." sqref="E48:E49" xr:uid="{9A0805BF-02A1-4F4E-A116-0CA1CECF2F4E}">
      <formula1>1</formula1>
    </dataValidation>
    <dataValidation type="list" allowBlank="1" showInputMessage="1" showErrorMessage="1" errorTitle="Saisie erronée" error="Veuillez choisir parmi les suivants:_x000a_Oui_x000a_Non_x000a_En Partie_x000a_Sans objet_x000a_" promptTitle="Choisissez parmi les suivants" prompt="Oui_x000a_Non_x000a_En Partie_x000a_Sans objet" sqref="E54:E57 E35 E32 E28 E43:E46" xr:uid="{CE425872-3722-4945-9BB9-D513A7D33416}">
      <formula1>Simple_options_list</formula1>
    </dataValidation>
    <dataValidation type="decimal" errorStyle="warning"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Taux de change/conversion" prompt="Saisir ici le taux de change  d’1 USD dans la devise indiquée ci-dessus._x000a__x000a_Si des informations supplémentaires sont pertinentes, veuillez les noter dans la section commentaires" sqref="E51" xr:uid="{204367ED-FF72-4CE6-B669-BA931B6B6E1D}">
      <formula1>0</formula1>
      <formula2>9999999999999990000</formula2>
    </dataValidation>
    <dataValidation type="whole" allowBlank="1" showInputMessage="1" showErrorMessage="1" errorTitle="Veuillez ne pas remplir" error="Veuillez ne pas remplir manuellement ces celulles" sqref="E59:E62" xr:uid="{BEBC058E-8F61-4C4D-B11D-46041E0B391F}">
      <formula1>10000</formula1>
      <formula2>50000</formula2>
    </dataValidation>
    <dataValidation type="decimal" allowBlank="1" showInputMessage="1" showErrorMessage="1" errorTitle="Veuillez ne pas modifier" sqref="E8:G8" xr:uid="{7976E308-631D-47E9-AC6A-05B221BD22C0}">
      <formula1>10000</formula1>
      <formula2>50000</formula2>
    </dataValidation>
    <dataValidation type="decimal" allowBlank="1" showInputMessage="1" showErrorMessage="1" errorTitle="Veuillez ne pas modifier" error="Veuillez ne pas modifier ces cellules" sqref="C8:D8 C73:E74 F73:G75" xr:uid="{D64B9237-40BB-4A17-AE35-69869BD025B3}">
      <formula1>10000</formula1>
      <formula2>50000</formula2>
    </dataValidation>
    <dataValidation allowBlank="1" showInputMessage="1" showErrorMessage="1" promptTitle="Saisissez la date" prompt="Saisissez la date sous un format spécifique: AAAA-MM-JJ" sqref="E30 E33 E36" xr:uid="{2638DAC4-0C69-40FC-8E12-1AEDE5F75F1D}"/>
    <dataValidation type="textLength" allowBlank="1" showInputMessage="1" showErrorMessage="1" errorTitle="Veuillez ne pas modifier" error="Veuillez ne pas modifier ces cellules" sqref="C66:C67 F15 D18:G19 D15" xr:uid="{AD85E4FE-6EDB-40B6-992E-49A3C54868FD}">
      <formula1>10000</formula1>
      <formula2>50000</formula2>
    </dataValidation>
    <dataValidation type="whole" allowBlank="1" showInputMessage="1" showErrorMessage="1" errorTitle="Veuillez ne pas modifier" error="Veuillez ne pas modifier ces cellules" sqref="G27 G15 E15 C53:C65 C50:C51 G59:G62 C47 C15 C17:C37 C39:C45" xr:uid="{D9F471FE-21F1-4AB1-B7D7-A0A504272613}">
      <formula1>10000</formula1>
      <formula2>50000</formula2>
    </dataValidation>
    <dataValidation type="date" allowBlank="1" showInputMessage="1" showErrorMessage="1" errorTitle="Format incorrect" error="Veuillez révisez les informations selon le format spécifié: AAAA-MM-JJ" promptTitle="Saisissez la date" prompt="Saisissez la date sous un format spécifique: AAAA-MM-JJ" sqref="E25:E26" xr:uid="{C5FB7E6D-5E45-4581-ACA9-75366CD1E2FB}">
      <formula1>36161</formula1>
      <formula2>47848</formula2>
    </dataValidation>
    <dataValidation allowBlank="1" showInputMessage="1" showErrorMessage="1" errorTitle="Invalid entry" error="_x000a_Please choose among the following:_x000a__x000a_Yes_x000a_No_x000a_Partially_x000a_Not applicable" promptTitle="URL" prompt="Veuillez insérer l'URL directe vers le document de référence" sqref="E31" xr:uid="{EB5366FF-C201-4EEC-A204-2EBDC1A5BF09}"/>
    <dataValidation type="list" allowBlank="1" showInputMessage="1" showErrorMessage="1" promptTitle="Type de déclaration" prompt="Veuillez indiquer le type de déclaration, parmi:_x000a__x000a_Divulgation systématique_x000a_Déclaration ITIE_x000a_Non disponible_x000a_Sans objet" sqref="E39" xr:uid="{2A8D8647-49D4-4C5B-BDD9-282385638C13}">
      <formula1>Reporting_options_list</formula1>
    </dataValidation>
    <dataValidation allowBlank="1" showInputMessage="1" showErrorMessage="1" promptTitle="Additional relevant files" prompt="If several files relevant to the report exist, please indicate as such here. If several, please copy this into several rows." sqref="E38" xr:uid="{098DF1B4-53AD-44A6-97D1-85C998D2E5A7}"/>
    <dataValidation type="date" allowBlank="1" showInputMessage="1" showErrorMessage="1" errorTitle="Incorrect format" error="Please revise information according to specified format" promptTitle="EITI Report URL" prompt="Please insert direct URL to EITI Report (or report folder) on National EITI website." sqref="E31" xr:uid="{97F0D63D-31CA-42D0-87E3-C03911A23C9E}">
      <formula1>36161</formula1>
      <formula2>47848</formula2>
    </dataValidation>
    <dataValidation allowBlank="1" showInputMessage="1" showErrorMessage="1" promptTitle="Fichiers de données (CSV, Excel…" prompt="Veuillez insérer l'URL directe dans les fichiers de données accompagnant le rapport sur le site Internet national de l'ITIE. Les fichiers de données f" sqref="E34 E37" xr:uid="{46126CEB-AFCD-41D4-80C8-E999E679D3CE}"/>
    <dataValidation allowBlank="1" showInputMessage="1" showErrorMessage="1" promptTitle="Nom de l'entité" prompt="Veuillez insérer le nom de l'organisation, compagnie, ou agence gouvernementale" sqref="E29" xr:uid="{72F72F30-6E4D-4AB3-82D7-0F699FD184E2}"/>
    <dataValidation allowBlank="1" showInputMessage="1" showErrorMessage="1" promptTitle="URL du rapport ITIE" prompt="Veuillez insérer l'URL directe vers le Rapport ITIE (ou le dossier de rapport) sur le site Internet national de l'ITIE." sqref="E31" xr:uid="{C610838F-B63C-43DF-B40A-3ABE36EBE237}"/>
    <dataValidation type="whole" allowBlank="1" showInputMessage="1" showErrorMessage="1" errorTitle="Veuillez ne pas modifier" error="Veuillez ne pas modifier ces cellules" sqref="C69:G72" xr:uid="{EF7F0EE1-6880-4244-A51B-FE07CEDFFB27}">
      <formula1>444</formula1>
      <formula2>445</formula2>
    </dataValidation>
    <dataValidation allowBlank="1" showInputMessage="1" showErrorMessage="1" errorTitle="Veuillez ne pas modifier" error="Veuillez ne pas modifier ces cellules" sqref="C52 C48:C49 C75:E75" xr:uid="{38E40CE9-FEFE-4F50-A54C-6DD0C626715E}"/>
    <dataValidation type="whole" allowBlank="1" showInputMessage="1" showErrorMessage="1" errorTitle="Veuillez ne pas modifier" error="Veuillez ne pas modifier ces cellules" sqref="C46" xr:uid="{31FC86A6-12C9-412D-92CF-30E961EB243C}">
      <formula1>4</formula1>
      <formula2>5</formula2>
    </dataValidation>
    <dataValidation allowBlank="1" showInputMessage="1" showErrorMessage="1" promptTitle="Autre secteur" prompt="Veuillez indiquer le nom du secteur supplémentaire." sqref="E47" xr:uid="{620E60DC-2F0A-40A2-B5BB-96FCF161EE92}"/>
  </dataValidations>
  <hyperlinks>
    <hyperlink ref="C13" r:id="rId1" display="Si vous avez des questions, veuillez contacter  data@eiti.org" xr:uid="{00000000-0004-0000-0100-000012000000}"/>
    <hyperlink ref="C72:G72" r:id="rId2" display="Give us your feedback or report a conflict in the data! Write to us at  data@eiti.org" xr:uid="{2B1627D8-621C-4FBE-A497-9AFE969943B5}"/>
    <hyperlink ref="G72" r:id="rId3" display="Give us your feedback or report a conflict in the data! Write to us at  data@eiti.org" xr:uid="{6C5FFEFE-FC9C-4AD7-BE65-B9958593063A}"/>
    <hyperlink ref="E72:F72" r:id="rId4" display="Give us your feedback or report a conflict in the data! Write to us at  data@eiti.org" xr:uid="{DBEA8569-8C48-4726-9E9D-319FA97863C5}"/>
    <hyperlink ref="F72" r:id="rId5" display="Give us your feedback or report a conflict in the data! Write to us at  data@eiti.org" xr:uid="{C68DE811-3A82-40E8-AC61-102006E6BA24}"/>
    <hyperlink ref="C69:G69" r:id="rId6" display="Pour plus d’information sur l’ITIE, visitez notre site Internet  https://eiti.org" xr:uid="{128818C6-AB59-4A22-B089-A45A75B06974}"/>
    <hyperlink ref="C70:G70" r:id="rId7" display="Vous voulez en savoir plus sur votre pays ? Vérifiez si votre pays met en œuvre la Norme ITIE en visitant https://eiti.org/countries" xr:uid="{C216B62F-D79D-487C-8AFE-79B07BB1494C}"/>
    <hyperlink ref="C71:G71" r:id="rId8" display="Pour la version la plus récente des modèles de données résumées, consultez https://eiti.org/fr/document/modele-donnees-resumees-itie" xr:uid="{E59D7407-02BD-47A3-AA82-3DC5546201E2}"/>
    <hyperlink ref="C50" r:id="rId9" xr:uid="{00000000-0004-0000-0100-00000C000000}"/>
    <hyperlink ref="C53" r:id="rId10" location="r4-7" xr:uid="{00000000-0004-0000-0100-000011000000}"/>
    <hyperlink ref="C38" r:id="rId11" location="r7-2" xr:uid="{00000000-0004-0000-0100-000013000000}"/>
    <hyperlink ref="E31" r:id="rId12" xr:uid="{20585136-2ED4-4E7E-93DA-F62DDA47EFE1}"/>
    <hyperlink ref="E37" r:id="rId13" xr:uid="{11AA6914-75A2-4164-A80C-C6BC621A48FF}"/>
    <hyperlink ref="E40" r:id="rId14" xr:uid="{3C744258-F107-48DB-96B6-66365107022B}"/>
    <hyperlink ref="E66" r:id="rId15" xr:uid="{8701B007-1BD6-437A-B4D6-66F55F844850}"/>
  </hyperlinks>
  <pageMargins left="0.25" right="0.25" top="0.75" bottom="0.75" header="0.3" footer="0.3"/>
  <pageSetup paperSize="8" fitToHeight="0" orientation="landscape" horizontalDpi="2400" verticalDpi="2400" r:id="rId16"/>
  <drawing r:id="rId17"/>
  <extLst>
    <ext xmlns:x14="http://schemas.microsoft.com/office/spreadsheetml/2009/9/main" uri="{CCE6A557-97BC-4b89-ADB6-D9C93CAAB3DF}">
      <x14:dataValidations xmlns:xm="http://schemas.microsoft.com/office/excel/2006/main" xWindow="1029" yWindow="583" count="3">
        <x14:dataValidation type="list" allowBlank="1" showInputMessage="1" showErrorMessage="1" errorTitle="Code ISO incorrect" error="Veuillez indiquer le code-devise de la monnaie" promptTitle="code-devise de la monnaie" prompt="Saisissez les 3 lettres du code-devise de l’ISO 4217: Si vous hésitez, allez sur le site https://fr.wikipedia.org/wiki/ISO_4217" xr:uid="{12117F88-8650-4682-8675-6A4D8F8764E8}">
          <x14:formula1>
            <xm:f>Listes!$I$11:$I$168</xm:f>
          </x14:formula1>
          <xm:sqref>E50</xm:sqref>
        </x14:dataValidation>
        <x14:dataValidation type="list" allowBlank="1" showInputMessage="1" showErrorMessage="1" errorTitle="Veuillez ne pas modifier" error="Veuillez ne pas modifier ces cellules" xr:uid="{8994437C-F09C-4EA1-BEE4-0C82545E61A6}">
          <x14:formula1>
            <xm:f>'C:\Users\kr65\Downloads\SD\2.0\[Summary Data 2.0 data validation french translation.xlsm]Lists'!#REF!</xm:f>
          </x14:formula1>
          <xm:sqref>E21:E23</xm:sqref>
        </x14:dataValidation>
        <x14:dataValidation type="list" allowBlank="1" showInputMessage="1" showErrorMessage="1" promptTitle="Veuillez choisir parmi le pays" prompt="Veuillez choisir le pays parmi le menu déroulant" xr:uid="{3CD7C332-1644-486C-986B-807741657D5B}">
          <x14:formula1>
            <xm:f>Listes!$A$3:$A$246</xm:f>
          </x14:formula1>
          <xm:sqref>E20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264"/>
  <sheetViews>
    <sheetView showGridLines="0" topLeftCell="A202" zoomScale="85" zoomScaleNormal="85" workbookViewId="0">
      <selection activeCell="D216" sqref="D216"/>
    </sheetView>
  </sheetViews>
  <sheetFormatPr defaultColWidth="4" defaultRowHeight="24" customHeight="1"/>
  <cols>
    <col min="1" max="1" width="4" style="12"/>
    <col min="2" max="2" width="56.5703125" style="12" customWidth="1"/>
    <col min="3" max="3" width="4" style="12"/>
    <col min="4" max="4" width="57.42578125" style="12" customWidth="1"/>
    <col min="5" max="5" width="4" style="12"/>
    <col min="6" max="6" width="53.42578125" style="12" customWidth="1"/>
    <col min="7" max="7" width="4" style="12"/>
    <col min="8" max="8" width="53.85546875" style="12" customWidth="1"/>
    <col min="9" max="15" width="4" style="12"/>
    <col min="16" max="16" width="42" style="12" bestFit="1" customWidth="1"/>
    <col min="17" max="16384" width="4" style="12"/>
  </cols>
  <sheetData>
    <row r="1" spans="2:8" ht="15.75" hidden="1" customHeight="1"/>
    <row r="2" spans="2:8" ht="15.95" hidden="1"/>
    <row r="3" spans="2:8" ht="15.95" hidden="1">
      <c r="H3" s="13" t="s">
        <v>44</v>
      </c>
    </row>
    <row r="4" spans="2:8" ht="15.95" hidden="1">
      <c r="H4" s="13">
        <f>Introduction!G4</f>
        <v>44564</v>
      </c>
    </row>
    <row r="5" spans="2:8" ht="15.95" hidden="1"/>
    <row r="6" spans="2:8" ht="15.95" hidden="1"/>
    <row r="7" spans="2:8" ht="15.95"/>
    <row r="8" spans="2:8" ht="15.95">
      <c r="B8" s="144" t="s">
        <v>116</v>
      </c>
      <c r="C8" s="74"/>
      <c r="D8" s="74"/>
      <c r="E8" s="74"/>
      <c r="F8" s="74"/>
      <c r="G8" s="74"/>
      <c r="H8" s="74"/>
    </row>
    <row r="9" spans="2:8" ht="20.100000000000001">
      <c r="B9" s="73" t="s">
        <v>46</v>
      </c>
      <c r="C9" s="74"/>
      <c r="D9" s="74"/>
      <c r="E9" s="74"/>
      <c r="F9" s="73"/>
      <c r="G9" s="74"/>
      <c r="H9" s="74"/>
    </row>
    <row r="10" spans="2:8" ht="17.100000000000001" customHeight="1">
      <c r="B10" s="339" t="s">
        <v>117</v>
      </c>
      <c r="C10" s="339"/>
      <c r="D10" s="339"/>
      <c r="E10" s="339"/>
      <c r="F10" s="339"/>
      <c r="G10" s="339"/>
      <c r="H10" s="339"/>
    </row>
    <row r="11" spans="2:8" ht="51.95" customHeight="1">
      <c r="B11" s="338" t="s">
        <v>118</v>
      </c>
      <c r="C11" s="338"/>
      <c r="D11" s="338"/>
      <c r="E11" s="338"/>
      <c r="F11" s="339"/>
      <c r="G11" s="339"/>
      <c r="H11" s="339"/>
    </row>
    <row r="12" spans="2:8" ht="36.6" customHeight="1">
      <c r="B12" s="338" t="s">
        <v>119</v>
      </c>
      <c r="C12" s="338"/>
      <c r="D12" s="338"/>
      <c r="E12" s="338"/>
      <c r="F12" s="339"/>
      <c r="G12" s="339"/>
      <c r="H12" s="339"/>
    </row>
    <row r="13" spans="2:8" ht="39" customHeight="1">
      <c r="B13" s="338" t="s">
        <v>120</v>
      </c>
      <c r="C13" s="338"/>
      <c r="D13" s="338"/>
      <c r="E13" s="338"/>
      <c r="F13" s="339"/>
      <c r="G13" s="339"/>
      <c r="H13" s="339"/>
    </row>
    <row r="14" spans="2:8" ht="17.100000000000001" customHeight="1">
      <c r="B14" s="338" t="s">
        <v>121</v>
      </c>
      <c r="C14" s="338"/>
      <c r="D14" s="338"/>
      <c r="E14" s="338"/>
      <c r="F14" s="339"/>
      <c r="G14" s="339"/>
      <c r="H14" s="339"/>
    </row>
    <row r="15" spans="2:8" ht="15" customHeight="1">
      <c r="B15" s="343" t="s">
        <v>122</v>
      </c>
      <c r="C15" s="344"/>
      <c r="D15" s="344"/>
      <c r="E15" s="344"/>
      <c r="F15" s="344"/>
      <c r="G15" s="344"/>
      <c r="H15" s="344"/>
    </row>
    <row r="16" spans="2:8" ht="15" customHeight="1">
      <c r="E16" s="77"/>
      <c r="F16" s="77"/>
      <c r="G16" s="77"/>
      <c r="H16" s="77"/>
    </row>
    <row r="17" spans="2:8" ht="39" customHeight="1">
      <c r="B17" s="240" t="s">
        <v>19</v>
      </c>
      <c r="D17" s="145" t="s">
        <v>123</v>
      </c>
      <c r="F17" s="146" t="s">
        <v>124</v>
      </c>
      <c r="G17" s="56"/>
      <c r="H17" s="56"/>
    </row>
    <row r="18" spans="2:8" ht="15.95"/>
    <row r="19" spans="2:8" ht="22.5">
      <c r="B19" s="147" t="s">
        <v>125</v>
      </c>
      <c r="D19" s="148"/>
      <c r="F19" s="148"/>
    </row>
    <row r="20" spans="2:8" ht="15.95">
      <c r="B20" s="58" t="s">
        <v>126</v>
      </c>
      <c r="D20" s="58"/>
      <c r="F20" s="58"/>
    </row>
    <row r="21" spans="2:8" ht="15.95">
      <c r="B21" s="60"/>
      <c r="D21" s="149"/>
      <c r="F21" s="149"/>
    </row>
    <row r="22" spans="2:8" ht="18.95" customHeight="1">
      <c r="B22" s="150" t="s">
        <v>127</v>
      </c>
      <c r="C22" s="151"/>
      <c r="D22" s="150" t="s">
        <v>128</v>
      </c>
      <c r="E22" s="151"/>
      <c r="F22" s="150" t="s">
        <v>129</v>
      </c>
      <c r="G22" s="151"/>
      <c r="H22" s="152" t="s">
        <v>130</v>
      </c>
    </row>
    <row r="23" spans="2:8" ht="18.95" customHeight="1">
      <c r="B23" s="153" t="s">
        <v>131</v>
      </c>
      <c r="C23" s="111"/>
      <c r="D23" s="154"/>
      <c r="E23" s="111"/>
      <c r="F23" s="154"/>
      <c r="G23" s="111"/>
      <c r="H23" s="155"/>
    </row>
    <row r="24" spans="2:8" ht="15.95">
      <c r="B24" s="156" t="s">
        <v>132</v>
      </c>
      <c r="C24" s="111"/>
      <c r="D24" s="157"/>
      <c r="E24" s="111"/>
      <c r="F24" s="157"/>
      <c r="G24" s="111"/>
      <c r="H24" s="158"/>
    </row>
    <row r="25" spans="2:8" ht="15.95">
      <c r="B25" s="159" t="s">
        <v>133</v>
      </c>
      <c r="C25" s="111"/>
      <c r="D25" s="249" t="s">
        <v>81</v>
      </c>
      <c r="E25" s="111"/>
      <c r="F25" s="249" t="s">
        <v>134</v>
      </c>
      <c r="G25" s="111"/>
      <c r="H25" s="158"/>
    </row>
    <row r="26" spans="2:8" ht="15.95">
      <c r="B26" s="159" t="s">
        <v>135</v>
      </c>
      <c r="C26" s="111"/>
      <c r="D26" s="249" t="s">
        <v>81</v>
      </c>
      <c r="E26" s="111"/>
      <c r="F26" s="249" t="s">
        <v>136</v>
      </c>
      <c r="G26" s="111"/>
      <c r="H26" s="158"/>
    </row>
    <row r="27" spans="2:8" ht="15.95">
      <c r="B27" s="159" t="s">
        <v>137</v>
      </c>
      <c r="C27" s="111"/>
      <c r="D27" s="249" t="s">
        <v>81</v>
      </c>
      <c r="E27" s="111"/>
      <c r="F27" s="249" t="s">
        <v>138</v>
      </c>
      <c r="G27" s="111"/>
      <c r="H27" s="158"/>
    </row>
    <row r="28" spans="2:8" ht="15.95">
      <c r="B28" s="160" t="s">
        <v>139</v>
      </c>
      <c r="C28" s="111"/>
      <c r="D28" s="249" t="s">
        <v>81</v>
      </c>
      <c r="E28" s="111"/>
      <c r="F28" s="249" t="s">
        <v>140</v>
      </c>
      <c r="G28" s="111"/>
      <c r="H28" s="161"/>
    </row>
    <row r="29" spans="2:8" ht="15" customHeight="1">
      <c r="B29" s="162"/>
      <c r="C29" s="111"/>
      <c r="D29" s="163"/>
      <c r="E29" s="111"/>
      <c r="F29" s="163"/>
      <c r="G29" s="111"/>
      <c r="H29" s="111"/>
    </row>
    <row r="30" spans="2:8" ht="15.95">
      <c r="B30" s="153" t="s">
        <v>141</v>
      </c>
      <c r="C30" s="111"/>
      <c r="D30" s="154"/>
      <c r="E30" s="111"/>
      <c r="F30" s="154"/>
      <c r="G30" s="111"/>
      <c r="H30" s="155"/>
    </row>
    <row r="31" spans="2:8" ht="15.95">
      <c r="B31" s="156" t="s">
        <v>132</v>
      </c>
      <c r="C31" s="111"/>
      <c r="D31" s="157"/>
      <c r="E31" s="111"/>
      <c r="F31" s="157"/>
      <c r="G31" s="111"/>
      <c r="H31" s="158"/>
    </row>
    <row r="32" spans="2:8" ht="27.95">
      <c r="B32" s="159" t="s">
        <v>142</v>
      </c>
      <c r="C32" s="111"/>
      <c r="D32" s="249" t="s">
        <v>81</v>
      </c>
      <c r="E32" s="111"/>
      <c r="F32" s="284" t="s">
        <v>143</v>
      </c>
      <c r="G32" s="111"/>
      <c r="H32" s="158"/>
    </row>
    <row r="33" spans="1:8" ht="42">
      <c r="A33" s="164"/>
      <c r="B33" s="165" t="s">
        <v>144</v>
      </c>
      <c r="C33" s="166"/>
      <c r="D33" s="249" t="s">
        <v>81</v>
      </c>
      <c r="E33" s="111"/>
      <c r="F33" s="284" t="s">
        <v>145</v>
      </c>
      <c r="G33" s="111"/>
      <c r="H33" s="158"/>
    </row>
    <row r="34" spans="1:8" ht="27.95">
      <c r="B34" s="159" t="s">
        <v>146</v>
      </c>
      <c r="C34" s="111"/>
      <c r="D34" s="249" t="s">
        <v>81</v>
      </c>
      <c r="E34" s="111"/>
      <c r="F34" s="284" t="s">
        <v>147</v>
      </c>
      <c r="G34" s="111"/>
      <c r="H34" s="158"/>
    </row>
    <row r="35" spans="1:8" ht="42">
      <c r="B35" s="167" t="s">
        <v>144</v>
      </c>
      <c r="C35" s="166"/>
      <c r="D35" s="249" t="s">
        <v>81</v>
      </c>
      <c r="E35" s="111"/>
      <c r="F35" s="284" t="s">
        <v>148</v>
      </c>
      <c r="G35" s="111"/>
      <c r="H35" s="158"/>
    </row>
    <row r="36" spans="1:8" ht="27.95">
      <c r="B36" s="159" t="s">
        <v>149</v>
      </c>
      <c r="C36" s="111"/>
      <c r="D36" s="249" t="s">
        <v>81</v>
      </c>
      <c r="E36" s="111"/>
      <c r="F36" s="284" t="s">
        <v>150</v>
      </c>
      <c r="G36" s="111"/>
      <c r="H36" s="158"/>
    </row>
    <row r="37" spans="1:8" ht="27.95">
      <c r="B37" s="168" t="s">
        <v>151</v>
      </c>
      <c r="C37" s="166"/>
      <c r="D37" s="249">
        <f>83+2+2</f>
        <v>87</v>
      </c>
      <c r="E37" s="111"/>
      <c r="F37" s="249" t="s">
        <v>152</v>
      </c>
      <c r="G37" s="111"/>
      <c r="H37" s="285" t="s">
        <v>153</v>
      </c>
    </row>
    <row r="38" spans="1:8" ht="15.95">
      <c r="B38" s="169"/>
      <c r="C38" s="111"/>
      <c r="D38" s="163"/>
      <c r="E38" s="111"/>
      <c r="F38" s="163"/>
      <c r="G38" s="111"/>
      <c r="H38" s="170"/>
    </row>
    <row r="39" spans="1:8" ht="15.95">
      <c r="B39" s="153" t="s">
        <v>154</v>
      </c>
      <c r="C39" s="111"/>
      <c r="D39" s="171"/>
      <c r="E39" s="111"/>
      <c r="F39" s="171"/>
      <c r="G39" s="111"/>
      <c r="H39" s="155"/>
    </row>
    <row r="40" spans="1:8" ht="15.95">
      <c r="B40" s="156" t="s">
        <v>155</v>
      </c>
      <c r="C40" s="111"/>
      <c r="D40" s="249" t="s">
        <v>156</v>
      </c>
      <c r="E40" s="111"/>
      <c r="F40" s="286" t="s">
        <v>157</v>
      </c>
      <c r="G40" s="111"/>
      <c r="H40" s="158"/>
    </row>
    <row r="41" spans="1:8" ht="15.95">
      <c r="B41" s="156" t="s">
        <v>158</v>
      </c>
      <c r="C41" s="111"/>
      <c r="D41" s="249" t="s">
        <v>156</v>
      </c>
      <c r="E41" s="111"/>
      <c r="F41" s="286" t="s">
        <v>159</v>
      </c>
      <c r="G41" s="111"/>
      <c r="H41" s="158"/>
    </row>
    <row r="42" spans="1:8" ht="27.95">
      <c r="B42" s="172" t="s">
        <v>160</v>
      </c>
      <c r="C42" s="111"/>
      <c r="D42" s="249" t="s">
        <v>107</v>
      </c>
      <c r="E42" s="111"/>
      <c r="F42" s="249" t="str">
        <f>IF(D42=Listes!$K$4,"&lt; Indiquez l'URL de la source &gt;",IF(D42=Listes!$K$5,"&lt; Référence de la section dans le Rapport ITIE ou URL&gt;",IF(D42=Listes!$K$6,"&lt; Référence de la non-applicabilité &gt;","")))</f>
        <v>&lt; Référence de la non-applicabilité &gt;</v>
      </c>
      <c r="G42" s="111"/>
      <c r="H42" s="161"/>
    </row>
    <row r="43" spans="1:8" ht="15.95">
      <c r="B43" s="162"/>
      <c r="C43" s="111"/>
      <c r="D43" s="163"/>
      <c r="E43" s="111"/>
      <c r="F43" s="163"/>
      <c r="G43" s="111"/>
      <c r="H43" s="111"/>
    </row>
    <row r="44" spans="1:8" ht="15.95">
      <c r="B44" s="153" t="s">
        <v>161</v>
      </c>
      <c r="C44" s="111"/>
      <c r="D44" s="171"/>
      <c r="E44" s="111"/>
      <c r="F44" s="171"/>
      <c r="G44" s="111"/>
      <c r="H44" s="155"/>
    </row>
    <row r="45" spans="1:8" ht="15.95">
      <c r="B45" s="156" t="s">
        <v>162</v>
      </c>
      <c r="C45" s="111"/>
      <c r="D45" s="249" t="s">
        <v>81</v>
      </c>
      <c r="E45" s="111"/>
      <c r="F45" s="284" t="s">
        <v>163</v>
      </c>
      <c r="G45" s="111"/>
      <c r="H45" s="158"/>
    </row>
    <row r="46" spans="1:8" ht="56.1">
      <c r="B46" s="159" t="s">
        <v>164</v>
      </c>
      <c r="C46" s="111"/>
      <c r="D46" s="249" t="s">
        <v>156</v>
      </c>
      <c r="E46" s="111"/>
      <c r="F46" s="286" t="s">
        <v>165</v>
      </c>
      <c r="G46" s="111"/>
      <c r="H46" s="158"/>
    </row>
    <row r="47" spans="1:8" ht="15.95">
      <c r="B47" s="156" t="s">
        <v>166</v>
      </c>
      <c r="C47" s="111"/>
      <c r="D47" s="249" t="s">
        <v>156</v>
      </c>
      <c r="E47" s="111"/>
      <c r="F47" s="286" t="s">
        <v>167</v>
      </c>
      <c r="G47" s="111"/>
      <c r="H47" s="158"/>
    </row>
    <row r="48" spans="1:8" ht="42">
      <c r="B48" s="156" t="s">
        <v>168</v>
      </c>
      <c r="C48" s="111"/>
      <c r="D48" s="249" t="s">
        <v>156</v>
      </c>
      <c r="E48" s="111"/>
      <c r="F48" s="286" t="s">
        <v>169</v>
      </c>
      <c r="G48" s="111"/>
      <c r="H48" s="158"/>
    </row>
    <row r="49" spans="2:8" ht="27.95">
      <c r="B49" s="172" t="s">
        <v>170</v>
      </c>
      <c r="C49" s="111"/>
      <c r="D49" s="249" t="s">
        <v>107</v>
      </c>
      <c r="E49" s="111"/>
      <c r="F49" s="249" t="str">
        <f>IF(D49=Listes!$K$4,"&lt; Indiquez l'URL de la source &gt;",IF(D49=Listes!$K$5,"&lt; Référence de la section dans le Rapport ITIE ou URL&gt;",IF(D49=Listes!$K$6,"&lt; Référence de la non-applicabilité &gt;","")))</f>
        <v>&lt; Référence de la non-applicabilité &gt;</v>
      </c>
      <c r="G49" s="111"/>
      <c r="H49" s="161"/>
    </row>
    <row r="50" spans="2:8" ht="15.95">
      <c r="B50" s="162"/>
      <c r="C50" s="111"/>
      <c r="D50" s="163"/>
      <c r="E50" s="111"/>
      <c r="F50" s="163"/>
      <c r="G50" s="111"/>
      <c r="H50" s="111"/>
    </row>
    <row r="51" spans="2:8" ht="15.95">
      <c r="B51" s="153" t="s">
        <v>171</v>
      </c>
      <c r="C51" s="111"/>
      <c r="D51" s="173"/>
      <c r="E51" s="111"/>
      <c r="F51" s="173"/>
      <c r="G51" s="111"/>
      <c r="H51" s="155"/>
    </row>
    <row r="52" spans="2:8" ht="15.95">
      <c r="B52" s="156" t="s">
        <v>172</v>
      </c>
      <c r="C52" s="111"/>
      <c r="D52" s="249" t="s">
        <v>81</v>
      </c>
      <c r="E52" s="111"/>
      <c r="F52" s="284" t="s">
        <v>173</v>
      </c>
      <c r="G52" s="111"/>
      <c r="H52" s="158"/>
    </row>
    <row r="53" spans="2:8" ht="15.95">
      <c r="B53" s="159" t="s">
        <v>174</v>
      </c>
      <c r="C53" s="111"/>
      <c r="D53" s="249" t="s">
        <v>81</v>
      </c>
      <c r="E53" s="111"/>
      <c r="F53" s="284" t="s">
        <v>173</v>
      </c>
      <c r="G53" s="111"/>
      <c r="H53" s="158"/>
    </row>
    <row r="54" spans="2:8" ht="15.95">
      <c r="B54" s="174" t="s">
        <v>175</v>
      </c>
      <c r="C54" s="111"/>
      <c r="D54" s="250" t="str">
        <f>IF(OR(D53=Listes!$K$4),"&lt; nom du registre &gt;","")</f>
        <v/>
      </c>
      <c r="E54" s="111"/>
      <c r="F54" s="251" t="str">
        <f>IF(D54="&lt; nom du registre &gt;","&lt; Indiquez l'URL de la source &gt;",IF(D54=Listes!$K$5,"&lt; Référence de la section dans le Rapport ITIE ou URL&gt;",IF(D54=Listes!$K$6,"&lt; Référence de la non-applicabilité &gt;","")))</f>
        <v/>
      </c>
      <c r="G54" s="111"/>
      <c r="H54" s="161"/>
    </row>
    <row r="55" spans="2:8" ht="15.95">
      <c r="B55" s="162"/>
      <c r="C55" s="111"/>
      <c r="D55" s="163"/>
      <c r="E55" s="111"/>
      <c r="F55" s="163"/>
      <c r="G55" s="111"/>
      <c r="H55" s="111"/>
    </row>
    <row r="56" spans="2:8" ht="15.95">
      <c r="B56" s="153" t="s">
        <v>176</v>
      </c>
      <c r="C56" s="111"/>
      <c r="D56" s="173"/>
      <c r="E56" s="111"/>
      <c r="F56" s="173"/>
      <c r="G56" s="111"/>
      <c r="H56" s="155"/>
    </row>
    <row r="57" spans="2:8" ht="27.95">
      <c r="B57" s="175" t="s">
        <v>177</v>
      </c>
      <c r="C57" s="111"/>
      <c r="D57" s="249" t="s">
        <v>81</v>
      </c>
      <c r="E57" s="111"/>
      <c r="F57" s="284" t="s">
        <v>178</v>
      </c>
      <c r="G57" s="111"/>
      <c r="H57" s="158"/>
    </row>
    <row r="58" spans="2:8" ht="42">
      <c r="B58" s="176" t="s">
        <v>179</v>
      </c>
      <c r="C58" s="111"/>
      <c r="D58" s="249" t="s">
        <v>81</v>
      </c>
      <c r="E58" s="111"/>
      <c r="F58" s="287" t="s">
        <v>180</v>
      </c>
      <c r="G58" s="111"/>
      <c r="H58" s="158"/>
    </row>
    <row r="59" spans="2:8" ht="27.95">
      <c r="B59" s="177" t="s">
        <v>181</v>
      </c>
      <c r="C59" s="111"/>
      <c r="D59" s="251" t="s">
        <v>81</v>
      </c>
      <c r="E59" s="111"/>
      <c r="F59" s="284" t="s">
        <v>182</v>
      </c>
      <c r="G59" s="111"/>
      <c r="H59" s="161"/>
    </row>
    <row r="60" spans="2:8" ht="15.95">
      <c r="B60" s="162"/>
      <c r="C60" s="111"/>
      <c r="D60" s="163"/>
      <c r="E60" s="111"/>
      <c r="F60" s="163"/>
      <c r="G60" s="111"/>
      <c r="H60" s="111"/>
    </row>
    <row r="61" spans="2:8" ht="15.95">
      <c r="B61" s="153" t="s">
        <v>183</v>
      </c>
      <c r="C61" s="111"/>
      <c r="D61" s="173"/>
      <c r="E61" s="111"/>
      <c r="F61" s="173"/>
      <c r="G61" s="111"/>
      <c r="H61" s="155"/>
    </row>
    <row r="62" spans="2:8" ht="27.95">
      <c r="B62" s="172" t="s">
        <v>184</v>
      </c>
      <c r="C62" s="111"/>
      <c r="D62" s="249" t="s">
        <v>81</v>
      </c>
      <c r="E62" s="111"/>
      <c r="F62" s="284" t="s">
        <v>185</v>
      </c>
      <c r="G62" s="111"/>
      <c r="H62" s="161"/>
    </row>
    <row r="63" spans="2:8" ht="15.95">
      <c r="B63" s="162"/>
      <c r="C63" s="111"/>
      <c r="D63" s="163"/>
      <c r="E63" s="111"/>
      <c r="F63" s="163"/>
      <c r="G63" s="111"/>
      <c r="H63" s="111"/>
    </row>
    <row r="64" spans="2:8" ht="15.95">
      <c r="B64" s="153" t="s">
        <v>186</v>
      </c>
      <c r="C64" s="111"/>
      <c r="D64" s="173"/>
      <c r="E64" s="111"/>
      <c r="F64" s="173"/>
      <c r="G64" s="111"/>
      <c r="H64" s="155"/>
    </row>
    <row r="65" spans="2:8" ht="15.95">
      <c r="B65" s="275" t="s">
        <v>187</v>
      </c>
      <c r="C65" s="111"/>
      <c r="D65" s="274"/>
      <c r="E65" s="111"/>
      <c r="F65" s="274"/>
      <c r="G65" s="111"/>
      <c r="H65" s="158"/>
    </row>
    <row r="66" spans="2:8" ht="15.95">
      <c r="B66" s="175" t="s">
        <v>188</v>
      </c>
      <c r="C66" s="111"/>
      <c r="D66" s="249" t="s">
        <v>81</v>
      </c>
      <c r="E66" s="111"/>
      <c r="F66" s="284" t="s">
        <v>189</v>
      </c>
      <c r="G66" s="111"/>
      <c r="H66" s="158"/>
    </row>
    <row r="67" spans="2:8" ht="15.95">
      <c r="B67" s="175" t="s">
        <v>190</v>
      </c>
      <c r="C67" s="111"/>
      <c r="D67" s="249" t="s">
        <v>81</v>
      </c>
      <c r="E67" s="111"/>
      <c r="F67" s="284" t="s">
        <v>189</v>
      </c>
      <c r="G67" s="111"/>
      <c r="H67" s="158"/>
    </row>
    <row r="68" spans="2:8" ht="15.95">
      <c r="B68" s="273" t="s">
        <v>191</v>
      </c>
      <c r="C68" s="111"/>
      <c r="D68" s="288">
        <v>12.84</v>
      </c>
      <c r="E68" s="111"/>
      <c r="F68" s="249" t="s">
        <v>192</v>
      </c>
      <c r="G68" s="111"/>
      <c r="H68" s="158"/>
    </row>
    <row r="69" spans="2:8" ht="15.95">
      <c r="B69" s="176" t="s">
        <v>193</v>
      </c>
      <c r="C69" s="111"/>
      <c r="D69" s="288">
        <v>397021261623.07318</v>
      </c>
      <c r="E69" s="111"/>
      <c r="F69" s="249" t="s">
        <v>94</v>
      </c>
      <c r="G69" s="111"/>
      <c r="H69" s="158"/>
    </row>
    <row r="70" spans="2:8" ht="15.95">
      <c r="B70" s="273" t="s">
        <v>194</v>
      </c>
      <c r="C70" s="111"/>
      <c r="D70" s="289">
        <v>14494075.499999998</v>
      </c>
      <c r="E70" s="111"/>
      <c r="F70" s="249" t="s">
        <v>195</v>
      </c>
      <c r="G70" s="111"/>
      <c r="H70" s="158"/>
    </row>
    <row r="71" spans="2:8" ht="15.95">
      <c r="B71" s="176" t="str">
        <f>LEFT(B70,SEARCH(",",B70))&amp;" valeur"</f>
        <v>Gaz naturel (2711), valeur</v>
      </c>
      <c r="C71" s="111"/>
      <c r="D71" s="290">
        <v>2391522608</v>
      </c>
      <c r="E71" s="111"/>
      <c r="F71" s="249" t="s">
        <v>94</v>
      </c>
      <c r="G71" s="111"/>
      <c r="H71" s="158"/>
    </row>
    <row r="72" spans="2:8" ht="15.95">
      <c r="B72" s="273" t="s">
        <v>196</v>
      </c>
      <c r="C72" s="111"/>
      <c r="D72" s="288">
        <v>2138434.233</v>
      </c>
      <c r="E72" s="111"/>
      <c r="F72" s="249" t="s">
        <v>192</v>
      </c>
      <c r="G72" s="111"/>
      <c r="H72" s="158"/>
    </row>
    <row r="73" spans="2:8" ht="15.95">
      <c r="B73" s="176" t="s">
        <v>197</v>
      </c>
      <c r="C73" s="111"/>
      <c r="D73" s="290">
        <v>107698312984.6152</v>
      </c>
      <c r="E73" s="111"/>
      <c r="F73" s="249" t="s">
        <v>94</v>
      </c>
      <c r="G73" s="111"/>
      <c r="H73" s="158"/>
    </row>
    <row r="74" spans="2:8" ht="15.95">
      <c r="B74" s="273" t="s">
        <v>198</v>
      </c>
      <c r="C74" s="111"/>
      <c r="D74" s="290">
        <v>574022</v>
      </c>
      <c r="E74" s="111"/>
      <c r="F74" s="249" t="s">
        <v>192</v>
      </c>
      <c r="G74" s="111"/>
      <c r="H74" s="158"/>
    </row>
    <row r="75" spans="2:8" ht="15.95">
      <c r="B75" s="176" t="s">
        <v>199</v>
      </c>
      <c r="C75" s="111"/>
      <c r="D75" s="290">
        <v>1894272600</v>
      </c>
      <c r="E75" s="111"/>
      <c r="F75" s="249" t="s">
        <v>94</v>
      </c>
      <c r="G75" s="111"/>
      <c r="H75" s="158"/>
    </row>
    <row r="76" spans="2:8" ht="15.95">
      <c r="B76" s="273" t="s">
        <v>200</v>
      </c>
      <c r="C76" s="111"/>
      <c r="D76" s="290">
        <v>5369278</v>
      </c>
      <c r="E76" s="111"/>
      <c r="F76" s="249" t="s">
        <v>192</v>
      </c>
      <c r="G76" s="111"/>
      <c r="H76" s="158"/>
    </row>
    <row r="77" spans="2:8" ht="15.95">
      <c r="B77" s="176" t="s">
        <v>201</v>
      </c>
      <c r="C77" s="111"/>
      <c r="D77" s="290">
        <v>11365774460</v>
      </c>
      <c r="E77" s="111"/>
      <c r="F77" s="249" t="s">
        <v>94</v>
      </c>
      <c r="G77" s="111"/>
      <c r="H77" s="158"/>
    </row>
    <row r="78" spans="2:8" ht="15.95">
      <c r="B78" s="273" t="s">
        <v>200</v>
      </c>
      <c r="C78" s="111"/>
      <c r="D78" s="290">
        <v>6741.8559999999998</v>
      </c>
      <c r="E78" s="111"/>
      <c r="F78" s="249" t="s">
        <v>195</v>
      </c>
      <c r="G78" s="111"/>
      <c r="H78" s="158"/>
    </row>
    <row r="79" spans="2:8" ht="15.95">
      <c r="B79" s="176" t="s">
        <v>201</v>
      </c>
      <c r="C79" s="111"/>
      <c r="D79" s="249"/>
      <c r="E79" s="111"/>
      <c r="F79" s="249" t="s">
        <v>94</v>
      </c>
      <c r="G79" s="111"/>
      <c r="H79" s="158" t="s">
        <v>202</v>
      </c>
    </row>
    <row r="80" spans="2:8" ht="15.95">
      <c r="B80" s="273" t="s">
        <v>203</v>
      </c>
      <c r="C80" s="111"/>
      <c r="D80" s="290">
        <v>15310</v>
      </c>
      <c r="E80" s="111"/>
      <c r="F80" s="249" t="s">
        <v>192</v>
      </c>
      <c r="G80" s="111"/>
      <c r="H80" s="158"/>
    </row>
    <row r="81" spans="2:8" ht="15.95">
      <c r="B81" s="176" t="s">
        <v>204</v>
      </c>
      <c r="C81" s="111"/>
      <c r="D81" s="249"/>
      <c r="E81" s="111"/>
      <c r="F81" s="249" t="s">
        <v>94</v>
      </c>
      <c r="G81" s="111"/>
      <c r="H81" s="158" t="s">
        <v>202</v>
      </c>
    </row>
    <row r="82" spans="2:8" ht="15.95">
      <c r="B82" s="273" t="s">
        <v>205</v>
      </c>
      <c r="C82" s="111"/>
      <c r="D82" s="290">
        <v>138896.17600000001</v>
      </c>
      <c r="E82" s="111"/>
      <c r="F82" s="249" t="s">
        <v>195</v>
      </c>
      <c r="G82" s="111"/>
      <c r="H82" s="158" t="s">
        <v>206</v>
      </c>
    </row>
    <row r="83" spans="2:8" ht="15.95">
      <c r="B83" s="176" t="s">
        <v>207</v>
      </c>
      <c r="C83" s="111"/>
      <c r="D83" s="290">
        <v>69448088</v>
      </c>
      <c r="E83" s="111"/>
      <c r="F83" s="249" t="s">
        <v>94</v>
      </c>
      <c r="G83" s="111"/>
      <c r="H83" s="158"/>
    </row>
    <row r="84" spans="2:8" ht="15.95">
      <c r="B84" s="273" t="s">
        <v>205</v>
      </c>
      <c r="C84" s="111"/>
      <c r="D84" s="290">
        <v>61844</v>
      </c>
      <c r="E84" s="111"/>
      <c r="F84" s="249" t="s">
        <v>192</v>
      </c>
      <c r="G84" s="111"/>
      <c r="H84" s="158" t="s">
        <v>206</v>
      </c>
    </row>
    <row r="85" spans="2:8" ht="15.95">
      <c r="B85" s="176" t="s">
        <v>207</v>
      </c>
      <c r="C85" s="111"/>
      <c r="D85" s="249"/>
      <c r="E85" s="111"/>
      <c r="F85" s="249" t="s">
        <v>94</v>
      </c>
      <c r="G85" s="111"/>
      <c r="H85" s="158" t="s">
        <v>202</v>
      </c>
    </row>
    <row r="86" spans="2:8" ht="15.95">
      <c r="B86" s="273" t="s">
        <v>208</v>
      </c>
      <c r="C86" s="111"/>
      <c r="D86" s="290">
        <v>186615.14</v>
      </c>
      <c r="E86" s="111"/>
      <c r="F86" s="249" t="s">
        <v>192</v>
      </c>
      <c r="G86" s="111"/>
      <c r="H86" s="158" t="s">
        <v>209</v>
      </c>
    </row>
    <row r="87" spans="2:8" ht="15.95">
      <c r="B87" s="176" t="s">
        <v>210</v>
      </c>
      <c r="C87" s="111"/>
      <c r="D87" s="290">
        <v>8303211040</v>
      </c>
      <c r="E87" s="111"/>
      <c r="F87" s="249" t="s">
        <v>94</v>
      </c>
      <c r="G87" s="111"/>
      <c r="H87" s="158" t="s">
        <v>209</v>
      </c>
    </row>
    <row r="88" spans="2:8" ht="15.95">
      <c r="B88" s="273" t="s">
        <v>208</v>
      </c>
      <c r="C88" s="111"/>
      <c r="D88" s="290">
        <v>1845762</v>
      </c>
      <c r="E88" s="111"/>
      <c r="F88" s="249" t="s">
        <v>192</v>
      </c>
      <c r="G88" s="111"/>
      <c r="H88" s="158" t="s">
        <v>211</v>
      </c>
    </row>
    <row r="89" spans="2:8" ht="15.95">
      <c r="B89" s="176" t="s">
        <v>210</v>
      </c>
      <c r="C89" s="111"/>
      <c r="D89" s="290">
        <v>4051447590</v>
      </c>
      <c r="E89" s="111"/>
      <c r="F89" s="249" t="s">
        <v>94</v>
      </c>
      <c r="G89" s="111"/>
      <c r="H89" s="158" t="s">
        <v>211</v>
      </c>
    </row>
    <row r="90" spans="2:8" ht="15.95">
      <c r="B90" s="273" t="s">
        <v>208</v>
      </c>
      <c r="C90" s="111"/>
      <c r="D90" s="290">
        <v>3077473.2009999999</v>
      </c>
      <c r="E90" s="111"/>
      <c r="F90" s="249" t="s">
        <v>195</v>
      </c>
      <c r="G90" s="111"/>
      <c r="H90" s="158" t="s">
        <v>212</v>
      </c>
    </row>
    <row r="91" spans="2:8" ht="15.95">
      <c r="B91" s="176" t="s">
        <v>210</v>
      </c>
      <c r="C91" s="111"/>
      <c r="D91" s="290"/>
      <c r="E91" s="111"/>
      <c r="F91" s="249" t="s">
        <v>94</v>
      </c>
      <c r="G91" s="111"/>
      <c r="H91" s="158" t="s">
        <v>202</v>
      </c>
    </row>
    <row r="92" spans="2:8" ht="15.95">
      <c r="B92" s="273" t="s">
        <v>208</v>
      </c>
      <c r="C92" s="111"/>
      <c r="D92" s="290">
        <v>345531.15399999998</v>
      </c>
      <c r="E92" s="111"/>
      <c r="F92" s="249" t="s">
        <v>192</v>
      </c>
      <c r="G92" s="111"/>
      <c r="H92" s="158" t="s">
        <v>213</v>
      </c>
    </row>
    <row r="93" spans="2:8" ht="15.95">
      <c r="B93" s="176" t="s">
        <v>210</v>
      </c>
      <c r="C93" s="111"/>
      <c r="D93" s="290">
        <v>36866336232.300003</v>
      </c>
      <c r="E93" s="111"/>
      <c r="F93" s="249" t="s">
        <v>94</v>
      </c>
      <c r="G93" s="111"/>
      <c r="H93" s="158" t="s">
        <v>213</v>
      </c>
    </row>
    <row r="94" spans="2:8" ht="15.95">
      <c r="B94" s="273" t="s">
        <v>208</v>
      </c>
      <c r="C94" s="111"/>
      <c r="D94" s="290">
        <v>26700.341999999997</v>
      </c>
      <c r="E94" s="111"/>
      <c r="F94" s="249" t="s">
        <v>192</v>
      </c>
      <c r="G94" s="111"/>
      <c r="H94" s="158" t="s">
        <v>214</v>
      </c>
    </row>
    <row r="95" spans="2:8" ht="15.95">
      <c r="B95" s="176" t="s">
        <v>210</v>
      </c>
      <c r="C95" s="111"/>
      <c r="D95" s="290">
        <v>3513689437.0999999</v>
      </c>
      <c r="E95" s="111"/>
      <c r="F95" s="249" t="s">
        <v>94</v>
      </c>
      <c r="G95" s="111"/>
      <c r="H95" s="158" t="s">
        <v>214</v>
      </c>
    </row>
    <row r="96" spans="2:8" ht="15.95">
      <c r="B96" s="273" t="s">
        <v>208</v>
      </c>
      <c r="C96" s="111"/>
      <c r="D96" s="290">
        <v>139767.60200000001</v>
      </c>
      <c r="E96" s="111"/>
      <c r="F96" s="249" t="s">
        <v>192</v>
      </c>
      <c r="G96" s="111"/>
      <c r="H96" s="158" t="s">
        <v>215</v>
      </c>
    </row>
    <row r="97" spans="2:8" ht="15.95">
      <c r="B97" s="176" t="s">
        <v>210</v>
      </c>
      <c r="C97" s="111"/>
      <c r="D97" s="290">
        <v>17700857101.900002</v>
      </c>
      <c r="E97" s="111"/>
      <c r="F97" s="249" t="s">
        <v>94</v>
      </c>
      <c r="G97" s="111"/>
      <c r="H97" s="158" t="s">
        <v>215</v>
      </c>
    </row>
    <row r="98" spans="2:8" ht="15.95">
      <c r="B98" s="273" t="s">
        <v>208</v>
      </c>
      <c r="C98" s="111"/>
      <c r="D98" s="290">
        <v>5640</v>
      </c>
      <c r="E98" s="111"/>
      <c r="F98" s="249" t="s">
        <v>192</v>
      </c>
      <c r="G98" s="111"/>
      <c r="H98" s="158" t="s">
        <v>216</v>
      </c>
    </row>
    <row r="99" spans="2:8" ht="15.95">
      <c r="B99" s="176" t="s">
        <v>210</v>
      </c>
      <c r="C99" s="111"/>
      <c r="D99" s="290">
        <v>2379423412.98</v>
      </c>
      <c r="E99" s="111"/>
      <c r="F99" s="249" t="s">
        <v>94</v>
      </c>
      <c r="G99" s="111"/>
      <c r="H99" s="158" t="s">
        <v>216</v>
      </c>
    </row>
    <row r="100" spans="2:8" ht="15.95">
      <c r="B100" s="273" t="s">
        <v>208</v>
      </c>
      <c r="C100" s="111"/>
      <c r="D100" s="290">
        <v>21416.224999999999</v>
      </c>
      <c r="E100" s="111"/>
      <c r="F100" s="249" t="s">
        <v>192</v>
      </c>
      <c r="G100" s="111"/>
      <c r="H100" s="158" t="s">
        <v>217</v>
      </c>
    </row>
    <row r="101" spans="2:8" ht="15.95">
      <c r="B101" s="176" t="s">
        <v>210</v>
      </c>
      <c r="C101" s="111"/>
      <c r="D101" s="290">
        <v>3775434542.0900002</v>
      </c>
      <c r="E101" s="111"/>
      <c r="F101" s="249" t="s">
        <v>94</v>
      </c>
      <c r="G101" s="111"/>
      <c r="H101" s="158" t="s">
        <v>217</v>
      </c>
    </row>
    <row r="102" spans="2:8" ht="15.95">
      <c r="B102" s="273" t="s">
        <v>208</v>
      </c>
      <c r="C102" s="111"/>
      <c r="D102" s="290">
        <v>3980</v>
      </c>
      <c r="E102" s="111"/>
      <c r="F102" s="249" t="s">
        <v>192</v>
      </c>
      <c r="G102" s="111"/>
      <c r="H102" s="158" t="s">
        <v>218</v>
      </c>
    </row>
    <row r="103" spans="2:8" ht="15.95">
      <c r="B103" s="176" t="s">
        <v>210</v>
      </c>
      <c r="C103" s="111"/>
      <c r="D103" s="290">
        <v>2786713472.54</v>
      </c>
      <c r="E103" s="111"/>
      <c r="F103" s="249" t="s">
        <v>94</v>
      </c>
      <c r="G103" s="111"/>
      <c r="H103" s="158" t="s">
        <v>218</v>
      </c>
    </row>
    <row r="104" spans="2:8" ht="15.95">
      <c r="B104" s="273" t="s">
        <v>208</v>
      </c>
      <c r="C104" s="111"/>
      <c r="D104" s="290">
        <v>34923.678609999995</v>
      </c>
      <c r="E104" s="111"/>
      <c r="F104" s="249" t="s">
        <v>192</v>
      </c>
      <c r="G104" s="111"/>
      <c r="H104" s="158" t="s">
        <v>219</v>
      </c>
    </row>
    <row r="105" spans="2:8" ht="15.95">
      <c r="B105" s="176" t="s">
        <v>210</v>
      </c>
      <c r="C105" s="111"/>
      <c r="D105" s="290">
        <v>27822870211.919998</v>
      </c>
      <c r="E105" s="111"/>
      <c r="F105" s="249" t="s">
        <v>94</v>
      </c>
      <c r="G105" s="111"/>
      <c r="H105" s="158" t="s">
        <v>219</v>
      </c>
    </row>
    <row r="106" spans="2:8" ht="15.95">
      <c r="B106" s="273" t="s">
        <v>208</v>
      </c>
      <c r="C106" s="111"/>
      <c r="D106" s="290">
        <v>26917.187299000001</v>
      </c>
      <c r="E106" s="111"/>
      <c r="F106" s="249" t="s">
        <v>192</v>
      </c>
      <c r="G106" s="111"/>
      <c r="H106" s="158" t="s">
        <v>220</v>
      </c>
    </row>
    <row r="107" spans="2:8" ht="15.95">
      <c r="B107" s="176" t="s">
        <v>210</v>
      </c>
      <c r="C107" s="111"/>
      <c r="D107" s="290">
        <v>20328016978.349998</v>
      </c>
      <c r="E107" s="111"/>
      <c r="F107" s="249" t="s">
        <v>94</v>
      </c>
      <c r="G107" s="111"/>
      <c r="H107" s="161" t="s">
        <v>220</v>
      </c>
    </row>
    <row r="108" spans="2:8" ht="15.95">
      <c r="B108" s="162"/>
      <c r="C108" s="111"/>
      <c r="D108" s="163"/>
      <c r="E108" s="111"/>
      <c r="F108" s="163"/>
      <c r="G108" s="111"/>
      <c r="H108" s="111"/>
    </row>
    <row r="109" spans="2:8" ht="15.95">
      <c r="B109" s="153" t="s">
        <v>221</v>
      </c>
      <c r="C109" s="111"/>
      <c r="D109" s="173"/>
      <c r="E109" s="111"/>
      <c r="F109" s="173"/>
      <c r="G109" s="111"/>
      <c r="H109" s="155"/>
    </row>
    <row r="110" spans="2:8" ht="15.95">
      <c r="B110" s="175" t="s">
        <v>222</v>
      </c>
      <c r="C110" s="111"/>
      <c r="D110" s="249" t="s">
        <v>81</v>
      </c>
      <c r="E110" s="111"/>
      <c r="F110" s="284" t="s">
        <v>223</v>
      </c>
      <c r="G110" s="111"/>
      <c r="H110" s="158"/>
    </row>
    <row r="111" spans="2:8" ht="15.95">
      <c r="B111" s="175" t="s">
        <v>224</v>
      </c>
      <c r="C111" s="111"/>
      <c r="D111" s="249" t="s">
        <v>81</v>
      </c>
      <c r="E111" s="111"/>
      <c r="F111" s="284" t="s">
        <v>223</v>
      </c>
      <c r="G111" s="111"/>
      <c r="H111" s="158"/>
    </row>
    <row r="112" spans="2:8" ht="15.95">
      <c r="B112" s="273" t="s">
        <v>191</v>
      </c>
      <c r="C112" s="111"/>
      <c r="D112" s="290">
        <v>397199.89328430843</v>
      </c>
      <c r="E112" s="111"/>
      <c r="F112" s="249" t="s">
        <v>225</v>
      </c>
      <c r="G112" s="111"/>
      <c r="H112" s="158"/>
    </row>
    <row r="113" spans="2:8" ht="15.95">
      <c r="B113" s="176" t="str">
        <f>LEFT(B112,SEARCH(",",B112))&amp;" valeur"</f>
        <v>Or (7108), valeur</v>
      </c>
      <c r="C113" s="111"/>
      <c r="D113" s="290">
        <v>385561720502.95996</v>
      </c>
      <c r="E113" s="111"/>
      <c r="F113" s="249" t="s">
        <v>94</v>
      </c>
      <c r="G113" s="111"/>
      <c r="H113" s="158"/>
    </row>
    <row r="114" spans="2:8" ht="15.95">
      <c r="B114" s="273" t="s">
        <v>226</v>
      </c>
      <c r="C114" s="111"/>
      <c r="D114" s="290">
        <v>35049.737999999998</v>
      </c>
      <c r="E114" s="111"/>
      <c r="F114" s="249" t="s">
        <v>225</v>
      </c>
      <c r="G114" s="111"/>
      <c r="H114" s="158"/>
    </row>
    <row r="115" spans="2:8" ht="15.95">
      <c r="B115" s="176" t="str">
        <f>LEFT(B114,SEARCH(",",B114))&amp;" valeur"</f>
        <v>Argent (7106), valeur</v>
      </c>
      <c r="C115" s="111"/>
      <c r="D115" s="290">
        <v>413220105.01718211</v>
      </c>
      <c r="E115" s="111"/>
      <c r="F115" s="249" t="s">
        <v>94</v>
      </c>
      <c r="G115" s="111"/>
      <c r="H115" s="158"/>
    </row>
    <row r="116" spans="2:8" ht="15.95">
      <c r="B116" s="273" t="s">
        <v>227</v>
      </c>
      <c r="C116" s="111"/>
      <c r="D116" s="290">
        <v>1569480.6300000001</v>
      </c>
      <c r="E116" s="111"/>
      <c r="F116" s="249" t="s">
        <v>192</v>
      </c>
      <c r="G116" s="111"/>
      <c r="H116" s="158"/>
    </row>
    <row r="117" spans="2:8" ht="15.95">
      <c r="B117" s="176" t="s">
        <v>228</v>
      </c>
      <c r="C117" s="111"/>
      <c r="D117" s="290">
        <v>62147204801</v>
      </c>
      <c r="E117" s="111"/>
      <c r="F117" s="249" t="s">
        <v>94</v>
      </c>
      <c r="G117" s="111"/>
      <c r="H117" s="158"/>
    </row>
    <row r="118" spans="2:8" ht="15.95">
      <c r="B118" s="273" t="s">
        <v>208</v>
      </c>
      <c r="C118" s="111"/>
      <c r="D118" s="290">
        <v>226093.34999999963</v>
      </c>
      <c r="E118" s="111"/>
      <c r="F118" s="249" t="s">
        <v>192</v>
      </c>
      <c r="G118" s="111"/>
      <c r="H118" s="158" t="s">
        <v>229</v>
      </c>
    </row>
    <row r="119" spans="2:8" ht="15.95">
      <c r="B119" s="176" t="s">
        <v>210</v>
      </c>
      <c r="C119" s="111"/>
      <c r="D119" s="290">
        <v>7234987200</v>
      </c>
      <c r="E119" s="111"/>
      <c r="F119" s="249" t="s">
        <v>94</v>
      </c>
      <c r="G119" s="111"/>
      <c r="H119" s="158" t="s">
        <v>229</v>
      </c>
    </row>
    <row r="120" spans="2:8" ht="15.95">
      <c r="B120" s="273" t="s">
        <v>208</v>
      </c>
      <c r="C120" s="111"/>
      <c r="D120" s="249"/>
      <c r="E120" s="111"/>
      <c r="F120" s="249" t="s">
        <v>192</v>
      </c>
      <c r="G120" s="111"/>
      <c r="H120" s="158" t="s">
        <v>230</v>
      </c>
    </row>
    <row r="121" spans="2:8" ht="15.95">
      <c r="B121" s="176" t="s">
        <v>210</v>
      </c>
      <c r="C121" s="111"/>
      <c r="D121" s="290">
        <v>11894800</v>
      </c>
      <c r="E121" s="111"/>
      <c r="F121" s="249" t="s">
        <v>94</v>
      </c>
      <c r="G121" s="111"/>
      <c r="H121" s="158" t="s">
        <v>231</v>
      </c>
    </row>
    <row r="122" spans="2:8" ht="15.95">
      <c r="B122" s="273" t="s">
        <v>208</v>
      </c>
      <c r="C122" s="111"/>
      <c r="D122" s="290">
        <v>182331.981</v>
      </c>
      <c r="E122" s="111"/>
      <c r="F122" s="249" t="s">
        <v>192</v>
      </c>
      <c r="G122" s="111"/>
      <c r="H122" s="158" t="s">
        <v>232</v>
      </c>
    </row>
    <row r="123" spans="2:8" ht="15.95">
      <c r="B123" s="176" t="s">
        <v>210</v>
      </c>
      <c r="C123" s="111"/>
      <c r="D123" s="290">
        <v>8100575203</v>
      </c>
      <c r="E123" s="111"/>
      <c r="F123" s="249" t="s">
        <v>94</v>
      </c>
      <c r="G123" s="111"/>
      <c r="H123" s="158" t="s">
        <v>232</v>
      </c>
    </row>
    <row r="124" spans="2:8" ht="15.95">
      <c r="B124" s="273" t="s">
        <v>196</v>
      </c>
      <c r="C124" s="111"/>
      <c r="D124" s="290">
        <v>58310.232999999993</v>
      </c>
      <c r="E124" s="111"/>
      <c r="F124" s="249" t="s">
        <v>192</v>
      </c>
      <c r="G124" s="111"/>
      <c r="H124" s="158"/>
    </row>
    <row r="125" spans="2:8" ht="15.95">
      <c r="B125" s="176" t="s">
        <v>197</v>
      </c>
      <c r="C125" s="111"/>
      <c r="D125" s="290">
        <v>12871784752.49</v>
      </c>
      <c r="E125" s="111"/>
      <c r="F125" s="249" t="s">
        <v>94</v>
      </c>
      <c r="G125" s="111"/>
      <c r="H125" s="158"/>
    </row>
    <row r="126" spans="2:8" ht="15.95">
      <c r="B126" s="273" t="s">
        <v>208</v>
      </c>
      <c r="C126" s="111"/>
      <c r="D126" s="290">
        <v>604876.18890900002</v>
      </c>
      <c r="E126" s="111"/>
      <c r="F126" s="249" t="s">
        <v>192</v>
      </c>
      <c r="G126" s="111"/>
      <c r="H126" s="158" t="s">
        <v>233</v>
      </c>
    </row>
    <row r="127" spans="2:8" ht="15.95">
      <c r="B127" s="176" t="s">
        <v>210</v>
      </c>
      <c r="C127" s="111"/>
      <c r="D127" s="290">
        <v>115173341389.1799</v>
      </c>
      <c r="E127" s="111"/>
      <c r="F127" s="249" t="s">
        <v>94</v>
      </c>
      <c r="G127" s="111"/>
      <c r="H127" s="158" t="s">
        <v>233</v>
      </c>
    </row>
    <row r="128" spans="2:8" ht="15.95">
      <c r="B128" s="273" t="s">
        <v>208</v>
      </c>
      <c r="C128" s="111"/>
      <c r="D128" s="290">
        <v>159874</v>
      </c>
      <c r="E128" s="111"/>
      <c r="F128" s="249" t="s">
        <v>192</v>
      </c>
      <c r="G128" s="111"/>
      <c r="H128" s="158" t="s">
        <v>234</v>
      </c>
    </row>
    <row r="129" spans="2:8" ht="15.95">
      <c r="B129" s="176" t="s">
        <v>210</v>
      </c>
      <c r="C129" s="111"/>
      <c r="D129" s="290">
        <v>32372874295</v>
      </c>
      <c r="E129" s="111"/>
      <c r="F129" s="249" t="s">
        <v>94</v>
      </c>
      <c r="G129" s="111"/>
      <c r="H129" s="158" t="s">
        <v>234</v>
      </c>
    </row>
    <row r="130" spans="2:8" ht="15.95">
      <c r="B130" s="273" t="s">
        <v>208</v>
      </c>
      <c r="C130" s="111"/>
      <c r="D130" s="290">
        <v>457952</v>
      </c>
      <c r="E130" s="111"/>
      <c r="F130" s="249" t="s">
        <v>192</v>
      </c>
      <c r="G130" s="111"/>
      <c r="H130" s="158" t="s">
        <v>235</v>
      </c>
    </row>
    <row r="131" spans="2:8" ht="15.95">
      <c r="B131" s="176" t="s">
        <v>210</v>
      </c>
      <c r="C131" s="111"/>
      <c r="D131" s="290">
        <v>166013508269</v>
      </c>
      <c r="E131" s="111"/>
      <c r="F131" s="249" t="s">
        <v>94</v>
      </c>
      <c r="G131" s="111"/>
      <c r="H131" s="158" t="s">
        <v>235</v>
      </c>
    </row>
    <row r="132" spans="2:8" ht="15.95">
      <c r="B132" s="273" t="s">
        <v>236</v>
      </c>
      <c r="C132" s="111"/>
      <c r="D132" s="290">
        <v>72599410</v>
      </c>
      <c r="E132" s="111"/>
      <c r="F132" s="249" t="s">
        <v>192</v>
      </c>
      <c r="G132" s="111"/>
      <c r="H132" s="158"/>
    </row>
    <row r="133" spans="2:8" ht="15.95">
      <c r="B133" s="176" t="s">
        <v>237</v>
      </c>
      <c r="C133" s="111"/>
      <c r="D133" s="290">
        <v>448992160</v>
      </c>
      <c r="E133" s="111"/>
      <c r="F133" s="249" t="s">
        <v>94</v>
      </c>
      <c r="G133" s="111"/>
      <c r="H133" s="158"/>
    </row>
    <row r="134" spans="2:8" ht="15.95">
      <c r="B134" s="273" t="s">
        <v>208</v>
      </c>
      <c r="C134" s="111"/>
      <c r="D134" s="290">
        <v>825772</v>
      </c>
      <c r="E134" s="111"/>
      <c r="F134" s="249" t="s">
        <v>192</v>
      </c>
      <c r="G134" s="111"/>
      <c r="H134" s="158" t="s">
        <v>238</v>
      </c>
    </row>
    <row r="135" spans="2:8" ht="15.95">
      <c r="B135" s="176" t="s">
        <v>210</v>
      </c>
      <c r="C135" s="111"/>
      <c r="D135" s="290">
        <v>1238658000</v>
      </c>
      <c r="E135" s="111"/>
      <c r="F135" s="249" t="s">
        <v>94</v>
      </c>
      <c r="G135" s="111"/>
      <c r="H135" s="158" t="s">
        <v>238</v>
      </c>
    </row>
    <row r="136" spans="2:8" ht="15.95">
      <c r="B136" s="273" t="s">
        <v>208</v>
      </c>
      <c r="C136" s="111"/>
      <c r="D136" s="290">
        <v>174</v>
      </c>
      <c r="E136" s="111"/>
      <c r="F136" s="249" t="s">
        <v>192</v>
      </c>
      <c r="G136" s="111"/>
      <c r="H136" s="158" t="s">
        <v>239</v>
      </c>
    </row>
    <row r="137" spans="2:8" ht="15.95">
      <c r="B137" s="176" t="s">
        <v>210</v>
      </c>
      <c r="C137" s="111"/>
      <c r="D137" s="290">
        <v>35928900</v>
      </c>
      <c r="E137" s="111"/>
      <c r="F137" s="249" t="s">
        <v>94</v>
      </c>
      <c r="G137" s="111"/>
      <c r="H137" s="158" t="s">
        <v>239</v>
      </c>
    </row>
    <row r="138" spans="2:8" ht="15.95">
      <c r="B138" s="273" t="s">
        <v>240</v>
      </c>
      <c r="C138" s="111"/>
      <c r="D138" s="290">
        <v>26774172</v>
      </c>
      <c r="E138" s="111"/>
      <c r="F138" s="249" t="s">
        <v>192</v>
      </c>
      <c r="G138" s="111"/>
      <c r="H138" s="158"/>
    </row>
    <row r="139" spans="2:8" ht="15.95">
      <c r="B139" s="176" t="s">
        <v>241</v>
      </c>
      <c r="C139" s="111"/>
      <c r="D139" s="290">
        <v>80322516</v>
      </c>
      <c r="E139" s="111"/>
      <c r="F139" s="249" t="s">
        <v>94</v>
      </c>
      <c r="G139" s="111"/>
      <c r="H139" s="158"/>
    </row>
    <row r="140" spans="2:8" ht="15.95">
      <c r="B140" s="162"/>
      <c r="C140" s="111"/>
      <c r="D140" s="163"/>
      <c r="E140" s="111"/>
      <c r="F140" s="163"/>
      <c r="G140" s="111"/>
      <c r="H140" s="111"/>
    </row>
    <row r="141" spans="2:8" ht="15.95">
      <c r="B141" s="153" t="s">
        <v>242</v>
      </c>
      <c r="C141" s="111"/>
      <c r="D141" s="173"/>
      <c r="E141" s="111"/>
      <c r="F141" s="178"/>
      <c r="G141" s="111"/>
      <c r="H141" s="155"/>
    </row>
    <row r="142" spans="2:8" ht="27.95">
      <c r="B142" s="175" t="s">
        <v>243</v>
      </c>
      <c r="C142" s="111"/>
      <c r="D142" s="249" t="s">
        <v>81</v>
      </c>
      <c r="E142" s="111"/>
      <c r="F142" s="284" t="s">
        <v>244</v>
      </c>
      <c r="G142" s="111"/>
      <c r="H142" s="158"/>
    </row>
    <row r="143" spans="2:8" ht="27.95">
      <c r="B143" s="179" t="s">
        <v>245</v>
      </c>
      <c r="C143" s="111"/>
      <c r="D143" s="249" t="s">
        <v>81</v>
      </c>
      <c r="E143" s="111"/>
      <c r="F143" s="284" t="s">
        <v>246</v>
      </c>
      <c r="G143" s="111"/>
      <c r="H143" s="158"/>
    </row>
    <row r="144" spans="2:8" ht="27.95">
      <c r="B144" s="180" t="s">
        <v>247</v>
      </c>
      <c r="C144" s="111"/>
      <c r="D144" s="181">
        <f>SUM('Partie 5 - Données d’entreprise'!K169/'Partie 4 - Recettes de l’État'!J79)</f>
        <v>0.99039951305304397</v>
      </c>
      <c r="E144" s="111"/>
      <c r="F144" s="182" t="s">
        <v>248</v>
      </c>
      <c r="G144" s="111"/>
      <c r="H144" s="161"/>
    </row>
    <row r="145" spans="2:8" ht="15.95">
      <c r="B145" s="162"/>
      <c r="C145" s="111"/>
      <c r="D145" s="163"/>
      <c r="E145" s="111"/>
      <c r="F145" s="163"/>
      <c r="G145" s="111"/>
      <c r="H145" s="111"/>
    </row>
    <row r="146" spans="2:8" ht="15.95">
      <c r="B146" s="153" t="s">
        <v>249</v>
      </c>
      <c r="C146" s="111"/>
      <c r="D146" s="178"/>
      <c r="E146" s="111"/>
      <c r="F146" s="178"/>
      <c r="G146" s="111"/>
      <c r="H146" s="155"/>
    </row>
    <row r="147" spans="2:8" ht="27.95">
      <c r="B147" s="180" t="s">
        <v>250</v>
      </c>
      <c r="C147" s="271"/>
      <c r="D147" s="251" t="s">
        <v>81</v>
      </c>
      <c r="E147" s="271"/>
      <c r="F147" s="284" t="s">
        <v>251</v>
      </c>
      <c r="G147" s="111"/>
      <c r="H147" s="158"/>
    </row>
    <row r="148" spans="2:8" ht="15.95">
      <c r="B148" s="183" t="s">
        <v>252</v>
      </c>
      <c r="C148" s="111"/>
      <c r="D148" s="184"/>
      <c r="E148" s="111"/>
      <c r="F148" s="184"/>
      <c r="G148" s="111"/>
      <c r="H148" s="184"/>
    </row>
    <row r="149" spans="2:8" ht="42">
      <c r="B149" s="262" t="s">
        <v>253</v>
      </c>
      <c r="C149" s="111"/>
      <c r="D149" s="290">
        <v>2670063</v>
      </c>
      <c r="E149" s="111"/>
      <c r="F149" s="249" t="s">
        <v>254</v>
      </c>
      <c r="G149" s="111"/>
      <c r="H149" s="285" t="s">
        <v>255</v>
      </c>
    </row>
    <row r="150" spans="2:8" ht="15.95">
      <c r="B150" s="176" t="s">
        <v>256</v>
      </c>
      <c r="C150" s="111"/>
      <c r="D150" s="184"/>
      <c r="E150" s="111"/>
      <c r="F150" s="184"/>
      <c r="G150" s="111"/>
      <c r="H150" s="184"/>
    </row>
    <row r="151" spans="2:8" ht="15.95">
      <c r="B151" s="262" t="s">
        <v>253</v>
      </c>
      <c r="C151" s="111"/>
      <c r="D151" s="290">
        <v>2670063</v>
      </c>
      <c r="E151" s="111"/>
      <c r="F151" s="249" t="s">
        <v>254</v>
      </c>
      <c r="G151" s="111"/>
      <c r="H151" s="158"/>
    </row>
    <row r="152" spans="2:8" ht="15.95">
      <c r="B152" s="185" t="str">
        <f>LEFT(B151,SEARCH(",",B151))&amp;" valeur"</f>
        <v>Gaz naturel, valeur</v>
      </c>
      <c r="C152" s="111"/>
      <c r="D152" s="290">
        <v>440560375</v>
      </c>
      <c r="E152" s="111"/>
      <c r="F152" s="249" t="s">
        <v>94</v>
      </c>
      <c r="G152" s="111"/>
      <c r="H152" s="158"/>
    </row>
    <row r="153" spans="2:8" ht="27.95">
      <c r="B153" s="177" t="s">
        <v>257</v>
      </c>
      <c r="C153" s="111"/>
      <c r="D153" s="251"/>
      <c r="E153" s="111"/>
      <c r="F153" s="251"/>
      <c r="G153" s="111"/>
      <c r="H153" s="161"/>
    </row>
    <row r="154" spans="2:8" ht="15.95">
      <c r="B154" s="162"/>
      <c r="C154" s="111"/>
      <c r="E154" s="111"/>
      <c r="F154" s="186"/>
      <c r="G154" s="111"/>
      <c r="H154" s="111"/>
    </row>
    <row r="155" spans="2:8" ht="15.95" customHeight="1">
      <c r="B155" s="153" t="s">
        <v>258</v>
      </c>
      <c r="C155" s="111"/>
      <c r="D155" s="178"/>
      <c r="E155" s="111"/>
      <c r="F155" s="178"/>
      <c r="G155" s="111"/>
      <c r="H155" s="155"/>
    </row>
    <row r="156" spans="2:8" ht="27.95">
      <c r="B156" s="179" t="s">
        <v>259</v>
      </c>
      <c r="C156" s="111"/>
      <c r="D156" s="249" t="s">
        <v>81</v>
      </c>
      <c r="E156" s="111"/>
      <c r="F156" s="284" t="s">
        <v>260</v>
      </c>
      <c r="G156" s="111"/>
      <c r="H156" s="158"/>
    </row>
    <row r="157" spans="2:8" ht="30.75" customHeight="1">
      <c r="B157" s="187" t="s">
        <v>261</v>
      </c>
      <c r="C157" s="111"/>
      <c r="D157" s="290">
        <v>956912909</v>
      </c>
      <c r="E157" s="111"/>
      <c r="F157" s="251" t="s">
        <v>94</v>
      </c>
      <c r="G157" s="111"/>
      <c r="H157" s="161"/>
    </row>
    <row r="158" spans="2:8" ht="15.95">
      <c r="B158" s="162"/>
      <c r="C158" s="111"/>
      <c r="D158" s="163"/>
      <c r="E158" s="111"/>
      <c r="F158" s="186"/>
      <c r="G158" s="111"/>
      <c r="H158" s="111"/>
    </row>
    <row r="159" spans="2:8" ht="15.95">
      <c r="B159" s="153" t="s">
        <v>262</v>
      </c>
      <c r="C159" s="111"/>
      <c r="D159" s="178"/>
      <c r="E159" s="111"/>
      <c r="F159" s="178"/>
      <c r="G159" s="111"/>
      <c r="H159" s="155"/>
    </row>
    <row r="160" spans="2:8" ht="27.95">
      <c r="B160" s="179" t="s">
        <v>263</v>
      </c>
      <c r="C160" s="111"/>
      <c r="D160" s="249" t="s">
        <v>107</v>
      </c>
      <c r="E160" s="111"/>
      <c r="F160" s="284" t="s">
        <v>264</v>
      </c>
      <c r="G160" s="111"/>
      <c r="H160" s="158"/>
    </row>
    <row r="161" spans="2:8" ht="30.75" customHeight="1">
      <c r="B161" s="187" t="s">
        <v>265</v>
      </c>
      <c r="C161" s="111"/>
      <c r="D161" s="251"/>
      <c r="E161" s="111"/>
      <c r="F161" s="251"/>
      <c r="G161" s="111"/>
      <c r="H161" s="161"/>
    </row>
    <row r="162" spans="2:8" ht="15.95">
      <c r="B162" s="162"/>
      <c r="C162" s="111"/>
      <c r="D162" s="163"/>
      <c r="E162" s="111"/>
      <c r="F162" s="186"/>
      <c r="G162" s="111"/>
      <c r="H162" s="111"/>
    </row>
    <row r="163" spans="2:8" ht="33.950000000000003" customHeight="1">
      <c r="B163" s="153" t="s">
        <v>266</v>
      </c>
      <c r="C163" s="111"/>
      <c r="D163" s="178"/>
      <c r="E163" s="111"/>
      <c r="F163" s="178"/>
      <c r="G163" s="111"/>
      <c r="H163" s="155"/>
    </row>
    <row r="164" spans="2:8" ht="27.95">
      <c r="B164" s="179" t="s">
        <v>267</v>
      </c>
      <c r="C164" s="111"/>
      <c r="D164" s="249" t="s">
        <v>81</v>
      </c>
      <c r="E164" s="111"/>
      <c r="F164" s="284" t="s">
        <v>268</v>
      </c>
      <c r="G164" s="111"/>
      <c r="H164" s="158"/>
    </row>
    <row r="165" spans="2:8" ht="30.75" customHeight="1">
      <c r="B165" s="187" t="s">
        <v>269</v>
      </c>
      <c r="C165" s="111"/>
      <c r="D165" s="290">
        <v>3231168996.8899999</v>
      </c>
      <c r="E165" s="111"/>
      <c r="F165" s="251" t="s">
        <v>94</v>
      </c>
      <c r="G165" s="111"/>
      <c r="H165" s="158"/>
    </row>
    <row r="166" spans="2:8" ht="15.95">
      <c r="B166" s="162"/>
      <c r="C166" s="111"/>
      <c r="D166" s="163"/>
      <c r="E166" s="111"/>
      <c r="F166" s="277"/>
      <c r="G166" s="111"/>
      <c r="H166" s="111"/>
    </row>
    <row r="167" spans="2:8" ht="15.95">
      <c r="B167" s="153" t="s">
        <v>270</v>
      </c>
      <c r="C167" s="111"/>
      <c r="D167" s="178"/>
      <c r="E167" s="111"/>
      <c r="F167" s="178"/>
      <c r="G167" s="111"/>
      <c r="H167" s="155"/>
    </row>
    <row r="168" spans="2:8" ht="30" customHeight="1">
      <c r="B168" s="179" t="str">
        <f>"Le government divulgue-t-il des informations sur les"&amp;RIGHT(B167,LEN(B167)-SEARCH(":",B167,1))&amp;"?"</f>
        <v>Le government divulgue-t-il des informations sur les Paiements directs infranationaux ?</v>
      </c>
      <c r="C168" s="111"/>
      <c r="D168" s="249" t="s">
        <v>81</v>
      </c>
      <c r="E168" s="111"/>
      <c r="F168" s="284" t="s">
        <v>271</v>
      </c>
      <c r="G168" s="111"/>
      <c r="H168" s="158"/>
    </row>
    <row r="169" spans="2:8" ht="27.95">
      <c r="B169" s="187" t="s">
        <v>272</v>
      </c>
      <c r="C169" s="111"/>
      <c r="D169" s="290">
        <v>2196150331</v>
      </c>
      <c r="E169" s="111"/>
      <c r="F169" s="251" t="s">
        <v>94</v>
      </c>
      <c r="G169" s="111"/>
      <c r="H169" s="161"/>
    </row>
    <row r="170" spans="2:8" ht="15.95">
      <c r="B170" s="162"/>
      <c r="C170" s="111"/>
      <c r="D170" s="163"/>
      <c r="E170" s="111"/>
      <c r="F170" s="186"/>
      <c r="G170" s="111"/>
      <c r="H170" s="111"/>
    </row>
    <row r="171" spans="2:8" ht="15.95">
      <c r="B171" s="153" t="s">
        <v>273</v>
      </c>
      <c r="C171" s="111"/>
      <c r="D171" s="178"/>
      <c r="E171" s="111"/>
      <c r="F171" s="186"/>
      <c r="G171" s="111"/>
      <c r="H171" s="155"/>
    </row>
    <row r="172" spans="2:8" ht="27.95">
      <c r="B172" s="180" t="s">
        <v>274</v>
      </c>
      <c r="C172" s="111"/>
      <c r="D172" s="276">
        <f>IFERROR(IF(_xlfn.DAYS('Partie 1 - Présentation'!$E$30,'Partie 1 - Présentation'!$E$26)/365&gt;0,_xlfn.DAYS('Partie 1 - Présentation'!$E$30,'Partie 1 - Présentation'!$E$26)/365,_xlfn.DAYS('Partie 1 - Présentation'!$E$33,'Partie 1 - Présentation'!$E$26)/365),"Complété automatiquement à partir du feuillet 1. Présentation")</f>
        <v>0.99178082191780825</v>
      </c>
      <c r="E172" s="111"/>
      <c r="F172" s="186"/>
      <c r="G172" s="111"/>
      <c r="H172" s="161"/>
    </row>
    <row r="173" spans="2:8" ht="15.95">
      <c r="B173" s="162"/>
      <c r="C173" s="111"/>
      <c r="D173" s="163"/>
      <c r="E173" s="111"/>
      <c r="F173" s="186"/>
      <c r="G173" s="111"/>
      <c r="H173" s="111"/>
    </row>
    <row r="174" spans="2:8" ht="15.95">
      <c r="B174" s="153" t="s">
        <v>275</v>
      </c>
      <c r="C174" s="111"/>
      <c r="D174" s="178"/>
      <c r="E174" s="111"/>
      <c r="F174" s="178"/>
      <c r="G174" s="111"/>
      <c r="H174" s="155"/>
    </row>
    <row r="175" spans="2:8" ht="56.1">
      <c r="B175" s="175" t="s">
        <v>276</v>
      </c>
      <c r="C175" s="111"/>
      <c r="D175" s="249" t="s">
        <v>81</v>
      </c>
      <c r="E175" s="111"/>
      <c r="F175" s="284" t="s">
        <v>277</v>
      </c>
      <c r="G175" s="111"/>
      <c r="H175" s="158"/>
    </row>
    <row r="176" spans="2:8" ht="42">
      <c r="B176" s="176" t="s">
        <v>278</v>
      </c>
      <c r="C176" s="111"/>
      <c r="D176" s="249" t="s">
        <v>81</v>
      </c>
      <c r="E176" s="111"/>
      <c r="F176" s="284" t="s">
        <v>279</v>
      </c>
      <c r="G176" s="111"/>
      <c r="H176" s="158"/>
    </row>
    <row r="177" spans="2:8" ht="27.95">
      <c r="B177" s="175" t="s">
        <v>280</v>
      </c>
      <c r="C177" s="111"/>
      <c r="D177" s="249" t="s">
        <v>81</v>
      </c>
      <c r="E177" s="111"/>
      <c r="F177" s="284" t="s">
        <v>281</v>
      </c>
      <c r="G177" s="111"/>
      <c r="H177" s="158"/>
    </row>
    <row r="178" spans="2:8" ht="15.95">
      <c r="B178" s="159" t="s">
        <v>282</v>
      </c>
      <c r="C178" s="111"/>
      <c r="D178" s="249" t="s">
        <v>81</v>
      </c>
      <c r="E178" s="111"/>
      <c r="F178" s="284" t="s">
        <v>281</v>
      </c>
      <c r="G178" s="111"/>
      <c r="H178" s="158"/>
    </row>
    <row r="179" spans="2:8" ht="27.95">
      <c r="B179" s="175" t="s">
        <v>283</v>
      </c>
      <c r="C179" s="111"/>
      <c r="D179" s="249" t="s">
        <v>81</v>
      </c>
      <c r="E179" s="111"/>
      <c r="F179" s="284" t="s">
        <v>281</v>
      </c>
      <c r="G179" s="111"/>
      <c r="H179" s="158"/>
    </row>
    <row r="180" spans="2:8" ht="15.95">
      <c r="B180" s="160" t="s">
        <v>284</v>
      </c>
      <c r="C180" s="111"/>
      <c r="D180" s="249" t="s">
        <v>81</v>
      </c>
      <c r="E180" s="111"/>
      <c r="F180" s="249" t="s">
        <v>285</v>
      </c>
      <c r="G180" s="111"/>
      <c r="H180" s="161"/>
    </row>
    <row r="181" spans="2:8" ht="15.95">
      <c r="B181" s="162"/>
      <c r="C181" s="111"/>
      <c r="D181" s="163"/>
      <c r="E181" s="111"/>
      <c r="F181" s="186"/>
      <c r="G181" s="111"/>
      <c r="H181" s="111"/>
    </row>
    <row r="182" spans="2:8" ht="27.95">
      <c r="B182" s="153" t="s">
        <v>286</v>
      </c>
      <c r="C182" s="111"/>
      <c r="D182" s="178"/>
      <c r="E182" s="111"/>
      <c r="F182" s="178"/>
      <c r="G182" s="111"/>
      <c r="H182" s="155"/>
    </row>
    <row r="183" spans="2:8" ht="42">
      <c r="B183" s="179" t="s">
        <v>287</v>
      </c>
      <c r="C183" s="111"/>
      <c r="D183" s="249" t="s">
        <v>81</v>
      </c>
      <c r="E183" s="111"/>
      <c r="F183" s="284" t="s">
        <v>288</v>
      </c>
      <c r="G183" s="111"/>
      <c r="H183" s="158"/>
    </row>
    <row r="184" spans="2:8" ht="27.95">
      <c r="B184" s="187" t="s">
        <v>289</v>
      </c>
      <c r="C184" s="111"/>
      <c r="D184" s="290">
        <v>17443572066.785065</v>
      </c>
      <c r="E184" s="111"/>
      <c r="F184" s="251" t="s">
        <v>94</v>
      </c>
      <c r="G184" s="111"/>
      <c r="H184" s="161" t="s">
        <v>290</v>
      </c>
    </row>
    <row r="185" spans="2:8" ht="15.95">
      <c r="B185" s="162"/>
      <c r="C185" s="111"/>
      <c r="D185" s="163"/>
      <c r="E185" s="111"/>
      <c r="F185" s="186"/>
      <c r="G185" s="111"/>
      <c r="H185" s="111"/>
    </row>
    <row r="186" spans="2:8" ht="15.95">
      <c r="B186" s="153" t="s">
        <v>291</v>
      </c>
      <c r="C186" s="111"/>
      <c r="D186" s="178"/>
      <c r="E186" s="111"/>
      <c r="F186" s="178"/>
      <c r="G186" s="111"/>
      <c r="H186" s="155"/>
    </row>
    <row r="187" spans="2:8" ht="27.95">
      <c r="B187" s="179" t="s">
        <v>292</v>
      </c>
      <c r="C187" s="111"/>
      <c r="D187" s="249" t="s">
        <v>81</v>
      </c>
      <c r="E187" s="111"/>
      <c r="F187" s="284" t="s">
        <v>293</v>
      </c>
      <c r="G187" s="111"/>
      <c r="H187" s="158"/>
    </row>
    <row r="188" spans="2:8" ht="42">
      <c r="B188" s="183" t="s">
        <v>294</v>
      </c>
      <c r="C188" s="111"/>
      <c r="D188" s="290">
        <f>25588493226*20%</f>
        <v>5117698645.1999998</v>
      </c>
      <c r="E188" s="111"/>
      <c r="F188" s="249" t="s">
        <v>94</v>
      </c>
      <c r="G188" s="111"/>
      <c r="H188" s="285" t="s">
        <v>295</v>
      </c>
    </row>
    <row r="189" spans="2:8" ht="27.95">
      <c r="B189" s="187" t="s">
        <v>296</v>
      </c>
      <c r="C189" s="111"/>
      <c r="D189" s="251">
        <v>0</v>
      </c>
      <c r="E189" s="111"/>
      <c r="F189" s="251" t="s">
        <v>94</v>
      </c>
      <c r="G189" s="111"/>
      <c r="H189" s="161"/>
    </row>
    <row r="190" spans="2:8" ht="15.95">
      <c r="B190" s="162"/>
      <c r="C190" s="111"/>
      <c r="D190" s="163"/>
      <c r="E190" s="111"/>
      <c r="F190" s="186"/>
      <c r="G190" s="111"/>
      <c r="H190" s="111"/>
    </row>
    <row r="191" spans="2:8" ht="27.95">
      <c r="B191" s="153" t="s">
        <v>297</v>
      </c>
      <c r="C191" s="111"/>
      <c r="D191" s="178"/>
      <c r="E191" s="111"/>
      <c r="F191" s="178"/>
      <c r="G191" s="111"/>
      <c r="H191" s="155"/>
    </row>
    <row r="192" spans="2:8" ht="63" customHeight="1">
      <c r="B192" s="179" t="s">
        <v>298</v>
      </c>
      <c r="C192" s="111"/>
      <c r="D192" s="249" t="s">
        <v>81</v>
      </c>
      <c r="E192" s="111"/>
      <c r="F192" s="284" t="s">
        <v>299</v>
      </c>
      <c r="G192" s="111"/>
      <c r="H192" s="158"/>
    </row>
    <row r="193" spans="2:8" ht="27.95">
      <c r="B193" s="179" t="s">
        <v>300</v>
      </c>
      <c r="C193" s="111"/>
      <c r="D193" s="249" t="s">
        <v>81</v>
      </c>
      <c r="E193" s="111"/>
      <c r="F193" s="284" t="s">
        <v>301</v>
      </c>
      <c r="G193" s="111"/>
      <c r="H193" s="158"/>
    </row>
    <row r="194" spans="2:8" ht="56.1">
      <c r="B194" s="180" t="s">
        <v>302</v>
      </c>
      <c r="C194" s="111"/>
      <c r="D194" s="249" t="s">
        <v>81</v>
      </c>
      <c r="E194" s="111"/>
      <c r="F194" s="284" t="s">
        <v>303</v>
      </c>
      <c r="G194" s="111"/>
      <c r="H194" s="161"/>
    </row>
    <row r="195" spans="2:8" ht="15.95">
      <c r="B195" s="162"/>
      <c r="C195" s="111"/>
      <c r="D195" s="163"/>
      <c r="E195" s="111"/>
      <c r="F195" s="186"/>
      <c r="G195" s="111"/>
      <c r="H195" s="111"/>
    </row>
    <row r="196" spans="2:8" ht="32.450000000000003" customHeight="1">
      <c r="B196" s="153" t="s">
        <v>304</v>
      </c>
      <c r="C196" s="111"/>
      <c r="D196" s="178"/>
      <c r="E196" s="111"/>
      <c r="F196" s="178"/>
      <c r="G196" s="111"/>
      <c r="H196" s="155"/>
    </row>
    <row r="197" spans="2:8" ht="27.95">
      <c r="B197" s="179" t="s">
        <v>305</v>
      </c>
      <c r="C197" s="111"/>
      <c r="D197" s="249" t="s">
        <v>306</v>
      </c>
      <c r="E197" s="111"/>
      <c r="F197" s="249" t="str">
        <f>IF(D197=Listes!$K$4,"&lt; Indiquez l'URL de la source &gt;",IF(D197=Listes!$K$5,"&lt; Référence de la section dans le Rapport ITIE ou URL&gt;",IF(D197=Listes!$K$6,"&lt; Référence de la non-applicabilité &gt;","")))</f>
        <v/>
      </c>
      <c r="G197" s="111"/>
      <c r="H197" s="158"/>
    </row>
    <row r="198" spans="2:8" ht="27.95">
      <c r="B198" s="183" t="s">
        <v>307</v>
      </c>
      <c r="C198" s="111"/>
      <c r="D198" s="249"/>
      <c r="E198" s="111"/>
      <c r="F198" s="249"/>
      <c r="G198" s="111"/>
      <c r="H198" s="158"/>
    </row>
    <row r="199" spans="2:8" ht="27.95">
      <c r="B199" s="183" t="s">
        <v>308</v>
      </c>
      <c r="C199" s="111"/>
      <c r="D199" s="249"/>
      <c r="E199" s="188"/>
      <c r="F199" s="249"/>
      <c r="G199" s="111"/>
      <c r="H199" s="158"/>
    </row>
    <row r="200" spans="2:8" ht="27.95">
      <c r="B200" s="179" t="s">
        <v>309</v>
      </c>
      <c r="C200" s="111"/>
      <c r="D200" s="249" t="s">
        <v>81</v>
      </c>
      <c r="E200" s="111"/>
      <c r="F200" s="284" t="s">
        <v>310</v>
      </c>
      <c r="G200" s="111"/>
      <c r="H200" s="158"/>
    </row>
    <row r="201" spans="2:8" ht="27.95">
      <c r="B201" s="183" t="s">
        <v>311</v>
      </c>
      <c r="C201" s="111"/>
      <c r="D201" s="290">
        <v>1610617378</v>
      </c>
      <c r="E201" s="111"/>
      <c r="F201" s="249" t="s">
        <v>94</v>
      </c>
      <c r="G201" s="111"/>
      <c r="H201" s="158"/>
    </row>
    <row r="202" spans="2:8" ht="27.95">
      <c r="B202" s="183" t="s">
        <v>312</v>
      </c>
      <c r="C202" s="111"/>
      <c r="D202" s="290">
        <v>4155044802</v>
      </c>
      <c r="E202" s="111"/>
      <c r="F202" s="249" t="s">
        <v>94</v>
      </c>
      <c r="G202" s="111"/>
      <c r="H202" s="158"/>
    </row>
    <row r="203" spans="2:8" ht="27.95">
      <c r="B203" s="179" t="s">
        <v>313</v>
      </c>
      <c r="C203" s="111"/>
      <c r="D203" s="290" t="s">
        <v>81</v>
      </c>
      <c r="E203" s="111"/>
      <c r="F203" s="249" t="str">
        <f>IF(D203=Listes!$K$4,"&lt; Indiquez l'URL de la source &gt;",IF(D203=Listes!$K$5,"&lt; Référence de la section dans le Rapport ITIE ou URL&gt;",IF(D203=Listes!$K$6,"&lt; Référence de la non-applicabilité &gt;","")))</f>
        <v>&lt; Référence de la section dans le Rapport ITIE ou URL&gt;</v>
      </c>
      <c r="G203" s="111"/>
      <c r="H203" s="158"/>
    </row>
    <row r="204" spans="2:8" ht="27.95">
      <c r="B204" s="183" t="s">
        <v>314</v>
      </c>
      <c r="C204" s="111"/>
      <c r="D204" s="290">
        <v>517097227</v>
      </c>
      <c r="E204" s="111"/>
      <c r="F204" s="249" t="s">
        <v>94</v>
      </c>
      <c r="G204" s="111"/>
      <c r="H204" s="158"/>
    </row>
    <row r="205" spans="2:8" ht="27.95">
      <c r="B205" s="187" t="s">
        <v>315</v>
      </c>
      <c r="C205" s="111"/>
      <c r="D205" s="249"/>
      <c r="E205" s="111"/>
      <c r="F205" s="249"/>
      <c r="G205" s="111"/>
      <c r="H205" s="161"/>
    </row>
    <row r="206" spans="2:8" ht="15.95">
      <c r="B206" s="162"/>
      <c r="C206" s="111"/>
      <c r="D206" s="163"/>
      <c r="E206" s="111"/>
      <c r="F206" s="186"/>
      <c r="G206" s="111"/>
      <c r="H206" s="111"/>
    </row>
    <row r="207" spans="2:8" ht="15.95">
      <c r="B207" s="153" t="s">
        <v>316</v>
      </c>
      <c r="C207" s="111"/>
      <c r="D207" s="178"/>
      <c r="E207" s="111"/>
      <c r="F207" s="178"/>
      <c r="G207" s="111"/>
      <c r="H207" s="155"/>
    </row>
    <row r="208" spans="2:8" ht="27.95">
      <c r="B208" s="179" t="s">
        <v>317</v>
      </c>
      <c r="C208" s="111"/>
      <c r="D208" s="249" t="s">
        <v>81</v>
      </c>
      <c r="E208" s="111"/>
      <c r="F208" s="284" t="s">
        <v>318</v>
      </c>
      <c r="G208" s="111"/>
      <c r="H208" s="346" t="s">
        <v>319</v>
      </c>
    </row>
    <row r="209" spans="2:8" ht="27.95">
      <c r="B209" s="187" t="s">
        <v>320</v>
      </c>
      <c r="C209" s="111"/>
      <c r="D209" s="251"/>
      <c r="E209" s="111"/>
      <c r="F209" s="251"/>
      <c r="G209" s="111"/>
      <c r="H209" s="347"/>
    </row>
    <row r="210" spans="2:8" ht="15.95">
      <c r="B210" s="162"/>
      <c r="C210" s="111"/>
      <c r="D210" s="163"/>
      <c r="E210" s="111"/>
      <c r="F210" s="186"/>
      <c r="G210" s="111"/>
      <c r="H210" s="111"/>
    </row>
    <row r="211" spans="2:8" ht="15.95">
      <c r="B211" s="153" t="s">
        <v>321</v>
      </c>
      <c r="C211" s="111"/>
      <c r="D211" s="189"/>
      <c r="E211" s="111"/>
      <c r="F211" s="190"/>
      <c r="G211" s="111"/>
      <c r="H211" s="155"/>
    </row>
    <row r="212" spans="2:8" ht="27.95">
      <c r="B212" s="191" t="s">
        <v>322</v>
      </c>
      <c r="C212" s="111"/>
      <c r="D212" s="249" t="s">
        <v>81</v>
      </c>
      <c r="E212" s="111"/>
      <c r="F212" s="284" t="s">
        <v>323</v>
      </c>
      <c r="G212" s="111"/>
      <c r="H212" s="158"/>
    </row>
    <row r="213" spans="2:8" ht="27.6" customHeight="1">
      <c r="B213" s="192" t="s">
        <v>324</v>
      </c>
      <c r="C213" s="111"/>
      <c r="D213" s="290">
        <v>470481628700.42798</v>
      </c>
      <c r="E213" s="111"/>
      <c r="F213" s="249" t="s">
        <v>94</v>
      </c>
      <c r="G213" s="111"/>
      <c r="H213" s="158"/>
    </row>
    <row r="214" spans="2:8" ht="15.95">
      <c r="B214" s="175" t="s">
        <v>325</v>
      </c>
      <c r="C214" s="111"/>
      <c r="D214" s="249"/>
      <c r="E214" s="111"/>
      <c r="F214" s="249"/>
      <c r="G214" s="111"/>
      <c r="H214" s="158"/>
    </row>
    <row r="215" spans="2:8" ht="15.95">
      <c r="B215" s="156" t="s">
        <v>326</v>
      </c>
      <c r="C215" s="111"/>
      <c r="D215" s="290">
        <v>13894321821187</v>
      </c>
      <c r="E215" s="111"/>
      <c r="F215" s="249" t="s">
        <v>94</v>
      </c>
      <c r="G215" s="111"/>
      <c r="H215" s="158"/>
    </row>
    <row r="216" spans="2:8" ht="15.95">
      <c r="B216" s="156" t="s">
        <v>327</v>
      </c>
      <c r="C216" s="111"/>
      <c r="D216" s="290">
        <v>167520080314.89999</v>
      </c>
      <c r="E216" s="111"/>
      <c r="F216" s="249" t="s">
        <v>94</v>
      </c>
      <c r="G216" s="111"/>
      <c r="H216" s="158"/>
    </row>
    <row r="217" spans="2:8" ht="15.95">
      <c r="B217" s="156" t="s">
        <v>328</v>
      </c>
      <c r="C217" s="111"/>
      <c r="D217" s="290">
        <v>2965000000000</v>
      </c>
      <c r="E217" s="111"/>
      <c r="F217" s="249" t="s">
        <v>94</v>
      </c>
      <c r="G217" s="111"/>
      <c r="H217" s="158"/>
    </row>
    <row r="218" spans="2:8" ht="15.95">
      <c r="B218" s="156" t="s">
        <v>329</v>
      </c>
      <c r="C218" s="111"/>
      <c r="D218" s="290">
        <v>733368434634</v>
      </c>
      <c r="E218" s="111"/>
      <c r="F218" s="249" t="s">
        <v>94</v>
      </c>
      <c r="G218" s="111"/>
      <c r="H218" s="158"/>
    </row>
    <row r="219" spans="2:8" ht="15.95">
      <c r="B219" s="156" t="s">
        <v>330</v>
      </c>
      <c r="C219" s="111"/>
      <c r="D219" s="290">
        <v>1936043654391</v>
      </c>
      <c r="E219" s="111"/>
      <c r="F219" s="249" t="s">
        <v>94</v>
      </c>
      <c r="G219" s="111"/>
      <c r="H219" s="158"/>
    </row>
    <row r="220" spans="2:8" ht="15.95">
      <c r="B220" s="156" t="s">
        <v>331</v>
      </c>
      <c r="C220" s="111"/>
      <c r="D220" s="290">
        <v>8685</v>
      </c>
      <c r="E220" s="111"/>
      <c r="F220" s="249" t="s">
        <v>332</v>
      </c>
      <c r="G220" s="111"/>
      <c r="H220" s="158"/>
    </row>
    <row r="221" spans="2:8" ht="15.95">
      <c r="B221" s="156" t="s">
        <v>333</v>
      </c>
      <c r="C221" s="111"/>
      <c r="D221" s="290">
        <v>724</v>
      </c>
      <c r="E221" s="111"/>
      <c r="F221" s="249" t="s">
        <v>332</v>
      </c>
      <c r="G221" s="111"/>
      <c r="H221" s="158"/>
    </row>
    <row r="222" spans="2:8" ht="15.95">
      <c r="B222" s="156" t="s">
        <v>334</v>
      </c>
      <c r="C222" s="111"/>
      <c r="D222" s="290">
        <v>9409</v>
      </c>
      <c r="E222" s="111"/>
      <c r="F222" s="249" t="s">
        <v>332</v>
      </c>
      <c r="G222" s="111"/>
      <c r="H222" s="158"/>
    </row>
    <row r="223" spans="2:8" ht="15.95">
      <c r="B223" s="156" t="s">
        <v>335</v>
      </c>
      <c r="C223" s="111"/>
      <c r="D223" s="290">
        <v>4255422</v>
      </c>
      <c r="E223" s="111"/>
      <c r="F223" s="249" t="s">
        <v>332</v>
      </c>
      <c r="G223" s="111"/>
      <c r="H223" s="158"/>
    </row>
    <row r="224" spans="2:8" ht="15.95">
      <c r="B224" s="156" t="s">
        <v>336</v>
      </c>
      <c r="C224" s="111"/>
      <c r="D224" s="290"/>
      <c r="E224" s="111"/>
      <c r="F224" s="249"/>
      <c r="G224" s="111"/>
      <c r="H224" s="158"/>
    </row>
    <row r="225" spans="2:8" ht="15.95">
      <c r="B225" s="174" t="s">
        <v>337</v>
      </c>
      <c r="C225" s="111"/>
      <c r="D225" s="290"/>
      <c r="E225" s="111"/>
      <c r="F225" s="251"/>
      <c r="G225" s="111"/>
      <c r="H225" s="161"/>
    </row>
    <row r="226" spans="2:8" ht="15.95">
      <c r="B226" s="186"/>
      <c r="C226" s="111"/>
      <c r="D226" s="193"/>
      <c r="E226" s="111"/>
      <c r="F226" s="186"/>
      <c r="G226" s="111"/>
      <c r="H226" s="111"/>
    </row>
    <row r="227" spans="2:8" ht="15.95">
      <c r="B227" s="153" t="s">
        <v>338</v>
      </c>
      <c r="C227" s="252"/>
      <c r="D227" s="253"/>
      <c r="E227" s="252"/>
      <c r="F227" s="253"/>
      <c r="G227" s="252"/>
      <c r="H227" s="254"/>
    </row>
    <row r="228" spans="2:8" ht="37.5" customHeight="1">
      <c r="B228" s="261" t="s">
        <v>339</v>
      </c>
      <c r="C228" s="252"/>
      <c r="D228" s="255"/>
      <c r="E228" s="252"/>
      <c r="F228" s="255"/>
      <c r="G228" s="252"/>
      <c r="H228" s="256"/>
    </row>
    <row r="229" spans="2:8" ht="30">
      <c r="B229" s="257" t="s">
        <v>340</v>
      </c>
      <c r="C229" s="252"/>
      <c r="D229" s="249" t="s">
        <v>81</v>
      </c>
      <c r="E229" s="252"/>
      <c r="F229" s="284" t="s">
        <v>341</v>
      </c>
      <c r="G229" s="252"/>
      <c r="H229" s="256"/>
    </row>
    <row r="230" spans="2:8" ht="60">
      <c r="B230" s="257" t="s">
        <v>342</v>
      </c>
      <c r="C230" s="258"/>
      <c r="D230" s="249" t="s">
        <v>81</v>
      </c>
      <c r="E230" s="252"/>
      <c r="F230" s="284" t="s">
        <v>341</v>
      </c>
      <c r="G230" s="252"/>
      <c r="H230" s="256"/>
    </row>
    <row r="231" spans="2:8" ht="42">
      <c r="B231" s="259" t="s">
        <v>343</v>
      </c>
      <c r="C231" s="258"/>
      <c r="D231" s="249" t="s">
        <v>156</v>
      </c>
      <c r="E231" s="252"/>
      <c r="F231" s="287" t="s">
        <v>344</v>
      </c>
      <c r="G231" s="252"/>
      <c r="H231" s="260"/>
    </row>
    <row r="232" spans="2:8" ht="15.95">
      <c r="B232" s="186"/>
      <c r="C232" s="111"/>
      <c r="D232" s="193"/>
      <c r="E232" s="111"/>
      <c r="F232" s="186"/>
      <c r="G232" s="111"/>
      <c r="H232" s="111"/>
    </row>
    <row r="233" spans="2:8" ht="14.1" customHeight="1">
      <c r="B233" s="41"/>
      <c r="D233" s="41"/>
      <c r="F233" s="41"/>
    </row>
    <row r="234" spans="2:8" ht="17.25" hidden="1" customHeight="1" thickBot="1">
      <c r="B234" s="74"/>
      <c r="C234" s="345" t="s">
        <v>33</v>
      </c>
      <c r="D234" s="345"/>
      <c r="E234" s="345"/>
      <c r="F234" s="345"/>
      <c r="G234" s="345"/>
      <c r="H234" s="74"/>
    </row>
    <row r="235" spans="2:8" ht="24" hidden="1" customHeight="1" thickBot="1">
      <c r="B235" s="194"/>
      <c r="C235" s="331" t="s">
        <v>34</v>
      </c>
      <c r="D235" s="331"/>
      <c r="E235" s="331"/>
      <c r="F235" s="331"/>
      <c r="G235" s="331"/>
      <c r="H235" s="194"/>
    </row>
    <row r="236" spans="2:8" ht="24.95" hidden="1" customHeight="1" thickBot="1">
      <c r="B236" s="194"/>
      <c r="C236" s="330" t="s">
        <v>35</v>
      </c>
      <c r="D236" s="330"/>
      <c r="E236" s="330"/>
      <c r="F236" s="330"/>
      <c r="G236" s="330"/>
      <c r="H236" s="194"/>
    </row>
    <row r="237" spans="2:8" ht="18.600000000000001" hidden="1" customHeight="1" thickBot="1">
      <c r="B237" s="74"/>
      <c r="C237" s="341" t="s">
        <v>36</v>
      </c>
      <c r="D237" s="324"/>
      <c r="E237" s="324"/>
      <c r="F237" s="324"/>
      <c r="G237" s="342"/>
      <c r="H237" s="195"/>
    </row>
    <row r="238" spans="2:8" ht="16.5" thickBot="1">
      <c r="B238" s="54"/>
      <c r="C238" s="54"/>
      <c r="D238" s="54"/>
      <c r="E238" s="54"/>
      <c r="F238" s="54"/>
      <c r="G238" s="54"/>
      <c r="H238" s="55"/>
    </row>
    <row r="239" spans="2:8" ht="18.95">
      <c r="B239" s="196" t="s">
        <v>115</v>
      </c>
      <c r="D239" s="197"/>
      <c r="F239" s="197"/>
    </row>
    <row r="240" spans="2:8" ht="15.95" customHeight="1">
      <c r="B240" s="326" t="s">
        <v>38</v>
      </c>
      <c r="C240" s="326"/>
      <c r="D240" s="326"/>
      <c r="F240" s="198"/>
    </row>
    <row r="241" ht="15.95"/>
    <row r="242" ht="15.95"/>
    <row r="243" ht="15.95"/>
    <row r="244" ht="15.95"/>
    <row r="245" ht="15.95"/>
    <row r="246" ht="15.95"/>
    <row r="247" ht="15.95"/>
    <row r="248" ht="15.95"/>
    <row r="249" ht="15.95"/>
    <row r="250" ht="15.95"/>
    <row r="251" ht="15.95"/>
    <row r="252" ht="15.95"/>
    <row r="253" ht="15.95"/>
    <row r="254" ht="15.95"/>
    <row r="255" ht="15.95"/>
    <row r="256" ht="15.95"/>
    <row r="257" ht="15.95"/>
    <row r="258" ht="15.95"/>
    <row r="259" ht="15.95"/>
    <row r="260" ht="15.95"/>
    <row r="261" ht="15.95"/>
    <row r="262" ht="15.95"/>
    <row r="263" ht="15.95"/>
    <row r="264" ht="15.95"/>
  </sheetData>
  <mergeCells count="13">
    <mergeCell ref="C237:G237"/>
    <mergeCell ref="B240:D240"/>
    <mergeCell ref="B10:E10"/>
    <mergeCell ref="B15:H15"/>
    <mergeCell ref="B11:E11"/>
    <mergeCell ref="B12:E12"/>
    <mergeCell ref="B13:E13"/>
    <mergeCell ref="B14:E14"/>
    <mergeCell ref="F10:H14"/>
    <mergeCell ref="C234:G234"/>
    <mergeCell ref="C236:G236"/>
    <mergeCell ref="C235:G235"/>
    <mergeCell ref="H208:H209"/>
  </mergeCells>
  <dataValidations xWindow="966" yWindow="798" count="34">
    <dataValidation type="whole" allowBlank="1" showInputMessage="1" showErrorMessage="1" errorTitle="Veuillez ne pas modifier" error="Veuillez ne pas modifier ces cellules" sqref="B30:B38 B40:B43 B45:B50 B52:B55 B62:B63 B66:B67 B57:B60" xr:uid="{18A3AE5E-DCF3-4B6B-B982-7AC10E52BD8F}">
      <formula1>10000</formula1>
      <formula2>500000</formula2>
    </dataValidation>
    <dataValidation type="textLength" allowBlank="1" showInputMessage="1" showErrorMessage="1" errorTitle="Veuillez ne pas modifier" error="Veuillez ne pas modifier ces cellules" sqref="B24:B26 B145 B110:B111 B232 B19:B22 B108 B140 B164:B166 B172:B173 B156:B158 B160:B162 B147 B168:B170 B154 B152 B142:B143 B226 B28:B29 D172 D144" xr:uid="{FD1D0A5E-84E8-48AE-8EBF-6C369F2DFD67}">
      <formula1>10000</formula1>
      <formula2>50000</formula2>
    </dataValidation>
    <dataValidation type="whole" allowBlank="1" showInputMessage="1" showErrorMessage="1" errorTitle="Veuillez ne pas modifier" error="Veuillez ne pas modifier ces cellules" sqref="B23 B171 B167 B163 B159 B155 B146 B141 B109 B227:B231 B61 B56 B51 B44 B39 B17 B174:B195 B197:B202 B206:B212 B215:B219 B224:B225 B64" xr:uid="{01346396-8EEF-4FE6-A746-910274283B08}">
      <formula1>10000</formula1>
      <formula2>50000</formula2>
    </dataValidation>
    <dataValidation type="decimal" allowBlank="1" showInputMessage="1" showErrorMessage="1" errorTitle="Veuillez ne pas modifier" error="Veuillez ne pas modifier ces cellules" sqref="B238:D239 E238:H240" xr:uid="{32870CFC-EE36-4A4D-ADBB-C0FF5DB2CF74}">
      <formula1>10000</formula1>
      <formula2>50000</formula2>
    </dataValidation>
    <dataValidation type="list" operator="equal" showInputMessage="1" showErrorMessage="1" errorTitle="Saisie erronée" error="Entrée non-valide" promptTitle="Veuillez indiquer la devise" prompt="Saisissez les 3 lettres du code-devise de l’ISO." sqref="F184 F224:F225 F198:F199 F209 F165 F169 F204:F205 F161 F157 F188:F189 F201:F202 F213:F219" xr:uid="{DF1072C8-FEFB-4147-B6AD-F78CF91C4B7A}">
      <formula1>Currency_code_list</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Valeur totale" prompt="Veuillez indiquer le total des revenus._x000a__x000a_Veuillez saisir uniquement des chiffres dans cette cellule. Si des informations supplémentaires sont appropri" sqref="D198:D199 D209 D157 D184 D169 D188:D189 D161 D201:D202 D204:D205 D165" xr:uid="{CAF5D0AB-277F-4538-9B2E-5DE974E3DE80}">
      <formula1>0</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Matières premières volume/valeur" prompt="Veuillez renseigner le nom de la matière première dans la colonne de gauche, en indiquant s'il s'agit d'un volume ou d'une valeur._x000a__x000a_Veuillez saisir un" sqref="D149 D68:D107 D112:D139 D151:D153" xr:uid="{0B8878C8-6619-40E9-8096-EE6BE7FC604B}">
      <formula1>0</formula1>
    </dataValidation>
    <dataValidation type="decimal" allowBlank="1" showInputMessage="1" showErrorMessage="1" sqref="D173" xr:uid="{81426A4D-290E-4AF2-8D6F-F3149A13F5AA}">
      <formula1>10000</formula1>
      <formula2>50000</formula2>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Investissements -tous secteurs-" prompt="Veuillez indiquer le total des investissements dans le pays pour l'année fiscale, en dollars ou monnaie locale (prix courants)_x000a__x000a_Peut correspondre à la" sqref="D225" xr:uid="{3032E63C-A6E8-43E4-84A7-B8C926F323CA}">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Investissements -secteur extract" prompt="Veuillez indiquer le total des investissements dans le secteur extractif pour l'année fiscale, en dollars ou monnaie locale (prix courants)_x000a__x000a_Peut corr" sqref="D224" xr:uid="{29BBE371-2BA2-4A29-B3CA-B0E28CA0DF73}">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Emploi -tous secteurs-" prompt="Représente, en chiffres absolus, le total des emplois dans le pays." sqref="D223" xr:uid="{BAFA2F2B-EDC7-4ED6-B7B6-EDDF140F3E6B}">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prompt="Représente la part du secteur extractif dans l'emploi, en chiffres absolus._x000a__x000a__x000a_Veuillez entrer uniquement les chiffres dans cette cellule. Ajoutez des " sqref="D222" xr:uid="{60DE8021-5F5F-4E0F-9D3A-3B71F13F04B0}">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Exportations -secteur extractif-" prompt="Cela se rapporte à la part du secteur extractif dans les exportations totales d'un pays, en chiffres absolus._x000a__x000a_Veuillez entrer uniquement les chiffres" sqref="D218" xr:uid="{D9301F44-46FB-4E7E-B05E-A7BEDE62F157}">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Valeur ajoutée brute -Industries" prompt="La valeur ajoutée brute fait référence au nombre absolu représentant la part du secteur extractif dans le PIB._x000a__x000a_Veuillez entrer uniquement les chiffre" sqref="D213:D214" xr:uid="{444DC13F-2674-42BB-A5F3-7D76596203A4}">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Produit Intérieur Brut" prompt="Cela se rapporte au produit intérieur brut, en USD courants ou en devise locale._x000a__x000a_Veuillez ne saisir que des chiffres dans cette cellule. Si d'autres " sqref="D215" xr:uid="{6C0FFD4F-BEA6-48E8-82B4-92DB05033CDF}">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Revenus du Gouvernement -extract" prompt="Cela se rapporte aux revenus gouvernementaux provenant du secteur extractif, y compris les revenus non rapprochés._x000a__x000a_Veuillez entrer uniquement les chi" sqref="D216" xr:uid="{D3779151-A0BD-4E61-B3AB-68878424E332}">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Revenus du Gouvernement-tous sec" prompt="Cela se rapporte au total des revenus gouvernementaux de l'année concernée, y compris les revenus tirés des secteurs non extractifs._x000a__x000a_Entrer uniquemen" sqref="D217" xr:uid="{B8BCCF84-9BE3-4049-B66C-57BDC5195541}">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Total des exportations" prompt="Il s'agit des exportations totales pour l'année en question, y compris les revenus provenant de secteurs non extractifs._x000a__x000a_Veuillez entrer uniquement l" sqref="D219" xr:uid="{558D9CE5-F71C-4FA0-9506-950123E3BFA5}">
      <formula1>2</formula1>
    </dataValidation>
    <dataValidation type="whole" allowBlank="1" showInputMessage="1" showErrorMessage="1" errorTitle="Veuillez ne pas modifier" error="Veuillez ne pas modifier ces cellules" sqref="C234:G237" xr:uid="{FB14B789-8746-4A91-B239-3E7D6093A432}">
      <formula1>444</formula1>
      <formula2>445</formula2>
    </dataValidation>
    <dataValidation type="list" allowBlank="1" showInputMessage="1" showErrorMessage="1" errorTitle="Unité utilisée erronée" error="Veuillez sélectionner entre barils, Sm3, tonnes, onces (oz) ou carats._x000a__x000a_Si les informations d'origine n'est pas valide, convertir le nombre en unités standard et inclure d’origine dans la section des commentaires." promptTitle="Préciser l’unité de mesure" prompt="Veuillez sélectionner entre barils, Sm3, tonnes, onces (oz) ou carats dans le menu déroulant" sqref="F68 F70 F72 F74 F76 F80 F96 F104 F112 F114 F116 F118 F106 F151 F78 F84 F86 F82 F90 F102 F92 F94 F88 F98 F100 F120 F122 F124 F126 F128 F130 F132 F134 F136 F138 F149" xr:uid="{822EE6C6-D7C8-40D6-B2D5-7EEEDABD753E}">
      <formula1>"&lt;Selectionner unité&gt;,Sm3,Sm3 o.e.,Barils,Tonnes,oz,carats,Scf"</formula1>
    </dataValidation>
    <dataValidation allowBlank="1" showInputMessage="1" showErrorMessage="1" errorTitle="Veuillez ne pas modifier" error="Veuillez ne pas modifier ces cellules" sqref="B213:B214 B196 B203:B205 B240:D240 B220:B223" xr:uid="{586669E3-5B35-4E92-9DFA-2EE5239FB6A5}"/>
    <dataValidation allowBlank="1" showInputMessage="1" showErrorMessage="1" promptTitle="Nom du registre" prompt="Veuillez indiquer le nom du registre de la propriété réelle, si disponible." sqref="D54" xr:uid="{E22DDF9F-C550-48DA-8AE0-6F459EAD05BA}"/>
    <dataValidation allowBlank="1" showInputMessage="1" showErrorMessage="1" promptTitle="Name of the registry" prompt="Please input the name of the Beneficial Ownership Registry" sqref="D54" xr:uid="{132473C1-1E1D-4E60-8E12-86859396FD66}"/>
    <dataValidation type="list" showInputMessage="1" showErrorMessage="1" promptTitle="Type de déclaration" prompt="Veuillez indiquer le type de déclaration, parmi:_x000a__x000a_Divulgation systématique_x000a_Rapportage ITIE_x000a_Non disponible_x000a_Sans objet" sqref="D32:D36 D40:D42 D229:D231 D45:D49 D52:D53 D212 D62 D66:D67 D110:D111 D142:D143 D25:D28 D156 D160 D164 D168 D175:D180 D183 D187 D192:D194 D197 D200 D208 D57:D59 D203 D147" xr:uid="{EB0B96BC-C73F-4625-921B-B423889A69F8}">
      <formula1>Reporting_options_list</formula1>
    </dataValidation>
    <dataValidation type="whole" allowBlank="1" showInputMessage="1" showErrorMessage="1" errorTitle="Veuillez ne pas modifier" error="Veuillez ne pas modifier ces cellules" sqref="B148 B150 B153" xr:uid="{5F4D147F-5453-4AC4-8C54-2FA32A611CC1}">
      <formula1>1</formula1>
      <formula2>4</formula2>
    </dataValidation>
    <dataValidation type="whole" allowBlank="1" showInputMessage="1" showErrorMessage="1" errorTitle="Veuillez ne pas modifier" error="Veuillez ne pas modifier ces cellules" sqref="B144 F144" xr:uid="{096084D4-DA79-4AB9-A393-AB3BB925A435}">
      <formula1>5</formula1>
      <formula2>6</formula2>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prompt="Représente la part du secteur extractif dans l'emploi, en pourcentage_x000a__x000a__x000a_Veuillez entrer uniquement les chiffres dans cette cellule." sqref="F220:F223" xr:uid="{491EFB04-64B8-4925-8080-186089A2EA5E}">
      <formula1>0</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homme" prompt="Représente la part d'hommes employés dans le secteur extractif, en chiffres absolus._x000a__x000a__x000a_Veuillez entrer uniquement les chiffres dans cette cellule. Ajoutez des " sqref="D220" xr:uid="{77737CE6-1911-4110-97BD-45410D5C85EF}">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femme" prompt="Représente la part de femmes employés dans le secteur extractif, en chiffres absolus._x000a__x000a__x000a_Veuillez entrer uniquement les chiffres dans cette cellule. Ajoutez des " sqref="D221" xr:uid="{F706CB78-296E-41D0-8D9F-43A6206372A6}">
      <formula1>2</formula1>
    </dataValidation>
    <dataValidation type="textLength" allowBlank="1" showInputMessage="1" showErrorMessage="1" sqref="H227:H231" xr:uid="{D3822C6C-1C26-43C8-B6B8-BA8DF4DB7CB6}">
      <formula1>0</formula1>
      <formula2>350</formula2>
    </dataValidation>
    <dataValidation type="whole" showInputMessage="1" showErrorMessage="1" sqref="G227:G231" xr:uid="{6537E2EF-AC38-44BE-BF3B-28377D248EF2}">
      <formula1>999999</formula1>
      <formula2>99999999</formula2>
    </dataValidation>
    <dataValidation showInputMessage="1" showErrorMessage="1" promptTitle="Type de déclaration" prompt="Veuillez indiquer le type de déclaration, parmi:_x000a__x000a_Divulgation systématique_x000a_Rapportage ITIE_x000a_Non disponible_x000a_Sans objet" sqref="D37" xr:uid="{505EBCD6-D675-4478-93BA-C323F1C2E1DF}"/>
    <dataValidation showInputMessage="1" showErrorMessage="1" sqref="B65" xr:uid="{1564FEC5-59C5-47CE-A907-5ED79C11C066}"/>
    <dataValidation type="list" showInputMessage="1" showErrorMessage="1" errorTitle="Matière première non-reconnue" error="Veuillez sélectionner une matière première parmi la liste des matières premières du menu déroulant" promptTitle="Veuillez sélectionner la matière" prompt="Veuillez sélectionner la matière première dans le menu déroulant" sqref="B68 B70 B72 B74 B76 B80 B82 B98 B112 B114 B116 B118 B104 B151 B78 B84 B86 B96 B88 B90 B92 B94 B106 B100 B102 B120 B122 B124 B126 B128 B130 B132 B134 B136 B138 B149" xr:uid="{07B289E1-7671-4E81-8910-8B957D51D6F5}">
      <formula1>Commodities_list</formula1>
    </dataValidation>
  </dataValidations>
  <hyperlinks>
    <hyperlink ref="B30" r:id="rId1" location="r2-2" display="Exigence ITIE 2.2: Octroi des licences" xr:uid="{00000000-0004-0000-0200-000007000000}"/>
    <hyperlink ref="B44" r:id="rId2" location="r2-4" xr:uid="{00000000-0004-0000-0200-000008000000}"/>
    <hyperlink ref="B51" r:id="rId3" location="r2-5" xr:uid="{00000000-0004-0000-0200-000009000000}"/>
    <hyperlink ref="B56" r:id="rId4" location="r2-6" xr:uid="{00000000-0004-0000-0200-00000A000000}"/>
    <hyperlink ref="B61" r:id="rId5" location="r3-1" xr:uid="{00000000-0004-0000-0200-00000B000000}"/>
    <hyperlink ref="B64" r:id="rId6" location="r3-2" xr:uid="{00000000-0004-0000-0200-00000C000000}"/>
    <hyperlink ref="B109" r:id="rId7" location="r3-3" xr:uid="{00000000-0004-0000-0200-00000D000000}"/>
    <hyperlink ref="B141" r:id="rId8" location="r4-1" xr:uid="{00000000-0004-0000-0200-00000E000000}"/>
    <hyperlink ref="B146" r:id="rId9" location="r4-2" xr:uid="{00000000-0004-0000-0200-00000F000000}"/>
    <hyperlink ref="B155" r:id="rId10" location="r4-3" xr:uid="{00000000-0004-0000-0200-000010000000}"/>
    <hyperlink ref="B159" r:id="rId11" location="r4-4" xr:uid="{00000000-0004-0000-0200-000011000000}"/>
    <hyperlink ref="B163" r:id="rId12" location="r4-5" xr:uid="{00000000-0004-0000-0200-000012000000}"/>
    <hyperlink ref="B167" r:id="rId13" location="r4-6" xr:uid="{00000000-0004-0000-0200-000013000000}"/>
    <hyperlink ref="B171" r:id="rId14" location="r4-8" xr:uid="{00000000-0004-0000-0200-000014000000}"/>
    <hyperlink ref="B174" r:id="rId15" location="r4-9" xr:uid="{00000000-0004-0000-0200-000015000000}"/>
    <hyperlink ref="B182" r:id="rId16" location="r5-1" xr:uid="{00000000-0004-0000-0200-000016000000}"/>
    <hyperlink ref="B186" r:id="rId17" location="r5-2" xr:uid="{00000000-0004-0000-0200-000017000000}"/>
    <hyperlink ref="B191" r:id="rId18" location="r5-3" xr:uid="{00000000-0004-0000-0200-000018000000}"/>
    <hyperlink ref="B207" r:id="rId19" location="r6-2" xr:uid="{00000000-0004-0000-0200-000019000000}"/>
    <hyperlink ref="B211" r:id="rId20" location="r6-3" xr:uid="{00000000-0004-0000-0200-00001A000000}"/>
    <hyperlink ref="B196" r:id="rId21" location="r6-1" display="Exigence ITIE 6.1: Dépenses sociales " xr:uid="{00000000-0004-0000-0200-000024000000}"/>
    <hyperlink ref="B15:H15" r:id="rId22" display="If you have any questions, please contact data@eiti.org" xr:uid="{00000000-0004-0000-0200-000029000000}"/>
    <hyperlink ref="C237:G237" r:id="rId23" display="Give us your feedback or report a conflict in the data! Write to us at  data@eiti.org" xr:uid="{CDC3591F-ADA9-4DB3-B355-D653DB6FB600}"/>
    <hyperlink ref="G237" r:id="rId24" display="Give us your feedback or report a conflict in the data! Write to us at  data@eiti.org" xr:uid="{A99B6764-1F3E-47AB-809A-4B3DA15ABEB1}"/>
    <hyperlink ref="E237:F237" r:id="rId25" display="Give us your feedback or report a conflict in the data! Write to us at  data@eiti.org" xr:uid="{3762A584-79C1-403C-A889-1F8B6A9F4EDC}"/>
    <hyperlink ref="F237" r:id="rId26" display="Give us your feedback or report a conflict in the data! Write to us at  data@eiti.org" xr:uid="{13FEE2CC-DF49-4876-978D-2AFDC30F458D}"/>
    <hyperlink ref="C235:G235" r:id="rId27" display="Vous voulez en savoir plus sur votre pays ? Vérifiez si votre pays met en œuvre la Norme ITIE en visitant https://eiti.org/countries" xr:uid="{03621DAE-7983-499C-8202-5F3199FEB9F9}"/>
    <hyperlink ref="C236:G236" r:id="rId28" display="Pour la version la plus récente des modèles de données résumées, consultez https://eiti.org/fr/document/modele-donnees-resumees-itie" xr:uid="{B64D4F97-54EE-4F7A-8E6F-BD8EAC781BA6}"/>
    <hyperlink ref="B23" r:id="rId29" location="r2-1" xr:uid="{00000000-0004-0000-0200-000006000000}"/>
    <hyperlink ref="B39" r:id="rId30" location="r2-3" xr:uid="{C8143657-2BB2-452B-A332-AA1FEF1004C7}"/>
    <hyperlink ref="B213" r:id="rId31" xr:uid="{935A10F2-7E13-4EDA-8C48-4E42B289EB4B}"/>
    <hyperlink ref="C234:G234" r:id="rId32" display="Pour plus d’information sur l’ITIE, visitez notre site Internet  https://eiti.org" xr:uid="{9118B4B3-45C5-4CAF-ADE5-EDB0AF20E096}"/>
    <hyperlink ref="B227" r:id="rId33" location="r6-4" display="EITI Requirement 6.4: Environmental impact" xr:uid="{833DE7D9-6853-4F5B-932A-13042510FCE5}"/>
    <hyperlink ref="B65" r:id="rId34" display="(Harmonised System Codes)" xr:uid="{1EA07E2E-372F-42BE-9BEC-A5AE1CE21E62}"/>
    <hyperlink ref="F41" r:id="rId35" xr:uid="{9D9D80FD-5D5C-434C-90C0-5FC0F342D806}"/>
    <hyperlink ref="F40" r:id="rId36" xr:uid="{D8213F4A-526E-4E84-8A1B-B194A0D4DCCD}"/>
    <hyperlink ref="F47" r:id="rId37" xr:uid="{4322428C-A9CE-468B-A888-F749C016748B}"/>
    <hyperlink ref="F48" r:id="rId38" display="https://www.sec.gouv.sn/lois-et-reglements/conventions-minières" xr:uid="{E9BBC96E-84A9-4E9B-A873-57E24C52B379}"/>
    <hyperlink ref="F46" r:id="rId39" display="https://www.sec.gouv.sn/lois-et-reglements/conventions-minières" xr:uid="{15BA4689-1327-41F6-B1A3-CFC54B31BCD8}"/>
    <hyperlink ref="F58" r:id="rId40" display="https://itie.sn/entreprises-detat/" xr:uid="{5F73E50F-1D18-450D-9358-A74D62378E1B}"/>
    <hyperlink ref="F231" r:id="rId41" display="https://www.environnement.gouv.sn/search/node/Convention" xr:uid="{6839645A-C3F7-4FF0-9A9E-5E0B2E030120}"/>
  </hyperlinks>
  <pageMargins left="0.25" right="0.25" top="0.75" bottom="0.75" header="0.3" footer="0.3"/>
  <pageSetup paperSize="8" fitToHeight="0" orientation="landscape" horizontalDpi="2400" verticalDpi="2400" r:id="rId42"/>
  <drawing r:id="rId43"/>
  <extLst>
    <ext xmlns:x14="http://schemas.microsoft.com/office/spreadsheetml/2009/9/main" uri="{CCE6A557-97BC-4b89-ADB6-D9C93CAAB3DF}">
      <x14:dataValidations xmlns:xm="http://schemas.microsoft.com/office/excel/2006/main" xWindow="966" yWindow="798" count="3">
        <x14:dataValidation type="list" operator="equal" showInputMessage="1" showErrorMessage="1" errorTitle="Saisie erronée" error="Entrée non-valide" promptTitle="Veuillez indiquer la devise" prompt="Saisissez les 3 lettres du code-devise de l’ISO." xr:uid="{DEE8F900-F35E-4EF6-932B-6FF76D2CB843}">
          <x14:formula1>
            <xm:f>'C:\Users\kr65\Downloads\SD\2.0\[Summary Data 2.0 data validation french translation.xlsm]Lists'!#REF!</xm:f>
          </x14:formula1>
          <xm:sqref>F153</xm:sqref>
        </x14:dataValidation>
        <x14:dataValidation type="list" allowBlank="1" showInputMessage="1" showErrorMessage="1" xr:uid="{4215E324-BDE3-41DD-A41F-93FBAA18ACEB}">
          <x14:formula1>
            <xm:f>'C:\Users\kr65\Downloads\SD\2.0\[Summary Data 2.0 data validation french translation.xlsm]Lists'!#REF!</xm:f>
          </x14:formula1>
          <xm:sqref>D23:D24 D30:D31 D211 D226 D232</xm:sqref>
        </x14:dataValidation>
        <x14:dataValidation type="list" operator="equal" showInputMessage="1" showErrorMessage="1" errorTitle="Saisie erronée" error="Entrée non-valide" promptTitle="Veuillez indiquer la devise" prompt="Saisissez les 3 lettres du code-devise de l’ISO." xr:uid="{FFBB2FB2-6E8A-40CC-8813-CE60DCA5D114}">
          <x14:formula1>
            <xm:f>Listes!$I$11:$I$168</xm:f>
          </x14:formula1>
          <xm:sqref>F69 F71 F73 F75 F81 F79 F105 F113 F115 F119 F107 F117 F152 F77 F91 F83 F87 F85 F89 F103 F93 F95 F97 F99 F101 F121 F123 F125 F127 F129 F131 F133 F135 F137 F139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1:L169"/>
  <sheetViews>
    <sheetView showGridLines="0" tabSelected="1" topLeftCell="A15" zoomScale="70" zoomScaleNormal="70" workbookViewId="0">
      <selection activeCell="E21" sqref="E21"/>
    </sheetView>
  </sheetViews>
  <sheetFormatPr defaultColWidth="4" defaultRowHeight="24" customHeight="1"/>
  <cols>
    <col min="1" max="1" width="4" style="12"/>
    <col min="2" max="2" width="84" style="12" bestFit="1" customWidth="1"/>
    <col min="3" max="3" width="42.140625" style="12" customWidth="1"/>
    <col min="4" max="4" width="36" style="12" customWidth="1"/>
    <col min="5" max="5" width="39.85546875" style="12" customWidth="1"/>
    <col min="6" max="6" width="27" style="12" customWidth="1"/>
    <col min="7" max="7" width="22.85546875" style="12" customWidth="1"/>
    <col min="8" max="8" width="18.5703125" style="12" customWidth="1"/>
    <col min="9" max="9" width="27.85546875" style="12" bestFit="1" customWidth="1"/>
    <col min="10" max="10" width="12.140625" style="12" customWidth="1"/>
    <col min="11" max="11" width="13.85546875" style="12" customWidth="1"/>
    <col min="12" max="16384" width="4" style="12"/>
  </cols>
  <sheetData>
    <row r="1" spans="2:10" ht="15.75" hidden="1" customHeight="1"/>
    <row r="2" spans="2:10" ht="15.95" hidden="1"/>
    <row r="3" spans="2:10" ht="15.95" hidden="1">
      <c r="C3" s="13"/>
      <c r="D3" s="13"/>
      <c r="E3" s="13" t="s">
        <v>44</v>
      </c>
    </row>
    <row r="4" spans="2:10" ht="15.95" hidden="1">
      <c r="C4" s="13"/>
      <c r="D4" s="13"/>
      <c r="E4" s="13">
        <f>Introduction!G4</f>
        <v>44564</v>
      </c>
    </row>
    <row r="5" spans="2:10" ht="15.95" hidden="1"/>
    <row r="6" spans="2:10" ht="15.95" hidden="1"/>
    <row r="7" spans="2:10" ht="15.95"/>
    <row r="8" spans="2:10" ht="15.95">
      <c r="B8" s="15" t="s">
        <v>345</v>
      </c>
      <c r="C8" s="74"/>
      <c r="D8" s="74"/>
      <c r="E8" s="74"/>
    </row>
    <row r="9" spans="2:10" ht="17.100000000000001" customHeight="1">
      <c r="B9" s="73" t="s">
        <v>46</v>
      </c>
      <c r="C9" s="199"/>
      <c r="D9" s="73"/>
      <c r="E9" s="199"/>
      <c r="F9" s="200"/>
      <c r="G9" s="200"/>
      <c r="H9" s="200"/>
    </row>
    <row r="10" spans="2:10" ht="30.6" customHeight="1">
      <c r="B10" s="201" t="s">
        <v>346</v>
      </c>
      <c r="C10" s="75"/>
      <c r="D10" s="339"/>
      <c r="E10" s="75"/>
      <c r="F10" s="44"/>
      <c r="G10" s="44"/>
      <c r="H10" s="44"/>
    </row>
    <row r="11" spans="2:10" ht="34.700000000000003" customHeight="1">
      <c r="B11" s="201" t="s">
        <v>347</v>
      </c>
      <c r="C11" s="75"/>
      <c r="D11" s="339"/>
      <c r="E11" s="75"/>
      <c r="F11" s="44"/>
      <c r="G11" s="44"/>
      <c r="H11" s="44"/>
    </row>
    <row r="12" spans="2:10" ht="65.45" customHeight="1">
      <c r="B12" s="201" t="s">
        <v>348</v>
      </c>
      <c r="C12" s="75"/>
      <c r="D12" s="339"/>
      <c r="E12" s="75"/>
      <c r="F12" s="44"/>
      <c r="G12" s="44"/>
      <c r="H12" s="44"/>
    </row>
    <row r="13" spans="2:10" ht="15.6" customHeight="1">
      <c r="B13" s="201" t="s">
        <v>349</v>
      </c>
      <c r="C13" s="75"/>
      <c r="D13" s="339"/>
      <c r="E13" s="75"/>
      <c r="F13" s="44"/>
      <c r="G13" s="44"/>
      <c r="H13" s="44"/>
    </row>
    <row r="14" spans="2:10" ht="15.95">
      <c r="B14" s="202" t="s">
        <v>350</v>
      </c>
      <c r="C14" s="76"/>
      <c r="D14" s="76"/>
      <c r="E14" s="76"/>
      <c r="F14" s="77"/>
      <c r="G14" s="77"/>
      <c r="H14" s="77"/>
      <c r="I14" s="77"/>
      <c r="J14" s="77"/>
    </row>
    <row r="15" spans="2:10" ht="15.95"/>
    <row r="16" spans="2:10" ht="23.1" thickBot="1">
      <c r="B16" s="350" t="s">
        <v>351</v>
      </c>
      <c r="C16" s="350"/>
      <c r="D16" s="350"/>
      <c r="E16" s="350"/>
    </row>
    <row r="17" spans="2:12" s="84" customFormat="1" ht="25.5" customHeight="1" thickBot="1">
      <c r="B17" s="351" t="s">
        <v>352</v>
      </c>
      <c r="C17" s="351"/>
      <c r="D17" s="351"/>
      <c r="E17" s="351"/>
    </row>
    <row r="18" spans="2:12" s="56" customFormat="1" ht="15.95">
      <c r="B18" s="352"/>
      <c r="C18" s="352"/>
      <c r="D18" s="352"/>
      <c r="E18" s="352"/>
    </row>
    <row r="19" spans="2:12" s="56" customFormat="1" ht="18.95">
      <c r="B19" s="263" t="s">
        <v>353</v>
      </c>
      <c r="C19" s="239"/>
      <c r="D19" s="264"/>
      <c r="E19" s="264"/>
      <c r="F19" s="203"/>
    </row>
    <row r="20" spans="2:12" s="56" customFormat="1" ht="15.95">
      <c r="B20" s="12" t="s">
        <v>354</v>
      </c>
      <c r="C20" s="12" t="s">
        <v>355</v>
      </c>
      <c r="D20" s="12" t="s">
        <v>356</v>
      </c>
      <c r="E20" s="12" t="s">
        <v>357</v>
      </c>
      <c r="F20" s="203"/>
      <c r="G20" s="205"/>
    </row>
    <row r="21" spans="2:12" s="56" customFormat="1" ht="15.95">
      <c r="B21" s="56" t="s">
        <v>358</v>
      </c>
      <c r="C21" s="12" t="s">
        <v>359</v>
      </c>
      <c r="D21" s="12"/>
      <c r="E21" s="206">
        <f>SUMIF(Government_revenues_table[Entité de l’État],Government_agencies[[#This Row],[Nom complet de l’entité]],Government_revenues_table[Valeur des revenus])</f>
        <v>78726541248</v>
      </c>
      <c r="F21" s="205"/>
      <c r="G21" s="205"/>
    </row>
    <row r="22" spans="2:12" s="56" customFormat="1" ht="15.95">
      <c r="B22" s="56" t="s">
        <v>360</v>
      </c>
      <c r="C22" s="56" t="s">
        <v>359</v>
      </c>
      <c r="E22" s="206">
        <f>SUMIF(Government_revenues_table[Entité de l’État],Government_agencies[[#This Row],[Nom complet de l’entité]],Government_revenues_table[Valeur des revenus])</f>
        <v>26354609190</v>
      </c>
      <c r="F22" s="205"/>
      <c r="G22" s="12"/>
      <c r="J22" s="203"/>
      <c r="K22" s="203"/>
      <c r="L22" s="203"/>
    </row>
    <row r="23" spans="2:12" s="56" customFormat="1" ht="15.95">
      <c r="B23" s="12" t="s">
        <v>361</v>
      </c>
      <c r="C23" s="56" t="s">
        <v>359</v>
      </c>
      <c r="E23" s="206">
        <f>SUMIF(Government_revenues_table[Entité de l’État],Government_agencies[[#This Row],[Nom complet de l’entité]],Government_revenues_table[Valeur des revenus])</f>
        <v>18215931379</v>
      </c>
      <c r="F23" s="205"/>
      <c r="G23" s="12"/>
      <c r="J23" s="205"/>
      <c r="K23" s="205"/>
      <c r="L23" s="205"/>
    </row>
    <row r="24" spans="2:12" s="56" customFormat="1" ht="15.95">
      <c r="B24" s="56" t="s">
        <v>362</v>
      </c>
      <c r="C24" s="56" t="s">
        <v>359</v>
      </c>
      <c r="E24" s="206">
        <f>SUMIF(Government_revenues_table[Entité de l’État],Government_agencies[[#This Row],[Nom complet de l’entité]],Government_revenues_table[Valeur des revenus])</f>
        <v>15374359157</v>
      </c>
      <c r="J24" s="205"/>
      <c r="K24" s="205"/>
      <c r="L24" s="205"/>
    </row>
    <row r="25" spans="2:12" s="56" customFormat="1" ht="15.95">
      <c r="B25" s="56" t="s">
        <v>363</v>
      </c>
      <c r="C25" s="56" t="s">
        <v>359</v>
      </c>
      <c r="E25" s="206">
        <f>SUMIF(Government_revenues_table[Entité de l’État],Government_agencies[[#This Row],[Nom complet de l’entité]],Government_revenues_table[Valeur des revenus])</f>
        <v>676944968</v>
      </c>
      <c r="J25" s="205"/>
      <c r="K25" s="205"/>
      <c r="L25" s="205"/>
    </row>
    <row r="26" spans="2:12" s="56" customFormat="1" ht="15.95">
      <c r="B26" s="56" t="s">
        <v>364</v>
      </c>
      <c r="C26" s="56" t="s">
        <v>359</v>
      </c>
      <c r="E26" s="206">
        <f>SUMIF(Government_revenues_table[Entité de l’État],Government_agencies[[#This Row],[Nom complet de l’entité]],Government_revenues_table[Valeur des revenus])</f>
        <v>238745215</v>
      </c>
      <c r="J26" s="205"/>
      <c r="K26" s="205"/>
      <c r="L26" s="205"/>
    </row>
    <row r="27" spans="2:12" s="56" customFormat="1" ht="15.95">
      <c r="B27" s="56" t="s">
        <v>365</v>
      </c>
      <c r="C27" s="56" t="s">
        <v>359</v>
      </c>
      <c r="E27" s="206">
        <f>SUMIF(Government_revenues_table[Entité de l’État],Government_agencies[[#This Row],[Nom complet de l’entité]],Government_revenues_table[Valeur des revenus])</f>
        <v>0</v>
      </c>
      <c r="J27" s="205"/>
      <c r="K27" s="205"/>
      <c r="L27" s="205"/>
    </row>
    <row r="28" spans="2:12" s="56" customFormat="1" ht="15.95">
      <c r="B28" s="56" t="s">
        <v>366</v>
      </c>
      <c r="C28" s="56" t="s">
        <v>359</v>
      </c>
      <c r="E28" s="206">
        <f>SUMIF(Government_revenues_table[Entité de l’État],Government_agencies[[#This Row],[Nom complet de l’entité]],Government_revenues_table[Valeur des revenus])</f>
        <v>0</v>
      </c>
      <c r="J28" s="205"/>
      <c r="K28" s="205"/>
      <c r="L28" s="205"/>
    </row>
    <row r="29" spans="2:12" s="56" customFormat="1" ht="15.95">
      <c r="B29" s="56" t="s">
        <v>367</v>
      </c>
      <c r="C29" s="56" t="s">
        <v>368</v>
      </c>
      <c r="E29" s="206">
        <f>SUMIF(Government_revenues_table[Entité de l’État],Government_agencies[[#This Row],[Nom complet de l’entité]],Government_revenues_table[Valeur des revenus])</f>
        <v>3231168996.8850574</v>
      </c>
      <c r="J29" s="205"/>
      <c r="K29" s="205"/>
      <c r="L29" s="205"/>
    </row>
    <row r="30" spans="2:12" s="56" customFormat="1" ht="15.95">
      <c r="B30" s="56" t="s">
        <v>369</v>
      </c>
      <c r="C30" s="56" t="s">
        <v>370</v>
      </c>
      <c r="E30" s="206">
        <f>SUMIF(Government_revenues_table[Entité de l’État],Government_agencies[[#This Row],[Nom complet de l’entité]],Government_revenues_table[Valeur des revenus])</f>
        <v>0</v>
      </c>
      <c r="J30" s="205"/>
      <c r="K30" s="205"/>
      <c r="L30" s="205"/>
    </row>
    <row r="31" spans="2:12" s="56" customFormat="1" ht="15.95">
      <c r="B31" s="56" t="s">
        <v>371</v>
      </c>
      <c r="C31" s="56" t="s">
        <v>370</v>
      </c>
      <c r="E31" s="206">
        <f>SUMIF(Government_revenues_table[Entité de l’État],Government_agencies[[#This Row],[Nom complet de l’entité]],Government_revenues_table[Valeur des revenus])</f>
        <v>0</v>
      </c>
      <c r="J31" s="205"/>
      <c r="K31" s="205"/>
      <c r="L31" s="205"/>
    </row>
    <row r="32" spans="2:12" s="56" customFormat="1" ht="15.95"/>
    <row r="33" spans="2:9" s="56" customFormat="1" ht="15.95">
      <c r="E33" s="203"/>
    </row>
    <row r="34" spans="2:9" s="56" customFormat="1" ht="15.95"/>
    <row r="35" spans="2:9" s="56" customFormat="1" ht="15.95"/>
    <row r="36" spans="2:9" s="56" customFormat="1" ht="19.5" thickBot="1">
      <c r="B36" s="263" t="s">
        <v>372</v>
      </c>
      <c r="C36" s="239"/>
      <c r="D36" s="239"/>
      <c r="E36" s="239"/>
      <c r="F36" s="239"/>
      <c r="G36" s="264"/>
      <c r="H36" s="264"/>
      <c r="I36" s="264"/>
    </row>
    <row r="37" spans="2:9" s="56" customFormat="1" ht="16.5" thickBot="1">
      <c r="B37" s="267" t="s">
        <v>373</v>
      </c>
      <c r="C37" s="267"/>
      <c r="D37" s="267"/>
      <c r="E37" s="33"/>
      <c r="F37" s="33"/>
      <c r="G37" s="265"/>
      <c r="H37" s="265"/>
      <c r="I37" s="265"/>
    </row>
    <row r="38" spans="2:9" s="56" customFormat="1" ht="27.95">
      <c r="B38" s="309" t="s">
        <v>374</v>
      </c>
      <c r="C38" s="268" t="s">
        <v>375</v>
      </c>
      <c r="D38" s="310" t="s">
        <v>376</v>
      </c>
      <c r="E38" s="33"/>
      <c r="F38" s="33"/>
      <c r="G38" s="265"/>
      <c r="H38" s="265"/>
      <c r="I38" s="265"/>
    </row>
    <row r="39" spans="2:9" s="56" customFormat="1" ht="18.95">
      <c r="B39" s="266"/>
      <c r="C39" s="33"/>
      <c r="D39" s="33"/>
      <c r="E39" s="33"/>
      <c r="F39" s="33"/>
      <c r="G39" s="265"/>
      <c r="H39" s="265"/>
      <c r="I39" s="265"/>
    </row>
    <row r="40" spans="2:9" s="56" customFormat="1" ht="80.099999999999994">
      <c r="B40" s="204" t="s">
        <v>377</v>
      </c>
      <c r="C40" s="204" t="s">
        <v>378</v>
      </c>
      <c r="D40" s="12" t="s">
        <v>379</v>
      </c>
      <c r="E40" s="12" t="s">
        <v>380</v>
      </c>
      <c r="F40" s="12" t="s">
        <v>381</v>
      </c>
      <c r="G40" s="36" t="s">
        <v>382</v>
      </c>
      <c r="H40" s="36" t="s">
        <v>383</v>
      </c>
      <c r="I40" s="36" t="s">
        <v>384</v>
      </c>
    </row>
    <row r="41" spans="2:9" s="56" customFormat="1" ht="15.95">
      <c r="B41" s="12" t="s">
        <v>385</v>
      </c>
      <c r="C41" s="12" t="s">
        <v>368</v>
      </c>
      <c r="D41" s="12" t="s">
        <v>386</v>
      </c>
      <c r="E41" s="12" t="s">
        <v>387</v>
      </c>
      <c r="F41" s="56" t="s">
        <v>388</v>
      </c>
      <c r="G41" s="291" t="s">
        <v>389</v>
      </c>
      <c r="H41" s="207" t="s">
        <v>64</v>
      </c>
      <c r="I41" s="206">
        <f>SUMIF(Table10[Entreprise],Companies[[#This Row],[Nom complet de l’entreprise]],Table10[Valeur de revenus])</f>
        <v>899640</v>
      </c>
    </row>
    <row r="42" spans="2:9" s="56" customFormat="1" ht="15.95">
      <c r="B42" s="12" t="s">
        <v>390</v>
      </c>
      <c r="C42" s="12" t="s">
        <v>391</v>
      </c>
      <c r="D42" s="56">
        <v>16627</v>
      </c>
      <c r="E42" s="12" t="s">
        <v>387</v>
      </c>
      <c r="F42" s="56" t="s">
        <v>392</v>
      </c>
      <c r="G42" s="291" t="s">
        <v>393</v>
      </c>
      <c r="H42" s="207" t="s">
        <v>64</v>
      </c>
      <c r="I42" s="206">
        <f>SUMIF(Table10[Entreprise],Companies[[#This Row],[Nom complet de l’entreprise]],Table10[Valeur de revenus])</f>
        <v>32757120698</v>
      </c>
    </row>
    <row r="43" spans="2:9" s="56" customFormat="1" ht="15.95">
      <c r="B43" s="56" t="s">
        <v>394</v>
      </c>
      <c r="C43" s="56" t="s">
        <v>391</v>
      </c>
      <c r="D43" s="56" t="s">
        <v>395</v>
      </c>
      <c r="E43" s="12" t="s">
        <v>387</v>
      </c>
      <c r="F43" s="56" t="s">
        <v>396</v>
      </c>
      <c r="G43" s="291" t="s">
        <v>397</v>
      </c>
      <c r="H43" s="207" t="s">
        <v>64</v>
      </c>
      <c r="I43" s="206">
        <f>SUMIF(Table10[Entreprise],Companies[[#This Row],[Nom complet de l’entreprise]],Table10[Valeur de revenus])</f>
        <v>31110176184</v>
      </c>
    </row>
    <row r="44" spans="2:9" s="56" customFormat="1" ht="15.95">
      <c r="B44" s="56" t="s">
        <v>398</v>
      </c>
      <c r="C44" s="56" t="s">
        <v>391</v>
      </c>
      <c r="D44" s="56" t="s">
        <v>399</v>
      </c>
      <c r="E44" s="12" t="s">
        <v>387</v>
      </c>
      <c r="F44" s="56" t="s">
        <v>400</v>
      </c>
      <c r="G44" s="291"/>
      <c r="H44" s="207" t="s">
        <v>64</v>
      </c>
      <c r="I44" s="206">
        <f>SUMIF(Table10[Entreprise],Companies[[#This Row],[Nom complet de l’entreprise]],Table10[Valeur de revenus])</f>
        <v>19890608853</v>
      </c>
    </row>
    <row r="45" spans="2:9" s="56" customFormat="1" ht="15.95">
      <c r="B45" s="56" t="s">
        <v>401</v>
      </c>
      <c r="C45" s="56" t="s">
        <v>391</v>
      </c>
      <c r="D45" s="56" t="s">
        <v>402</v>
      </c>
      <c r="E45" s="12" t="s">
        <v>387</v>
      </c>
      <c r="F45" s="56" t="s">
        <v>403</v>
      </c>
      <c r="G45" s="291" t="s">
        <v>404</v>
      </c>
      <c r="H45" s="207" t="s">
        <v>64</v>
      </c>
      <c r="I45" s="206">
        <f>SUMIF(Table10[Entreprise],Companies[[#This Row],[Nom complet de l’entreprise]],Table10[Valeur de revenus])</f>
        <v>6014326843</v>
      </c>
    </row>
    <row r="46" spans="2:9" s="56" customFormat="1" ht="15.95">
      <c r="B46" s="56" t="s">
        <v>405</v>
      </c>
      <c r="C46" s="56" t="s">
        <v>391</v>
      </c>
      <c r="D46" s="56" t="s">
        <v>406</v>
      </c>
      <c r="E46" s="12" t="s">
        <v>387</v>
      </c>
      <c r="F46" s="56" t="s">
        <v>407</v>
      </c>
      <c r="G46" s="291"/>
      <c r="H46" s="207" t="s">
        <v>64</v>
      </c>
      <c r="I46" s="206">
        <f>SUMIF(Table10[Entreprise],Companies[[#This Row],[Nom complet de l’entreprise]],Table10[Valeur de revenus])</f>
        <v>585249698</v>
      </c>
    </row>
    <row r="47" spans="2:9" s="56" customFormat="1" ht="15.95">
      <c r="B47" s="56" t="s">
        <v>408</v>
      </c>
      <c r="C47" s="56" t="s">
        <v>391</v>
      </c>
      <c r="D47" s="56" t="s">
        <v>409</v>
      </c>
      <c r="E47" s="12" t="s">
        <v>387</v>
      </c>
      <c r="F47" s="56" t="s">
        <v>410</v>
      </c>
      <c r="G47" s="291" t="s">
        <v>411</v>
      </c>
      <c r="H47" s="207" t="s">
        <v>64</v>
      </c>
      <c r="I47" s="206">
        <f>SUMIF(Table10[Entreprise],Companies[[#This Row],[Nom complet de l’entreprise]],Table10[Valeur de revenus])</f>
        <v>558753168</v>
      </c>
    </row>
    <row r="48" spans="2:9" s="56" customFormat="1" ht="15.95">
      <c r="B48" s="56" t="s">
        <v>412</v>
      </c>
      <c r="C48" s="56" t="s">
        <v>391</v>
      </c>
      <c r="D48" s="56" t="s">
        <v>413</v>
      </c>
      <c r="E48" s="12" t="s">
        <v>387</v>
      </c>
      <c r="F48" s="56" t="s">
        <v>414</v>
      </c>
      <c r="G48" s="291" t="s">
        <v>415</v>
      </c>
      <c r="H48" s="207" t="s">
        <v>64</v>
      </c>
      <c r="I48" s="206">
        <f>SUMIF(Table10[Entreprise],Companies[[#This Row],[Nom complet de l’entreprise]],Table10[Valeur de revenus])</f>
        <v>16942535306</v>
      </c>
    </row>
    <row r="49" spans="2:9" s="56" customFormat="1" ht="15.95">
      <c r="B49" s="56" t="s">
        <v>416</v>
      </c>
      <c r="C49" s="56" t="s">
        <v>391</v>
      </c>
      <c r="D49" s="56" t="s">
        <v>417</v>
      </c>
      <c r="E49" s="12" t="s">
        <v>387</v>
      </c>
      <c r="F49" s="56" t="s">
        <v>418</v>
      </c>
      <c r="G49" s="291" t="s">
        <v>419</v>
      </c>
      <c r="H49" s="207" t="s">
        <v>64</v>
      </c>
      <c r="I49" s="206">
        <f>SUMIF(Table10[Entreprise],Companies[[#This Row],[Nom complet de l’entreprise]],Table10[Valeur de revenus])</f>
        <v>17930548105</v>
      </c>
    </row>
    <row r="50" spans="2:9" s="56" customFormat="1" ht="15.95">
      <c r="B50" s="56" t="s">
        <v>420</v>
      </c>
      <c r="C50" s="56" t="s">
        <v>391</v>
      </c>
      <c r="D50" s="56" t="s">
        <v>421</v>
      </c>
      <c r="E50" s="12" t="s">
        <v>387</v>
      </c>
      <c r="F50" s="56" t="s">
        <v>410</v>
      </c>
      <c r="G50" s="207"/>
      <c r="H50" s="207" t="s">
        <v>71</v>
      </c>
      <c r="I50" s="206">
        <f>SUMIF(Table10[Entreprise],Companies[[#This Row],[Nom complet de l’entreprise]],Table10[Valeur de revenus])</f>
        <v>81176359</v>
      </c>
    </row>
    <row r="51" spans="2:9" s="56" customFormat="1" ht="15.95">
      <c r="B51" s="56" t="s">
        <v>422</v>
      </c>
      <c r="C51" s="56" t="s">
        <v>391</v>
      </c>
      <c r="D51" s="56" t="s">
        <v>423</v>
      </c>
      <c r="E51" s="12" t="s">
        <v>387</v>
      </c>
      <c r="F51" s="56" t="s">
        <v>396</v>
      </c>
      <c r="G51" s="291" t="s">
        <v>424</v>
      </c>
      <c r="H51" s="207" t="s">
        <v>64</v>
      </c>
      <c r="I51" s="206">
        <f>SUMIF(Table10[Entreprise],Companies[[#This Row],[Nom complet de l’entreprise]],Table10[Valeur de revenus])</f>
        <v>203200776</v>
      </c>
    </row>
    <row r="52" spans="2:9" s="56" customFormat="1" ht="15.95">
      <c r="B52" s="56" t="s">
        <v>425</v>
      </c>
      <c r="C52" s="56" t="s">
        <v>391</v>
      </c>
      <c r="D52" s="56" t="s">
        <v>426</v>
      </c>
      <c r="E52" s="12" t="s">
        <v>387</v>
      </c>
      <c r="F52" s="56" t="s">
        <v>396</v>
      </c>
      <c r="G52" s="207"/>
      <c r="H52" s="207" t="s">
        <v>64</v>
      </c>
      <c r="I52" s="206">
        <f>SUMIF(Table10[Entreprise],Companies[[#This Row],[Nom complet de l’entreprise]],Table10[Valeur de revenus])</f>
        <v>113315516</v>
      </c>
    </row>
    <row r="53" spans="2:9" s="56" customFormat="1" ht="15.95">
      <c r="B53" s="56" t="s">
        <v>427</v>
      </c>
      <c r="C53" s="56" t="s">
        <v>391</v>
      </c>
      <c r="D53" s="56" t="s">
        <v>428</v>
      </c>
      <c r="E53" s="12" t="s">
        <v>387</v>
      </c>
      <c r="F53" s="56" t="s">
        <v>396</v>
      </c>
      <c r="G53" s="291" t="s">
        <v>397</v>
      </c>
      <c r="H53" s="207" t="s">
        <v>64</v>
      </c>
      <c r="I53" s="206">
        <f>SUMIF(Table10[Entreprise],Companies[[#This Row],[Nom complet de l’entreprise]],Table10[Valeur de revenus])</f>
        <v>374868985</v>
      </c>
    </row>
    <row r="54" spans="2:9" s="56" customFormat="1" ht="15.95">
      <c r="B54" s="56" t="s">
        <v>429</v>
      </c>
      <c r="C54" s="56" t="s">
        <v>391</v>
      </c>
      <c r="D54" s="56">
        <v>4013041</v>
      </c>
      <c r="E54" s="12" t="s">
        <v>387</v>
      </c>
      <c r="F54" s="56" t="s">
        <v>410</v>
      </c>
      <c r="G54" s="207"/>
      <c r="H54" s="207" t="s">
        <v>64</v>
      </c>
      <c r="I54" s="206">
        <f>SUMIF(Table10[Entreprise],Companies[[#This Row],[Nom complet de l’entreprise]],Table10[Valeur de revenus])</f>
        <v>47525147</v>
      </c>
    </row>
    <row r="55" spans="2:9" s="56" customFormat="1" ht="15.95">
      <c r="B55" s="56" t="s">
        <v>430</v>
      </c>
      <c r="C55" s="56" t="s">
        <v>391</v>
      </c>
      <c r="D55" s="56" t="s">
        <v>431</v>
      </c>
      <c r="E55" s="12" t="s">
        <v>387</v>
      </c>
      <c r="F55" s="56" t="s">
        <v>410</v>
      </c>
      <c r="G55" s="207"/>
      <c r="H55" s="207" t="s">
        <v>64</v>
      </c>
      <c r="I55" s="206">
        <f>SUMIF(Table10[Entreprise],Companies[[#This Row],[Nom complet de l’entreprise]],Table10[Valeur de revenus])</f>
        <v>0</v>
      </c>
    </row>
    <row r="56" spans="2:9" s="56" customFormat="1" ht="15.95">
      <c r="B56" s="56" t="s">
        <v>432</v>
      </c>
      <c r="C56" s="56" t="s">
        <v>391</v>
      </c>
      <c r="D56" s="56" t="s">
        <v>433</v>
      </c>
      <c r="E56" s="12" t="s">
        <v>387</v>
      </c>
      <c r="F56" s="56" t="s">
        <v>434</v>
      </c>
      <c r="G56" s="291" t="s">
        <v>435</v>
      </c>
      <c r="H56" s="207" t="s">
        <v>64</v>
      </c>
      <c r="I56" s="206">
        <f>SUMIF(Table10[Entreprise],Companies[[#This Row],[Nom complet de l’entreprise]],Table10[Valeur de revenus])</f>
        <v>15134617</v>
      </c>
    </row>
    <row r="57" spans="2:9" s="56" customFormat="1" ht="15.95">
      <c r="B57" s="56" t="s">
        <v>436</v>
      </c>
      <c r="C57" s="56" t="s">
        <v>391</v>
      </c>
      <c r="D57" s="56" t="s">
        <v>437</v>
      </c>
      <c r="E57" s="12" t="s">
        <v>387</v>
      </c>
      <c r="F57" s="56" t="s">
        <v>438</v>
      </c>
      <c r="G57" s="207"/>
      <c r="H57" s="207" t="s">
        <v>64</v>
      </c>
      <c r="I57" s="206">
        <f>SUMIF(Table10[Entreprise],Companies[[#This Row],[Nom complet de l’entreprise]],Table10[Valeur de revenus])</f>
        <v>2340719844</v>
      </c>
    </row>
    <row r="58" spans="2:9" s="56" customFormat="1" ht="15.95">
      <c r="B58" s="56" t="s">
        <v>439</v>
      </c>
      <c r="C58" s="56" t="s">
        <v>391</v>
      </c>
      <c r="D58" s="56" t="s">
        <v>440</v>
      </c>
      <c r="E58" s="12" t="s">
        <v>387</v>
      </c>
      <c r="F58" s="56" t="s">
        <v>441</v>
      </c>
      <c r="G58" s="291" t="s">
        <v>442</v>
      </c>
      <c r="H58" s="207" t="s">
        <v>64</v>
      </c>
      <c r="I58" s="206">
        <f>SUMIF(Table10[Entreprise],Companies[[#This Row],[Nom complet de l’entreprise]],Table10[Valeur de revenus])</f>
        <v>3943724178</v>
      </c>
    </row>
    <row r="59" spans="2:9" s="56" customFormat="1" ht="15.95">
      <c r="B59" s="56" t="s">
        <v>443</v>
      </c>
      <c r="C59" s="56" t="s">
        <v>368</v>
      </c>
      <c r="D59" s="56" t="s">
        <v>444</v>
      </c>
      <c r="E59" s="56" t="s">
        <v>445</v>
      </c>
      <c r="F59" s="56" t="s">
        <v>86</v>
      </c>
      <c r="G59" s="291" t="s">
        <v>446</v>
      </c>
      <c r="H59" s="207" t="s">
        <v>64</v>
      </c>
      <c r="I59" s="206">
        <f>SUMIF(Table10[Entreprise],Companies[[#This Row],[Nom complet de l’entreprise]],Table10[Valeur de revenus])</f>
        <v>100072086</v>
      </c>
    </row>
    <row r="60" spans="2:9" s="56" customFormat="1" ht="15.95">
      <c r="B60" s="56" t="s">
        <v>447</v>
      </c>
      <c r="C60" s="56" t="s">
        <v>391</v>
      </c>
      <c r="D60" s="56">
        <v>415770</v>
      </c>
      <c r="E60" s="56" t="s">
        <v>86</v>
      </c>
      <c r="F60" s="56" t="s">
        <v>86</v>
      </c>
      <c r="G60" s="207"/>
      <c r="H60" s="207" t="s">
        <v>64</v>
      </c>
      <c r="I60" s="206">
        <f>SUMIF(Table10[Entreprise],Companies[[#This Row],[Nom complet de l’entreprise]],Table10[Valeur de revenus])</f>
        <v>655222081</v>
      </c>
    </row>
    <row r="61" spans="2:9" s="56" customFormat="1" ht="15.95">
      <c r="B61" s="56" t="s">
        <v>448</v>
      </c>
      <c r="C61" s="56" t="s">
        <v>391</v>
      </c>
      <c r="D61" s="56">
        <v>4888056</v>
      </c>
      <c r="E61" s="56" t="s">
        <v>445</v>
      </c>
      <c r="F61" s="56" t="s">
        <v>86</v>
      </c>
      <c r="G61" s="291" t="s">
        <v>449</v>
      </c>
      <c r="H61" s="207" t="s">
        <v>64</v>
      </c>
      <c r="I61" s="206">
        <f>SUMIF(Table10[Entreprise],Companies[[#This Row],[Nom complet de l’entreprise]],Table10[Valeur de revenus])</f>
        <v>0</v>
      </c>
    </row>
    <row r="62" spans="2:9" s="56" customFormat="1" ht="15.95">
      <c r="B62" s="56" t="s">
        <v>450</v>
      </c>
      <c r="C62" s="56" t="s">
        <v>391</v>
      </c>
      <c r="D62" s="56" t="s">
        <v>451</v>
      </c>
      <c r="E62" s="56" t="s">
        <v>445</v>
      </c>
      <c r="F62" s="56" t="s">
        <v>86</v>
      </c>
      <c r="G62" s="291" t="s">
        <v>452</v>
      </c>
      <c r="H62" s="207" t="s">
        <v>71</v>
      </c>
      <c r="I62" s="206">
        <f>SUMIF(Table10[Entreprise],Companies[[#This Row],[Nom complet de l’entreprise]],Table10[Valeur de revenus])</f>
        <v>1000000</v>
      </c>
    </row>
    <row r="63" spans="2:9" s="56" customFormat="1" ht="15.95">
      <c r="B63" s="56" t="s">
        <v>453</v>
      </c>
      <c r="C63" s="56" t="s">
        <v>391</v>
      </c>
      <c r="D63" s="56" t="s">
        <v>454</v>
      </c>
      <c r="E63" s="56" t="s">
        <v>445</v>
      </c>
      <c r="F63" s="56" t="s">
        <v>86</v>
      </c>
      <c r="G63" s="291" t="s">
        <v>455</v>
      </c>
      <c r="H63" s="207" t="s">
        <v>64</v>
      </c>
      <c r="I63" s="206">
        <f>SUMIF(Table10[Entreprise],Companies[[#This Row],[Nom complet de l’entreprise]],Table10[Valeur de revenus])</f>
        <v>297489930</v>
      </c>
    </row>
    <row r="64" spans="2:9" s="56" customFormat="1" ht="15.95">
      <c r="B64" s="56" t="s">
        <v>456</v>
      </c>
      <c r="C64" s="56" t="s">
        <v>391</v>
      </c>
      <c r="D64" s="56">
        <v>6501383</v>
      </c>
      <c r="E64" s="56" t="s">
        <v>445</v>
      </c>
      <c r="F64" s="56" t="s">
        <v>86</v>
      </c>
      <c r="G64" s="291" t="s">
        <v>457</v>
      </c>
      <c r="H64" s="207" t="s">
        <v>64</v>
      </c>
      <c r="I64" s="206">
        <f>SUMIF(Table10[Entreprise],Companies[[#This Row],[Nom complet de l’entreprise]],Table10[Valeur de revenus])</f>
        <v>2180924463.5862069</v>
      </c>
    </row>
    <row r="65" spans="2:10" s="56" customFormat="1" ht="15.95">
      <c r="B65" s="56" t="s">
        <v>458</v>
      </c>
      <c r="C65" s="56" t="s">
        <v>391</v>
      </c>
      <c r="D65" s="56" t="s">
        <v>459</v>
      </c>
      <c r="E65" s="56" t="s">
        <v>445</v>
      </c>
      <c r="F65" s="56" t="s">
        <v>86</v>
      </c>
      <c r="G65" s="291" t="s">
        <v>460</v>
      </c>
      <c r="H65" s="207" t="s">
        <v>64</v>
      </c>
      <c r="I65" s="206">
        <f>SUMIF(Table10[Entreprise],Companies[[#This Row],[Nom complet de l’entreprise]],Table10[Valeur de revenus])</f>
        <v>4981068645</v>
      </c>
    </row>
    <row r="66" spans="2:10" s="56" customFormat="1" ht="15.95">
      <c r="B66" s="56" t="s">
        <v>461</v>
      </c>
      <c r="C66" s="56" t="s">
        <v>391</v>
      </c>
      <c r="D66" s="56" t="s">
        <v>462</v>
      </c>
      <c r="E66" s="56" t="s">
        <v>445</v>
      </c>
      <c r="F66" s="56" t="s">
        <v>86</v>
      </c>
      <c r="G66" s="291" t="s">
        <v>463</v>
      </c>
      <c r="H66" s="207" t="s">
        <v>64</v>
      </c>
      <c r="I66" s="206">
        <f>SUMIF(Table10[Entreprise],Companies[[#This Row],[Nom complet de l’entreprise]],Table10[Valeur de revenus])</f>
        <v>321513804.88505751</v>
      </c>
    </row>
    <row r="67" spans="2:10" s="56" customFormat="1" ht="15.95"/>
    <row r="68" spans="2:10" s="56" customFormat="1" ht="18.95">
      <c r="B68" s="263" t="s">
        <v>464</v>
      </c>
      <c r="C68" s="239"/>
      <c r="D68" s="239"/>
      <c r="E68" s="239"/>
      <c r="F68" s="239"/>
      <c r="G68" s="264"/>
      <c r="H68" s="264"/>
      <c r="I68" s="264"/>
      <c r="J68" s="264"/>
    </row>
    <row r="69" spans="2:10" s="56" customFormat="1" ht="15.95">
      <c r="B69" s="204" t="s">
        <v>465</v>
      </c>
      <c r="C69" s="198" t="s">
        <v>466</v>
      </c>
      <c r="D69" s="198" t="s">
        <v>467</v>
      </c>
      <c r="E69" s="198" t="s">
        <v>468</v>
      </c>
      <c r="F69" s="12" t="s">
        <v>469</v>
      </c>
      <c r="G69" s="12" t="s">
        <v>470</v>
      </c>
      <c r="H69" s="12" t="s">
        <v>471</v>
      </c>
      <c r="I69" s="12" t="s">
        <v>472</v>
      </c>
      <c r="J69" s="12" t="s">
        <v>473</v>
      </c>
    </row>
    <row r="70" spans="2:10" s="56" customFormat="1" ht="15.95">
      <c r="B70" s="12" t="s">
        <v>474</v>
      </c>
      <c r="C70" s="208"/>
      <c r="D70" s="208" t="s">
        <v>394</v>
      </c>
      <c r="E70" s="208" t="s">
        <v>475</v>
      </c>
      <c r="F70" s="208" t="s">
        <v>476</v>
      </c>
      <c r="G70" s="292">
        <v>7.04</v>
      </c>
      <c r="H70" s="56" t="s">
        <v>192</v>
      </c>
      <c r="I70" s="207">
        <v>217681439394.582</v>
      </c>
      <c r="J70" s="56" t="s">
        <v>94</v>
      </c>
    </row>
    <row r="71" spans="2:10" s="56" customFormat="1" ht="15.95">
      <c r="B71" s="12" t="s">
        <v>477</v>
      </c>
      <c r="C71" s="208"/>
      <c r="D71" s="208" t="s">
        <v>416</v>
      </c>
      <c r="E71" s="208" t="s">
        <v>475</v>
      </c>
      <c r="F71" s="208" t="s">
        <v>476</v>
      </c>
      <c r="G71" s="292">
        <v>5.8</v>
      </c>
      <c r="H71" s="56" t="s">
        <v>192</v>
      </c>
      <c r="I71" s="207">
        <v>179339822228.49118</v>
      </c>
      <c r="J71" s="56" t="s">
        <v>94</v>
      </c>
    </row>
    <row r="72" spans="2:10" s="56" customFormat="1" ht="15.95">
      <c r="B72" s="12" t="s">
        <v>478</v>
      </c>
      <c r="C72" s="208"/>
      <c r="D72" s="56" t="s">
        <v>401</v>
      </c>
      <c r="E72" s="208" t="s">
        <v>213</v>
      </c>
      <c r="F72" s="208" t="s">
        <v>476</v>
      </c>
      <c r="G72" s="292">
        <v>345531.15399999998</v>
      </c>
      <c r="H72" s="56" t="s">
        <v>192</v>
      </c>
      <c r="I72" s="207">
        <v>36866336232.300003</v>
      </c>
      <c r="J72" s="56" t="s">
        <v>94</v>
      </c>
    </row>
    <row r="73" spans="2:10" s="56" customFormat="1" ht="15.95">
      <c r="B73" s="12" t="s">
        <v>478</v>
      </c>
      <c r="C73" s="208"/>
      <c r="D73" s="56" t="s">
        <v>401</v>
      </c>
      <c r="E73" s="208" t="s">
        <v>214</v>
      </c>
      <c r="F73" s="208" t="s">
        <v>476</v>
      </c>
      <c r="G73" s="292">
        <v>26700.341999999997</v>
      </c>
      <c r="H73" s="56" t="s">
        <v>192</v>
      </c>
      <c r="I73" s="207">
        <v>3513689437.0999999</v>
      </c>
      <c r="J73" s="56" t="s">
        <v>94</v>
      </c>
    </row>
    <row r="74" spans="2:10" s="56" customFormat="1" ht="15.95">
      <c r="B74" s="12" t="s">
        <v>478</v>
      </c>
      <c r="D74" s="56" t="s">
        <v>401</v>
      </c>
      <c r="E74" s="208" t="s">
        <v>215</v>
      </c>
      <c r="F74" s="208" t="s">
        <v>476</v>
      </c>
      <c r="G74" s="292">
        <v>139767.60200000001</v>
      </c>
      <c r="H74" s="56" t="s">
        <v>192</v>
      </c>
      <c r="I74" s="207">
        <v>17700857101.900002</v>
      </c>
      <c r="J74" s="56" t="s">
        <v>94</v>
      </c>
    </row>
    <row r="75" spans="2:10" s="56" customFormat="1" ht="15.95">
      <c r="B75" s="12" t="s">
        <v>478</v>
      </c>
      <c r="C75" s="208"/>
      <c r="D75" s="56" t="s">
        <v>401</v>
      </c>
      <c r="E75" s="208" t="s">
        <v>219</v>
      </c>
      <c r="F75" s="208" t="s">
        <v>476</v>
      </c>
      <c r="G75" s="292">
        <v>34923.678609999995</v>
      </c>
      <c r="H75" s="56" t="s">
        <v>192</v>
      </c>
      <c r="I75" s="207">
        <v>27822870211.919998</v>
      </c>
      <c r="J75" s="56" t="s">
        <v>94</v>
      </c>
    </row>
    <row r="76" spans="2:10" s="56" customFormat="1" ht="15.95">
      <c r="B76" s="12" t="s">
        <v>478</v>
      </c>
      <c r="C76" s="208"/>
      <c r="D76" s="56" t="s">
        <v>401</v>
      </c>
      <c r="E76" s="208" t="s">
        <v>220</v>
      </c>
      <c r="F76" s="208" t="s">
        <v>476</v>
      </c>
      <c r="G76" s="292">
        <v>26917.187299000001</v>
      </c>
      <c r="H76" s="56" t="s">
        <v>192</v>
      </c>
      <c r="I76" s="207">
        <v>20328016978.349998</v>
      </c>
      <c r="J76" s="56" t="s">
        <v>94</v>
      </c>
    </row>
    <row r="77" spans="2:10" s="56" customFormat="1" ht="15.95">
      <c r="B77" s="12" t="s">
        <v>478</v>
      </c>
      <c r="C77" s="208"/>
      <c r="D77" s="56" t="s">
        <v>401</v>
      </c>
      <c r="E77" s="208" t="s">
        <v>217</v>
      </c>
      <c r="F77" s="208" t="s">
        <v>476</v>
      </c>
      <c r="G77" s="292">
        <v>21416.224999999999</v>
      </c>
      <c r="H77" s="56" t="s">
        <v>192</v>
      </c>
      <c r="I77" s="207">
        <v>3775434542.0900002</v>
      </c>
      <c r="J77" s="56" t="s">
        <v>94</v>
      </c>
    </row>
    <row r="78" spans="2:10" ht="15.95">
      <c r="B78" s="12" t="s">
        <v>478</v>
      </c>
      <c r="C78" s="208"/>
      <c r="D78" s="56" t="s">
        <v>401</v>
      </c>
      <c r="E78" s="208" t="s">
        <v>218</v>
      </c>
      <c r="F78" s="208" t="s">
        <v>476</v>
      </c>
      <c r="G78" s="292">
        <v>3980</v>
      </c>
      <c r="H78" s="56" t="s">
        <v>192</v>
      </c>
      <c r="I78" s="207">
        <v>2786713472.54</v>
      </c>
      <c r="J78" s="56" t="s">
        <v>94</v>
      </c>
    </row>
    <row r="79" spans="2:10" ht="15.95">
      <c r="B79" s="12" t="s">
        <v>478</v>
      </c>
      <c r="C79" s="208"/>
      <c r="D79" s="56" t="s">
        <v>401</v>
      </c>
      <c r="E79" s="208" t="s">
        <v>216</v>
      </c>
      <c r="F79" s="208" t="s">
        <v>476</v>
      </c>
      <c r="G79" s="292">
        <v>5640</v>
      </c>
      <c r="H79" s="56" t="s">
        <v>192</v>
      </c>
      <c r="I79" s="207">
        <v>2379423412.98</v>
      </c>
      <c r="J79" s="56" t="s">
        <v>94</v>
      </c>
    </row>
    <row r="80" spans="2:10" ht="15.95">
      <c r="B80" s="12" t="s">
        <v>479</v>
      </c>
      <c r="C80" s="208"/>
      <c r="D80" s="208" t="s">
        <v>408</v>
      </c>
      <c r="E80" s="208" t="s">
        <v>480</v>
      </c>
      <c r="F80" s="208" t="s">
        <v>476</v>
      </c>
      <c r="G80" s="292">
        <v>1649000</v>
      </c>
      <c r="H80" s="56" t="s">
        <v>192</v>
      </c>
      <c r="I80" s="207">
        <v>56151426388.315193</v>
      </c>
      <c r="J80" s="56" t="s">
        <v>94</v>
      </c>
    </row>
    <row r="81" spans="2:10" s="56" customFormat="1" ht="15.95">
      <c r="B81" s="12" t="s">
        <v>481</v>
      </c>
      <c r="C81" s="208"/>
      <c r="D81" s="208" t="s">
        <v>429</v>
      </c>
      <c r="E81" s="208" t="s">
        <v>480</v>
      </c>
      <c r="F81" s="208" t="s">
        <v>476</v>
      </c>
      <c r="G81" s="292">
        <v>58310.232999999993</v>
      </c>
      <c r="H81" s="56" t="s">
        <v>192</v>
      </c>
      <c r="I81" s="207">
        <v>36866336232.300003</v>
      </c>
      <c r="J81" s="56" t="s">
        <v>94</v>
      </c>
    </row>
    <row r="82" spans="2:10" s="56" customFormat="1" ht="15.95">
      <c r="B82" s="12" t="s">
        <v>482</v>
      </c>
      <c r="C82" s="208"/>
      <c r="D82" s="208" t="s">
        <v>420</v>
      </c>
      <c r="E82" s="208" t="s">
        <v>480</v>
      </c>
      <c r="F82" s="208" t="s">
        <v>476</v>
      </c>
      <c r="G82" s="292">
        <v>431124</v>
      </c>
      <c r="H82" s="56" t="s">
        <v>192</v>
      </c>
      <c r="I82" s="207">
        <v>14680550364</v>
      </c>
      <c r="J82" s="56" t="s">
        <v>94</v>
      </c>
    </row>
    <row r="83" spans="2:10" s="56" customFormat="1" ht="15.95">
      <c r="B83" s="12" t="s">
        <v>483</v>
      </c>
      <c r="C83" s="208"/>
      <c r="D83" s="56" t="s">
        <v>405</v>
      </c>
      <c r="E83" s="56" t="s">
        <v>209</v>
      </c>
      <c r="F83" s="208" t="s">
        <v>476</v>
      </c>
      <c r="G83" s="292">
        <v>186615.14</v>
      </c>
      <c r="H83" s="56" t="s">
        <v>192</v>
      </c>
      <c r="I83" s="207">
        <v>8303211040</v>
      </c>
      <c r="J83" s="56" t="s">
        <v>94</v>
      </c>
    </row>
    <row r="84" spans="2:10" s="56" customFormat="1" ht="15.95">
      <c r="B84" s="12" t="s">
        <v>484</v>
      </c>
      <c r="C84" s="208"/>
      <c r="D84" s="56" t="s">
        <v>398</v>
      </c>
      <c r="E84" s="56" t="s">
        <v>485</v>
      </c>
      <c r="F84" s="208" t="s">
        <v>476</v>
      </c>
      <c r="G84" s="292">
        <v>2404017</v>
      </c>
      <c r="H84" s="56" t="s">
        <v>192</v>
      </c>
      <c r="I84" s="207">
        <v>5048435700</v>
      </c>
      <c r="J84" s="56" t="s">
        <v>94</v>
      </c>
    </row>
    <row r="85" spans="2:10" s="56" customFormat="1" ht="15.95">
      <c r="B85" s="12" t="s">
        <v>484</v>
      </c>
      <c r="C85" s="208"/>
      <c r="D85" s="56" t="s">
        <v>398</v>
      </c>
      <c r="E85" s="56" t="s">
        <v>486</v>
      </c>
      <c r="F85" s="208" t="s">
        <v>476</v>
      </c>
      <c r="G85" s="292">
        <v>367462</v>
      </c>
      <c r="H85" s="56" t="s">
        <v>192</v>
      </c>
      <c r="I85" s="207">
        <v>1212624600</v>
      </c>
      <c r="J85" s="56" t="s">
        <v>94</v>
      </c>
    </row>
    <row r="86" spans="2:10" s="56" customFormat="1" ht="15.95">
      <c r="B86" s="12" t="s">
        <v>487</v>
      </c>
      <c r="C86" s="208"/>
      <c r="D86" s="12" t="s">
        <v>390</v>
      </c>
      <c r="E86" s="56" t="s">
        <v>485</v>
      </c>
      <c r="F86" s="208" t="s">
        <v>476</v>
      </c>
      <c r="G86" s="292">
        <v>950428</v>
      </c>
      <c r="H86" s="56" t="s">
        <v>192</v>
      </c>
      <c r="I86" s="207">
        <v>2086189460</v>
      </c>
      <c r="J86" s="56" t="s">
        <v>94</v>
      </c>
    </row>
    <row r="87" spans="2:10" s="56" customFormat="1" ht="15.95">
      <c r="B87" s="12" t="s">
        <v>487</v>
      </c>
      <c r="C87" s="208"/>
      <c r="D87" s="12" t="s">
        <v>390</v>
      </c>
      <c r="E87" s="56" t="s">
        <v>211</v>
      </c>
      <c r="F87" s="208" t="s">
        <v>476</v>
      </c>
      <c r="G87" s="292">
        <v>1845762</v>
      </c>
      <c r="H87" s="56" t="s">
        <v>192</v>
      </c>
      <c r="I87" s="207">
        <v>4051447590</v>
      </c>
      <c r="J87" s="56" t="s">
        <v>94</v>
      </c>
    </row>
    <row r="88" spans="2:10" s="56" customFormat="1" ht="15.95">
      <c r="B88" s="12" t="s">
        <v>487</v>
      </c>
      <c r="C88" s="208"/>
      <c r="D88" s="12" t="s">
        <v>390</v>
      </c>
      <c r="E88" s="56" t="s">
        <v>206</v>
      </c>
      <c r="F88" s="208" t="s">
        <v>476</v>
      </c>
      <c r="G88" s="292">
        <v>138896.17600000001</v>
      </c>
      <c r="H88" s="56" t="s">
        <v>195</v>
      </c>
      <c r="I88" s="207">
        <v>69448088</v>
      </c>
      <c r="J88" s="56" t="s">
        <v>94</v>
      </c>
    </row>
    <row r="89" spans="2:10" s="56" customFormat="1" ht="15.95">
      <c r="B89" s="12" t="s">
        <v>488</v>
      </c>
      <c r="C89" s="208"/>
      <c r="D89" s="208" t="s">
        <v>412</v>
      </c>
      <c r="E89" s="56" t="s">
        <v>485</v>
      </c>
      <c r="F89" s="208" t="s">
        <v>476</v>
      </c>
      <c r="G89" s="292">
        <v>2014833</v>
      </c>
      <c r="H89" s="56" t="s">
        <v>192</v>
      </c>
      <c r="I89" s="207">
        <v>4231149300</v>
      </c>
      <c r="J89" s="56" t="s">
        <v>94</v>
      </c>
    </row>
    <row r="90" spans="2:10" s="56" customFormat="1" ht="15.95">
      <c r="B90" s="12" t="s">
        <v>488</v>
      </c>
      <c r="C90" s="208"/>
      <c r="D90" s="208" t="s">
        <v>412</v>
      </c>
      <c r="E90" s="56" t="s">
        <v>206</v>
      </c>
      <c r="F90" s="208" t="s">
        <v>476</v>
      </c>
      <c r="G90" s="292">
        <v>61844</v>
      </c>
      <c r="H90" s="56" t="s">
        <v>192</v>
      </c>
      <c r="I90" s="207"/>
    </row>
    <row r="91" spans="2:10" s="56" customFormat="1" ht="15.95">
      <c r="B91" s="12" t="s">
        <v>488</v>
      </c>
      <c r="C91" s="208"/>
      <c r="D91" s="208" t="s">
        <v>412</v>
      </c>
      <c r="E91" s="56" t="s">
        <v>486</v>
      </c>
      <c r="F91" s="208" t="s">
        <v>476</v>
      </c>
      <c r="G91" s="292">
        <v>206560</v>
      </c>
      <c r="H91" s="56" t="s">
        <v>192</v>
      </c>
      <c r="I91" s="207">
        <v>681648000</v>
      </c>
      <c r="J91" s="56" t="s">
        <v>94</v>
      </c>
    </row>
    <row r="92" spans="2:10" s="56" customFormat="1" ht="15.95">
      <c r="B92" s="12" t="s">
        <v>489</v>
      </c>
      <c r="C92" s="208"/>
      <c r="D92" s="208" t="s">
        <v>436</v>
      </c>
      <c r="E92" s="56" t="s">
        <v>441</v>
      </c>
      <c r="F92" s="208" t="s">
        <v>476</v>
      </c>
      <c r="G92" s="292">
        <v>2396525.42</v>
      </c>
      <c r="H92" s="56" t="s">
        <v>195</v>
      </c>
      <c r="I92" s="207"/>
    </row>
    <row r="93" spans="2:10" s="56" customFormat="1" ht="15.95">
      <c r="B93" s="12" t="s">
        <v>489</v>
      </c>
      <c r="C93" s="208"/>
      <c r="D93" s="56" t="s">
        <v>439</v>
      </c>
      <c r="E93" s="56" t="s">
        <v>441</v>
      </c>
      <c r="F93" s="208" t="s">
        <v>476</v>
      </c>
      <c r="G93" s="292">
        <v>680947.78099999996</v>
      </c>
      <c r="H93" s="56" t="s">
        <v>195</v>
      </c>
      <c r="I93" s="207"/>
    </row>
    <row r="94" spans="2:10" s="56" customFormat="1" ht="15.95">
      <c r="B94" s="12" t="s">
        <v>490</v>
      </c>
      <c r="C94" s="208"/>
      <c r="D94" s="56" t="s">
        <v>439</v>
      </c>
      <c r="E94" s="56" t="s">
        <v>485</v>
      </c>
      <c r="F94" s="208" t="s">
        <v>476</v>
      </c>
      <c r="G94" s="292">
        <v>6741.8559999999998</v>
      </c>
      <c r="H94" s="56" t="s">
        <v>195</v>
      </c>
      <c r="I94" s="207"/>
    </row>
    <row r="95" spans="2:10" s="56" customFormat="1" ht="15.95">
      <c r="B95" s="12"/>
      <c r="C95" s="208"/>
      <c r="D95" s="208" t="s">
        <v>491</v>
      </c>
      <c r="E95" s="56" t="s">
        <v>492</v>
      </c>
      <c r="F95" s="208" t="s">
        <v>476</v>
      </c>
      <c r="G95" s="292">
        <v>15310</v>
      </c>
      <c r="H95" s="56" t="s">
        <v>192</v>
      </c>
      <c r="I95" s="207"/>
    </row>
    <row r="96" spans="2:10" s="56" customFormat="1" ht="15.95">
      <c r="B96" s="12" t="s">
        <v>493</v>
      </c>
      <c r="C96" s="208"/>
      <c r="D96" s="56" t="s">
        <v>422</v>
      </c>
      <c r="E96" s="208" t="s">
        <v>475</v>
      </c>
      <c r="F96" s="208" t="s">
        <v>494</v>
      </c>
      <c r="G96" s="292"/>
      <c r="I96" s="207"/>
    </row>
    <row r="97" spans="2:10" s="56" customFormat="1" ht="15.95">
      <c r="B97" s="12" t="s">
        <v>495</v>
      </c>
      <c r="C97" s="208"/>
      <c r="D97" s="12" t="s">
        <v>425</v>
      </c>
      <c r="E97" s="208" t="s">
        <v>475</v>
      </c>
      <c r="F97" s="208" t="s">
        <v>496</v>
      </c>
      <c r="G97" s="292"/>
      <c r="I97" s="207"/>
    </row>
    <row r="98" spans="2:10" s="56" customFormat="1" ht="15.95">
      <c r="B98" s="12" t="s">
        <v>497</v>
      </c>
      <c r="C98" s="208"/>
      <c r="D98" s="56" t="s">
        <v>430</v>
      </c>
      <c r="E98" s="208" t="s">
        <v>480</v>
      </c>
      <c r="F98" s="208" t="s">
        <v>494</v>
      </c>
      <c r="G98" s="292"/>
      <c r="I98" s="207"/>
    </row>
    <row r="99" spans="2:10" s="56" customFormat="1" ht="15.95">
      <c r="B99" s="12" t="s">
        <v>498</v>
      </c>
      <c r="C99" s="208"/>
      <c r="D99" s="56" t="s">
        <v>447</v>
      </c>
      <c r="E99" s="56" t="s">
        <v>499</v>
      </c>
      <c r="F99" s="208" t="s">
        <v>476</v>
      </c>
      <c r="G99" s="292">
        <v>14494076</v>
      </c>
      <c r="H99" s="56" t="s">
        <v>254</v>
      </c>
      <c r="I99" s="207">
        <f>+Companies15[[#This Row],[Volume de production]]*165</f>
        <v>2391522540</v>
      </c>
      <c r="J99" s="56" t="s">
        <v>94</v>
      </c>
    </row>
    <row r="100" spans="2:10" s="56" customFormat="1" ht="15.95">
      <c r="B100" s="12" t="s">
        <v>500</v>
      </c>
      <c r="C100" s="208"/>
      <c r="D100" s="56" t="s">
        <v>448</v>
      </c>
      <c r="E100" s="56" t="s">
        <v>499</v>
      </c>
      <c r="F100" s="208" t="s">
        <v>496</v>
      </c>
      <c r="G100" s="292"/>
      <c r="I100" s="207"/>
    </row>
    <row r="101" spans="2:10" s="56" customFormat="1" ht="15.95">
      <c r="B101" s="12" t="s">
        <v>501</v>
      </c>
      <c r="C101" s="208"/>
      <c r="D101" s="56" t="s">
        <v>453</v>
      </c>
      <c r="E101" s="208" t="s">
        <v>494</v>
      </c>
      <c r="F101" s="208" t="s">
        <v>496</v>
      </c>
      <c r="G101" s="292"/>
      <c r="I101" s="207"/>
    </row>
    <row r="102" spans="2:10" s="56" customFormat="1" ht="15.95">
      <c r="B102" s="12" t="s">
        <v>502</v>
      </c>
      <c r="C102" s="208"/>
      <c r="D102" s="56" t="s">
        <v>453</v>
      </c>
      <c r="E102" s="208" t="s">
        <v>494</v>
      </c>
      <c r="F102" s="208" t="s">
        <v>496</v>
      </c>
      <c r="G102" s="292"/>
      <c r="I102" s="207"/>
    </row>
    <row r="103" spans="2:10" s="56" customFormat="1" ht="15.95">
      <c r="B103" s="12" t="s">
        <v>503</v>
      </c>
      <c r="C103" s="208"/>
      <c r="D103" s="56" t="s">
        <v>456</v>
      </c>
      <c r="E103" s="208" t="s">
        <v>494</v>
      </c>
      <c r="F103" s="208" t="s">
        <v>496</v>
      </c>
      <c r="G103" s="292"/>
      <c r="I103" s="207"/>
    </row>
    <row r="104" spans="2:10" s="56" customFormat="1" ht="15.95">
      <c r="B104" s="12" t="s">
        <v>504</v>
      </c>
      <c r="C104" s="208"/>
      <c r="D104" s="56" t="s">
        <v>458</v>
      </c>
      <c r="E104" s="208" t="s">
        <v>494</v>
      </c>
      <c r="F104" s="208" t="s">
        <v>496</v>
      </c>
      <c r="G104" s="292"/>
      <c r="I104" s="207"/>
    </row>
    <row r="105" spans="2:10" s="56" customFormat="1" ht="15.95">
      <c r="B105" s="12" t="s">
        <v>505</v>
      </c>
      <c r="C105" s="208"/>
      <c r="D105" s="56" t="s">
        <v>458</v>
      </c>
      <c r="E105" s="208" t="s">
        <v>494</v>
      </c>
      <c r="F105" s="208" t="s">
        <v>496</v>
      </c>
      <c r="G105" s="292"/>
      <c r="I105" s="207"/>
    </row>
    <row r="106" spans="2:10" s="56" customFormat="1" ht="15.95">
      <c r="B106" s="12" t="s">
        <v>506</v>
      </c>
      <c r="C106" s="208"/>
      <c r="D106" s="56" t="s">
        <v>458</v>
      </c>
      <c r="E106" s="208" t="s">
        <v>494</v>
      </c>
      <c r="F106" s="208" t="s">
        <v>496</v>
      </c>
      <c r="G106" s="292"/>
      <c r="I106" s="207"/>
    </row>
    <row r="107" spans="2:10" s="56" customFormat="1" ht="15.95">
      <c r="B107" s="12" t="s">
        <v>507</v>
      </c>
      <c r="C107" s="208"/>
      <c r="D107" s="56" t="s">
        <v>461</v>
      </c>
      <c r="E107" s="208" t="s">
        <v>494</v>
      </c>
      <c r="F107" s="208" t="s">
        <v>496</v>
      </c>
      <c r="G107" s="292"/>
      <c r="I107" s="207"/>
    </row>
    <row r="108" spans="2:10" s="56" customFormat="1" ht="15.95">
      <c r="B108" s="12"/>
      <c r="C108" s="208"/>
      <c r="F108" s="208"/>
      <c r="G108" s="292"/>
      <c r="I108" s="207"/>
    </row>
    <row r="109" spans="2:10" s="56" customFormat="1" ht="15.95">
      <c r="B109" s="12"/>
      <c r="C109" s="208"/>
      <c r="F109" s="208"/>
      <c r="G109" s="292"/>
      <c r="I109" s="207"/>
    </row>
    <row r="110" spans="2:10" s="56" customFormat="1" ht="15.95">
      <c r="B110" s="12"/>
      <c r="C110" s="208"/>
      <c r="F110" s="208"/>
      <c r="G110" s="292"/>
      <c r="I110" s="207"/>
    </row>
    <row r="111" spans="2:10" s="56" customFormat="1" ht="15.95">
      <c r="B111" s="12"/>
      <c r="C111" s="208"/>
      <c r="F111" s="208"/>
      <c r="G111" s="292"/>
      <c r="I111" s="207"/>
    </row>
    <row r="112" spans="2:10" s="56" customFormat="1" ht="15.95">
      <c r="B112" s="12"/>
      <c r="C112" s="208"/>
      <c r="D112" s="208"/>
      <c r="F112" s="208"/>
      <c r="G112" s="292"/>
      <c r="I112" s="207"/>
    </row>
    <row r="113" spans="2:9" ht="15.95">
      <c r="B113" s="56"/>
      <c r="C113" s="198"/>
      <c r="D113" s="198"/>
      <c r="E113" s="198"/>
      <c r="F113" s="198"/>
      <c r="G113" s="198"/>
    </row>
    <row r="114" spans="2:9" ht="17.25" hidden="1" customHeight="1">
      <c r="B114" s="330" t="s">
        <v>33</v>
      </c>
      <c r="C114" s="330"/>
      <c r="D114" s="330"/>
      <c r="E114" s="330"/>
      <c r="F114" s="330"/>
      <c r="G114" s="330"/>
      <c r="H114" s="330"/>
      <c r="I114" s="330"/>
    </row>
    <row r="115" spans="2:9" ht="24" hidden="1" customHeight="1">
      <c r="B115" s="348" t="s">
        <v>34</v>
      </c>
      <c r="C115" s="348"/>
      <c r="D115" s="348"/>
      <c r="E115" s="348"/>
      <c r="F115" s="348"/>
      <c r="G115" s="348"/>
      <c r="H115" s="348"/>
      <c r="I115" s="348"/>
    </row>
    <row r="116" spans="2:9" ht="19.5" hidden="1" customHeight="1">
      <c r="B116" s="330" t="s">
        <v>35</v>
      </c>
      <c r="C116" s="330"/>
      <c r="D116" s="330"/>
      <c r="E116" s="330"/>
      <c r="F116" s="330"/>
      <c r="G116" s="330"/>
      <c r="H116" s="330"/>
      <c r="I116" s="330"/>
    </row>
    <row r="117" spans="2:9" ht="18.75" hidden="1" customHeight="1">
      <c r="B117" s="349" t="s">
        <v>36</v>
      </c>
      <c r="C117" s="349"/>
      <c r="D117" s="349"/>
      <c r="E117" s="349"/>
      <c r="F117" s="349"/>
      <c r="G117" s="349"/>
      <c r="H117" s="349"/>
      <c r="I117" s="349"/>
    </row>
    <row r="118" spans="2:9" s="56" customFormat="1" ht="16.5" hidden="1" thickBot="1">
      <c r="B118" s="54"/>
      <c r="C118" s="54"/>
      <c r="D118" s="54"/>
      <c r="E118" s="54"/>
      <c r="F118" s="54"/>
      <c r="G118" s="54"/>
    </row>
    <row r="119" spans="2:9" s="56" customFormat="1" ht="18.95">
      <c r="B119" s="196" t="s">
        <v>115</v>
      </c>
      <c r="C119" s="12"/>
      <c r="D119" s="197"/>
      <c r="E119" s="12"/>
      <c r="F119" s="197"/>
      <c r="G119" s="12"/>
    </row>
    <row r="120" spans="2:9" s="56" customFormat="1" ht="15.95">
      <c r="B120" s="326" t="s">
        <v>38</v>
      </c>
      <c r="C120" s="326"/>
      <c r="D120" s="326"/>
      <c r="E120" s="12"/>
      <c r="F120" s="198"/>
      <c r="G120" s="12"/>
    </row>
    <row r="121" spans="2:9" ht="15.95"/>
    <row r="122" spans="2:9" s="56" customFormat="1" ht="15.95">
      <c r="B122" s="12"/>
      <c r="C122" s="12"/>
      <c r="D122" s="12"/>
      <c r="E122" s="12"/>
    </row>
    <row r="123" spans="2:9" s="56" customFormat="1" ht="15.95">
      <c r="B123" s="12"/>
      <c r="C123" s="12"/>
      <c r="D123" s="12"/>
      <c r="E123" s="12"/>
    </row>
    <row r="124" spans="2:9" ht="15.95"/>
    <row r="125" spans="2:9" s="56" customFormat="1" ht="15.95">
      <c r="B125" s="12"/>
      <c r="C125" s="12"/>
      <c r="D125" s="12"/>
      <c r="E125" s="12"/>
    </row>
    <row r="126" spans="2:9" s="56" customFormat="1" ht="15.95">
      <c r="B126" s="12"/>
      <c r="C126" s="12"/>
      <c r="D126" s="12"/>
      <c r="E126" s="12"/>
    </row>
    <row r="127" spans="2:9" ht="15.95"/>
    <row r="128" spans="2:9" ht="15.95"/>
    <row r="129" spans="2:5" ht="15.95"/>
    <row r="130" spans="2:5" ht="15.95"/>
    <row r="131" spans="2:5" ht="15.95"/>
    <row r="132" spans="2:5" ht="15.95"/>
    <row r="133" spans="2:5" ht="15.95"/>
    <row r="134" spans="2:5" ht="15.95"/>
    <row r="135" spans="2:5" ht="15.95"/>
    <row r="136" spans="2:5" s="56" customFormat="1" ht="15.95">
      <c r="B136" s="12"/>
      <c r="C136" s="12"/>
      <c r="D136" s="12"/>
      <c r="E136" s="12"/>
    </row>
    <row r="137" spans="2:5" ht="15.95"/>
    <row r="138" spans="2:5" ht="15.95"/>
    <row r="139" spans="2:5" ht="15.95"/>
    <row r="140" spans="2:5" ht="15.95"/>
    <row r="141" spans="2:5" ht="15.95"/>
    <row r="142" spans="2:5" ht="15.95"/>
    <row r="143" spans="2:5" ht="15.95"/>
    <row r="144" spans="2:5" ht="15" customHeight="1"/>
    <row r="145" ht="15" customHeight="1"/>
    <row r="146" ht="15.95"/>
    <row r="147" ht="15.95"/>
    <row r="148" ht="18.75" customHeight="1"/>
    <row r="149" ht="15.95"/>
    <row r="150" ht="15.95"/>
    <row r="151" ht="15.95"/>
    <row r="152" ht="15.95"/>
    <row r="153" ht="15.95"/>
    <row r="154" ht="15.95"/>
    <row r="155" ht="15.95"/>
    <row r="156" ht="15.95"/>
    <row r="157" ht="15.95"/>
    <row r="158" ht="15.95"/>
    <row r="159" ht="15.95"/>
    <row r="160" ht="15.95"/>
    <row r="161" ht="15.95"/>
    <row r="162" ht="15.95"/>
    <row r="163" ht="15.95"/>
    <row r="164" ht="15.95"/>
    <row r="165" ht="15.95"/>
    <row r="166" ht="15.95"/>
    <row r="167" ht="15.95"/>
    <row r="168" ht="15.95"/>
    <row r="169" ht="15.95"/>
  </sheetData>
  <mergeCells count="9">
    <mergeCell ref="B115:I115"/>
    <mergeCell ref="B116:I116"/>
    <mergeCell ref="B117:I117"/>
    <mergeCell ref="B120:D120"/>
    <mergeCell ref="D10:D13"/>
    <mergeCell ref="B16:E16"/>
    <mergeCell ref="B17:E17"/>
    <mergeCell ref="B18:E18"/>
    <mergeCell ref="B114:I114"/>
  </mergeCells>
  <dataValidations count="26">
    <dataValidation type="list" allowBlank="1" showInputMessage="1" showErrorMessage="1" promptTitle="Veuillez sélectionner le secteur" prompt="Veuillez sélectionner le secteur pertinent pour l'entreprise dans la liste" sqref="E41:E66" xr:uid="{F383C4B0-BFB1-4275-8902-B9CBC1BDD66F}">
      <formula1>Sector_list</formula1>
    </dataValidation>
    <dataValidation allowBlank="1" showInputMessage="1" showErrorMessage="1" promptTitle="Veuillez sélectionner les matièr" prompt="Veuillez sélectionner les matières premières exploitées, séparées par une virgule" sqref="F41:F66" xr:uid="{03DB06AD-5356-48E6-AF86-BD36AB1EF40E}"/>
    <dataValidation errorStyle="warning" allowBlank="1" showInputMessage="1" showErrorMessage="1" errorTitle="URL" error="Veuillez indiquer une URL" sqref="G41:H66" xr:uid="{7E085E98-106D-442B-9524-E857F18034EC}"/>
    <dataValidation allowBlank="1" showInputMessage="1" showErrorMessage="1" promptTitle="Numéro d'identification" prompt="Veuillez saisir un numéro d'identification unique, tel qu’un TIN, un numéro d'organisation ou similaire." sqref="D41:D66" xr:uid="{CB3B9251-12D5-4F96-BBCA-A761DAA6C149}"/>
    <dataValidation type="textLength" allowBlank="1" showInputMessage="1" showErrorMessage="1" errorTitle="Veuillez ne pas modifier" error="Veuillez ne pas modifier ces cellules" sqref="B69:C69 B68:G68 B16:E17 B19:C19 F69 B20 D20:E20 I40 B36:D37 B39:D39 E36:F39 B40 D40:G40" xr:uid="{41CB2CFC-8915-431A-8B82-76B8D96A6704}">
      <formula1>10000</formula1>
      <formula2>50000</formula2>
    </dataValidation>
    <dataValidation type="decimal" allowBlank="1" showInputMessage="1" showErrorMessage="1" errorTitle="Veuillez ne pas modifier" error="Veuillez ne pas modifier ces cellules" sqref="E118:G120 B118:D119" xr:uid="{3A04F5EF-66E4-43AD-A539-8FA3BA9F198C}">
      <formula1>10000</formula1>
      <formula2>500000</formula2>
    </dataValidation>
    <dataValidation allowBlank="1" showInputMessage="1" showErrorMessage="1" promptTitle="Nom de l'entreprise" prompt="Saisissez le nom de l'entreprise ici_x000a__x000a_Veuillez vous abstenir d'utiliser des acronymes et indiquez le nom complet" sqref="B41:B66 D72:D79 D83:D88 D93:D94 D96 D98:D111" xr:uid="{42A6D033-2055-45B6-94DB-C3843F45F704}"/>
    <dataValidation allowBlank="1" showInputMessage="1" showErrorMessage="1" promptTitle="Production -volume-" prompt="Veuillez indiquer le volume de production du projet" sqref="G70:G112" xr:uid="{214EC8C1-6BF9-40F3-9758-86701E4D2A88}"/>
    <dataValidation allowBlank="1" showInputMessage="1" showErrorMessage="1" promptTitle="URL du registre" prompt="Veuillez indiquer l'URL directe vers le registre ou l'agence" sqref="J25:L31 D38" xr:uid="{FF61CD17-04D9-4E17-8201-8C3D36137BFF}"/>
    <dataValidation allowBlank="1" showInputMessage="1" showErrorMessage="1" promptTitle="Nom du registre" prompt="Veuillez saisir le nom du registre ou de l'agence" sqref="J24:L24 C38" xr:uid="{AA416186-66C7-468A-ABAB-5FAA86F8A146}"/>
    <dataValidation allowBlank="1" showInputMessage="1" showErrorMessage="1" promptTitle="Nom de l'identifiant" prompt="Veuillez saisir le nom de l'identifiant, tel que « Numéro d'identification du contribuable » ou similaire" sqref="J23:L23 B38" xr:uid="{FC7A539E-0F6B-429E-8CD3-69786236AD39}"/>
    <dataValidation type="whole" allowBlank="1" showInputMessage="1" showErrorMessage="1" errorTitle="Veuillez ne pas modifier" error="Veuillez ne pas modifier ces cellules" sqref="D69 B114:B117" xr:uid="{FDE65DF8-CA28-4BE2-AC49-6DAD21AF5E77}">
      <formula1>444</formula1>
      <formula2>445</formula2>
    </dataValidation>
    <dataValidation type="list" allowBlank="1" showInputMessage="1" showErrorMessage="1" sqref="F113" xr:uid="{DDDC6CD4-1998-4B24-880C-9DED458166FA}">
      <formula1>Simple_options_list</formula1>
    </dataValidation>
    <dataValidation allowBlank="1" showInputMessage="1" showErrorMessage="1" promptTitle="Compagnie associée" prompt="Veuillez indiquer les compagnies affiliées au projet, séparées par une virgule." sqref="D70:D71 D80:D82 D89:D92 D112 D95" xr:uid="{990B4CFE-C77D-4B99-90F4-BE71B86E0400}"/>
    <dataValidation allowBlank="1" showInputMessage="1" showErrorMessage="1" promptTitle="Production -valeur-" prompt="Veuillez indiquer la valeur de la production du projet" sqref="I70:I112" xr:uid="{6908EAC0-1385-4F50-B3D8-4B8A57D60130}"/>
    <dataValidation type="list" allowBlank="1" showInputMessage="1" showErrorMessage="1" errorTitle="Unité utilisée erronée" error="Veuillez sélectionner entre barils, Sm3, tonnes, onces (oz) ou carats._x000a__x000a_Si les informations d'origine n'est pas valide, convertir le nombre en unités standard et inclure d’origine dans la section des commentaires." promptTitle="Préciser l’unité de mesure" prompt="Veuillez sélectionner entre barils, Sm3, tonnes, onces (oz) ou carats dans le menu déroulant" sqref="H70:H112" xr:uid="{41AEB8C4-3D9C-4110-A3FD-27B3DB753D54}">
      <formula1>"&lt;Selectionner unité&gt;,Sm3,Sm3 o.e.,Barils,Tonnes,oz,carats,Scf"</formula1>
    </dataValidation>
    <dataValidation type="list" allowBlank="1" showInputMessage="1" showErrorMessage="1" sqref="G113 E101:E107 F70:F112" xr:uid="{765C9FE0-D12B-4DF9-AE3E-DE4CE4CC1EDB}">
      <formula1>Project_phases_list</formula1>
    </dataValidation>
    <dataValidation type="whole" allowBlank="1" showInputMessage="1" showErrorMessage="1" errorTitle="Veuillez ne pas modifier" error="Veuillez ne pas modifier ces cellules" sqref="E69" xr:uid="{EF07BAD0-2F5A-4204-A46F-F594A3588E86}">
      <formula1>4</formula1>
      <formula2>5</formula2>
    </dataValidation>
    <dataValidation allowBlank="1" showInputMessage="1" showErrorMessage="1" promptTitle="Numéro de référence" prompt="Veuillez indiquer le numéro de référence de l'accord légal: contrat, licence, concession,…" sqref="C70:C73 C75:C112" xr:uid="{35B65327-F6D3-41FF-A657-92A960D2D1F1}"/>
    <dataValidation allowBlank="1" showInputMessage="1" showErrorMessage="1" errorTitle="Veuillez ne pas modifier" error="Veuillez ne pas modifier ces cellules" sqref="H40 B120:D120" xr:uid="{61CAE946-A4D7-4D88-A2EA-B59DF5431476}"/>
    <dataValidation type="whole" allowBlank="1" showInputMessage="1" showErrorMessage="1" errorTitle="Veuillez ne pas remplir" error="Ces cellules seront complétées automatiquement" promptTitle="Ne pas remplir" prompt="Complété automatiquement depuis le feuillet 5" sqref="I41:I66" xr:uid="{FE005BD3-F114-40C2-B7BB-6805E3DA760A}">
      <formula1>1</formula1>
      <formula2>2</formula2>
    </dataValidation>
    <dataValidation type="list" allowBlank="1" showInputMessage="1" showErrorMessage="1" sqref="C41:C66" xr:uid="{5B632419-A767-4DE0-8BA9-B8BB05BA6696}">
      <formula1>"&lt; Type d'entreprise &gt;,Société publique financière et Entreprise d'Etat,Privée"</formula1>
    </dataValidation>
    <dataValidation type="list" allowBlank="1" showInputMessage="1" showErrorMessage="1" promptTitle="Matières premières" prompt="Veuillez indiquer les matières premières exploitées, en utilisant une ligne par matière première. Si un projet génère plusieurs matières premières, veuillez utiliser plusieurs lignes." sqref="E70:E100 E108:E112" xr:uid="{46A9ED9C-B29B-4A51-B129-E091B5E99439}">
      <formula1>Commodity_names</formula1>
    </dataValidation>
    <dataValidation allowBlank="1" showInputMessage="1" showErrorMessage="1" promptTitle="Numéro d'identification" prompt="Veuillez indiquer le numéro d'identification de l'agence gouvernementale, si applicable" sqref="D21:D31" xr:uid="{B62DCA52-4501-43B1-A007-69E53BD53B5F}"/>
    <dataValidation allowBlank="1" showInputMessage="1" showErrorMessage="1" promptTitle="Organisme gouvernmental destinat" prompt="Veuillez indiquer le nom de l'agence gouvernementale collectant le flux_x000a__x000a_Veuillez vous abstenir d'utiliser des acronymes et indiquez le nom complet" sqref="B21:B31" xr:uid="{5F2CD2D8-A157-47E5-A3F5-C3C3A71E1458}"/>
    <dataValidation allowBlank="1" showInputMessage="1" showErrorMessage="1" promptTitle="Nom du Projet" prompt="Veuillez indiquer le nom du Projet._x000a__x000a_Veuillez vous abstenir d'utiliser des acronymes et indiquez le nom complet_x000a__x000a_" sqref="B70:B113 D97" xr:uid="{28E7BA77-65D5-4785-9580-9EE9295D25F1}"/>
  </dataValidations>
  <hyperlinks>
    <hyperlink ref="B14" r:id="rId1" xr:uid="{00000000-0004-0000-0300-000004000000}"/>
    <hyperlink ref="B116:G116" r:id="rId2" display="Pour la version la plus récente des modèles de données résumées, consultez https://eiti.org/fr/document/modele-donnees-resumees-itie" xr:uid="{720C091A-88D8-4AD8-A681-42225317FFF1}"/>
    <hyperlink ref="B115:G115" r:id="rId3" display="Vous voulez en savoir plus sur votre pays ? Vérifiez si votre pays met en œuvre la Norme ITIE en visitant https://eiti.org/countries" xr:uid="{B05B0465-C1F8-4E2C-B484-E8B1089F5DD4}"/>
    <hyperlink ref="B117:G117" r:id="rId4" display="Give us your feedback or report a conflict in the data! Write to us at  data@eiti.org" xr:uid="{89CD5C69-DD4F-4A10-A797-F37E54CCEA66}"/>
    <hyperlink ref="G59" r:id="rId5" xr:uid="{3A6C8CE3-9436-49CB-870E-2376AA6F3DD3}"/>
    <hyperlink ref="G61" r:id="rId6" xr:uid="{4E2BC228-C87D-458D-B3D3-67C98A640A1B}"/>
    <hyperlink ref="G62" r:id="rId7" xr:uid="{1B7045C6-BA2F-4CFE-8E12-2B99A906EF6D}"/>
    <hyperlink ref="G64" r:id="rId8" xr:uid="{55B2B2A0-6A7A-4BFA-BCA1-A9C103BDE0BE}"/>
    <hyperlink ref="G65" r:id="rId9" xr:uid="{0B98031C-8D28-4386-BD60-ED448D10ED7D}"/>
    <hyperlink ref="G66" r:id="rId10" xr:uid="{AD7F5E61-C92B-4047-9BF7-8304672DB191}"/>
    <hyperlink ref="G63" r:id="rId11" xr:uid="{EF67DB07-DA69-4512-B80A-27161DBA0D10}"/>
    <hyperlink ref="G41" r:id="rId12" xr:uid="{B7B90E8A-3EEB-4236-9B7D-9986F5258E2A}"/>
    <hyperlink ref="G42" r:id="rId13" xr:uid="{4A53A7BD-37F3-43D6-A415-07CB0ED1CB25}"/>
    <hyperlink ref="G43" r:id="rId14" xr:uid="{4844F45D-E110-4B80-8709-77C991AC0DBD}"/>
    <hyperlink ref="G53" r:id="rId15" xr:uid="{C7C2AB2E-9F4A-455D-A06D-32FB6FB9C54E}"/>
    <hyperlink ref="G45" r:id="rId16" xr:uid="{88421EE4-6972-4C79-B6FB-45E968035EF2}"/>
    <hyperlink ref="G47" r:id="rId17" xr:uid="{51B8C970-D9D4-4F3E-9CFA-C2BA96E03D66}"/>
    <hyperlink ref="G48" r:id="rId18" xr:uid="{7B58F148-2807-41D9-BE63-33681EB577F9}"/>
    <hyperlink ref="G49" r:id="rId19" xr:uid="{22890E37-36B2-4418-A33D-3E0A7A5F059F}"/>
    <hyperlink ref="G51" r:id="rId20" xr:uid="{B33CDBBF-C182-43AE-AFA8-D0ACBB40E511}"/>
    <hyperlink ref="G56" r:id="rId21" xr:uid="{5E8E7123-825E-4A40-9322-F72B29364784}"/>
    <hyperlink ref="G58" r:id="rId22" xr:uid="{E01409F7-7670-4EED-8C26-F3152A754E31}"/>
    <hyperlink ref="D38" r:id="rId23" xr:uid="{53438339-90F5-4123-B045-4C6A8C2F5EF3}"/>
  </hyperlinks>
  <pageMargins left="0.25" right="0.25" top="0.75" bottom="0.75" header="0.3" footer="0.3"/>
  <pageSetup paperSize="8" fitToHeight="0" orientation="landscape" horizontalDpi="2400" verticalDpi="2400" r:id="rId24"/>
  <drawing r:id="rId25"/>
  <tableParts count="3">
    <tablePart r:id="rId26"/>
    <tablePart r:id="rId27"/>
    <tablePart r:id="rId28"/>
  </tableParts>
  <extLst>
    <ext xmlns:x14="http://schemas.microsoft.com/office/spreadsheetml/2009/9/main" uri="{CCE6A557-97BC-4b89-ADB6-D9C93CAAB3DF}">
      <x14:dataValidations xmlns:xm="http://schemas.microsoft.com/office/excel/2006/main" count="2">
        <x14:dataValidation type="list" allowBlank="1" showInputMessage="1" showErrorMessage="1" xr:uid="{080AB5DF-9F7C-4D51-B77F-2D9DAE275C99}">
          <x14:formula1>
            <xm:f>Listes!$I$11:$I$168</xm:f>
          </x14:formula1>
          <xm:sqref>J70:J112</xm:sqref>
        </x14:dataValidation>
        <x14:dataValidation type="list" allowBlank="1" showInputMessage="1" showErrorMessage="1" xr:uid="{A0485DF7-0291-4282-9DA4-8B361737270D}">
          <x14:formula1>
            <xm:f>Listes!$AE$3:$AE$7</xm:f>
          </x14:formula1>
          <xm:sqref>C21:C31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1:U139"/>
  <sheetViews>
    <sheetView showGridLines="0" topLeftCell="A66" zoomScale="85" zoomScaleNormal="85" workbookViewId="0">
      <selection activeCell="J114" sqref="J114"/>
    </sheetView>
  </sheetViews>
  <sheetFormatPr defaultColWidth="9.140625" defaultRowHeight="14.1"/>
  <cols>
    <col min="1" max="1" width="3" style="298" customWidth="1"/>
    <col min="2" max="4" width="9.140625" style="298" hidden="1" customWidth="1"/>
    <col min="5" max="5" width="27.42578125" style="298" hidden="1" customWidth="1"/>
    <col min="6" max="6" width="38" style="298" customWidth="1"/>
    <col min="7" max="7" width="16.85546875" style="298" customWidth="1"/>
    <col min="8" max="9" width="28.85546875" style="298" customWidth="1"/>
    <col min="10" max="10" width="52.85546875" style="298" customWidth="1"/>
    <col min="11" max="11" width="11.140625" style="298" customWidth="1"/>
    <col min="12" max="12" width="2.85546875" style="298" customWidth="1"/>
    <col min="13" max="13" width="19.5703125" style="298" bestFit="1" customWidth="1"/>
    <col min="14" max="14" width="73.42578125" style="298" bestFit="1" customWidth="1"/>
    <col min="15" max="16384" width="9.140625" style="298"/>
  </cols>
  <sheetData>
    <row r="1" spans="6:14" s="12" customFormat="1" ht="15.75" hidden="1" customHeight="1"/>
    <row r="2" spans="6:14" s="12" customFormat="1" ht="15.95" hidden="1"/>
    <row r="3" spans="6:14" s="12" customFormat="1" ht="15.95" hidden="1">
      <c r="N3" s="13" t="s">
        <v>44</v>
      </c>
    </row>
    <row r="4" spans="6:14" s="12" customFormat="1" ht="15.95" hidden="1">
      <c r="N4" s="13">
        <f>Introduction!G4</f>
        <v>44564</v>
      </c>
    </row>
    <row r="5" spans="6:14" s="12" customFormat="1" ht="15.95" hidden="1"/>
    <row r="6" spans="6:14" s="12" customFormat="1" ht="15.95" hidden="1"/>
    <row r="7" spans="6:14" s="12" customFormat="1" ht="15.95"/>
    <row r="8" spans="6:14" s="12" customFormat="1" ht="15.95">
      <c r="F8" s="15" t="s">
        <v>508</v>
      </c>
      <c r="G8" s="74"/>
      <c r="H8" s="74"/>
      <c r="I8" s="74"/>
      <c r="J8" s="74"/>
      <c r="K8" s="74"/>
      <c r="L8" s="74"/>
      <c r="M8" s="74"/>
      <c r="N8" s="74"/>
    </row>
    <row r="9" spans="6:14" s="12" customFormat="1" ht="21" customHeight="1">
      <c r="F9" s="364" t="s">
        <v>46</v>
      </c>
      <c r="G9" s="364"/>
      <c r="H9" s="364"/>
      <c r="I9" s="364"/>
      <c r="J9" s="364"/>
      <c r="K9" s="209"/>
      <c r="L9" s="209"/>
      <c r="M9" s="364"/>
      <c r="N9" s="364"/>
    </row>
    <row r="10" spans="6:14" s="12" customFormat="1" ht="30.95" customHeight="1">
      <c r="F10" s="365" t="s">
        <v>509</v>
      </c>
      <c r="G10" s="365"/>
      <c r="H10" s="365"/>
      <c r="I10" s="365"/>
      <c r="J10" s="365"/>
      <c r="K10" s="295"/>
      <c r="L10" s="74"/>
      <c r="M10" s="356"/>
      <c r="N10" s="356"/>
    </row>
    <row r="11" spans="6:14" s="12" customFormat="1" ht="29.25" customHeight="1">
      <c r="F11" s="366" t="s">
        <v>510</v>
      </c>
      <c r="G11" s="366"/>
      <c r="H11" s="366"/>
      <c r="I11" s="366"/>
      <c r="J11" s="366"/>
      <c r="K11" s="296"/>
      <c r="L11" s="74"/>
      <c r="M11" s="356"/>
      <c r="N11" s="356"/>
    </row>
    <row r="12" spans="6:14" s="12" customFormat="1" ht="33.6" customHeight="1">
      <c r="F12" s="366" t="s">
        <v>511</v>
      </c>
      <c r="G12" s="366"/>
      <c r="H12" s="366"/>
      <c r="I12" s="366"/>
      <c r="J12" s="366"/>
      <c r="K12" s="296"/>
      <c r="L12" s="74"/>
      <c r="M12" s="356"/>
      <c r="N12" s="356"/>
    </row>
    <row r="13" spans="6:14" s="12" customFormat="1" ht="36" customHeight="1">
      <c r="F13" s="353" t="s">
        <v>512</v>
      </c>
      <c r="G13" s="353"/>
      <c r="H13" s="353"/>
      <c r="I13" s="353"/>
      <c r="J13" s="353"/>
      <c r="K13" s="294"/>
      <c r="L13" s="74"/>
      <c r="M13" s="356"/>
      <c r="N13" s="356"/>
    </row>
    <row r="14" spans="6:14" s="12" customFormat="1" ht="50.25" customHeight="1">
      <c r="F14" s="353" t="s">
        <v>513</v>
      </c>
      <c r="G14" s="353"/>
      <c r="H14" s="353"/>
      <c r="I14" s="353"/>
      <c r="J14" s="353"/>
      <c r="K14" s="294"/>
      <c r="L14" s="74"/>
      <c r="M14" s="356"/>
      <c r="N14" s="356"/>
    </row>
    <row r="15" spans="6:14" s="12" customFormat="1" ht="33" customHeight="1">
      <c r="F15" s="353" t="s">
        <v>514</v>
      </c>
      <c r="G15" s="353"/>
      <c r="H15" s="353"/>
      <c r="I15" s="353"/>
      <c r="J15" s="353"/>
      <c r="K15" s="294"/>
      <c r="L15" s="74"/>
      <c r="M15" s="293"/>
      <c r="N15" s="293"/>
    </row>
    <row r="16" spans="6:14" s="12" customFormat="1" ht="15.95">
      <c r="F16" s="363" t="s">
        <v>122</v>
      </c>
      <c r="G16" s="363"/>
      <c r="H16" s="363"/>
      <c r="I16" s="363"/>
      <c r="J16" s="363"/>
      <c r="K16" s="363"/>
      <c r="L16" s="363"/>
      <c r="M16" s="363"/>
      <c r="N16" s="363"/>
    </row>
    <row r="17" spans="2:21" s="12" customFormat="1" ht="15.95"/>
    <row r="18" spans="2:21" s="12" customFormat="1" ht="22.5">
      <c r="F18" s="210" t="s">
        <v>515</v>
      </c>
      <c r="G18" s="74"/>
      <c r="H18" s="211"/>
      <c r="I18" s="74"/>
      <c r="J18" s="211"/>
      <c r="K18" s="211"/>
      <c r="M18" s="212" t="s">
        <v>516</v>
      </c>
      <c r="N18" s="297"/>
    </row>
    <row r="19" spans="2:21" s="12" customFormat="1" ht="15.6" customHeight="1">
      <c r="M19" s="358" t="s">
        <v>517</v>
      </c>
      <c r="N19" s="359"/>
    </row>
    <row r="20" spans="2:21" ht="15.95">
      <c r="F20" s="355" t="s">
        <v>518</v>
      </c>
      <c r="G20" s="355"/>
      <c r="H20" s="355"/>
      <c r="I20" s="355"/>
      <c r="J20" s="355"/>
      <c r="K20" s="269"/>
      <c r="M20" s="12"/>
      <c r="N20" s="12"/>
    </row>
    <row r="21" spans="2:21" ht="14.1" customHeight="1">
      <c r="B21" s="299" t="s">
        <v>519</v>
      </c>
      <c r="C21" s="299" t="s">
        <v>520</v>
      </c>
      <c r="D21" s="299" t="s">
        <v>521</v>
      </c>
      <c r="E21" s="299" t="s">
        <v>522</v>
      </c>
      <c r="F21" s="298" t="s">
        <v>523</v>
      </c>
      <c r="G21" s="298" t="s">
        <v>380</v>
      </c>
      <c r="H21" s="300" t="s">
        <v>524</v>
      </c>
      <c r="I21" s="298" t="s">
        <v>525</v>
      </c>
      <c r="J21" s="298" t="s">
        <v>526</v>
      </c>
      <c r="K21" s="298" t="s">
        <v>473</v>
      </c>
      <c r="M21" s="362" t="s">
        <v>527</v>
      </c>
      <c r="N21" s="362"/>
    </row>
    <row r="22" spans="2:21" ht="42.75" customHeight="1">
      <c r="B22" s="302"/>
      <c r="C22" s="302"/>
      <c r="D22" s="302"/>
      <c r="E22" s="302"/>
      <c r="F22" s="300" t="s">
        <v>528</v>
      </c>
      <c r="G22" s="111" t="s">
        <v>445</v>
      </c>
      <c r="H22" s="300" t="s">
        <v>529</v>
      </c>
      <c r="I22" s="298" t="s">
        <v>367</v>
      </c>
      <c r="J22" s="301">
        <v>1459682242.7471266</v>
      </c>
      <c r="K22" s="301" t="s">
        <v>94</v>
      </c>
      <c r="M22" s="354" t="s">
        <v>530</v>
      </c>
      <c r="N22" s="354"/>
    </row>
    <row r="23" spans="2:21" ht="27.95">
      <c r="B23" s="302"/>
      <c r="C23" s="302"/>
      <c r="D23" s="302"/>
      <c r="E23" s="302"/>
      <c r="F23" s="300" t="s">
        <v>528</v>
      </c>
      <c r="G23" s="111" t="s">
        <v>445</v>
      </c>
      <c r="H23" s="300" t="s">
        <v>531</v>
      </c>
      <c r="I23" s="298" t="s">
        <v>367</v>
      </c>
      <c r="J23" s="301">
        <v>158916038</v>
      </c>
      <c r="K23" s="301" t="s">
        <v>94</v>
      </c>
      <c r="M23" s="354"/>
      <c r="N23" s="354"/>
    </row>
    <row r="24" spans="2:21" ht="14.1" customHeight="1">
      <c r="B24" s="302"/>
      <c r="C24" s="302"/>
      <c r="D24" s="302"/>
      <c r="E24" s="302"/>
      <c r="F24" s="300" t="s">
        <v>528</v>
      </c>
      <c r="G24" s="111" t="s">
        <v>445</v>
      </c>
      <c r="H24" s="300" t="s">
        <v>532</v>
      </c>
      <c r="I24" s="298" t="s">
        <v>367</v>
      </c>
      <c r="J24" s="301">
        <v>88976980</v>
      </c>
      <c r="K24" s="301" t="s">
        <v>94</v>
      </c>
      <c r="M24" s="354"/>
      <c r="N24" s="354"/>
    </row>
    <row r="25" spans="2:21" ht="33.75" customHeight="1">
      <c r="B25" s="299" t="str">
        <f>IFERROR(VLOOKUP(Government_revenues_table[[#This Row],[Classification SFP]],Table6_GFS_codes_classification[],COLUMNS($F:F)+3,FALSE),"Do not enter data")</f>
        <v>Impôts (11E)</v>
      </c>
      <c r="C25" s="299" t="str">
        <f>IFERROR(VLOOKUP(Government_revenues_table[[#This Row],[Classification SFP]],Table6_GFS_codes_classification[],COLUMNS($F:G)+3,FALSE),"Do not enter data")</f>
        <v>Autres impôts payés par les entreprises exploitant des ressources naturelles (116E)</v>
      </c>
      <c r="D25" s="299" t="str">
        <f>IFERROR(VLOOKUP(Government_revenues_table[[#This Row],[Classification SFP]],Table6_GFS_codes_classification[],COLUMNS($F:H)+3,FALSE),"Do not enter data")</f>
        <v>Autres impôts payés par les entreprises exploitant des ressources naturelles (116E)</v>
      </c>
      <c r="E25" s="299" t="str">
        <f>IFERROR(VLOOKUP(Government_revenues_table[[#This Row],[Classification SFP]],Table6_GFS_codes_classification[],COLUMNS($F:I)+3,FALSE),"Do not enter data")</f>
        <v>Autres impôts payés par les entreprises exploitant des ressources naturelles (116E)</v>
      </c>
      <c r="F25" s="300" t="s">
        <v>533</v>
      </c>
      <c r="G25" s="111" t="s">
        <v>387</v>
      </c>
      <c r="H25" s="298" t="s">
        <v>534</v>
      </c>
      <c r="I25" s="298" t="s">
        <v>360</v>
      </c>
      <c r="J25" s="301">
        <v>620964563</v>
      </c>
      <c r="K25" s="301" t="s">
        <v>94</v>
      </c>
      <c r="M25" s="354"/>
      <c r="N25" s="354"/>
    </row>
    <row r="26" spans="2:21" ht="27" customHeight="1">
      <c r="B26" s="302"/>
      <c r="C26" s="302"/>
      <c r="D26" s="302"/>
      <c r="E26" s="302"/>
      <c r="F26" s="300" t="s">
        <v>533</v>
      </c>
      <c r="G26" s="111" t="s">
        <v>387</v>
      </c>
      <c r="H26" s="300" t="s">
        <v>535</v>
      </c>
      <c r="I26" s="298" t="s">
        <v>364</v>
      </c>
      <c r="J26" s="301">
        <v>71219890</v>
      </c>
      <c r="K26" s="301" t="s">
        <v>94</v>
      </c>
      <c r="M26" s="354"/>
      <c r="N26" s="354"/>
    </row>
    <row r="27" spans="2:21" ht="42">
      <c r="B27" s="302"/>
      <c r="C27" s="302"/>
      <c r="D27" s="302"/>
      <c r="E27" s="302"/>
      <c r="F27" s="300" t="s">
        <v>533</v>
      </c>
      <c r="G27" s="111" t="s">
        <v>387</v>
      </c>
      <c r="H27" s="300" t="s">
        <v>536</v>
      </c>
      <c r="I27" s="298" t="s">
        <v>363</v>
      </c>
      <c r="J27" s="301">
        <v>418178804</v>
      </c>
      <c r="K27" s="301" t="s">
        <v>94</v>
      </c>
      <c r="M27" s="360" t="s">
        <v>537</v>
      </c>
      <c r="N27" s="360"/>
    </row>
    <row r="28" spans="2:21" ht="42">
      <c r="B28" s="302"/>
      <c r="C28" s="302"/>
      <c r="D28" s="302"/>
      <c r="E28" s="302"/>
      <c r="F28" s="300" t="s">
        <v>533</v>
      </c>
      <c r="G28" s="111" t="s">
        <v>387</v>
      </c>
      <c r="H28" s="300" t="s">
        <v>538</v>
      </c>
      <c r="I28" s="298" t="s">
        <v>362</v>
      </c>
      <c r="J28" s="301">
        <v>20000000</v>
      </c>
      <c r="K28" s="301" t="s">
        <v>94</v>
      </c>
      <c r="M28" s="361" t="s">
        <v>539</v>
      </c>
      <c r="N28" s="361"/>
    </row>
    <row r="29" spans="2:21" ht="54.75" customHeight="1" thickBot="1">
      <c r="B29" s="302"/>
      <c r="C29" s="302"/>
      <c r="D29" s="302"/>
      <c r="E29" s="302"/>
      <c r="F29" s="300" t="s">
        <v>540</v>
      </c>
      <c r="G29" s="111" t="s">
        <v>387</v>
      </c>
      <c r="H29" s="300" t="s">
        <v>541</v>
      </c>
      <c r="I29" s="298" t="s">
        <v>362</v>
      </c>
      <c r="J29" s="301">
        <v>36310900</v>
      </c>
      <c r="K29" s="301" t="s">
        <v>94</v>
      </c>
      <c r="M29" s="214"/>
      <c r="N29" s="214"/>
    </row>
    <row r="30" spans="2:21" ht="40.5" customHeight="1">
      <c r="B30" s="299" t="str">
        <f>IFERROR(VLOOKUP(Government_revenues_table[[#This Row],[Classification SFP]],Table6_GFS_codes_classification[],COLUMNS($F:F)+3,FALSE),"Do not enter data")</f>
        <v>Impôts (11E)</v>
      </c>
      <c r="C30" s="299" t="str">
        <f>IFERROR(VLOOKUP(Government_revenues_table[[#This Row],[Classification SFP]],Table6_GFS_codes_classification[],COLUMNS($F:G)+3,FALSE),"Do not enter data")</f>
        <v>Impôts sur le revenu, le bénéfice et les plus-values</v>
      </c>
      <c r="D30" s="299" t="str">
        <f>IFERROR(VLOOKUP(Government_revenues_table[[#This Row],[Classification SFP]],Table6_GFS_codes_classification[],COLUMNS($F:H)+3,FALSE),"Do not enter data")</f>
        <v>Impôts ordinaires sur le revenu, le bénéfice et les plus-values (1112E1)</v>
      </c>
      <c r="E30" s="299" t="str">
        <f>IFERROR(VLOOKUP(Government_revenues_table[[#This Row],[Classification SFP]],Table6_GFS_codes_classification[],COLUMNS($F:I)+3,FALSE),"Do not enter data")</f>
        <v>Impôts ordinaires sur le revenu, le bénéfice et les plus-values (1112E1)</v>
      </c>
      <c r="F30" s="300" t="s">
        <v>540</v>
      </c>
      <c r="G30" s="111" t="s">
        <v>387</v>
      </c>
      <c r="H30" s="300" t="s">
        <v>542</v>
      </c>
      <c r="I30" s="298" t="s">
        <v>358</v>
      </c>
      <c r="J30" s="301">
        <v>21439575</v>
      </c>
      <c r="K30" s="301" t="s">
        <v>94</v>
      </c>
      <c r="P30" s="147"/>
      <c r="Q30" s="12"/>
      <c r="R30" s="148"/>
      <c r="S30" s="12"/>
      <c r="T30" s="148"/>
      <c r="U30" s="12"/>
    </row>
    <row r="31" spans="2:21" ht="27.95">
      <c r="B31" s="302"/>
      <c r="C31" s="302"/>
      <c r="D31" s="302"/>
      <c r="E31" s="302"/>
      <c r="F31" s="300" t="s">
        <v>540</v>
      </c>
      <c r="G31" s="111" t="s">
        <v>445</v>
      </c>
      <c r="H31" s="300" t="s">
        <v>542</v>
      </c>
      <c r="I31" s="298" t="s">
        <v>358</v>
      </c>
      <c r="J31" s="301">
        <v>272770004</v>
      </c>
      <c r="K31" s="301" t="s">
        <v>94</v>
      </c>
      <c r="P31" s="357"/>
      <c r="Q31" s="357"/>
      <c r="R31" s="357"/>
      <c r="S31" s="357"/>
      <c r="T31" s="357"/>
      <c r="U31" s="357"/>
    </row>
    <row r="32" spans="2:21" ht="27.95">
      <c r="B32" s="302"/>
      <c r="C32" s="302"/>
      <c r="D32" s="302"/>
      <c r="E32" s="302"/>
      <c r="F32" s="300" t="s">
        <v>540</v>
      </c>
      <c r="G32" s="111" t="s">
        <v>445</v>
      </c>
      <c r="H32" s="300" t="s">
        <v>542</v>
      </c>
      <c r="I32" s="298" t="s">
        <v>362</v>
      </c>
      <c r="J32" s="301">
        <v>200000000</v>
      </c>
      <c r="K32" s="301" t="s">
        <v>94</v>
      </c>
    </row>
    <row r="33" spans="2:11" ht="42">
      <c r="B33" s="302"/>
      <c r="C33" s="302"/>
      <c r="D33" s="302"/>
      <c r="E33" s="302"/>
      <c r="F33" s="300" t="s">
        <v>533</v>
      </c>
      <c r="G33" s="111" t="s">
        <v>445</v>
      </c>
      <c r="H33" s="300" t="s">
        <v>542</v>
      </c>
      <c r="I33" s="298" t="s">
        <v>367</v>
      </c>
      <c r="J33" s="301">
        <v>88976980</v>
      </c>
      <c r="K33" s="301" t="s">
        <v>94</v>
      </c>
    </row>
    <row r="34" spans="2:11" ht="27.95">
      <c r="B34" s="302"/>
      <c r="C34" s="302"/>
      <c r="D34" s="302"/>
      <c r="E34" s="302"/>
      <c r="F34" s="300" t="s">
        <v>528</v>
      </c>
      <c r="G34" s="111" t="s">
        <v>445</v>
      </c>
      <c r="H34" s="300" t="s">
        <v>543</v>
      </c>
      <c r="I34" s="298" t="s">
        <v>367</v>
      </c>
      <c r="J34" s="301">
        <v>35260941</v>
      </c>
      <c r="K34" s="301" t="s">
        <v>94</v>
      </c>
    </row>
    <row r="35" spans="2:11" ht="42">
      <c r="B35" s="302"/>
      <c r="C35" s="302"/>
      <c r="D35" s="302"/>
      <c r="E35" s="302"/>
      <c r="F35" s="300" t="s">
        <v>544</v>
      </c>
      <c r="G35" s="111" t="s">
        <v>387</v>
      </c>
      <c r="H35" s="300" t="s">
        <v>545</v>
      </c>
      <c r="I35" s="298" t="s">
        <v>362</v>
      </c>
      <c r="J35" s="301">
        <v>8943645000</v>
      </c>
      <c r="K35" s="301" t="s">
        <v>94</v>
      </c>
    </row>
    <row r="36" spans="2:11" ht="42">
      <c r="B36" s="302"/>
      <c r="C36" s="302"/>
      <c r="D36" s="302"/>
      <c r="E36" s="302"/>
      <c r="F36" s="300" t="s">
        <v>540</v>
      </c>
      <c r="G36" s="111" t="s">
        <v>387</v>
      </c>
      <c r="H36" s="300" t="s">
        <v>546</v>
      </c>
      <c r="I36" s="298" t="s">
        <v>362</v>
      </c>
      <c r="J36" s="301">
        <v>1449830360</v>
      </c>
      <c r="K36" s="301" t="s">
        <v>94</v>
      </c>
    </row>
    <row r="37" spans="2:11" ht="42">
      <c r="B37" s="302"/>
      <c r="C37" s="302"/>
      <c r="D37" s="302"/>
      <c r="E37" s="302"/>
      <c r="F37" s="300" t="s">
        <v>540</v>
      </c>
      <c r="G37" s="111" t="s">
        <v>445</v>
      </c>
      <c r="H37" s="300" t="s">
        <v>546</v>
      </c>
      <c r="I37" s="298" t="s">
        <v>362</v>
      </c>
      <c r="J37" s="301">
        <v>400000</v>
      </c>
      <c r="K37" s="301" t="s">
        <v>94</v>
      </c>
    </row>
    <row r="38" spans="2:11" ht="42">
      <c r="B38" s="299" t="str">
        <f>IFERROR(VLOOKUP(Government_revenues_table[[#This Row],[Classification SFP]],Table6_GFS_codes_classification[],COLUMNS($F:F)+3,FALSE),"Do not enter data")</f>
        <v>Impôts (11E)</v>
      </c>
      <c r="C38" s="299" t="str">
        <f>IFERROR(VLOOKUP(Government_revenues_table[[#This Row],[Classification SFP]],Table6_GFS_codes_classification[],COLUMNS($F:G)+3,FALSE),"Do not enter data")</f>
        <v>Impôts sur le revenu, le bénéfice et les plus-values</v>
      </c>
      <c r="D38" s="299" t="str">
        <f>IFERROR(VLOOKUP(Government_revenues_table[[#This Row],[Classification SFP]],Table6_GFS_codes_classification[],COLUMNS($F:H)+3,FALSE),"Do not enter data")</f>
        <v>Impôts ordinaires sur le revenu, le bénéfice et les plus-values (1112E1)</v>
      </c>
      <c r="E38" s="299" t="str">
        <f>IFERROR(VLOOKUP(Government_revenues_table[[#This Row],[Classification SFP]],Table6_GFS_codes_classification[],COLUMNS($F:I)+3,FALSE),"Do not enter data")</f>
        <v>Impôts ordinaires sur le revenu, le bénéfice et les plus-values (1112E1)</v>
      </c>
      <c r="F38" s="300" t="s">
        <v>540</v>
      </c>
      <c r="G38" s="111" t="s">
        <v>387</v>
      </c>
      <c r="H38" s="300" t="s">
        <v>547</v>
      </c>
      <c r="I38" s="298" t="s">
        <v>358</v>
      </c>
      <c r="J38" s="301">
        <v>371531312</v>
      </c>
      <c r="K38" s="301" t="s">
        <v>94</v>
      </c>
    </row>
    <row r="39" spans="2:11" ht="27.95">
      <c r="B39" s="302"/>
      <c r="C39" s="302"/>
      <c r="D39" s="302"/>
      <c r="E39" s="302"/>
      <c r="F39" s="300" t="s">
        <v>548</v>
      </c>
      <c r="G39" s="111" t="s">
        <v>387</v>
      </c>
      <c r="H39" s="300" t="s">
        <v>549</v>
      </c>
      <c r="I39" s="298" t="s">
        <v>362</v>
      </c>
      <c r="J39" s="301">
        <v>3780000000</v>
      </c>
      <c r="K39" s="301" t="s">
        <v>94</v>
      </c>
    </row>
    <row r="40" spans="2:11" ht="27.95">
      <c r="B40" s="302"/>
      <c r="C40" s="302"/>
      <c r="D40" s="302"/>
      <c r="E40" s="302"/>
      <c r="F40" s="300" t="s">
        <v>528</v>
      </c>
      <c r="G40" s="111" t="s">
        <v>445</v>
      </c>
      <c r="H40" s="300" t="s">
        <v>550</v>
      </c>
      <c r="I40" s="298" t="s">
        <v>367</v>
      </c>
      <c r="J40" s="301">
        <v>1059829650</v>
      </c>
      <c r="K40" s="301" t="s">
        <v>94</v>
      </c>
    </row>
    <row r="41" spans="2:11" ht="27.95">
      <c r="B41" s="299" t="str">
        <f>IFERROR(VLOOKUP(Government_revenues_table[[#This Row],[Classification SFP]],Table6_GFS_codes_classification[],COLUMNS($F:F)+3,FALSE),"Do not enter data")</f>
        <v>Impôts (11E)</v>
      </c>
      <c r="C41" s="299" t="str">
        <f>IFERROR(VLOOKUP(Government_revenues_table[[#This Row],[Classification SFP]],Table6_GFS_codes_classification[],COLUMNS($F:G)+3,FALSE),"Do not enter data")</f>
        <v>Taxes sur le commerce et les transactions au niveau international (115E)</v>
      </c>
      <c r="D41" s="299" t="str">
        <f>IFERROR(VLOOKUP(Government_revenues_table[[#This Row],[Classification SFP]],Table6_GFS_codes_classification[],COLUMNS($F:H)+3,FALSE),"Do not enter data")</f>
        <v>Droits de douane et autres droits d’importation (1151E)</v>
      </c>
      <c r="E41" s="299" t="str">
        <f>IFERROR(VLOOKUP(Government_revenues_table[[#This Row],[Classification SFP]],Table6_GFS_codes_classification[],COLUMNS($F:I)+3,FALSE),"Do not enter data")</f>
        <v>Droits de douane et autres droits d’importation (1151E)</v>
      </c>
      <c r="F41" s="300" t="s">
        <v>551</v>
      </c>
      <c r="G41" s="111" t="s">
        <v>387</v>
      </c>
      <c r="H41" s="300" t="s">
        <v>552</v>
      </c>
      <c r="I41" s="298" t="s">
        <v>361</v>
      </c>
      <c r="J41" s="301">
        <v>5672666901</v>
      </c>
      <c r="K41" s="301" t="s">
        <v>94</v>
      </c>
    </row>
    <row r="42" spans="2:11" ht="27.95">
      <c r="B42" s="302"/>
      <c r="C42" s="302"/>
      <c r="D42" s="302"/>
      <c r="E42" s="302"/>
      <c r="F42" s="300" t="s">
        <v>551</v>
      </c>
      <c r="G42" s="111" t="s">
        <v>445</v>
      </c>
      <c r="H42" s="300" t="s">
        <v>552</v>
      </c>
      <c r="I42" s="298" t="s">
        <v>361</v>
      </c>
      <c r="J42" s="301">
        <v>4494590</v>
      </c>
      <c r="K42" s="301" t="s">
        <v>94</v>
      </c>
    </row>
    <row r="43" spans="2:11" ht="27.95">
      <c r="B43" s="299" t="str">
        <f>IFERROR(VLOOKUP(Government_revenues_table[[#This Row],[Classification SFP]],Table6_GFS_codes_classification[],COLUMNS($F:F)+3,FALSE),"Do not enter data")</f>
        <v>Impôts (11E)</v>
      </c>
      <c r="C43" s="299" t="str">
        <f>IFERROR(VLOOKUP(Government_revenues_table[[#This Row],[Classification SFP]],Table6_GFS_codes_classification[],COLUMNS($F:G)+3,FALSE),"Do not enter data")</f>
        <v>Impôts sur le revenu, le bénéfice et les plus-values</v>
      </c>
      <c r="D43" s="299" t="str">
        <f>IFERROR(VLOOKUP(Government_revenues_table[[#This Row],[Classification SFP]],Table6_GFS_codes_classification[],COLUMNS($F:H)+3,FALSE),"Do not enter data")</f>
        <v>Impôts ordinaires sur le revenu, le bénéfice et les plus-values (1112E1)</v>
      </c>
      <c r="E43" s="299" t="str">
        <f>IFERROR(VLOOKUP(Government_revenues_table[[#This Row],[Classification SFP]],Table6_GFS_codes_classification[],COLUMNS($F:I)+3,FALSE),"Do not enter data")</f>
        <v>Impôts ordinaires sur le revenu, le bénéfice et les plus-values (1112E1)</v>
      </c>
      <c r="F43" s="300" t="s">
        <v>540</v>
      </c>
      <c r="G43" s="111" t="s">
        <v>387</v>
      </c>
      <c r="H43" s="298" t="s">
        <v>553</v>
      </c>
      <c r="I43" s="298" t="s">
        <v>360</v>
      </c>
      <c r="J43" s="301">
        <v>53000000</v>
      </c>
      <c r="K43" s="301" t="s">
        <v>94</v>
      </c>
    </row>
    <row r="44" spans="2:11" ht="27.95">
      <c r="B44" s="299" t="str">
        <f>IFERROR(VLOOKUP(Government_revenues_table[[#This Row],[Classification SFP]],Table6_GFS_codes_classification[],COLUMNS($F:F)+3,FALSE),"Do not enter data")</f>
        <v>Autre revenu (14E)</v>
      </c>
      <c r="C44" s="299" t="str">
        <f>IFERROR(VLOOKUP(Government_revenues_table[[#This Row],[Classification SFP]],Table6_GFS_codes_classification[],COLUMNS($F:G)+3,FALSE),"Do not enter data")</f>
        <v>Ventes de marchandises et de services (142E)</v>
      </c>
      <c r="D44" s="299" t="str">
        <f>IFERROR(VLOOKUP(Government_revenues_table[[#This Row],[Classification SFP]],Table6_GFS_codes_classification[],COLUMNS($F:H)+3,FALSE),"Do not enter data")</f>
        <v>Frais administratifs pour services gouvernementaux (1422E)</v>
      </c>
      <c r="E44" s="299" t="str">
        <f>IFERROR(VLOOKUP(Government_revenues_table[[#This Row],[Classification SFP]],Table6_GFS_codes_classification[],COLUMNS($F:I)+3,FALSE),"Do not enter data")</f>
        <v>Frais administratifs pour services gouvernementaux (1422E)</v>
      </c>
      <c r="F44" s="300" t="s">
        <v>554</v>
      </c>
      <c r="G44" s="111" t="s">
        <v>387</v>
      </c>
      <c r="H44" s="300" t="s">
        <v>555</v>
      </c>
      <c r="I44" s="298" t="s">
        <v>358</v>
      </c>
      <c r="J44" s="301">
        <v>431206075</v>
      </c>
      <c r="K44" s="301" t="s">
        <v>94</v>
      </c>
    </row>
    <row r="45" spans="2:11">
      <c r="B45" s="299" t="str">
        <f>IFERROR(VLOOKUP(Government_revenues_table[[#This Row],[Classification SFP]],Table6_GFS_codes_classification[],COLUMNS($F:F)+3,FALSE),"Do not enter data")</f>
        <v>Impôts (11E)</v>
      </c>
      <c r="C45" s="299" t="str">
        <f>IFERROR(VLOOKUP(Government_revenues_table[[#This Row],[Classification SFP]],Table6_GFS_codes_classification[],COLUMNS($F:G)+3,FALSE),"Do not enter data")</f>
        <v>Impôts sur le revenu, le bénéfice et les plus-values</v>
      </c>
      <c r="D45" s="299" t="str">
        <f>IFERROR(VLOOKUP(Government_revenues_table[[#This Row],[Classification SFP]],Table6_GFS_codes_classification[],COLUMNS($F:H)+3,FALSE),"Do not enter data")</f>
        <v>Impôts ordinaires sur le revenu, le bénéfice et les plus-values (1112E1)</v>
      </c>
      <c r="E45" s="299" t="str">
        <f>IFERROR(VLOOKUP(Government_revenues_table[[#This Row],[Classification SFP]],Table6_GFS_codes_classification[],COLUMNS($F:I)+3,FALSE),"Do not enter data")</f>
        <v>Impôts ordinaires sur le revenu, le bénéfice et les plus-values (1112E1)</v>
      </c>
      <c r="F45" s="300" t="s">
        <v>540</v>
      </c>
      <c r="G45" s="111" t="s">
        <v>387</v>
      </c>
      <c r="H45" s="300" t="s">
        <v>556</v>
      </c>
      <c r="I45" s="298" t="s">
        <v>358</v>
      </c>
      <c r="J45" s="301">
        <v>5637559102</v>
      </c>
      <c r="K45" s="301" t="s">
        <v>94</v>
      </c>
    </row>
    <row r="46" spans="2:11" ht="27.95">
      <c r="B46" s="302"/>
      <c r="C46" s="302"/>
      <c r="D46" s="302"/>
      <c r="E46" s="302"/>
      <c r="F46" s="300" t="s">
        <v>540</v>
      </c>
      <c r="G46" s="111" t="s">
        <v>445</v>
      </c>
      <c r="H46" s="300" t="s">
        <v>556</v>
      </c>
      <c r="I46" s="298" t="s">
        <v>358</v>
      </c>
      <c r="J46" s="301">
        <v>36193499</v>
      </c>
      <c r="K46" s="301" t="s">
        <v>94</v>
      </c>
    </row>
    <row r="47" spans="2:11" ht="27.95">
      <c r="B47" s="299" t="str">
        <f>IFERROR(VLOOKUP(Government_revenues_table[[#This Row],[Classification SFP]],Table6_GFS_codes_classification[],COLUMNS($F:F)+3,FALSE),"Do not enter data")</f>
        <v>Impôts (11E)</v>
      </c>
      <c r="C47" s="299" t="str">
        <f>IFERROR(VLOOKUP(Government_revenues_table[[#This Row],[Classification SFP]],Table6_GFS_codes_classification[],COLUMNS($F:G)+3,FALSE),"Do not enter data")</f>
        <v>Impôts sur le revenu, le bénéfice et les plus-values</v>
      </c>
      <c r="D47" s="299" t="str">
        <f>IFERROR(VLOOKUP(Government_revenues_table[[#This Row],[Classification SFP]],Table6_GFS_codes_classification[],COLUMNS($F:H)+3,FALSE),"Do not enter data")</f>
        <v>Impôts ordinaires sur le revenu, le bénéfice et les plus-values (1112E1)</v>
      </c>
      <c r="E47" s="299" t="str">
        <f>IFERROR(VLOOKUP(Government_revenues_table[[#This Row],[Classification SFP]],Table6_GFS_codes_classification[],COLUMNS($F:I)+3,FALSE),"Do not enter data")</f>
        <v>Impôts ordinaires sur le revenu, le bénéfice et les plus-values (1112E1)</v>
      </c>
      <c r="F47" s="300" t="s">
        <v>540</v>
      </c>
      <c r="G47" s="111" t="s">
        <v>387</v>
      </c>
      <c r="H47" s="300" t="s">
        <v>557</v>
      </c>
      <c r="I47" s="298" t="s">
        <v>358</v>
      </c>
      <c r="J47" s="301">
        <v>13120629752</v>
      </c>
      <c r="K47" s="301" t="s">
        <v>94</v>
      </c>
    </row>
    <row r="48" spans="2:11" ht="27.95">
      <c r="B48" s="302"/>
      <c r="C48" s="302"/>
      <c r="D48" s="302"/>
      <c r="E48" s="302"/>
      <c r="F48" s="300" t="s">
        <v>540</v>
      </c>
      <c r="G48" s="111" t="s">
        <v>445</v>
      </c>
      <c r="H48" s="300" t="s">
        <v>557</v>
      </c>
      <c r="I48" s="298" t="s">
        <v>358</v>
      </c>
      <c r="J48" s="301">
        <v>6200000</v>
      </c>
      <c r="K48" s="301" t="s">
        <v>94</v>
      </c>
    </row>
    <row r="49" spans="2:11" ht="27.95">
      <c r="B49" s="302"/>
      <c r="C49" s="302"/>
      <c r="D49" s="302"/>
      <c r="E49" s="302"/>
      <c r="F49" s="300" t="s">
        <v>558</v>
      </c>
      <c r="G49" s="111" t="s">
        <v>445</v>
      </c>
      <c r="H49" s="300" t="s">
        <v>559</v>
      </c>
      <c r="I49" s="298" t="s">
        <v>367</v>
      </c>
      <c r="J49" s="301">
        <v>167631427.13793105</v>
      </c>
      <c r="K49" s="301" t="s">
        <v>94</v>
      </c>
    </row>
    <row r="50" spans="2:11">
      <c r="B50" s="302"/>
      <c r="C50" s="302"/>
      <c r="D50" s="302"/>
      <c r="E50" s="302"/>
      <c r="F50" s="300" t="s">
        <v>540</v>
      </c>
      <c r="G50" s="111" t="s">
        <v>387</v>
      </c>
      <c r="H50" s="300" t="s">
        <v>560</v>
      </c>
      <c r="I50" s="298" t="s">
        <v>362</v>
      </c>
      <c r="J50" s="301">
        <v>700212162</v>
      </c>
      <c r="K50" s="301" t="s">
        <v>94</v>
      </c>
    </row>
    <row r="51" spans="2:11" ht="42">
      <c r="B51" s="299" t="str">
        <f>IFERROR(VLOOKUP(Government_revenues_table[[#This Row],[Classification SFP]],Table6_GFS_codes_classification[],COLUMNS($F:F)+3,FALSE),"Do not enter data")</f>
        <v>Impôts (11E)</v>
      </c>
      <c r="C51" s="299" t="str">
        <f>IFERROR(VLOOKUP(Government_revenues_table[[#This Row],[Classification SFP]],Table6_GFS_codes_classification[],COLUMNS($F:G)+3,FALSE),"Do not enter data")</f>
        <v>Taxes sur le commerce et les transactions au niveau international (115E)</v>
      </c>
      <c r="D51" s="299" t="str">
        <f>IFERROR(VLOOKUP(Government_revenues_table[[#This Row],[Classification SFP]],Table6_GFS_codes_classification[],COLUMNS($F:H)+3,FALSE),"Do not enter data")</f>
        <v>Droits de douane et autres droits d’importation (1151E)</v>
      </c>
      <c r="E51" s="299" t="str">
        <f>IFERROR(VLOOKUP(Government_revenues_table[[#This Row],[Classification SFP]],Table6_GFS_codes_classification[],COLUMNS($F:I)+3,FALSE),"Do not enter data")</f>
        <v>Droits de douane et autres droits d’importation (1151E)</v>
      </c>
      <c r="F51" s="300" t="s">
        <v>551</v>
      </c>
      <c r="G51" s="111" t="s">
        <v>387</v>
      </c>
      <c r="H51" s="300" t="s">
        <v>561</v>
      </c>
      <c r="I51" s="298" t="s">
        <v>361</v>
      </c>
      <c r="J51" s="301">
        <v>505206915</v>
      </c>
      <c r="K51" s="301" t="s">
        <v>94</v>
      </c>
    </row>
    <row r="52" spans="2:11" ht="27.95">
      <c r="B52" s="302"/>
      <c r="C52" s="302"/>
      <c r="D52" s="302"/>
      <c r="E52" s="302"/>
      <c r="F52" s="300" t="s">
        <v>551</v>
      </c>
      <c r="G52" s="111" t="s">
        <v>445</v>
      </c>
      <c r="H52" s="300" t="s">
        <v>561</v>
      </c>
      <c r="I52" s="298" t="s">
        <v>361</v>
      </c>
      <c r="J52" s="301">
        <v>7943932</v>
      </c>
      <c r="K52" s="301" t="s">
        <v>94</v>
      </c>
    </row>
    <row r="53" spans="2:11" ht="27.95">
      <c r="B53" s="299" t="str">
        <f>IFERROR(VLOOKUP(Government_revenues_table[[#This Row],[Classification SFP]],Table6_GFS_codes_classification[],COLUMNS($F:F)+3,FALSE),"Do not enter data")</f>
        <v>Impôts (11E)</v>
      </c>
      <c r="C53" s="299" t="str">
        <f>IFERROR(VLOOKUP(Government_revenues_table[[#This Row],[Classification SFP]],Table6_GFS_codes_classification[],COLUMNS($F:G)+3,FALSE),"Do not enter data")</f>
        <v>Taxes sur le commerce et les transactions au niveau international (115E)</v>
      </c>
      <c r="D53" s="299" t="str">
        <f>IFERROR(VLOOKUP(Government_revenues_table[[#This Row],[Classification SFP]],Table6_GFS_codes_classification[],COLUMNS($F:H)+3,FALSE),"Do not enter data")</f>
        <v>Droits de douane et autres droits d’importation (1151E)</v>
      </c>
      <c r="E53" s="299" t="str">
        <f>IFERROR(VLOOKUP(Government_revenues_table[[#This Row],[Classification SFP]],Table6_GFS_codes_classification[],COLUMNS($F:I)+3,FALSE),"Do not enter data")</f>
        <v>Droits de douane et autres droits d’importation (1151E)</v>
      </c>
      <c r="F53" s="300" t="s">
        <v>551</v>
      </c>
      <c r="G53" s="111" t="s">
        <v>387</v>
      </c>
      <c r="H53" s="300" t="s">
        <v>562</v>
      </c>
      <c r="I53" s="298" t="s">
        <v>361</v>
      </c>
      <c r="J53" s="301">
        <v>809955273</v>
      </c>
      <c r="K53" s="301" t="s">
        <v>94</v>
      </c>
    </row>
    <row r="54" spans="2:11" ht="27.95">
      <c r="B54" s="302"/>
      <c r="C54" s="302"/>
      <c r="D54" s="302"/>
      <c r="E54" s="302"/>
      <c r="F54" s="300" t="s">
        <v>551</v>
      </c>
      <c r="G54" s="111" t="s">
        <v>445</v>
      </c>
      <c r="H54" s="300" t="s">
        <v>562</v>
      </c>
      <c r="I54" s="298" t="s">
        <v>361</v>
      </c>
      <c r="J54" s="301">
        <v>12710291</v>
      </c>
      <c r="K54" s="301" t="s">
        <v>94</v>
      </c>
    </row>
    <row r="55" spans="2:11" ht="42">
      <c r="B55" s="299" t="str">
        <f>IFERROR(VLOOKUP(Government_revenues_table[[#This Row],[Classification SFP]],Table6_GFS_codes_classification[],COLUMNS($F:F)+3,FALSE),"Do not enter data")</f>
        <v>Impôts (11E)</v>
      </c>
      <c r="C55" s="299" t="str">
        <f>IFERROR(VLOOKUP(Government_revenues_table[[#This Row],[Classification SFP]],Table6_GFS_codes_classification[],COLUMNS($F:G)+3,FALSE),"Do not enter data")</f>
        <v>Taxes sur le commerce et les transactions au niveau international (115E)</v>
      </c>
      <c r="D55" s="299" t="str">
        <f>IFERROR(VLOOKUP(Government_revenues_table[[#This Row],[Classification SFP]],Table6_GFS_codes_classification[],COLUMNS($F:H)+3,FALSE),"Do not enter data")</f>
        <v>Droits de douane et autres droits d’importation (1151E)</v>
      </c>
      <c r="E55" s="299" t="str">
        <f>IFERROR(VLOOKUP(Government_revenues_table[[#This Row],[Classification SFP]],Table6_GFS_codes_classification[],COLUMNS($F:I)+3,FALSE),"Do not enter data")</f>
        <v>Droits de douane et autres droits d’importation (1151E)</v>
      </c>
      <c r="F55" s="300" t="s">
        <v>551</v>
      </c>
      <c r="G55" s="111" t="s">
        <v>387</v>
      </c>
      <c r="H55" s="300" t="s">
        <v>563</v>
      </c>
      <c r="I55" s="298" t="s">
        <v>361</v>
      </c>
      <c r="J55" s="301">
        <v>198462487</v>
      </c>
      <c r="K55" s="301" t="s">
        <v>94</v>
      </c>
    </row>
    <row r="56" spans="2:11" ht="27.95">
      <c r="B56" s="302"/>
      <c r="C56" s="302"/>
      <c r="D56" s="302"/>
      <c r="E56" s="302"/>
      <c r="F56" s="300" t="s">
        <v>551</v>
      </c>
      <c r="G56" s="111" t="s">
        <v>445</v>
      </c>
      <c r="H56" s="300" t="s">
        <v>563</v>
      </c>
      <c r="I56" s="298" t="s">
        <v>361</v>
      </c>
      <c r="J56" s="301">
        <v>61795</v>
      </c>
      <c r="K56" s="301" t="s">
        <v>94</v>
      </c>
    </row>
    <row r="57" spans="2:11" ht="27.95">
      <c r="B57" s="299" t="str">
        <f>IFERROR(VLOOKUP(Government_revenues_table[[#This Row],[Classification SFP]],Table6_GFS_codes_classification[],COLUMNS($F:F)+3,FALSE),"Do not enter data")</f>
        <v>Autre revenu (14E)</v>
      </c>
      <c r="C57" s="299" t="str">
        <f>IFERROR(VLOOKUP(Government_revenues_table[[#This Row],[Classification SFP]],Table6_GFS_codes_classification[],COLUMNS($F:G)+3,FALSE),"Do not enter data")</f>
        <v>Revenu dégagé de la propriété (141E)</v>
      </c>
      <c r="D57" s="299" t="str">
        <f>IFERROR(VLOOKUP(Government_revenues_table[[#This Row],[Classification SFP]],Table6_GFS_codes_classification[],COLUMNS($F:H)+3,FALSE),"Do not enter data")</f>
        <v>Loyers (1415E)</v>
      </c>
      <c r="E57" s="299" t="str">
        <f>IFERROR(VLOOKUP(Government_revenues_table[[#This Row],[Classification SFP]],Table6_GFS_codes_classification[],COLUMNS($F:I)+3,FALSE),"Do not enter data")</f>
        <v>Redevances (1415E1)</v>
      </c>
      <c r="F57" s="298" t="s">
        <v>564</v>
      </c>
      <c r="G57" s="111" t="s">
        <v>387</v>
      </c>
      <c r="H57" s="298" t="s">
        <v>565</v>
      </c>
      <c r="I57" s="298" t="s">
        <v>360</v>
      </c>
      <c r="J57" s="301">
        <v>24681238152</v>
      </c>
      <c r="K57" s="301" t="s">
        <v>94</v>
      </c>
    </row>
    <row r="58" spans="2:11" ht="27.95">
      <c r="B58" s="302" t="str">
        <f>IFERROR(VLOOKUP(Government_revenues_table[[#This Row],[Classification SFP]],Table6_GFS_codes_classification[],COLUMNS($F:F)+3,FALSE),"Do not enter data")</f>
        <v>Impôts (11E)</v>
      </c>
      <c r="C58" s="302" t="str">
        <f>IFERROR(VLOOKUP(Government_revenues_table[[#This Row],[Classification SFP]],Table6_GFS_codes_classification[],COLUMNS($F:G)+3,FALSE),"Do not enter data")</f>
        <v>Taxes sur le commerce et les transactions au niveau international (115E)</v>
      </c>
      <c r="D58" s="302" t="str">
        <f>IFERROR(VLOOKUP(Government_revenues_table[[#This Row],[Classification SFP]],Table6_GFS_codes_classification[],COLUMNS($F:H)+3,FALSE),"Do not enter data")</f>
        <v>Droits de douane et autres droits d’importation (1151E)</v>
      </c>
      <c r="E58" s="302" t="str">
        <f>IFERROR(VLOOKUP(Government_revenues_table[[#This Row],[Classification SFP]],Table6_GFS_codes_classification[],COLUMNS($F:I)+3,FALSE),"Do not enter data")</f>
        <v>Droits de douane et autres droits d’importation (1151E)</v>
      </c>
      <c r="F58" s="300" t="s">
        <v>551</v>
      </c>
      <c r="G58" s="111" t="s">
        <v>387</v>
      </c>
      <c r="H58" s="300" t="s">
        <v>566</v>
      </c>
      <c r="I58" s="298" t="s">
        <v>361</v>
      </c>
      <c r="J58" s="301">
        <v>1012950420</v>
      </c>
      <c r="K58" s="301" t="s">
        <v>94</v>
      </c>
    </row>
    <row r="59" spans="2:11" ht="42">
      <c r="B59" s="302"/>
      <c r="C59" s="302"/>
      <c r="D59" s="302"/>
      <c r="E59" s="302"/>
      <c r="F59" s="300" t="s">
        <v>551</v>
      </c>
      <c r="G59" s="111" t="s">
        <v>445</v>
      </c>
      <c r="H59" s="300" t="s">
        <v>566</v>
      </c>
      <c r="I59" s="298" t="s">
        <v>361</v>
      </c>
      <c r="J59" s="301">
        <v>15887860</v>
      </c>
      <c r="K59" s="301" t="s">
        <v>94</v>
      </c>
    </row>
    <row r="60" spans="2:11" ht="27.95">
      <c r="B60" s="299" t="str">
        <f>IFERROR(VLOOKUP(Government_revenues_table[[#This Row],[Classification SFP]],Table6_GFS_codes_classification[],COLUMNS($F:F)+3,FALSE),"Do not enter data")</f>
        <v>Autre revenu (14E)</v>
      </c>
      <c r="C60" s="299" t="str">
        <f>IFERROR(VLOOKUP(Government_revenues_table[[#This Row],[Classification SFP]],Table6_GFS_codes_classification[],COLUMNS($F:G)+3,FALSE),"Do not enter data")</f>
        <v>Revenu dégagé de la propriété (141E)</v>
      </c>
      <c r="D60" s="299" t="str">
        <f>IFERROR(VLOOKUP(Government_revenues_table[[#This Row],[Classification SFP]],Table6_GFS_codes_classification[],COLUMNS($F:H)+3,FALSE),"Do not enter data")</f>
        <v>Loyers (1415E)</v>
      </c>
      <c r="E60" s="299" t="str">
        <f>IFERROR(VLOOKUP(Government_revenues_table[[#This Row],[Classification SFP]],Table6_GFS_codes_classification[],COLUMNS($F:I)+3,FALSE),"Do not enter data")</f>
        <v>Redevances (1415E1)</v>
      </c>
      <c r="F60" s="298" t="s">
        <v>564</v>
      </c>
      <c r="G60" s="111" t="s">
        <v>387</v>
      </c>
      <c r="H60" s="298" t="s">
        <v>567</v>
      </c>
      <c r="I60" s="298" t="s">
        <v>360</v>
      </c>
      <c r="J60" s="301">
        <v>854255074</v>
      </c>
      <c r="K60" s="301" t="s">
        <v>94</v>
      </c>
    </row>
    <row r="61" spans="2:11" ht="42">
      <c r="B61" s="299" t="str">
        <f>IFERROR(VLOOKUP(Government_revenues_table[[#This Row],[Classification SFP]],Table6_GFS_codes_classification[],COLUMNS($F:F)+3,FALSE),"Do not enter data")</f>
        <v>Impôts (11E)</v>
      </c>
      <c r="C61" s="299" t="str">
        <f>IFERROR(VLOOKUP(Government_revenues_table[[#This Row],[Classification SFP]],Table6_GFS_codes_classification[],COLUMNS($F:G)+3,FALSE),"Do not enter data")</f>
        <v>Impôts sur le revenu, le bénéfice et les plus-values</v>
      </c>
      <c r="D61" s="299" t="str">
        <f>IFERROR(VLOOKUP(Government_revenues_table[[#This Row],[Classification SFP]],Table6_GFS_codes_classification[],COLUMNS($F:H)+3,FALSE),"Do not enter data")</f>
        <v>Impôts ordinaires sur le revenu, le bénéfice et les plus-values (1112E1)</v>
      </c>
      <c r="E61" s="299" t="str">
        <f>IFERROR(VLOOKUP(Government_revenues_table[[#This Row],[Classification SFP]],Table6_GFS_codes_classification[],COLUMNS($F:I)+3,FALSE),"Do not enter data")</f>
        <v>Impôts ordinaires sur le revenu, le bénéfice et les plus-values (1112E1)</v>
      </c>
      <c r="F61" s="300" t="s">
        <v>540</v>
      </c>
      <c r="G61" s="111" t="s">
        <v>387</v>
      </c>
      <c r="H61" s="300" t="s">
        <v>568</v>
      </c>
      <c r="I61" s="298" t="s">
        <v>358</v>
      </c>
      <c r="J61" s="301">
        <v>2200921100</v>
      </c>
      <c r="K61" s="301" t="s">
        <v>94</v>
      </c>
    </row>
    <row r="62" spans="2:11" ht="27.95">
      <c r="B62" s="302"/>
      <c r="C62" s="302"/>
      <c r="D62" s="302"/>
      <c r="E62" s="302"/>
      <c r="F62" s="300" t="s">
        <v>540</v>
      </c>
      <c r="G62" s="111" t="s">
        <v>445</v>
      </c>
      <c r="H62" s="300" t="s">
        <v>568</v>
      </c>
      <c r="I62" s="298" t="s">
        <v>358</v>
      </c>
      <c r="J62" s="301">
        <v>5574323442</v>
      </c>
      <c r="K62" s="301" t="s">
        <v>94</v>
      </c>
    </row>
    <row r="63" spans="2:11" ht="42">
      <c r="B63" s="302"/>
      <c r="C63" s="302"/>
      <c r="D63" s="302"/>
      <c r="E63" s="302"/>
      <c r="F63" s="300" t="s">
        <v>533</v>
      </c>
      <c r="G63" s="111" t="s">
        <v>445</v>
      </c>
      <c r="H63" s="300" t="s">
        <v>569</v>
      </c>
      <c r="I63" s="298" t="s">
        <v>362</v>
      </c>
      <c r="J63" s="301">
        <v>243960735</v>
      </c>
      <c r="K63" s="301" t="s">
        <v>94</v>
      </c>
    </row>
    <row r="64" spans="2:11" ht="27.95">
      <c r="B64" s="302"/>
      <c r="C64" s="302"/>
      <c r="D64" s="302"/>
      <c r="E64" s="302"/>
      <c r="F64" s="300" t="s">
        <v>533</v>
      </c>
      <c r="G64" s="111" t="s">
        <v>445</v>
      </c>
      <c r="H64" s="300" t="s">
        <v>570</v>
      </c>
      <c r="I64" s="298" t="s">
        <v>367</v>
      </c>
      <c r="J64" s="301">
        <v>171894738</v>
      </c>
      <c r="K64" s="301" t="s">
        <v>94</v>
      </c>
    </row>
    <row r="65" spans="2:11" ht="42">
      <c r="B65" s="302"/>
      <c r="C65" s="302"/>
      <c r="D65" s="302"/>
      <c r="E65" s="302"/>
      <c r="F65" s="300" t="s">
        <v>571</v>
      </c>
      <c r="G65" s="111" t="s">
        <v>387</v>
      </c>
      <c r="H65" s="300" t="s">
        <v>572</v>
      </c>
      <c r="I65" s="298" t="s">
        <v>364</v>
      </c>
      <c r="J65" s="301">
        <v>0</v>
      </c>
      <c r="K65" s="301" t="s">
        <v>94</v>
      </c>
    </row>
    <row r="66" spans="2:11" ht="27.95">
      <c r="B66" s="299" t="str">
        <f>IFERROR(VLOOKUP(Government_revenues_table[[#This Row],[Classification SFP]],Table6_GFS_codes_classification[],COLUMNS($F:F)+3,FALSE),"Do not enter data")</f>
        <v>Impôts (11E)</v>
      </c>
      <c r="C66" s="299" t="str">
        <f>IFERROR(VLOOKUP(Government_revenues_table[[#This Row],[Classification SFP]],Table6_GFS_codes_classification[],COLUMNS($F:G)+3,FALSE),"Do not enter data")</f>
        <v>Taxes sur le commerce et les transactions au niveau international (115E)</v>
      </c>
      <c r="D66" s="299" t="str">
        <f>IFERROR(VLOOKUP(Government_revenues_table[[#This Row],[Classification SFP]],Table6_GFS_codes_classification[],COLUMNS($F:H)+3,FALSE),"Do not enter data")</f>
        <v>Droits de douane et autres droits d’importation (1151E)</v>
      </c>
      <c r="E66" s="299" t="str">
        <f>IFERROR(VLOOKUP(Government_revenues_table[[#This Row],[Classification SFP]],Table6_GFS_codes_classification[],COLUMNS($F:I)+3,FALSE),"Do not enter data")</f>
        <v>Droits de douane et autres droits d’importation (1151E)</v>
      </c>
      <c r="F66" s="300" t="s">
        <v>551</v>
      </c>
      <c r="G66" s="111" t="s">
        <v>387</v>
      </c>
      <c r="H66" s="300" t="s">
        <v>573</v>
      </c>
      <c r="I66" s="298" t="s">
        <v>361</v>
      </c>
      <c r="J66" s="301">
        <v>76635147</v>
      </c>
      <c r="K66" s="301" t="s">
        <v>94</v>
      </c>
    </row>
    <row r="67" spans="2:11" ht="56.1">
      <c r="B67" s="302"/>
      <c r="C67" s="302"/>
      <c r="D67" s="302"/>
      <c r="E67" s="302"/>
      <c r="F67" s="300" t="s">
        <v>551</v>
      </c>
      <c r="G67" s="111" t="s">
        <v>445</v>
      </c>
      <c r="H67" s="300" t="s">
        <v>573</v>
      </c>
      <c r="I67" s="298" t="s">
        <v>361</v>
      </c>
      <c r="J67" s="301">
        <v>3677166</v>
      </c>
      <c r="K67" s="301" t="s">
        <v>94</v>
      </c>
    </row>
    <row r="68" spans="2:11" ht="27.95">
      <c r="B68" s="299" t="str">
        <f>IFERROR(VLOOKUP(Government_revenues_table[[#This Row],[Classification SFP]],Table6_GFS_codes_classification[],COLUMNS($F:F)+3,FALSE),"Do not enter data")</f>
        <v>Impôts (11E)</v>
      </c>
      <c r="C68" s="299" t="str">
        <f>IFERROR(VLOOKUP(Government_revenues_table[[#This Row],[Classification SFP]],Table6_GFS_codes_classification[],COLUMNS($F:G)+3,FALSE),"Do not enter data")</f>
        <v>Impôts sur les biens et services (114E)</v>
      </c>
      <c r="D68" s="299" t="str">
        <f>IFERROR(VLOOKUP(Government_revenues_table[[#This Row],[Classification SFP]],Table6_GFS_codes_classification[],COLUMNS($F:H)+3,FALSE),"Do not enter data")</f>
        <v>Impôts sur l’usage de biens/permission d’utiliser des biens ou d’exécuter des activités (1145E)</v>
      </c>
      <c r="E68" s="299" t="str">
        <f>IFERROR(VLOOKUP(Government_revenues_table[[#This Row],[Classification SFP]],Table6_GFS_codes_classification[],COLUMNS($F:I)+3,FALSE),"Do not enter data")</f>
        <v>Taxes sur les émissions et la pollution (114522E)</v>
      </c>
      <c r="F68" s="300" t="s">
        <v>571</v>
      </c>
      <c r="G68" s="111" t="s">
        <v>387</v>
      </c>
      <c r="H68" s="300" t="s">
        <v>574</v>
      </c>
      <c r="I68" s="298" t="s">
        <v>360</v>
      </c>
      <c r="J68" s="301">
        <v>145151401</v>
      </c>
      <c r="K68" s="301" t="s">
        <v>94</v>
      </c>
    </row>
    <row r="69" spans="2:11" ht="42">
      <c r="B69" s="299" t="str">
        <f>IFERROR(VLOOKUP(Government_revenues_table[[#This Row],[Classification SFP]],Table6_GFS_codes_classification[],COLUMNS($F:F)+3,FALSE),"Do not enter data")</f>
        <v>Impôts (11E)</v>
      </c>
      <c r="C69" s="299" t="str">
        <f>IFERROR(VLOOKUP(Government_revenues_table[[#This Row],[Classification SFP]],Table6_GFS_codes_classification[],COLUMNS($F:G)+3,FALSE),"Do not enter data")</f>
        <v>Impôts sur les biens et services (114E)</v>
      </c>
      <c r="D69" s="299" t="str">
        <f>IFERROR(VLOOKUP(Government_revenues_table[[#This Row],[Classification SFP]],Table6_GFS_codes_classification[],COLUMNS($F:H)+3,FALSE),"Do not enter data")</f>
        <v>Impôts généraux sur les biens et services (TVA, taxes sur les ventes, taxes sur le chiffre d’affaires (1141E)</v>
      </c>
      <c r="E69" s="299" t="str">
        <f>IFERROR(VLOOKUP(Government_revenues_table[[#This Row],[Classification SFP]],Table6_GFS_codes_classification[],COLUMNS($F:I)+3,FALSE),"Do not enter data")</f>
        <v>Impôts généraux sur les biens et services (TVA, taxes sur les ventes, taxes sur le chiffre d’affaires (1141E)</v>
      </c>
      <c r="F69" s="300" t="s">
        <v>575</v>
      </c>
      <c r="G69" s="111" t="s">
        <v>387</v>
      </c>
      <c r="H69" s="300" t="s">
        <v>576</v>
      </c>
      <c r="I69" s="298" t="s">
        <v>358</v>
      </c>
      <c r="J69" s="301">
        <v>13166432965</v>
      </c>
      <c r="K69" s="301" t="s">
        <v>94</v>
      </c>
    </row>
    <row r="70" spans="2:11" ht="27.95">
      <c r="B70" s="302"/>
      <c r="C70" s="302"/>
      <c r="D70" s="302"/>
      <c r="E70" s="302"/>
      <c r="F70" s="300" t="s">
        <v>558</v>
      </c>
      <c r="G70" s="111" t="s">
        <v>387</v>
      </c>
      <c r="H70" s="300" t="s">
        <v>577</v>
      </c>
      <c r="I70" s="298" t="s">
        <v>364</v>
      </c>
      <c r="J70" s="301">
        <v>167525325</v>
      </c>
      <c r="K70" s="301" t="s">
        <v>94</v>
      </c>
    </row>
    <row r="71" spans="2:11" ht="42">
      <c r="B71" s="299" t="str">
        <f>IFERROR(VLOOKUP(Government_revenues_table[[#This Row],[Classification SFP]],Table6_GFS_codes_classification[],COLUMNS($F:F)+3,FALSE),"Do not enter data")</f>
        <v>Impôts (11E)</v>
      </c>
      <c r="C71" s="299" t="str">
        <f>IFERROR(VLOOKUP(Government_revenues_table[[#This Row],[Classification SFP]],Table6_GFS_codes_classification[],COLUMNS($F:G)+3,FALSE),"Do not enter data")</f>
        <v>Taxes sur le commerce et les transactions au niveau international (115E)</v>
      </c>
      <c r="D71" s="299" t="str">
        <f>IFERROR(VLOOKUP(Government_revenues_table[[#This Row],[Classification SFP]],Table6_GFS_codes_classification[],COLUMNS($F:H)+3,FALSE),"Do not enter data")</f>
        <v>Droits de douane et autres droits d’importation (1151E)</v>
      </c>
      <c r="E71" s="299" t="str">
        <f>IFERROR(VLOOKUP(Government_revenues_table[[#This Row],[Classification SFP]],Table6_GFS_codes_classification[],COLUMNS($F:I)+3,FALSE),"Do not enter data")</f>
        <v>Droits de douane et autres droits d’importation (1151E)</v>
      </c>
      <c r="F71" s="300" t="s">
        <v>551</v>
      </c>
      <c r="G71" s="111" t="s">
        <v>387</v>
      </c>
      <c r="H71" s="300" t="s">
        <v>578</v>
      </c>
      <c r="I71" s="298" t="s">
        <v>361</v>
      </c>
      <c r="J71" s="301">
        <v>9883905690</v>
      </c>
      <c r="K71" s="301" t="s">
        <v>94</v>
      </c>
    </row>
    <row r="72" spans="2:11" ht="27.95">
      <c r="B72" s="302"/>
      <c r="C72" s="302"/>
      <c r="D72" s="302"/>
      <c r="E72" s="302"/>
      <c r="F72" s="300" t="s">
        <v>551</v>
      </c>
      <c r="G72" s="111" t="s">
        <v>445</v>
      </c>
      <c r="H72" s="300" t="s">
        <v>578</v>
      </c>
      <c r="I72" s="298" t="s">
        <v>361</v>
      </c>
      <c r="J72" s="301">
        <v>11372912</v>
      </c>
      <c r="K72" s="301" t="s">
        <v>94</v>
      </c>
    </row>
    <row r="73" spans="2:11" ht="42">
      <c r="B73" s="299" t="str">
        <f>IFERROR(VLOOKUP(Government_revenues_table[[#This Row],[Classification SFP]],Table6_GFS_codes_classification[],COLUMNS($F:F)+3,FALSE),"Do not enter data")</f>
        <v>Impôts (11E)</v>
      </c>
      <c r="C73" s="299" t="str">
        <f>IFERROR(VLOOKUP(Government_revenues_table[[#This Row],[Classification SFP]],Table6_GFS_codes_classification[],COLUMNS($F:G)+3,FALSE),"Do not enter data")</f>
        <v>Impôts sur les biens et services (114E)</v>
      </c>
      <c r="D73" s="299" t="str">
        <f>IFERROR(VLOOKUP(Government_revenues_table[[#This Row],[Classification SFP]],Table6_GFS_codes_classification[],COLUMNS($F:H)+3,FALSE),"Do not enter data")</f>
        <v>Impôts généraux sur les biens et services (TVA, taxes sur les ventes, taxes sur le chiffre d’affaires (1141E)</v>
      </c>
      <c r="E73" s="299" t="str">
        <f>IFERROR(VLOOKUP(Government_revenues_table[[#This Row],[Classification SFP]],Table6_GFS_codes_classification[],COLUMNS($F:I)+3,FALSE),"Do not enter data")</f>
        <v>Impôts généraux sur les biens et services (TVA, taxes sur les ventes, taxes sur le chiffre d’affaires (1141E)</v>
      </c>
      <c r="F73" s="300" t="s">
        <v>575</v>
      </c>
      <c r="G73" s="111" t="s">
        <v>387</v>
      </c>
      <c r="H73" s="300" t="s">
        <v>579</v>
      </c>
      <c r="I73" s="298" t="s">
        <v>358</v>
      </c>
      <c r="J73" s="301">
        <v>30239394454</v>
      </c>
      <c r="K73" s="301" t="s">
        <v>94</v>
      </c>
    </row>
    <row r="74" spans="2:11">
      <c r="B74" s="302"/>
      <c r="C74" s="302"/>
      <c r="D74" s="302"/>
      <c r="E74" s="302"/>
      <c r="F74" s="300" t="s">
        <v>575</v>
      </c>
      <c r="G74" s="111" t="s">
        <v>445</v>
      </c>
      <c r="H74" s="300" t="s">
        <v>579</v>
      </c>
      <c r="I74" s="298" t="s">
        <v>358</v>
      </c>
      <c r="J74" s="301">
        <v>91186363</v>
      </c>
      <c r="K74" s="301" t="s">
        <v>94</v>
      </c>
    </row>
    <row r="75" spans="2:11" ht="56.1">
      <c r="B75" s="299" t="str">
        <f>IFERROR(VLOOKUP(Government_revenues_table[[#This Row],[Classification SFP]],Table6_GFS_codes_classification[],COLUMNS($F:F)+3,FALSE),"Do not enter data")</f>
        <v>Impôts (11E)</v>
      </c>
      <c r="C75" s="299" t="str">
        <f>IFERROR(VLOOKUP(Government_revenues_table[[#This Row],[Classification SFP]],Table6_GFS_codes_classification[],COLUMNS($F:G)+3,FALSE),"Do not enter data")</f>
        <v>Impôts sur les biens et services (114E)</v>
      </c>
      <c r="D75" s="299" t="str">
        <f>IFERROR(VLOOKUP(Government_revenues_table[[#This Row],[Classification SFP]],Table6_GFS_codes_classification[],COLUMNS($F:H)+3,FALSE),"Do not enter data")</f>
        <v>Impôts généraux sur les biens et services (TVA, taxes sur les ventes, taxes sur le chiffre d’affaires (1141E)</v>
      </c>
      <c r="E75" s="299" t="str">
        <f>IFERROR(VLOOKUP(Government_revenues_table[[#This Row],[Classification SFP]],Table6_GFS_codes_classification[],COLUMNS($F:I)+3,FALSE),"Do not enter data")</f>
        <v>Impôts généraux sur les biens et services (TVA, taxes sur les ventes, taxes sur le chiffre d’affaires (1141E)</v>
      </c>
      <c r="F75" s="300" t="s">
        <v>575</v>
      </c>
      <c r="G75" s="111" t="s">
        <v>387</v>
      </c>
      <c r="H75" s="300" t="s">
        <v>580</v>
      </c>
      <c r="I75" s="298" t="s">
        <v>358</v>
      </c>
      <c r="J75" s="301">
        <v>7556753605</v>
      </c>
      <c r="K75" s="301" t="s">
        <v>94</v>
      </c>
    </row>
    <row r="76" spans="2:11" ht="27.95">
      <c r="B76" s="302"/>
      <c r="C76" s="302"/>
      <c r="D76" s="302"/>
      <c r="E76" s="302"/>
      <c r="F76" s="300" t="s">
        <v>533</v>
      </c>
      <c r="G76" s="111" t="s">
        <v>387</v>
      </c>
      <c r="H76" s="300" t="s">
        <v>581</v>
      </c>
      <c r="I76" s="298" t="s">
        <v>363</v>
      </c>
      <c r="J76" s="301">
        <v>258766164</v>
      </c>
      <c r="K76" s="301" t="s">
        <v>94</v>
      </c>
    </row>
    <row r="77" spans="2:11">
      <c r="B77" s="299"/>
      <c r="C77" s="299"/>
      <c r="D77" s="299"/>
      <c r="E77" s="299"/>
      <c r="F77" s="303"/>
      <c r="J77" s="301"/>
      <c r="K77" s="301"/>
    </row>
    <row r="78" spans="2:11" ht="14.45" thickBot="1"/>
    <row r="79" spans="2:11" ht="16.5" thickBot="1">
      <c r="I79" s="304" t="s">
        <v>582</v>
      </c>
      <c r="J79" s="305">
        <f>SUMIF(Government_revenues_table[Devise],"USD",Government_revenues_table[Valeur des revenus])+(IFERROR(SUMIF(Government_revenues_table[Devise],"&lt;&gt;USD",Government_revenues_table[Valeur des revenus])/'Partie 1 - Présentation'!$E$51,0))</f>
        <v>248504985.3906928</v>
      </c>
      <c r="K79" s="306"/>
    </row>
    <row r="80" spans="2:11" ht="21" customHeight="1" thickBot="1">
      <c r="J80" s="307"/>
    </row>
    <row r="81" spans="6:14" ht="16.5" thickBot="1">
      <c r="I81" s="304" t="str">
        <f>"Total en "&amp;'Partie 1 - Présentation'!$E$50</f>
        <v>Total en XOF</v>
      </c>
      <c r="J81" s="305">
        <f>IF('Partie 1 - Présentation'!$E$50="USD",0,SUMIF(Government_revenues_table[Devise],'Partie 1 - Présentation'!$E$50,Government_revenues_table[Valeur des revenus]))+(IFERROR(SUMIF(Government_revenues_table[Devise],"USD",Government_revenues_table[Valeur des revenus])*'Partie 1 - Présentation'!$E$51,0))</f>
        <v>142818300153.88507</v>
      </c>
      <c r="K81" s="306"/>
    </row>
    <row r="85" spans="6:14" ht="22.5">
      <c r="F85" s="217" t="s">
        <v>583</v>
      </c>
      <c r="G85" s="212"/>
      <c r="H85" s="212"/>
      <c r="I85" s="212"/>
      <c r="J85" s="212"/>
      <c r="K85" s="212"/>
    </row>
    <row r="86" spans="6:14">
      <c r="F86" s="219" t="s">
        <v>584</v>
      </c>
      <c r="G86" s="219"/>
      <c r="H86" s="219"/>
      <c r="I86" s="219"/>
      <c r="J86" s="220"/>
      <c r="K86" s="220"/>
    </row>
    <row r="87" spans="6:14">
      <c r="F87" s="219"/>
      <c r="G87" s="219"/>
      <c r="H87" s="219"/>
      <c r="I87" s="219"/>
      <c r="J87" s="220"/>
      <c r="K87" s="220"/>
    </row>
    <row r="88" spans="6:14">
      <c r="F88" s="219" t="s">
        <v>585</v>
      </c>
      <c r="G88" s="219"/>
      <c r="H88" s="219"/>
      <c r="I88" s="219"/>
      <c r="J88" s="220"/>
      <c r="K88" s="220"/>
      <c r="N88" s="308"/>
    </row>
    <row r="89" spans="6:14">
      <c r="F89" s="219"/>
      <c r="G89" s="219" t="s">
        <v>586</v>
      </c>
      <c r="H89" s="219"/>
      <c r="I89" s="219"/>
      <c r="J89" s="220"/>
      <c r="K89" s="220"/>
      <c r="N89" s="308"/>
    </row>
    <row r="90" spans="6:14">
      <c r="F90" s="219"/>
      <c r="G90" s="219" t="s">
        <v>587</v>
      </c>
      <c r="H90" s="219"/>
      <c r="I90" s="219"/>
      <c r="J90" s="220"/>
      <c r="K90" s="220"/>
    </row>
    <row r="91" spans="6:14">
      <c r="F91" s="219"/>
      <c r="G91" s="221" t="s">
        <v>380</v>
      </c>
      <c r="H91" s="221" t="s">
        <v>524</v>
      </c>
      <c r="I91" s="221" t="s">
        <v>525</v>
      </c>
      <c r="J91" s="222" t="s">
        <v>526</v>
      </c>
      <c r="K91" s="223" t="s">
        <v>473</v>
      </c>
    </row>
    <row r="92" spans="6:14">
      <c r="F92" s="219"/>
      <c r="G92" s="224" t="s">
        <v>85</v>
      </c>
      <c r="H92" s="224" t="s">
        <v>588</v>
      </c>
      <c r="I92" s="224" t="s">
        <v>358</v>
      </c>
      <c r="J92" s="225">
        <v>2664277025</v>
      </c>
      <c r="K92" s="220" t="s">
        <v>94</v>
      </c>
    </row>
    <row r="93" spans="6:14">
      <c r="F93" s="219"/>
      <c r="G93" s="219" t="s">
        <v>589</v>
      </c>
      <c r="H93" s="219" t="s">
        <v>588</v>
      </c>
      <c r="I93" s="219" t="s">
        <v>358</v>
      </c>
      <c r="J93" s="220">
        <v>20840261580</v>
      </c>
      <c r="K93" s="220" t="s">
        <v>94</v>
      </c>
    </row>
    <row r="94" spans="6:14">
      <c r="F94" s="219"/>
      <c r="G94" s="219" t="s">
        <v>445</v>
      </c>
      <c r="H94" s="219" t="s">
        <v>590</v>
      </c>
      <c r="I94" s="219" t="s">
        <v>365</v>
      </c>
      <c r="J94" s="220">
        <v>197478792</v>
      </c>
      <c r="K94" s="220" t="s">
        <v>94</v>
      </c>
    </row>
    <row r="95" spans="6:14">
      <c r="F95" s="219"/>
      <c r="G95" s="219" t="s">
        <v>387</v>
      </c>
      <c r="H95" s="219" t="s">
        <v>591</v>
      </c>
      <c r="I95" s="219" t="s">
        <v>366</v>
      </c>
      <c r="J95" s="220">
        <v>689977725</v>
      </c>
      <c r="K95" s="220" t="s">
        <v>94</v>
      </c>
    </row>
    <row r="96" spans="6:14">
      <c r="F96" s="219"/>
      <c r="G96" s="219" t="s">
        <v>445</v>
      </c>
      <c r="H96" s="219" t="s">
        <v>591</v>
      </c>
      <c r="I96" s="219" t="s">
        <v>366</v>
      </c>
      <c r="J96" s="220">
        <v>23927216</v>
      </c>
      <c r="K96" s="220" t="s">
        <v>94</v>
      </c>
    </row>
    <row r="97" spans="6:11">
      <c r="F97" s="219"/>
      <c r="G97" s="219" t="s">
        <v>387</v>
      </c>
      <c r="H97" s="219" t="s">
        <v>592</v>
      </c>
      <c r="I97" s="219" t="s">
        <v>365</v>
      </c>
      <c r="J97" s="220">
        <v>3324717700</v>
      </c>
      <c r="K97" s="220" t="s">
        <v>94</v>
      </c>
    </row>
    <row r="98" spans="6:11">
      <c r="F98" s="219"/>
      <c r="G98" s="219"/>
      <c r="H98" s="219"/>
      <c r="I98" s="219"/>
      <c r="J98" s="220"/>
      <c r="K98" s="220"/>
    </row>
    <row r="99" spans="6:11">
      <c r="F99" s="219"/>
      <c r="G99" s="219"/>
      <c r="H99" s="219"/>
      <c r="I99" s="219"/>
      <c r="J99" s="220"/>
      <c r="K99" s="226"/>
    </row>
    <row r="100" spans="6:11" ht="14.45" thickBot="1">
      <c r="F100" s="219"/>
      <c r="G100" s="227" t="s">
        <v>593</v>
      </c>
      <c r="H100" s="227"/>
      <c r="I100" s="227"/>
      <c r="J100" s="228">
        <f>SUM(J92:J99)</f>
        <v>27740640038</v>
      </c>
      <c r="K100" s="226" t="s">
        <v>94</v>
      </c>
    </row>
    <row r="101" spans="6:11" ht="14.45" thickTop="1">
      <c r="F101" s="219"/>
      <c r="G101" s="219"/>
      <c r="H101" s="219"/>
      <c r="I101" s="219"/>
      <c r="J101" s="220"/>
      <c r="K101" s="220"/>
    </row>
    <row r="102" spans="6:11">
      <c r="F102" s="219" t="s">
        <v>594</v>
      </c>
      <c r="G102" s="219"/>
      <c r="H102" s="219"/>
      <c r="I102" s="219"/>
      <c r="J102" s="220"/>
      <c r="K102" s="220"/>
    </row>
    <row r="103" spans="6:11">
      <c r="F103" s="219"/>
      <c r="G103" s="221" t="s">
        <v>380</v>
      </c>
      <c r="H103" s="221" t="s">
        <v>524</v>
      </c>
      <c r="I103" s="221" t="s">
        <v>525</v>
      </c>
      <c r="J103" s="222" t="s">
        <v>526</v>
      </c>
      <c r="K103" s="223" t="s">
        <v>473</v>
      </c>
    </row>
    <row r="104" spans="6:11">
      <c r="F104" s="219"/>
      <c r="G104" s="311" t="s">
        <v>387</v>
      </c>
      <c r="H104" s="311" t="s">
        <v>595</v>
      </c>
      <c r="I104" s="311" t="s">
        <v>358</v>
      </c>
      <c r="J104" s="312">
        <v>1816544180</v>
      </c>
      <c r="K104" s="312" t="s">
        <v>94</v>
      </c>
    </row>
    <row r="105" spans="6:11">
      <c r="F105" s="219"/>
      <c r="G105" s="311" t="s">
        <v>445</v>
      </c>
      <c r="H105" s="311" t="s">
        <v>595</v>
      </c>
      <c r="I105" s="311" t="s">
        <v>358</v>
      </c>
      <c r="J105" s="312">
        <v>14503917</v>
      </c>
      <c r="K105" s="312" t="s">
        <v>94</v>
      </c>
    </row>
    <row r="106" spans="6:11">
      <c r="F106" s="219"/>
      <c r="G106" s="219" t="s">
        <v>387</v>
      </c>
      <c r="H106" s="219" t="s">
        <v>596</v>
      </c>
      <c r="I106" s="219" t="s">
        <v>358</v>
      </c>
      <c r="J106" s="220">
        <v>249887482</v>
      </c>
      <c r="K106" s="220" t="s">
        <v>94</v>
      </c>
    </row>
    <row r="107" spans="6:11">
      <c r="F107" s="219"/>
      <c r="G107" s="219" t="s">
        <v>445</v>
      </c>
      <c r="H107" s="219" t="s">
        <v>596</v>
      </c>
      <c r="I107" s="219" t="s">
        <v>358</v>
      </c>
      <c r="J107" s="220">
        <v>33805122</v>
      </c>
      <c r="K107" s="220" t="s">
        <v>94</v>
      </c>
    </row>
    <row r="108" spans="6:11">
      <c r="F108" s="219"/>
      <c r="G108" s="219" t="s">
        <v>387</v>
      </c>
      <c r="H108" s="219" t="s">
        <v>597</v>
      </c>
      <c r="I108" s="219" t="s">
        <v>358</v>
      </c>
      <c r="J108" s="220">
        <v>2819311311</v>
      </c>
      <c r="K108" s="220" t="s">
        <v>94</v>
      </c>
    </row>
    <row r="109" spans="6:11">
      <c r="F109" s="219"/>
      <c r="G109" s="219" t="s">
        <v>445</v>
      </c>
      <c r="H109" s="219" t="s">
        <v>597</v>
      </c>
      <c r="I109" s="219" t="s">
        <v>358</v>
      </c>
      <c r="J109" s="220">
        <v>3421050685</v>
      </c>
      <c r="K109" s="220" t="s">
        <v>94</v>
      </c>
    </row>
    <row r="110" spans="6:11" ht="14.45" thickBot="1">
      <c r="F110" s="219"/>
      <c r="G110" s="227" t="s">
        <v>593</v>
      </c>
      <c r="H110" s="227"/>
      <c r="I110" s="227"/>
      <c r="J110" s="228">
        <f>SUM(J104:J109)</f>
        <v>8355102697</v>
      </c>
      <c r="K110" s="226" t="s">
        <v>94</v>
      </c>
    </row>
    <row r="111" spans="6:11" ht="14.45" thickTop="1">
      <c r="F111" s="219"/>
      <c r="G111" s="219"/>
      <c r="H111" s="219"/>
      <c r="I111" s="219"/>
      <c r="J111" s="220"/>
      <c r="K111" s="220"/>
    </row>
    <row r="112" spans="6:11">
      <c r="F112" s="219"/>
      <c r="G112" s="219"/>
      <c r="H112" s="219"/>
      <c r="I112" s="219"/>
      <c r="J112" s="220"/>
      <c r="K112" s="220"/>
    </row>
    <row r="113" spans="6:11">
      <c r="F113" s="219"/>
      <c r="G113" s="323" t="s">
        <v>598</v>
      </c>
      <c r="H113" s="219"/>
      <c r="I113" s="219"/>
      <c r="J113" s="220">
        <f>SUM(J110,J100,J81)</f>
        <v>178914042888.88507</v>
      </c>
      <c r="K113" s="220" t="s">
        <v>94</v>
      </c>
    </row>
    <row r="114" spans="6:11">
      <c r="F114" s="219"/>
      <c r="G114" s="219"/>
      <c r="H114" s="219"/>
      <c r="I114" s="219"/>
      <c r="J114" s="220"/>
      <c r="K114" s="220"/>
    </row>
    <row r="115" spans="6:11">
      <c r="F115" s="219"/>
      <c r="G115" s="219"/>
      <c r="H115" s="219"/>
      <c r="I115" s="219"/>
      <c r="J115" s="220"/>
      <c r="K115" s="220"/>
    </row>
    <row r="116" spans="6:11">
      <c r="F116" s="219"/>
      <c r="G116" s="219"/>
      <c r="H116" s="219"/>
      <c r="I116" s="219"/>
      <c r="J116" s="220"/>
      <c r="K116" s="220"/>
    </row>
    <row r="117" spans="6:11">
      <c r="F117" s="219"/>
      <c r="G117" s="219"/>
      <c r="H117" s="219"/>
      <c r="I117" s="219"/>
      <c r="J117" s="220"/>
      <c r="K117" s="220"/>
    </row>
    <row r="118" spans="6:11">
      <c r="F118" s="219"/>
      <c r="G118" s="219"/>
      <c r="H118" s="219"/>
      <c r="I118" s="219"/>
      <c r="J118" s="220"/>
      <c r="K118" s="220"/>
    </row>
    <row r="119" spans="6:11">
      <c r="F119" s="219"/>
      <c r="G119" s="219"/>
      <c r="H119" s="219"/>
      <c r="I119" s="219"/>
      <c r="J119" s="220"/>
      <c r="K119" s="220"/>
    </row>
    <row r="120" spans="6:11">
      <c r="F120" s="219"/>
      <c r="G120" s="219"/>
      <c r="H120" s="219"/>
      <c r="I120" s="219"/>
      <c r="J120" s="220"/>
      <c r="K120" s="220"/>
    </row>
    <row r="121" spans="6:11">
      <c r="F121" s="219"/>
      <c r="G121" s="219"/>
      <c r="H121" s="219"/>
      <c r="I121" s="219"/>
      <c r="J121" s="220"/>
      <c r="K121" s="220"/>
    </row>
    <row r="122" spans="6:11">
      <c r="F122" s="219"/>
      <c r="G122" s="219"/>
      <c r="H122" s="219"/>
      <c r="I122" s="219"/>
      <c r="J122" s="220"/>
      <c r="K122" s="220"/>
    </row>
    <row r="123" spans="6:11">
      <c r="F123" s="219"/>
      <c r="G123" s="219"/>
      <c r="H123" s="219"/>
      <c r="I123" s="219"/>
      <c r="J123" s="220"/>
      <c r="K123" s="220"/>
    </row>
    <row r="124" spans="6:11">
      <c r="F124" s="219"/>
      <c r="G124" s="219"/>
      <c r="H124" s="219"/>
      <c r="I124" s="219"/>
      <c r="J124" s="220"/>
      <c r="K124" s="220"/>
    </row>
    <row r="125" spans="6:11">
      <c r="F125" s="219"/>
      <c r="G125" s="219"/>
      <c r="H125" s="219"/>
      <c r="I125" s="219"/>
      <c r="J125" s="220"/>
      <c r="K125" s="220"/>
    </row>
    <row r="126" spans="6:11" ht="18.75" customHeight="1">
      <c r="F126" s="219"/>
      <c r="G126" s="219"/>
      <c r="H126" s="219"/>
      <c r="I126" s="219"/>
      <c r="J126" s="220"/>
      <c r="K126" s="220"/>
    </row>
    <row r="127" spans="6:11" ht="15.75" customHeight="1">
      <c r="F127" s="219"/>
      <c r="G127" s="219"/>
      <c r="H127" s="219"/>
      <c r="I127" s="219"/>
      <c r="J127" s="220"/>
      <c r="K127" s="220"/>
    </row>
    <row r="128" spans="6:11">
      <c r="F128" s="219"/>
      <c r="G128" s="219"/>
      <c r="H128" s="219"/>
      <c r="I128" s="219"/>
      <c r="J128" s="220"/>
      <c r="K128" s="220"/>
    </row>
    <row r="129" spans="2:14">
      <c r="F129" s="219"/>
      <c r="G129" s="219"/>
      <c r="H129" s="219"/>
      <c r="I129" s="219"/>
      <c r="J129" s="220"/>
      <c r="K129" s="220"/>
    </row>
    <row r="130" spans="2:14" ht="15.95">
      <c r="F130" s="41"/>
      <c r="G130" s="41"/>
      <c r="H130" s="41"/>
      <c r="I130" s="41"/>
      <c r="J130" s="41"/>
      <c r="K130" s="41"/>
    </row>
    <row r="131" spans="2:14" ht="15.75" customHeight="1"/>
    <row r="133" spans="2:14" s="12" customFormat="1" ht="17.25" hidden="1" customHeight="1" thickBot="1">
      <c r="B133" s="367" t="s">
        <v>33</v>
      </c>
      <c r="C133" s="367"/>
      <c r="D133" s="367"/>
      <c r="E133" s="367"/>
      <c r="F133" s="367"/>
      <c r="G133" s="367"/>
      <c r="H133" s="367"/>
      <c r="I133" s="367"/>
      <c r="J133" s="367"/>
      <c r="K133" s="367"/>
      <c r="L133" s="367"/>
      <c r="M133" s="367"/>
      <c r="N133" s="367"/>
    </row>
    <row r="134" spans="2:14" s="12" customFormat="1" ht="24" hidden="1" customHeight="1" thickBot="1">
      <c r="B134" s="368" t="s">
        <v>34</v>
      </c>
      <c r="C134" s="368"/>
      <c r="D134" s="368"/>
      <c r="E134" s="368"/>
      <c r="F134" s="368"/>
      <c r="G134" s="368"/>
      <c r="H134" s="368"/>
      <c r="I134" s="368"/>
      <c r="J134" s="368"/>
      <c r="K134" s="368"/>
      <c r="L134" s="368"/>
      <c r="M134" s="368"/>
      <c r="N134" s="368"/>
    </row>
    <row r="135" spans="2:14" s="12" customFormat="1" ht="19.5" hidden="1" customHeight="1" thickBot="1">
      <c r="B135" s="369" t="s">
        <v>35</v>
      </c>
      <c r="C135" s="369"/>
      <c r="D135" s="369"/>
      <c r="E135" s="369"/>
      <c r="F135" s="369"/>
      <c r="G135" s="369"/>
      <c r="H135" s="369"/>
      <c r="I135" s="369"/>
      <c r="J135" s="369"/>
      <c r="K135" s="369"/>
      <c r="L135" s="369"/>
      <c r="M135" s="369"/>
      <c r="N135" s="369"/>
    </row>
    <row r="136" spans="2:14" s="12" customFormat="1" ht="18.75" hidden="1" customHeight="1">
      <c r="B136" s="370" t="s">
        <v>36</v>
      </c>
      <c r="C136" s="370"/>
      <c r="D136" s="370"/>
      <c r="E136" s="370"/>
      <c r="F136" s="370"/>
      <c r="G136" s="370"/>
      <c r="H136" s="370"/>
      <c r="I136" s="370"/>
      <c r="J136" s="370"/>
      <c r="K136" s="370"/>
      <c r="L136" s="370"/>
      <c r="M136" s="370"/>
      <c r="N136" s="370"/>
    </row>
    <row r="137" spans="2:14" s="56" customFormat="1" ht="16.5" thickBot="1">
      <c r="B137" s="54"/>
      <c r="C137" s="54"/>
      <c r="D137" s="54"/>
      <c r="E137" s="54"/>
      <c r="F137" s="54"/>
      <c r="G137" s="54"/>
    </row>
    <row r="138" spans="2:14" ht="18.95">
      <c r="F138" s="196" t="s">
        <v>115</v>
      </c>
      <c r="G138" s="12"/>
      <c r="H138" s="197"/>
      <c r="I138" s="12"/>
      <c r="J138" s="197"/>
      <c r="K138" s="197"/>
    </row>
    <row r="139" spans="2:14" ht="15.95">
      <c r="F139" s="326" t="s">
        <v>38</v>
      </c>
      <c r="G139" s="326"/>
      <c r="H139" s="326"/>
      <c r="I139" s="12"/>
    </row>
  </sheetData>
  <sheetProtection insertRows="0"/>
  <protectedRanges>
    <protectedRange algorithmName="SHA-512" hashValue="19r0bVvPR7yZA0UiYij7Tv1CBk3noIABvFePbLhCJ4nk3L6A+Fy+RdPPS3STf+a52x4pG2PQK4FAkXK9epnlIA==" saltValue="gQC4yrLvnbJqxYZ0KSEoZA==" spinCount="100000" sqref="F22:G77 I22:K77" name="Government revenues"/>
  </protectedRanges>
  <mergeCells count="22">
    <mergeCell ref="F139:H139"/>
    <mergeCell ref="B133:N133"/>
    <mergeCell ref="B134:N134"/>
    <mergeCell ref="B135:N135"/>
    <mergeCell ref="B136:N136"/>
    <mergeCell ref="F9:J9"/>
    <mergeCell ref="M9:N9"/>
    <mergeCell ref="F10:J10"/>
    <mergeCell ref="F11:J11"/>
    <mergeCell ref="F12:J12"/>
    <mergeCell ref="F15:J15"/>
    <mergeCell ref="M22:N26"/>
    <mergeCell ref="F20:J20"/>
    <mergeCell ref="M10:N14"/>
    <mergeCell ref="P31:U31"/>
    <mergeCell ref="M19:N19"/>
    <mergeCell ref="M27:N27"/>
    <mergeCell ref="M28:N28"/>
    <mergeCell ref="M21:N21"/>
    <mergeCell ref="F16:N16"/>
    <mergeCell ref="F13:J13"/>
    <mergeCell ref="F14:J14"/>
  </mergeCells>
  <dataValidations count="12">
    <dataValidation type="whole" allowBlank="1" showInputMessage="1" showErrorMessage="1" errorTitle="Veuillez ne pas modifier" error="Veuillez ne pas modifier ces cellules" sqref="F138:H138 I138:N139 F130:N132" xr:uid="{FCA6884C-D84E-46B1-BC99-F2A599AD31FD}">
      <formula1>10000</formula1>
      <formula2>50000</formula2>
    </dataValidation>
    <dataValidation type="textLength" allowBlank="1" showInputMessage="1" showErrorMessage="1" errorTitle="Veuillez ne pas modifier" error="Veuillez ne pas modifier ces cellules" sqref="F85:K86 G21:H21 G18:K18 J20:J21" xr:uid="{858403C6-6CF3-4330-8FAE-A0880B43D812}">
      <formula1>10000</formula1>
      <formula2>50000</formula2>
    </dataValidation>
    <dataValidation type="list" showDropDown="1" showInputMessage="1" showErrorMessage="1" errorTitle="Veuillez ne pas modifier" error="Veuillez ne pas modifier ces cellules" sqref="M29:N29" xr:uid="{CC20AE7C-DA66-44D4-AA91-08155DBFF97A}">
      <formula1>"#ERROR!"</formula1>
    </dataValidation>
    <dataValidation allowBlank="1" showInputMessage="1" showErrorMessage="1" errorTitle="Veuillez ne pas modifier" error="Veuillez ne pas modifier ces cellules" sqref="I21 F139:H139" xr:uid="{21CBFACE-2704-4133-972F-EF1DBA32DD01}"/>
    <dataValidation type="whole" errorStyle="warning" allowBlank="1" showInputMessage="1" showErrorMessage="1" errorTitle="Veuillez ne pas remplir" error="Ces cellules seront complétées automatiquement" sqref="J79 J81" xr:uid="{5FDA2C22-6698-4092-A24B-A634F149817D}">
      <formula1>44444</formula1>
      <formula2>44445</formula2>
    </dataValidation>
    <dataValidation type="whole" allowBlank="1" showInputMessage="1" showErrorMessage="1" errorTitle="Veuillez ne pas modifier" error="Veuillez ne pas modifier ces cellules" sqref="F18 F21 M22:N28 B133:B136 F20:K20" xr:uid="{2B33D4D6-72DD-4030-8D04-46CC2022EF8B}">
      <formula1>444</formula1>
      <formula2>445</formula2>
    </dataValidation>
    <dataValidation type="decimal" allowBlank="1" showInputMessage="1" showErrorMessage="1" errorTitle="Veuillez ne pas modifier" error="Veuillez ne pas modifier ces cellules" sqref="B137:G137" xr:uid="{E200F538-697C-4C9A-90D1-69BEF7C8E1CF}">
      <formula1>10000</formula1>
      <formula2>500000</formula2>
    </dataValidation>
    <dataValidation type="whole" allowBlank="1" showInputMessage="1" showErrorMessage="1" errorTitle="Veuillez ne pas modifier" error="Veuillez ne pas modifier ces cellules" sqref="K21" xr:uid="{F978E49C-9896-4E07-A232-2C3A1095E723}">
      <formula1>4</formula1>
      <formula2>5</formula2>
    </dataValidation>
    <dataValidation type="whole" allowBlank="1" showInputMessage="1" showErrorMessage="1" sqref="M18:N21" xr:uid="{E0BB9871-6B4B-4F41-8FBD-DEADD417B770}">
      <formula1>444</formula1>
      <formula2>445</formula2>
    </dataValidation>
    <dataValidation type="decimal" operator="greaterThanOrEqual" allowBlank="1" showInputMessage="1" showErrorMessage="1" errorTitle="Nombre" error="Veuillez saisir uniquement des chiffres dans cette cellule. " promptTitle="Valeur du flux de revenu" prompt="Veuillez indiquer le montant total du flux de revenus, tels que divulgués par la gouvernement, incluant également les revenus non-rapprochés." sqref="J22:J77" xr:uid="{8DE4F693-69E2-42F7-86CA-588D29D470C2}">
      <formula1>0</formula1>
    </dataValidation>
    <dataValidation type="list" allowBlank="1" showInputMessage="1" showErrorMessage="1" sqref="F22:F77" xr:uid="{75492094-BBC0-4CDF-A07F-F90B90205450}">
      <formula1>GFS_list</formula1>
    </dataValidation>
    <dataValidation allowBlank="1" showInputMessage="1" showErrorMessage="1" promptTitle="Nom du flux de revenus" prompt="Veuillez saisir le nom des flux de revenus ici._x000a__x000a_Inclure uniquement les paiements effectués au nom des entreprises. NE PAS inclure les revenus au nom de particuliers, tels que PAYE, etc..." sqref="H22:H77" xr:uid="{412A52AC-399A-488E-8D1B-3A21DC78B086}"/>
  </dataValidations>
  <hyperlinks>
    <hyperlink ref="M19" r:id="rId1" location="r5-1" display="EITI Requirement 5.1" xr:uid="{00000000-0004-0000-0400-000006000000}"/>
    <hyperlink ref="F16:N16" r:id="rId2" display="If you have any questions, please contact data@eiti.org" xr:uid="{00000000-0004-0000-0400-000007000000}"/>
    <hyperlink ref="F20" r:id="rId3" location="r4-1" display="EITI Requirement 4.1" xr:uid="{00000000-0004-0000-0400-000008000000}"/>
    <hyperlink ref="F20:J20" r:id="rId4" location="r4-1" display=" Exigence ITIE 4.1.d.: Divulgation exhaustive de la part du gouvernement " xr:uid="{71821841-DBF5-4B9E-A7D5-569E645DB078}"/>
    <hyperlink ref="B135:G135" r:id="rId5" display="Pour la version la plus récente des modèles de données résumées, consultez https://eiti.org/fr/document/modele-donnees-resumees-itie" xr:uid="{59A1968A-B6B9-4C95-AB4B-10DEE6914D53}"/>
    <hyperlink ref="B134:G134" r:id="rId6" display="Vous voulez en savoir plus sur votre pays ? Vérifiez si votre pays met en œuvre la Norme ITIE en visitant https://eiti.org/countries" xr:uid="{274401AA-35F5-454A-A6FF-6CA674E2F027}"/>
    <hyperlink ref="B136:G136" r:id="rId7" display="Give us your feedback or report a conflict in the data! Write to us at  data@eiti.org" xr:uid="{5BDFDDE6-5505-4327-9496-85D947F7C00D}"/>
    <hyperlink ref="M28:N28" r:id="rId8" display="or, https://www.imf.org/external/np/sta/gfsm/" xr:uid="{00000000-0004-0000-0400-000004000000}"/>
    <hyperlink ref="M27:N27" r:id="rId9" display="Pour plus d’orientations, visitez la page https://eiti.org/fr/document/modele-donnees-resumees-itie" xr:uid="{00000000-0004-0000-0400-000005000000}"/>
    <hyperlink ref="M19:N19" r:id="rId10" location="r5-1" display="Exigence ITIE 5.1.b: Classification des revenus" xr:uid="{F4C2D2C7-20B3-46BF-80DB-5C45A80E9FC9}"/>
  </hyperlinks>
  <pageMargins left="0.7" right="0.7" top="0.75" bottom="0.75" header="0.3" footer="0.3"/>
  <pageSetup paperSize="9" orientation="portrait" r:id="rId11"/>
  <colBreaks count="1" manualBreakCount="1">
    <brk id="12" max="1048575" man="1"/>
  </colBreaks>
  <drawing r:id="rId12"/>
  <tableParts count="1">
    <tablePart r:id="rId13"/>
  </tableParts>
  <extLst>
    <ext xmlns:x14="http://schemas.microsoft.com/office/spreadsheetml/2009/9/main" uri="{CCE6A557-97BC-4b89-ADB6-D9C93CAAB3DF}">
      <x14:dataValidations xmlns:xm="http://schemas.microsoft.com/office/excel/2006/main" count="5">
        <x14:dataValidation type="list" allowBlank="1" showInputMessage="1" showErrorMessage="1" xr:uid="{0DA05D4C-2892-4A24-B9AE-E100653ED7C7}">
          <x14:formula1>
            <xm:f>Listes!$I$11:$I$168</xm:f>
          </x14:formula1>
          <xm:sqref>K92:K101 K110</xm:sqref>
        </x14:dataValidation>
        <x14:dataValidation type="list" allowBlank="1" showInputMessage="1" showErrorMessage="1" xr:uid="{FBFDEC11-9487-46A2-B4C5-3404468A80F5}">
          <x14:formula1>
            <xm:f>'C:\Users\kr65\Downloads\SD\2.0\[Summary Data 2.0 data validation french translation.xlsm]Lists'!#REF!</xm:f>
          </x14:formula1>
          <xm:sqref>B22:E77</xm:sqref>
        </x14:dataValidation>
        <x14:dataValidation type="list" allowBlank="1" showInputMessage="1" showErrorMessage="1" promptTitle="Veuillez sélectionner le secteur" prompt="Veuillez sélectionner le secteur parmi la liste" xr:uid="{67A07785-E727-4FD4-AE16-5628BF5937F8}">
          <x14:formula1>
            <xm:f>Listes!$AA$3:$AA$9</xm:f>
          </x14:formula1>
          <xm:sqref>G22:G77</xm:sqref>
        </x14:dataValidation>
        <x14:dataValidation type="list" operator="greaterThanOrEqual" allowBlank="1" showInputMessage="1" showErrorMessage="1" errorTitle="Nombre" error="Veuillez saisir uniquement des chiffres dans cette cellule. " xr:uid="{D3E9BDB2-5224-4742-9537-7FBD6964F103}">
          <x14:formula1>
            <xm:f>Listes!$I$11:$I$168</xm:f>
          </x14:formula1>
          <xm:sqref>K22:K77</xm:sqref>
        </x14:dataValidation>
        <x14:dataValidation type="list" allowBlank="1" showInputMessage="1" showErrorMessage="1" promptTitle="Organisme gouvernmental destinat" prompt="Veuillez indiquer le nom de l'agence gouvernementale collectant le flux_x000a__x000a_Veuillez vous abstenir d'utiliser des acronymes et indiquez le nom complet" xr:uid="{3B69BF49-A24C-4BDD-917D-3FB9920AB452}">
          <x14:formula1>
            <xm:f>'Partie 3 - Entités déclarantes'!$B$21:$B$31</xm:f>
          </x14:formula1>
          <xm:sqref>I22:I77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2:O327"/>
  <sheetViews>
    <sheetView showGridLines="0" topLeftCell="E141" zoomScaleNormal="100" workbookViewId="0">
      <selection activeCell="E14" sqref="E14"/>
    </sheetView>
  </sheetViews>
  <sheetFormatPr defaultColWidth="9.140625" defaultRowHeight="14.1"/>
  <cols>
    <col min="1" max="1" width="3.85546875" style="198" customWidth="1"/>
    <col min="2" max="2" width="4.5703125" style="198" hidden="1" customWidth="1"/>
    <col min="3" max="3" width="33.85546875" style="198" customWidth="1"/>
    <col min="4" max="4" width="52.42578125" style="198" customWidth="1"/>
    <col min="5" max="5" width="47.140625" style="198" bestFit="1" customWidth="1"/>
    <col min="6" max="6" width="17.140625" style="198" customWidth="1"/>
    <col min="7" max="7" width="23.5703125" style="198" customWidth="1"/>
    <col min="8" max="8" width="25.42578125" style="198" customWidth="1"/>
    <col min="9" max="9" width="20" style="198" customWidth="1"/>
    <col min="10" max="10" width="23" style="198" customWidth="1"/>
    <col min="11" max="11" width="27.5703125" style="198" customWidth="1"/>
    <col min="12" max="12" width="20" style="198" customWidth="1"/>
    <col min="13" max="13" width="9.140625" style="198"/>
    <col min="14" max="14" width="15.140625" style="198" customWidth="1"/>
    <col min="15" max="16" width="9.140625" style="198"/>
    <col min="17" max="33" width="15.85546875" style="198" customWidth="1"/>
    <col min="34" max="16384" width="9.140625" style="198"/>
  </cols>
  <sheetData>
    <row r="2" spans="2:14" ht="36.75" customHeight="1">
      <c r="C2" s="15" t="s">
        <v>599</v>
      </c>
      <c r="D2" s="229"/>
      <c r="E2" s="229"/>
      <c r="F2" s="230"/>
      <c r="G2" s="229"/>
      <c r="H2" s="229"/>
      <c r="I2" s="229"/>
      <c r="J2" s="229"/>
      <c r="K2" s="229"/>
      <c r="L2" s="229"/>
    </row>
    <row r="3" spans="2:14" ht="21" customHeight="1">
      <c r="C3" s="364" t="s">
        <v>46</v>
      </c>
      <c r="D3" s="364"/>
      <c r="E3" s="364"/>
      <c r="F3" s="364"/>
      <c r="G3" s="209"/>
      <c r="H3" s="209"/>
      <c r="I3" s="231"/>
      <c r="J3" s="209"/>
      <c r="K3" s="209"/>
      <c r="L3" s="209"/>
    </row>
    <row r="4" spans="2:14" ht="15.6" customHeight="1">
      <c r="C4" s="372" t="s">
        <v>600</v>
      </c>
      <c r="D4" s="372"/>
      <c r="E4" s="372"/>
      <c r="F4" s="372"/>
      <c r="G4" s="372"/>
      <c r="H4" s="232"/>
      <c r="I4" s="365"/>
      <c r="J4" s="365"/>
      <c r="K4" s="365"/>
      <c r="L4" s="229"/>
    </row>
    <row r="5" spans="2:14" ht="15.6" customHeight="1">
      <c r="C5" s="372" t="s">
        <v>601</v>
      </c>
      <c r="D5" s="372"/>
      <c r="E5" s="372"/>
      <c r="F5" s="372"/>
      <c r="G5" s="372"/>
      <c r="H5" s="232"/>
      <c r="I5" s="365"/>
      <c r="J5" s="365"/>
      <c r="K5" s="365"/>
      <c r="L5" s="229"/>
    </row>
    <row r="6" spans="2:14" ht="15.6" customHeight="1">
      <c r="C6" s="372" t="s">
        <v>602</v>
      </c>
      <c r="D6" s="372"/>
      <c r="E6" s="372"/>
      <c r="F6" s="372"/>
      <c r="G6" s="372"/>
      <c r="H6" s="232"/>
      <c r="I6" s="365"/>
      <c r="J6" s="365"/>
      <c r="K6" s="365"/>
      <c r="L6" s="229"/>
    </row>
    <row r="7" spans="2:14" ht="15.6" customHeight="1">
      <c r="C7" s="372" t="s">
        <v>603</v>
      </c>
      <c r="D7" s="372"/>
      <c r="E7" s="372"/>
      <c r="F7" s="372"/>
      <c r="G7" s="372"/>
      <c r="H7" s="232"/>
      <c r="I7" s="365"/>
      <c r="J7" s="365"/>
      <c r="K7" s="365"/>
      <c r="L7" s="229"/>
    </row>
    <row r="8" spans="2:14" ht="30" customHeight="1">
      <c r="C8" s="372" t="s">
        <v>604</v>
      </c>
      <c r="D8" s="372"/>
      <c r="E8" s="372"/>
      <c r="F8" s="372"/>
      <c r="G8" s="372"/>
      <c r="H8" s="232"/>
      <c r="I8" s="365"/>
      <c r="J8" s="365"/>
      <c r="K8" s="365"/>
      <c r="L8" s="229"/>
    </row>
    <row r="9" spans="2:14" ht="15.95">
      <c r="C9" s="344" t="s">
        <v>350</v>
      </c>
      <c r="D9" s="344"/>
      <c r="E9" s="344"/>
      <c r="F9" s="344"/>
      <c r="G9" s="344"/>
      <c r="H9" s="344"/>
      <c r="I9" s="344"/>
      <c r="J9" s="344"/>
      <c r="K9" s="344"/>
      <c r="L9" s="229"/>
    </row>
    <row r="11" spans="2:14" ht="22.5">
      <c r="C11" s="373" t="s">
        <v>605</v>
      </c>
      <c r="D11" s="373"/>
      <c r="E11" s="373"/>
      <c r="F11" s="373"/>
      <c r="G11" s="373"/>
      <c r="H11" s="373"/>
      <c r="I11" s="373"/>
      <c r="J11" s="373"/>
      <c r="K11" s="373"/>
    </row>
    <row r="12" spans="2:14" ht="14.25" customHeight="1"/>
    <row r="13" spans="2:14">
      <c r="C13" s="374" t="s">
        <v>606</v>
      </c>
      <c r="D13" s="374"/>
      <c r="E13" s="374"/>
      <c r="F13" s="374"/>
      <c r="G13" s="374"/>
      <c r="H13" s="374"/>
      <c r="I13" s="374"/>
      <c r="J13" s="374"/>
      <c r="K13" s="375"/>
      <c r="L13" s="270"/>
      <c r="M13" s="270"/>
      <c r="N13" s="270"/>
    </row>
    <row r="14" spans="2:14">
      <c r="B14" s="198" t="s">
        <v>380</v>
      </c>
      <c r="C14" s="198" t="s">
        <v>607</v>
      </c>
      <c r="D14" s="198" t="s">
        <v>525</v>
      </c>
      <c r="E14" s="198" t="s">
        <v>608</v>
      </c>
      <c r="F14" s="198" t="s">
        <v>609</v>
      </c>
      <c r="G14" s="198" t="s">
        <v>610</v>
      </c>
      <c r="H14" s="198" t="s">
        <v>611</v>
      </c>
      <c r="I14" s="198" t="s">
        <v>612</v>
      </c>
      <c r="J14" s="198" t="s">
        <v>613</v>
      </c>
      <c r="K14" s="198" t="s">
        <v>614</v>
      </c>
      <c r="L14" s="198" t="s">
        <v>615</v>
      </c>
      <c r="M14" s="198" t="s">
        <v>616</v>
      </c>
      <c r="N14" s="198" t="s">
        <v>617</v>
      </c>
    </row>
    <row r="15" spans="2:14">
      <c r="C15" s="198" t="s">
        <v>456</v>
      </c>
      <c r="D15" s="198" t="s">
        <v>367</v>
      </c>
      <c r="E15" s="198" t="s">
        <v>529</v>
      </c>
      <c r="F15" s="198" t="s">
        <v>64</v>
      </c>
      <c r="G15" s="198" t="s">
        <v>64</v>
      </c>
      <c r="H15" s="198" t="s">
        <v>503</v>
      </c>
      <c r="I15" s="198" t="s">
        <v>94</v>
      </c>
      <c r="J15" s="233">
        <v>804597701.14942527</v>
      </c>
      <c r="K15" s="198" t="s">
        <v>71</v>
      </c>
    </row>
    <row r="16" spans="2:14">
      <c r="C16" s="198" t="s">
        <v>458</v>
      </c>
      <c r="D16" s="198" t="s">
        <v>367</v>
      </c>
      <c r="E16" s="198" t="s">
        <v>529</v>
      </c>
      <c r="F16" s="198" t="s">
        <v>64</v>
      </c>
      <c r="G16" s="198" t="s">
        <v>64</v>
      </c>
      <c r="H16" s="198" t="s">
        <v>506</v>
      </c>
      <c r="I16" s="198" t="s">
        <v>94</v>
      </c>
      <c r="J16" s="233">
        <v>174657872.87927622</v>
      </c>
      <c r="K16" s="198" t="s">
        <v>71</v>
      </c>
    </row>
    <row r="17" spans="2:11">
      <c r="C17" s="198" t="s">
        <v>458</v>
      </c>
      <c r="D17" s="198" t="s">
        <v>367</v>
      </c>
      <c r="E17" s="198" t="s">
        <v>529</v>
      </c>
      <c r="F17" s="198" t="s">
        <v>64</v>
      </c>
      <c r="G17" s="198" t="s">
        <v>64</v>
      </c>
      <c r="H17" s="198" t="s">
        <v>504</v>
      </c>
      <c r="I17" s="198" t="s">
        <v>94</v>
      </c>
      <c r="J17" s="233">
        <v>83604540.9780301</v>
      </c>
      <c r="K17" s="198" t="s">
        <v>71</v>
      </c>
    </row>
    <row r="18" spans="2:11">
      <c r="C18" s="198" t="s">
        <v>461</v>
      </c>
      <c r="D18" s="198" t="s">
        <v>367</v>
      </c>
      <c r="E18" s="198" t="s">
        <v>529</v>
      </c>
      <c r="F18" s="198" t="s">
        <v>64</v>
      </c>
      <c r="G18" s="198" t="s">
        <v>64</v>
      </c>
      <c r="H18" s="198" t="s">
        <v>507</v>
      </c>
      <c r="I18" s="198" t="s">
        <v>94</v>
      </c>
      <c r="J18" s="233">
        <v>272988505.74712646</v>
      </c>
      <c r="K18" s="198" t="s">
        <v>71</v>
      </c>
    </row>
    <row r="19" spans="2:11">
      <c r="C19" s="198" t="s">
        <v>453</v>
      </c>
      <c r="D19" s="198" t="s">
        <v>367</v>
      </c>
      <c r="E19" s="198" t="s">
        <v>531</v>
      </c>
      <c r="F19" s="198" t="s">
        <v>64</v>
      </c>
      <c r="G19" s="198" t="s">
        <v>64</v>
      </c>
      <c r="H19" s="198" t="s">
        <v>501</v>
      </c>
      <c r="I19" s="198" t="s">
        <v>94</v>
      </c>
      <c r="J19" s="233">
        <f>296589930*0.4</f>
        <v>118635972</v>
      </c>
      <c r="K19" s="198" t="s">
        <v>71</v>
      </c>
    </row>
    <row r="20" spans="2:11">
      <c r="C20" s="198" t="s">
        <v>453</v>
      </c>
      <c r="D20" s="198" t="s">
        <v>367</v>
      </c>
      <c r="E20" s="198" t="s">
        <v>531</v>
      </c>
      <c r="F20" s="198" t="s">
        <v>64</v>
      </c>
      <c r="G20" s="198" t="s">
        <v>64</v>
      </c>
      <c r="H20" s="198" t="s">
        <v>502</v>
      </c>
      <c r="I20" s="198" t="s">
        <v>94</v>
      </c>
      <c r="J20" s="233">
        <f>296589930*0.6</f>
        <v>177953958</v>
      </c>
      <c r="K20" s="198" t="s">
        <v>71</v>
      </c>
    </row>
    <row r="21" spans="2:11">
      <c r="C21" s="198" t="s">
        <v>458</v>
      </c>
      <c r="D21" s="198" t="s">
        <v>367</v>
      </c>
      <c r="E21" s="198" t="s">
        <v>531</v>
      </c>
      <c r="F21" s="198" t="s">
        <v>64</v>
      </c>
      <c r="G21" s="198" t="s">
        <v>64</v>
      </c>
      <c r="H21" s="198" t="s">
        <v>506</v>
      </c>
      <c r="I21" s="198" t="s">
        <v>94</v>
      </c>
      <c r="J21" s="233">
        <v>58218582.626940951</v>
      </c>
      <c r="K21" s="198" t="s">
        <v>71</v>
      </c>
    </row>
    <row r="22" spans="2:11">
      <c r="C22" s="198" t="s">
        <v>458</v>
      </c>
      <c r="D22" s="198" t="s">
        <v>367</v>
      </c>
      <c r="E22" s="198" t="s">
        <v>531</v>
      </c>
      <c r="F22" s="198" t="s">
        <v>64</v>
      </c>
      <c r="G22" s="198" t="s">
        <v>64</v>
      </c>
      <c r="H22" s="198" t="s">
        <v>504</v>
      </c>
      <c r="I22" s="198" t="s">
        <v>94</v>
      </c>
      <c r="J22" s="233">
        <v>41801993.074073359</v>
      </c>
      <c r="K22" s="198" t="s">
        <v>71</v>
      </c>
    </row>
    <row r="23" spans="2:11">
      <c r="C23" s="198" t="s">
        <v>394</v>
      </c>
      <c r="D23" s="198" t="s">
        <v>360</v>
      </c>
      <c r="E23" s="198" t="s">
        <v>534</v>
      </c>
      <c r="F23" s="198" t="s">
        <v>64</v>
      </c>
      <c r="G23" s="198" t="s">
        <v>64</v>
      </c>
      <c r="H23" s="198" t="s">
        <v>474</v>
      </c>
      <c r="I23" s="198" t="s">
        <v>94</v>
      </c>
      <c r="J23" s="233">
        <v>186233247</v>
      </c>
      <c r="K23" s="198" t="s">
        <v>71</v>
      </c>
    </row>
    <row r="24" spans="2:11">
      <c r="C24" s="198" t="s">
        <v>401</v>
      </c>
      <c r="D24" s="198" t="s">
        <v>360</v>
      </c>
      <c r="E24" s="198" t="s">
        <v>534</v>
      </c>
      <c r="F24" s="198" t="s">
        <v>64</v>
      </c>
      <c r="G24" s="198" t="s">
        <v>64</v>
      </c>
      <c r="H24" s="198" t="s">
        <v>478</v>
      </c>
      <c r="I24" s="198" t="s">
        <v>94</v>
      </c>
      <c r="J24" s="233">
        <v>9100000</v>
      </c>
      <c r="K24" s="198" t="s">
        <v>71</v>
      </c>
    </row>
    <row r="25" spans="2:11">
      <c r="C25" s="198" t="s">
        <v>416</v>
      </c>
      <c r="D25" s="198" t="s">
        <v>360</v>
      </c>
      <c r="E25" s="198" t="s">
        <v>534</v>
      </c>
      <c r="F25" s="198" t="s">
        <v>64</v>
      </c>
      <c r="G25" s="198" t="s">
        <v>64</v>
      </c>
      <c r="H25" s="198" t="s">
        <v>477</v>
      </c>
      <c r="I25" s="198" t="s">
        <v>94</v>
      </c>
      <c r="J25" s="233">
        <v>137579025</v>
      </c>
      <c r="K25" s="198" t="s">
        <v>71</v>
      </c>
    </row>
    <row r="26" spans="2:11">
      <c r="C26" s="198" t="s">
        <v>422</v>
      </c>
      <c r="D26" s="198" t="s">
        <v>360</v>
      </c>
      <c r="E26" s="198" t="s">
        <v>534</v>
      </c>
      <c r="F26" s="198" t="s">
        <v>64</v>
      </c>
      <c r="G26" s="198" t="s">
        <v>64</v>
      </c>
      <c r="H26" s="198" t="s">
        <v>493</v>
      </c>
      <c r="I26" s="198" t="s">
        <v>94</v>
      </c>
      <c r="J26" s="233">
        <v>34919991</v>
      </c>
      <c r="K26" s="198" t="s">
        <v>71</v>
      </c>
    </row>
    <row r="27" spans="2:11">
      <c r="B27" s="198" t="str">
        <f>VLOOKUP(C27,Companies[],3,FALSE)</f>
        <v>4151750 2Y2</v>
      </c>
      <c r="C27" s="198" t="s">
        <v>425</v>
      </c>
      <c r="D27" s="198" t="s">
        <v>360</v>
      </c>
      <c r="E27" s="198" t="s">
        <v>534</v>
      </c>
      <c r="F27" s="198" t="s">
        <v>64</v>
      </c>
      <c r="G27" s="198" t="s">
        <v>64</v>
      </c>
      <c r="H27" s="198" t="s">
        <v>495</v>
      </c>
      <c r="I27" s="198" t="s">
        <v>94</v>
      </c>
      <c r="J27" s="233">
        <v>10669454</v>
      </c>
      <c r="K27" s="198" t="s">
        <v>71</v>
      </c>
    </row>
    <row r="28" spans="2:11">
      <c r="C28" s="198" t="s">
        <v>427</v>
      </c>
      <c r="D28" s="198" t="s">
        <v>360</v>
      </c>
      <c r="E28" s="198" t="s">
        <v>534</v>
      </c>
      <c r="F28" s="198" t="s">
        <v>64</v>
      </c>
      <c r="G28" s="198" t="s">
        <v>64</v>
      </c>
      <c r="H28" s="198" t="s">
        <v>474</v>
      </c>
      <c r="I28" s="198" t="s">
        <v>94</v>
      </c>
      <c r="J28" s="233">
        <v>64967024</v>
      </c>
      <c r="K28" s="198" t="s">
        <v>71</v>
      </c>
    </row>
    <row r="29" spans="2:11">
      <c r="C29" s="198" t="s">
        <v>422</v>
      </c>
      <c r="D29" s="198" t="s">
        <v>364</v>
      </c>
      <c r="E29" s="198" t="s">
        <v>535</v>
      </c>
      <c r="F29" s="198" t="s">
        <v>64</v>
      </c>
      <c r="G29" s="198" t="s">
        <v>64</v>
      </c>
      <c r="H29" s="198" t="s">
        <v>493</v>
      </c>
      <c r="I29" s="198" t="s">
        <v>94</v>
      </c>
      <c r="J29" s="233">
        <v>508595</v>
      </c>
      <c r="K29" s="198" t="s">
        <v>71</v>
      </c>
    </row>
    <row r="30" spans="2:11">
      <c r="C30" s="198" t="s">
        <v>425</v>
      </c>
      <c r="D30" s="198" t="s">
        <v>364</v>
      </c>
      <c r="E30" s="198" t="s">
        <v>535</v>
      </c>
      <c r="F30" s="198" t="s">
        <v>64</v>
      </c>
      <c r="G30" s="198" t="s">
        <v>64</v>
      </c>
      <c r="H30" s="198" t="s">
        <v>495</v>
      </c>
      <c r="I30" s="198" t="s">
        <v>94</v>
      </c>
      <c r="J30" s="233">
        <v>793700</v>
      </c>
      <c r="K30" s="198" t="s">
        <v>71</v>
      </c>
    </row>
    <row r="31" spans="2:11">
      <c r="C31" s="198" t="s">
        <v>427</v>
      </c>
      <c r="D31" s="198" t="s">
        <v>364</v>
      </c>
      <c r="E31" s="198" t="s">
        <v>535</v>
      </c>
      <c r="F31" s="198" t="s">
        <v>64</v>
      </c>
      <c r="G31" s="198" t="s">
        <v>64</v>
      </c>
      <c r="H31" s="198" t="s">
        <v>474</v>
      </c>
      <c r="I31" s="198" t="s">
        <v>94</v>
      </c>
      <c r="J31" s="233">
        <v>3345000</v>
      </c>
      <c r="K31" s="198" t="s">
        <v>71</v>
      </c>
    </row>
    <row r="32" spans="2:11">
      <c r="C32" s="198" t="s">
        <v>394</v>
      </c>
      <c r="D32" s="198" t="s">
        <v>363</v>
      </c>
      <c r="E32" s="198" t="s">
        <v>536</v>
      </c>
      <c r="F32" s="198" t="s">
        <v>64</v>
      </c>
      <c r="G32" s="198" t="s">
        <v>64</v>
      </c>
      <c r="H32" s="198" t="s">
        <v>474</v>
      </c>
      <c r="I32" s="198" t="s">
        <v>94</v>
      </c>
      <c r="J32" s="233">
        <v>91247209</v>
      </c>
      <c r="K32" s="198" t="s">
        <v>71</v>
      </c>
    </row>
    <row r="33" spans="2:11">
      <c r="C33" s="198" t="s">
        <v>401</v>
      </c>
      <c r="D33" s="198" t="s">
        <v>363</v>
      </c>
      <c r="E33" s="198" t="s">
        <v>536</v>
      </c>
      <c r="F33" s="198" t="s">
        <v>64</v>
      </c>
      <c r="G33" s="198" t="s">
        <v>64</v>
      </c>
      <c r="H33" s="198" t="s">
        <v>478</v>
      </c>
      <c r="I33" s="198" t="s">
        <v>94</v>
      </c>
      <c r="J33" s="233">
        <v>26550000</v>
      </c>
      <c r="K33" s="198" t="s">
        <v>71</v>
      </c>
    </row>
    <row r="34" spans="2:11">
      <c r="C34" s="198" t="s">
        <v>405</v>
      </c>
      <c r="D34" s="198" t="s">
        <v>363</v>
      </c>
      <c r="E34" s="198" t="s">
        <v>536</v>
      </c>
      <c r="F34" s="198" t="s">
        <v>64</v>
      </c>
      <c r="G34" s="198" t="s">
        <v>64</v>
      </c>
      <c r="H34" s="198" t="s">
        <v>483</v>
      </c>
      <c r="I34" s="198" t="s">
        <v>94</v>
      </c>
      <c r="J34" s="233">
        <v>12572000</v>
      </c>
      <c r="K34" s="198" t="s">
        <v>71</v>
      </c>
    </row>
    <row r="35" spans="2:11">
      <c r="C35" s="198" t="s">
        <v>412</v>
      </c>
      <c r="D35" s="198" t="s">
        <v>363</v>
      </c>
      <c r="E35" s="198" t="s">
        <v>536</v>
      </c>
      <c r="F35" s="198" t="s">
        <v>64</v>
      </c>
      <c r="G35" s="198" t="s">
        <v>64</v>
      </c>
      <c r="H35" s="198" t="s">
        <v>488</v>
      </c>
      <c r="I35" s="198" t="s">
        <v>94</v>
      </c>
      <c r="J35" s="233">
        <v>200000000</v>
      </c>
      <c r="K35" s="198" t="s">
        <v>71</v>
      </c>
    </row>
    <row r="36" spans="2:11">
      <c r="C36" s="198" t="s">
        <v>422</v>
      </c>
      <c r="D36" s="198" t="s">
        <v>363</v>
      </c>
      <c r="E36" s="198" t="s">
        <v>536</v>
      </c>
      <c r="F36" s="198" t="s">
        <v>64</v>
      </c>
      <c r="G36" s="198" t="s">
        <v>64</v>
      </c>
      <c r="H36" s="198" t="s">
        <v>493</v>
      </c>
      <c r="I36" s="198" t="s">
        <v>94</v>
      </c>
      <c r="J36" s="233">
        <v>515000</v>
      </c>
      <c r="K36" s="198" t="s">
        <v>71</v>
      </c>
    </row>
    <row r="37" spans="2:11">
      <c r="C37" s="198" t="s">
        <v>425</v>
      </c>
      <c r="D37" s="198" t="s">
        <v>363</v>
      </c>
      <c r="E37" s="198" t="s">
        <v>536</v>
      </c>
      <c r="F37" s="198" t="s">
        <v>71</v>
      </c>
      <c r="G37" s="198" t="s">
        <v>71</v>
      </c>
      <c r="I37" s="198" t="s">
        <v>94</v>
      </c>
      <c r="J37" s="233">
        <v>35194595</v>
      </c>
      <c r="K37" s="198" t="s">
        <v>71</v>
      </c>
    </row>
    <row r="38" spans="2:11">
      <c r="B38" s="198">
        <f>VLOOKUP(C38,Companies[],3,FALSE)</f>
        <v>16627</v>
      </c>
      <c r="C38" s="198" t="s">
        <v>390</v>
      </c>
      <c r="D38" s="198" t="s">
        <v>362</v>
      </c>
      <c r="E38" s="198" t="s">
        <v>538</v>
      </c>
      <c r="F38" s="198" t="s">
        <v>71</v>
      </c>
      <c r="G38" s="198" t="s">
        <v>71</v>
      </c>
      <c r="I38" s="198" t="s">
        <v>94</v>
      </c>
      <c r="J38" s="233">
        <v>20000000</v>
      </c>
      <c r="K38" s="198" t="s">
        <v>71</v>
      </c>
    </row>
    <row r="39" spans="2:11">
      <c r="C39" s="198" t="s">
        <v>394</v>
      </c>
      <c r="D39" s="198" t="s">
        <v>371</v>
      </c>
      <c r="E39" s="198" t="s">
        <v>541</v>
      </c>
      <c r="F39" s="198" t="s">
        <v>64</v>
      </c>
      <c r="G39" s="198" t="s">
        <v>64</v>
      </c>
      <c r="H39" s="198" t="s">
        <v>474</v>
      </c>
      <c r="I39" s="198" t="s">
        <v>94</v>
      </c>
      <c r="J39" s="233">
        <v>378197576</v>
      </c>
      <c r="K39" s="198" t="s">
        <v>71</v>
      </c>
    </row>
    <row r="40" spans="2:11">
      <c r="C40" s="198" t="s">
        <v>416</v>
      </c>
      <c r="D40" s="198" t="s">
        <v>361</v>
      </c>
      <c r="E40" s="198" t="s">
        <v>541</v>
      </c>
      <c r="F40" s="198" t="s">
        <v>64</v>
      </c>
      <c r="G40" s="198" t="s">
        <v>64</v>
      </c>
      <c r="H40" s="198" t="s">
        <v>477</v>
      </c>
      <c r="I40" s="198" t="s">
        <v>94</v>
      </c>
      <c r="J40" s="233">
        <v>72429600</v>
      </c>
      <c r="K40" s="198" t="s">
        <v>71</v>
      </c>
    </row>
    <row r="41" spans="2:11">
      <c r="C41" s="198" t="s">
        <v>416</v>
      </c>
      <c r="D41" s="198" t="s">
        <v>371</v>
      </c>
      <c r="E41" s="198" t="s">
        <v>541</v>
      </c>
      <c r="F41" s="198" t="s">
        <v>64</v>
      </c>
      <c r="G41" s="198" t="s">
        <v>64</v>
      </c>
      <c r="H41" s="198" t="s">
        <v>477</v>
      </c>
      <c r="I41" s="198" t="s">
        <v>94</v>
      </c>
      <c r="J41" s="233">
        <v>78161354</v>
      </c>
      <c r="K41" s="198" t="s">
        <v>71</v>
      </c>
    </row>
    <row r="42" spans="2:11">
      <c r="C42" s="198" t="s">
        <v>420</v>
      </c>
      <c r="D42" s="198" t="s">
        <v>361</v>
      </c>
      <c r="E42" s="198" t="s">
        <v>541</v>
      </c>
      <c r="F42" s="198" t="s">
        <v>64</v>
      </c>
      <c r="G42" s="198" t="s">
        <v>64</v>
      </c>
      <c r="H42" s="198" t="s">
        <v>482</v>
      </c>
      <c r="I42" s="198" t="s">
        <v>94</v>
      </c>
      <c r="J42" s="233">
        <v>50000000</v>
      </c>
      <c r="K42" s="198" t="s">
        <v>71</v>
      </c>
    </row>
    <row r="43" spans="2:11">
      <c r="C43" s="198" t="s">
        <v>427</v>
      </c>
      <c r="D43" s="198" t="s">
        <v>371</v>
      </c>
      <c r="E43" s="198" t="s">
        <v>541</v>
      </c>
      <c r="F43" s="198" t="s">
        <v>64</v>
      </c>
      <c r="G43" s="198" t="s">
        <v>64</v>
      </c>
      <c r="H43" s="198" t="s">
        <v>474</v>
      </c>
      <c r="I43" s="198" t="s">
        <v>94</v>
      </c>
      <c r="J43" s="233">
        <v>60738297</v>
      </c>
      <c r="K43" s="198" t="s">
        <v>71</v>
      </c>
    </row>
    <row r="44" spans="2:11">
      <c r="C44" s="198" t="s">
        <v>439</v>
      </c>
      <c r="D44" s="198" t="s">
        <v>358</v>
      </c>
      <c r="E44" s="198" t="s">
        <v>541</v>
      </c>
      <c r="F44" s="198" t="s">
        <v>64</v>
      </c>
      <c r="G44" s="198" t="s">
        <v>64</v>
      </c>
      <c r="H44" s="198" t="s">
        <v>489</v>
      </c>
      <c r="I44" s="198" t="s">
        <v>94</v>
      </c>
      <c r="J44" s="233">
        <v>937500</v>
      </c>
      <c r="K44" s="198" t="s">
        <v>71</v>
      </c>
    </row>
    <row r="45" spans="2:11">
      <c r="C45" s="198" t="s">
        <v>390</v>
      </c>
      <c r="D45" s="198" t="s">
        <v>358</v>
      </c>
      <c r="E45" s="198" t="s">
        <v>542</v>
      </c>
      <c r="F45" s="198" t="s">
        <v>71</v>
      </c>
      <c r="G45" s="198" t="s">
        <v>71</v>
      </c>
      <c r="I45" s="198" t="s">
        <v>94</v>
      </c>
      <c r="J45" s="233">
        <v>93539000</v>
      </c>
      <c r="K45" s="198" t="s">
        <v>71</v>
      </c>
    </row>
    <row r="46" spans="2:11">
      <c r="C46" s="198" t="s">
        <v>394</v>
      </c>
      <c r="D46" s="198" t="s">
        <v>358</v>
      </c>
      <c r="E46" s="198" t="s">
        <v>542</v>
      </c>
      <c r="F46" s="198" t="s">
        <v>64</v>
      </c>
      <c r="G46" s="198" t="s">
        <v>64</v>
      </c>
      <c r="H46" s="198" t="s">
        <v>474</v>
      </c>
      <c r="I46" s="198" t="s">
        <v>94</v>
      </c>
      <c r="J46" s="233">
        <v>13981000</v>
      </c>
      <c r="K46" s="198" t="s">
        <v>71</v>
      </c>
    </row>
    <row r="47" spans="2:11">
      <c r="C47" s="198" t="s">
        <v>405</v>
      </c>
      <c r="D47" s="198" t="s">
        <v>358</v>
      </c>
      <c r="E47" s="198" t="s">
        <v>542</v>
      </c>
      <c r="F47" s="198" t="s">
        <v>64</v>
      </c>
      <c r="G47" s="198" t="s">
        <v>64</v>
      </c>
      <c r="H47" s="198" t="s">
        <v>483</v>
      </c>
      <c r="I47" s="198" t="s">
        <v>94</v>
      </c>
      <c r="J47" s="233">
        <v>2275200</v>
      </c>
      <c r="K47" s="198" t="s">
        <v>71</v>
      </c>
    </row>
    <row r="48" spans="2:11">
      <c r="C48" s="198" t="s">
        <v>447</v>
      </c>
      <c r="D48" s="198" t="s">
        <v>367</v>
      </c>
      <c r="E48" s="198" t="s">
        <v>542</v>
      </c>
      <c r="F48" s="198" t="s">
        <v>64</v>
      </c>
      <c r="G48" s="198" t="s">
        <v>64</v>
      </c>
      <c r="H48" s="198" t="s">
        <v>498</v>
      </c>
      <c r="I48" s="198" t="s">
        <v>94</v>
      </c>
      <c r="J48" s="233">
        <v>200000000</v>
      </c>
      <c r="K48" s="198" t="s">
        <v>71</v>
      </c>
    </row>
    <row r="49" spans="2:11">
      <c r="C49" s="198" t="s">
        <v>456</v>
      </c>
      <c r="D49" s="198" t="s">
        <v>358</v>
      </c>
      <c r="E49" s="198" t="s">
        <v>542</v>
      </c>
      <c r="F49" s="198" t="s">
        <v>64</v>
      </c>
      <c r="G49" s="198" t="s">
        <v>64</v>
      </c>
      <c r="H49" s="198" t="s">
        <v>503</v>
      </c>
      <c r="I49" s="198" t="s">
        <v>94</v>
      </c>
      <c r="J49" s="233">
        <v>272770004</v>
      </c>
      <c r="K49" s="198" t="s">
        <v>71</v>
      </c>
    </row>
    <row r="50" spans="2:11">
      <c r="C50" s="198" t="s">
        <v>394</v>
      </c>
      <c r="D50" s="198" t="s">
        <v>362</v>
      </c>
      <c r="E50" s="198" t="s">
        <v>545</v>
      </c>
      <c r="F50" s="198" t="s">
        <v>64</v>
      </c>
      <c r="G50" s="198" t="s">
        <v>64</v>
      </c>
      <c r="H50" s="198" t="s">
        <v>474</v>
      </c>
      <c r="I50" s="198" t="s">
        <v>94</v>
      </c>
      <c r="J50" s="233">
        <v>8943645000</v>
      </c>
      <c r="K50" s="198" t="s">
        <v>71</v>
      </c>
    </row>
    <row r="51" spans="2:11">
      <c r="B51" s="198">
        <f>VLOOKUP(C51,Companies[],3,FALSE)</f>
        <v>16627</v>
      </c>
      <c r="C51" s="198" t="s">
        <v>390</v>
      </c>
      <c r="D51" s="198" t="s">
        <v>362</v>
      </c>
      <c r="E51" s="198" t="s">
        <v>546</v>
      </c>
      <c r="F51" s="198" t="s">
        <v>71</v>
      </c>
      <c r="G51" s="198" t="s">
        <v>71</v>
      </c>
      <c r="I51" s="198" t="s">
        <v>94</v>
      </c>
      <c r="J51" s="233">
        <v>1308000000</v>
      </c>
      <c r="K51" s="198" t="s">
        <v>71</v>
      </c>
    </row>
    <row r="52" spans="2:11">
      <c r="C52" s="198" t="s">
        <v>439</v>
      </c>
      <c r="D52" s="198" t="s">
        <v>362</v>
      </c>
      <c r="E52" s="198" t="s">
        <v>546</v>
      </c>
      <c r="F52" s="198" t="s">
        <v>64</v>
      </c>
      <c r="G52" s="198" t="s">
        <v>64</v>
      </c>
      <c r="H52" s="198" t="s">
        <v>489</v>
      </c>
      <c r="I52" s="198" t="s">
        <v>94</v>
      </c>
      <c r="J52" s="233">
        <v>118363908</v>
      </c>
      <c r="K52" s="198" t="s">
        <v>71</v>
      </c>
    </row>
    <row r="53" spans="2:11">
      <c r="C53" s="198" t="s">
        <v>439</v>
      </c>
      <c r="D53" s="198" t="s">
        <v>362</v>
      </c>
      <c r="E53" s="198" t="s">
        <v>546</v>
      </c>
      <c r="F53" s="198" t="s">
        <v>64</v>
      </c>
      <c r="G53" s="198" t="s">
        <v>64</v>
      </c>
      <c r="H53" s="198" t="s">
        <v>490</v>
      </c>
      <c r="I53" s="198" t="s">
        <v>94</v>
      </c>
      <c r="J53" s="233">
        <v>23466452</v>
      </c>
      <c r="K53" s="198" t="s">
        <v>71</v>
      </c>
    </row>
    <row r="54" spans="2:11">
      <c r="C54" s="198" t="s">
        <v>453</v>
      </c>
      <c r="D54" s="198" t="s">
        <v>362</v>
      </c>
      <c r="E54" s="198" t="s">
        <v>546</v>
      </c>
      <c r="F54" s="198" t="s">
        <v>71</v>
      </c>
      <c r="G54" s="198" t="s">
        <v>71</v>
      </c>
      <c r="I54" s="198" t="s">
        <v>94</v>
      </c>
      <c r="J54" s="233">
        <v>900000</v>
      </c>
      <c r="K54" s="198" t="s">
        <v>71</v>
      </c>
    </row>
    <row r="55" spans="2:11">
      <c r="C55" s="198" t="s">
        <v>436</v>
      </c>
      <c r="D55" s="198" t="s">
        <v>358</v>
      </c>
      <c r="E55" s="198" t="s">
        <v>547</v>
      </c>
      <c r="F55" s="198" t="s">
        <v>71</v>
      </c>
      <c r="G55" s="198" t="s">
        <v>71</v>
      </c>
      <c r="I55" s="198" t="s">
        <v>94</v>
      </c>
      <c r="J55" s="233">
        <v>371531312</v>
      </c>
      <c r="K55" s="198" t="s">
        <v>71</v>
      </c>
    </row>
    <row r="56" spans="2:11">
      <c r="C56" s="198" t="s">
        <v>416</v>
      </c>
      <c r="D56" s="198" t="s">
        <v>362</v>
      </c>
      <c r="E56" s="198" t="s">
        <v>549</v>
      </c>
      <c r="F56" s="198" t="s">
        <v>71</v>
      </c>
      <c r="G56" s="198" t="s">
        <v>71</v>
      </c>
      <c r="I56" s="198" t="s">
        <v>94</v>
      </c>
      <c r="J56" s="233">
        <v>3780000000</v>
      </c>
      <c r="K56" s="198" t="s">
        <v>71</v>
      </c>
    </row>
    <row r="57" spans="2:11">
      <c r="C57" s="198" t="s">
        <v>390</v>
      </c>
      <c r="D57" s="198" t="s">
        <v>361</v>
      </c>
      <c r="E57" s="198" t="s">
        <v>552</v>
      </c>
      <c r="F57" s="198" t="s">
        <v>71</v>
      </c>
      <c r="G57" s="198" t="s">
        <v>71</v>
      </c>
      <c r="I57" s="198" t="s">
        <v>94</v>
      </c>
      <c r="J57" s="233">
        <v>2882580386</v>
      </c>
      <c r="K57" s="198" t="s">
        <v>71</v>
      </c>
    </row>
    <row r="58" spans="2:11">
      <c r="C58" s="198" t="s">
        <v>394</v>
      </c>
      <c r="D58" s="198" t="s">
        <v>361</v>
      </c>
      <c r="E58" s="198" t="s">
        <v>552</v>
      </c>
      <c r="F58" s="198" t="s">
        <v>64</v>
      </c>
      <c r="G58" s="198" t="s">
        <v>64</v>
      </c>
      <c r="H58" s="198" t="s">
        <v>474</v>
      </c>
      <c r="I58" s="198" t="s">
        <v>94</v>
      </c>
      <c r="J58" s="233">
        <v>1027439597</v>
      </c>
      <c r="K58" s="198" t="s">
        <v>71</v>
      </c>
    </row>
    <row r="59" spans="2:11">
      <c r="C59" s="198" t="s">
        <v>398</v>
      </c>
      <c r="D59" s="198" t="s">
        <v>361</v>
      </c>
      <c r="E59" s="198" t="s">
        <v>552</v>
      </c>
      <c r="F59" s="198" t="s">
        <v>71</v>
      </c>
      <c r="G59" s="198" t="s">
        <v>71</v>
      </c>
      <c r="I59" s="198" t="s">
        <v>94</v>
      </c>
      <c r="J59" s="233">
        <v>7189278440</v>
      </c>
      <c r="K59" s="198" t="s">
        <v>71</v>
      </c>
    </row>
    <row r="60" spans="2:11">
      <c r="C60" s="198" t="s">
        <v>401</v>
      </c>
      <c r="D60" s="198" t="s">
        <v>361</v>
      </c>
      <c r="E60" s="198" t="s">
        <v>552</v>
      </c>
      <c r="F60" s="198" t="s">
        <v>64</v>
      </c>
      <c r="G60" s="198" t="s">
        <v>64</v>
      </c>
      <c r="H60" s="198" t="s">
        <v>478</v>
      </c>
      <c r="I60" s="198" t="s">
        <v>94</v>
      </c>
      <c r="J60" s="233">
        <v>282832741</v>
      </c>
      <c r="K60" s="198" t="s">
        <v>71</v>
      </c>
    </row>
    <row r="61" spans="2:11">
      <c r="C61" s="198" t="s">
        <v>412</v>
      </c>
      <c r="D61" s="198" t="s">
        <v>361</v>
      </c>
      <c r="E61" s="198" t="s">
        <v>552</v>
      </c>
      <c r="F61" s="198" t="s">
        <v>64</v>
      </c>
      <c r="G61" s="198" t="s">
        <v>64</v>
      </c>
      <c r="H61" s="198" t="s">
        <v>488</v>
      </c>
      <c r="I61" s="198" t="s">
        <v>94</v>
      </c>
      <c r="J61" s="233">
        <v>6039517232</v>
      </c>
      <c r="K61" s="198" t="s">
        <v>71</v>
      </c>
    </row>
    <row r="62" spans="2:11">
      <c r="C62" s="198" t="s">
        <v>416</v>
      </c>
      <c r="D62" s="198" t="s">
        <v>361</v>
      </c>
      <c r="E62" s="198" t="s">
        <v>552</v>
      </c>
      <c r="F62" s="198" t="s">
        <v>64</v>
      </c>
      <c r="G62" s="198" t="s">
        <v>64</v>
      </c>
      <c r="H62" s="198" t="s">
        <v>477</v>
      </c>
      <c r="I62" s="198" t="s">
        <v>94</v>
      </c>
      <c r="J62" s="233">
        <v>304667880</v>
      </c>
      <c r="K62" s="198" t="s">
        <v>71</v>
      </c>
    </row>
    <row r="63" spans="2:11">
      <c r="C63" s="198" t="s">
        <v>425</v>
      </c>
      <c r="D63" s="198" t="s">
        <v>361</v>
      </c>
      <c r="E63" s="198" t="s">
        <v>552</v>
      </c>
      <c r="F63" s="198" t="s">
        <v>64</v>
      </c>
      <c r="G63" s="198" t="s">
        <v>64</v>
      </c>
      <c r="H63" s="198" t="s">
        <v>495</v>
      </c>
      <c r="I63" s="198" t="s">
        <v>94</v>
      </c>
      <c r="J63" s="233">
        <v>14158598</v>
      </c>
      <c r="K63" s="198" t="s">
        <v>71</v>
      </c>
    </row>
    <row r="64" spans="2:11">
      <c r="C64" s="198" t="s">
        <v>432</v>
      </c>
      <c r="D64" s="198" t="s">
        <v>361</v>
      </c>
      <c r="E64" s="198" t="s">
        <v>552</v>
      </c>
      <c r="F64" s="198" t="s">
        <v>71</v>
      </c>
      <c r="G64" s="198" t="s">
        <v>71</v>
      </c>
      <c r="I64" s="198" t="s">
        <v>94</v>
      </c>
      <c r="J64" s="233">
        <v>426015</v>
      </c>
      <c r="K64" s="198" t="s">
        <v>71</v>
      </c>
    </row>
    <row r="65" spans="3:11">
      <c r="C65" s="198" t="s">
        <v>436</v>
      </c>
      <c r="D65" s="198" t="s">
        <v>361</v>
      </c>
      <c r="E65" s="198" t="s">
        <v>552</v>
      </c>
      <c r="F65" s="198" t="s">
        <v>71</v>
      </c>
      <c r="G65" s="198" t="s">
        <v>71</v>
      </c>
      <c r="I65" s="198" t="s">
        <v>94</v>
      </c>
      <c r="J65" s="233">
        <v>74475979</v>
      </c>
      <c r="K65" s="198" t="s">
        <v>71</v>
      </c>
    </row>
    <row r="66" spans="3:11">
      <c r="C66" s="198" t="s">
        <v>439</v>
      </c>
      <c r="D66" s="198" t="s">
        <v>361</v>
      </c>
      <c r="E66" s="198" t="s">
        <v>552</v>
      </c>
      <c r="F66" s="198" t="s">
        <v>64</v>
      </c>
      <c r="G66" s="198" t="s">
        <v>64</v>
      </c>
      <c r="H66" s="198" t="s">
        <v>489</v>
      </c>
      <c r="I66" s="198" t="s">
        <v>94</v>
      </c>
      <c r="J66" s="233">
        <v>135043879</v>
      </c>
      <c r="K66" s="198" t="s">
        <v>71</v>
      </c>
    </row>
    <row r="67" spans="3:11">
      <c r="C67" s="198" t="s">
        <v>439</v>
      </c>
      <c r="D67" s="198" t="s">
        <v>361</v>
      </c>
      <c r="E67" s="198" t="s">
        <v>552</v>
      </c>
      <c r="F67" s="198" t="s">
        <v>64</v>
      </c>
      <c r="G67" s="198" t="s">
        <v>64</v>
      </c>
      <c r="H67" s="198" t="s">
        <v>490</v>
      </c>
      <c r="I67" s="198" t="s">
        <v>94</v>
      </c>
      <c r="J67" s="233">
        <v>41014315</v>
      </c>
      <c r="K67" s="198" t="s">
        <v>71</v>
      </c>
    </row>
    <row r="68" spans="3:11">
      <c r="C68" s="198" t="s">
        <v>447</v>
      </c>
      <c r="D68" s="198" t="s">
        <v>361</v>
      </c>
      <c r="E68" s="198" t="s">
        <v>552</v>
      </c>
      <c r="F68" s="198" t="s">
        <v>64</v>
      </c>
      <c r="G68" s="198" t="s">
        <v>64</v>
      </c>
      <c r="H68" s="198" t="s">
        <v>498</v>
      </c>
      <c r="I68" s="198" t="s">
        <v>94</v>
      </c>
      <c r="J68" s="233">
        <v>6858832</v>
      </c>
      <c r="K68" s="198" t="s">
        <v>71</v>
      </c>
    </row>
    <row r="69" spans="3:11">
      <c r="C69" s="198" t="s">
        <v>456</v>
      </c>
      <c r="D69" s="198" t="s">
        <v>361</v>
      </c>
      <c r="E69" s="198" t="s">
        <v>552</v>
      </c>
      <c r="F69" s="198" t="s">
        <v>64</v>
      </c>
      <c r="G69" s="198" t="s">
        <v>64</v>
      </c>
      <c r="H69" s="198" t="s">
        <v>503</v>
      </c>
      <c r="I69" s="198" t="s">
        <v>94</v>
      </c>
      <c r="J69" s="233">
        <v>6614421</v>
      </c>
      <c r="K69" s="198" t="s">
        <v>71</v>
      </c>
    </row>
    <row r="70" spans="3:11">
      <c r="C70" s="198" t="s">
        <v>458</v>
      </c>
      <c r="D70" s="198" t="s">
        <v>361</v>
      </c>
      <c r="E70" s="198" t="s">
        <v>552</v>
      </c>
      <c r="F70" s="198" t="s">
        <v>71</v>
      </c>
      <c r="G70" s="198" t="s">
        <v>71</v>
      </c>
      <c r="I70" s="198" t="s">
        <v>94</v>
      </c>
      <c r="J70" s="233">
        <v>21445826</v>
      </c>
      <c r="K70" s="198" t="s">
        <v>71</v>
      </c>
    </row>
    <row r="71" spans="3:11">
      <c r="C71" s="198" t="s">
        <v>461</v>
      </c>
      <c r="D71" s="198" t="s">
        <v>361</v>
      </c>
      <c r="E71" s="198" t="s">
        <v>552</v>
      </c>
      <c r="F71" s="198" t="s">
        <v>64</v>
      </c>
      <c r="G71" s="198" t="s">
        <v>64</v>
      </c>
      <c r="H71" s="198" t="s">
        <v>507</v>
      </c>
      <c r="I71" s="198" t="s">
        <v>94</v>
      </c>
      <c r="J71" s="233">
        <v>29223575</v>
      </c>
      <c r="K71" s="198" t="s">
        <v>71</v>
      </c>
    </row>
    <row r="72" spans="3:11">
      <c r="C72" s="198" t="s">
        <v>425</v>
      </c>
      <c r="D72" s="198" t="s">
        <v>360</v>
      </c>
      <c r="E72" s="198" t="s">
        <v>553</v>
      </c>
      <c r="F72" s="198" t="s">
        <v>64</v>
      </c>
      <c r="G72" s="198" t="s">
        <v>64</v>
      </c>
      <c r="H72" s="198" t="s">
        <v>493</v>
      </c>
      <c r="I72" s="198" t="s">
        <v>94</v>
      </c>
      <c r="J72" s="233">
        <v>10000000</v>
      </c>
      <c r="K72" s="198" t="s">
        <v>71</v>
      </c>
    </row>
    <row r="73" spans="3:11">
      <c r="C73" s="198" t="s">
        <v>390</v>
      </c>
      <c r="D73" s="198" t="s">
        <v>358</v>
      </c>
      <c r="E73" s="198" t="s">
        <v>555</v>
      </c>
      <c r="F73" s="198" t="s">
        <v>71</v>
      </c>
      <c r="G73" s="198" t="s">
        <v>71</v>
      </c>
      <c r="I73" s="198" t="s">
        <v>94</v>
      </c>
      <c r="J73" s="233">
        <v>307575</v>
      </c>
      <c r="K73" s="198" t="s">
        <v>71</v>
      </c>
    </row>
    <row r="74" spans="3:11">
      <c r="C74" s="198" t="s">
        <v>394</v>
      </c>
      <c r="D74" s="198" t="s">
        <v>358</v>
      </c>
      <c r="E74" s="198" t="s">
        <v>555</v>
      </c>
      <c r="F74" s="198" t="s">
        <v>64</v>
      </c>
      <c r="G74" s="198" t="s">
        <v>64</v>
      </c>
      <c r="H74" s="198" t="s">
        <v>474</v>
      </c>
      <c r="I74" s="198" t="s">
        <v>94</v>
      </c>
      <c r="J74" s="233">
        <v>345696500</v>
      </c>
      <c r="K74" s="198" t="s">
        <v>71</v>
      </c>
    </row>
    <row r="75" spans="3:11">
      <c r="C75" s="198" t="s">
        <v>422</v>
      </c>
      <c r="D75" s="198" t="s">
        <v>358</v>
      </c>
      <c r="E75" s="198" t="s">
        <v>555</v>
      </c>
      <c r="F75" s="198" t="s">
        <v>64</v>
      </c>
      <c r="G75" s="198" t="s">
        <v>64</v>
      </c>
      <c r="H75" s="198" t="s">
        <v>493</v>
      </c>
      <c r="I75" s="198" t="s">
        <v>94</v>
      </c>
      <c r="J75" s="233">
        <v>88809000</v>
      </c>
      <c r="K75" s="198" t="s">
        <v>71</v>
      </c>
    </row>
    <row r="76" spans="3:11">
      <c r="C76" s="198" t="s">
        <v>394</v>
      </c>
      <c r="D76" s="198" t="s">
        <v>358</v>
      </c>
      <c r="E76" s="198" t="s">
        <v>556</v>
      </c>
      <c r="F76" s="198" t="s">
        <v>64</v>
      </c>
      <c r="G76" s="198" t="s">
        <v>64</v>
      </c>
      <c r="H76" s="198" t="s">
        <v>474</v>
      </c>
      <c r="I76" s="198" t="s">
        <v>94</v>
      </c>
      <c r="J76" s="233">
        <v>96697263</v>
      </c>
      <c r="K76" s="198" t="s">
        <v>71</v>
      </c>
    </row>
    <row r="77" spans="3:11">
      <c r="C77" s="198" t="s">
        <v>398</v>
      </c>
      <c r="D77" s="198" t="s">
        <v>358</v>
      </c>
      <c r="E77" s="198" t="s">
        <v>556</v>
      </c>
      <c r="F77" s="198" t="s">
        <v>71</v>
      </c>
      <c r="G77" s="198" t="s">
        <v>71</v>
      </c>
      <c r="I77" s="198" t="s">
        <v>94</v>
      </c>
      <c r="J77" s="233">
        <v>17831325</v>
      </c>
      <c r="K77" s="198" t="s">
        <v>71</v>
      </c>
    </row>
    <row r="78" spans="3:11">
      <c r="C78" s="198" t="s">
        <v>401</v>
      </c>
      <c r="D78" s="198" t="s">
        <v>358</v>
      </c>
      <c r="E78" s="198" t="s">
        <v>556</v>
      </c>
      <c r="F78" s="198" t="s">
        <v>64</v>
      </c>
      <c r="G78" s="198" t="s">
        <v>64</v>
      </c>
      <c r="H78" s="198" t="s">
        <v>478</v>
      </c>
      <c r="I78" s="198" t="s">
        <v>94</v>
      </c>
      <c r="J78" s="233">
        <v>24197398</v>
      </c>
      <c r="K78" s="198" t="s">
        <v>71</v>
      </c>
    </row>
    <row r="79" spans="3:11">
      <c r="C79" s="198" t="s">
        <v>405</v>
      </c>
      <c r="D79" s="198" t="s">
        <v>358</v>
      </c>
      <c r="E79" s="198" t="s">
        <v>556</v>
      </c>
      <c r="F79" s="198" t="s">
        <v>64</v>
      </c>
      <c r="G79" s="198" t="s">
        <v>64</v>
      </c>
      <c r="H79" s="198" t="s">
        <v>483</v>
      </c>
      <c r="I79" s="198" t="s">
        <v>94</v>
      </c>
      <c r="J79" s="233">
        <v>96731669</v>
      </c>
      <c r="K79" s="198" t="s">
        <v>71</v>
      </c>
    </row>
    <row r="80" spans="3:11">
      <c r="C80" s="198" t="s">
        <v>412</v>
      </c>
      <c r="D80" s="198" t="s">
        <v>358</v>
      </c>
      <c r="E80" s="198" t="s">
        <v>556</v>
      </c>
      <c r="F80" s="198" t="s">
        <v>64</v>
      </c>
      <c r="G80" s="198" t="s">
        <v>64</v>
      </c>
      <c r="H80" s="198" t="s">
        <v>488</v>
      </c>
      <c r="I80" s="198" t="s">
        <v>94</v>
      </c>
      <c r="J80" s="233">
        <v>34460817</v>
      </c>
      <c r="K80" s="198" t="s">
        <v>71</v>
      </c>
    </row>
    <row r="81" spans="3:11">
      <c r="C81" s="198" t="s">
        <v>416</v>
      </c>
      <c r="D81" s="198" t="s">
        <v>358</v>
      </c>
      <c r="E81" s="198" t="s">
        <v>556</v>
      </c>
      <c r="F81" s="198" t="s">
        <v>71</v>
      </c>
      <c r="G81" s="198" t="s">
        <v>71</v>
      </c>
      <c r="I81" s="198" t="s">
        <v>94</v>
      </c>
      <c r="J81" s="233">
        <v>5250761904</v>
      </c>
      <c r="K81" s="198" t="s">
        <v>71</v>
      </c>
    </row>
    <row r="82" spans="3:11">
      <c r="C82" s="198" t="s">
        <v>420</v>
      </c>
      <c r="D82" s="198" t="s">
        <v>358</v>
      </c>
      <c r="E82" s="198" t="s">
        <v>556</v>
      </c>
      <c r="F82" s="198" t="s">
        <v>64</v>
      </c>
      <c r="G82" s="198" t="s">
        <v>64</v>
      </c>
      <c r="H82" s="198" t="s">
        <v>482</v>
      </c>
      <c r="I82" s="198" t="s">
        <v>94</v>
      </c>
      <c r="J82" s="233">
        <v>24936209</v>
      </c>
      <c r="K82" s="198" t="s">
        <v>71</v>
      </c>
    </row>
    <row r="83" spans="3:11">
      <c r="C83" s="198" t="s">
        <v>425</v>
      </c>
      <c r="D83" s="198" t="s">
        <v>358</v>
      </c>
      <c r="E83" s="198" t="s">
        <v>556</v>
      </c>
      <c r="F83" s="198" t="s">
        <v>64</v>
      </c>
      <c r="G83" s="198" t="s">
        <v>64</v>
      </c>
      <c r="H83" s="198" t="s">
        <v>495</v>
      </c>
      <c r="I83" s="198" t="s">
        <v>94</v>
      </c>
      <c r="J83" s="233">
        <v>5104169</v>
      </c>
      <c r="K83" s="198" t="s">
        <v>71</v>
      </c>
    </row>
    <row r="84" spans="3:11">
      <c r="C84" s="198" t="s">
        <v>429</v>
      </c>
      <c r="D84" s="198" t="s">
        <v>358</v>
      </c>
      <c r="E84" s="198" t="s">
        <v>556</v>
      </c>
      <c r="F84" s="198" t="s">
        <v>64</v>
      </c>
      <c r="G84" s="198" t="s">
        <v>64</v>
      </c>
      <c r="H84" s="198" t="s">
        <v>481</v>
      </c>
      <c r="I84" s="198" t="s">
        <v>94</v>
      </c>
      <c r="J84" s="233">
        <v>4824561</v>
      </c>
      <c r="K84" s="198" t="s">
        <v>71</v>
      </c>
    </row>
    <row r="85" spans="3:11">
      <c r="C85" s="198" t="s">
        <v>432</v>
      </c>
      <c r="D85" s="198" t="s">
        <v>358</v>
      </c>
      <c r="E85" s="198" t="s">
        <v>556</v>
      </c>
      <c r="F85" s="198" t="s">
        <v>71</v>
      </c>
      <c r="G85" s="198" t="s">
        <v>71</v>
      </c>
      <c r="I85" s="198" t="s">
        <v>94</v>
      </c>
      <c r="J85" s="233">
        <v>10192525</v>
      </c>
      <c r="K85" s="198" t="s">
        <v>71</v>
      </c>
    </row>
    <row r="86" spans="3:11">
      <c r="C86" s="198" t="s">
        <v>436</v>
      </c>
      <c r="D86" s="198" t="s">
        <v>358</v>
      </c>
      <c r="E86" s="198" t="s">
        <v>556</v>
      </c>
      <c r="F86" s="198" t="s">
        <v>71</v>
      </c>
      <c r="G86" s="198" t="s">
        <v>71</v>
      </c>
      <c r="I86" s="198" t="s">
        <v>94</v>
      </c>
      <c r="J86" s="233">
        <v>12825671</v>
      </c>
      <c r="K86" s="198" t="s">
        <v>71</v>
      </c>
    </row>
    <row r="87" spans="3:11">
      <c r="C87" s="198" t="s">
        <v>439</v>
      </c>
      <c r="D87" s="198" t="s">
        <v>358</v>
      </c>
      <c r="E87" s="198" t="s">
        <v>556</v>
      </c>
      <c r="F87" s="198" t="s">
        <v>64</v>
      </c>
      <c r="G87" s="198" t="s">
        <v>64</v>
      </c>
      <c r="H87" s="198" t="s">
        <v>489</v>
      </c>
      <c r="I87" s="198" t="s">
        <v>94</v>
      </c>
      <c r="J87" s="233">
        <v>40280498</v>
      </c>
      <c r="K87" s="198" t="s">
        <v>71</v>
      </c>
    </row>
    <row r="88" spans="3:11">
      <c r="C88" s="198" t="s">
        <v>439</v>
      </c>
      <c r="D88" s="198" t="s">
        <v>358</v>
      </c>
      <c r="E88" s="198" t="s">
        <v>556</v>
      </c>
      <c r="F88" s="198" t="s">
        <v>64</v>
      </c>
      <c r="G88" s="198" t="s">
        <v>64</v>
      </c>
      <c r="H88" s="198" t="s">
        <v>490</v>
      </c>
      <c r="I88" s="198" t="s">
        <v>94</v>
      </c>
      <c r="J88" s="233">
        <v>15515957</v>
      </c>
      <c r="K88" s="198" t="s">
        <v>71</v>
      </c>
    </row>
    <row r="89" spans="3:11">
      <c r="C89" s="198" t="s">
        <v>443</v>
      </c>
      <c r="D89" s="198" t="s">
        <v>358</v>
      </c>
      <c r="E89" s="198" t="s">
        <v>556</v>
      </c>
      <c r="F89" s="198" t="s">
        <v>71</v>
      </c>
      <c r="G89" s="198" t="s">
        <v>71</v>
      </c>
      <c r="I89" s="198" t="s">
        <v>94</v>
      </c>
      <c r="J89" s="233">
        <v>3885723</v>
      </c>
      <c r="K89" s="198" t="s">
        <v>71</v>
      </c>
    </row>
    <row r="90" spans="3:11">
      <c r="C90" s="198" t="s">
        <v>447</v>
      </c>
      <c r="D90" s="198" t="s">
        <v>358</v>
      </c>
      <c r="E90" s="198" t="s">
        <v>556</v>
      </c>
      <c r="F90" s="198" t="s">
        <v>64</v>
      </c>
      <c r="G90" s="198" t="s">
        <v>64</v>
      </c>
      <c r="H90" s="198" t="s">
        <v>498</v>
      </c>
      <c r="I90" s="198" t="s">
        <v>94</v>
      </c>
      <c r="J90" s="233">
        <v>32307776</v>
      </c>
      <c r="K90" s="198" t="s">
        <v>71</v>
      </c>
    </row>
    <row r="91" spans="3:11">
      <c r="C91" s="198" t="s">
        <v>394</v>
      </c>
      <c r="D91" s="198" t="s">
        <v>358</v>
      </c>
      <c r="E91" s="198" t="s">
        <v>557</v>
      </c>
      <c r="F91" s="198" t="s">
        <v>64</v>
      </c>
      <c r="G91" s="198" t="s">
        <v>64</v>
      </c>
      <c r="H91" s="198" t="s">
        <v>474</v>
      </c>
      <c r="I91" s="198" t="s">
        <v>94</v>
      </c>
      <c r="J91" s="233">
        <v>9388018145</v>
      </c>
      <c r="K91" s="198" t="s">
        <v>71</v>
      </c>
    </row>
    <row r="92" spans="3:11">
      <c r="C92" s="198" t="s">
        <v>405</v>
      </c>
      <c r="D92" s="198" t="s">
        <v>358</v>
      </c>
      <c r="E92" s="198" t="s">
        <v>557</v>
      </c>
      <c r="F92" s="198" t="s">
        <v>64</v>
      </c>
      <c r="G92" s="198" t="s">
        <v>64</v>
      </c>
      <c r="H92" s="198" t="s">
        <v>483</v>
      </c>
      <c r="I92" s="198" t="s">
        <v>94</v>
      </c>
      <c r="J92" s="233">
        <v>321548986</v>
      </c>
      <c r="K92" s="198" t="s">
        <v>71</v>
      </c>
    </row>
    <row r="93" spans="3:11">
      <c r="C93" s="198" t="s">
        <v>432</v>
      </c>
      <c r="D93" s="198" t="s">
        <v>358</v>
      </c>
      <c r="E93" s="198" t="s">
        <v>557</v>
      </c>
      <c r="F93" s="198" t="s">
        <v>71</v>
      </c>
      <c r="G93" s="198" t="s">
        <v>71</v>
      </c>
      <c r="I93" s="198" t="s">
        <v>94</v>
      </c>
      <c r="J93" s="233">
        <v>500000</v>
      </c>
      <c r="K93" s="198" t="s">
        <v>71</v>
      </c>
    </row>
    <row r="94" spans="3:11">
      <c r="C94" s="198" t="s">
        <v>436</v>
      </c>
      <c r="D94" s="198" t="s">
        <v>358</v>
      </c>
      <c r="E94" s="198" t="s">
        <v>557</v>
      </c>
      <c r="F94" s="198" t="s">
        <v>71</v>
      </c>
      <c r="G94" s="198" t="s">
        <v>71</v>
      </c>
      <c r="I94" s="198" t="s">
        <v>94</v>
      </c>
      <c r="J94" s="233">
        <v>776844156</v>
      </c>
      <c r="K94" s="198" t="s">
        <v>71</v>
      </c>
    </row>
    <row r="95" spans="3:11">
      <c r="C95" s="198" t="s">
        <v>439</v>
      </c>
      <c r="D95" s="198" t="s">
        <v>358</v>
      </c>
      <c r="E95" s="198" t="s">
        <v>557</v>
      </c>
      <c r="F95" s="198" t="s">
        <v>64</v>
      </c>
      <c r="G95" s="198" t="s">
        <v>64</v>
      </c>
      <c r="H95" s="198" t="s">
        <v>489</v>
      </c>
      <c r="I95" s="198" t="s">
        <v>94</v>
      </c>
      <c r="J95" s="233">
        <v>2364199200</v>
      </c>
      <c r="K95" s="198" t="s">
        <v>71</v>
      </c>
    </row>
    <row r="96" spans="3:11">
      <c r="C96" s="198" t="s">
        <v>439</v>
      </c>
      <c r="D96" s="198" t="s">
        <v>358</v>
      </c>
      <c r="E96" s="198" t="s">
        <v>557</v>
      </c>
      <c r="F96" s="198" t="s">
        <v>64</v>
      </c>
      <c r="G96" s="198" t="s">
        <v>64</v>
      </c>
      <c r="H96" s="198" t="s">
        <v>490</v>
      </c>
      <c r="I96" s="198" t="s">
        <v>94</v>
      </c>
      <c r="J96" s="233">
        <v>102746824</v>
      </c>
      <c r="K96" s="198" t="s">
        <v>71</v>
      </c>
    </row>
    <row r="97" spans="2:11">
      <c r="C97" s="198" t="s">
        <v>443</v>
      </c>
      <c r="D97" s="198" t="s">
        <v>358</v>
      </c>
      <c r="E97" s="198" t="s">
        <v>557</v>
      </c>
      <c r="F97" s="198" t="s">
        <v>71</v>
      </c>
      <c r="G97" s="198" t="s">
        <v>71</v>
      </c>
      <c r="I97" s="198" t="s">
        <v>94</v>
      </c>
      <c r="J97" s="233">
        <v>5000000</v>
      </c>
      <c r="K97" s="198" t="s">
        <v>71</v>
      </c>
    </row>
    <row r="98" spans="2:11">
      <c r="C98" s="198" t="s">
        <v>447</v>
      </c>
      <c r="D98" s="198" t="s">
        <v>358</v>
      </c>
      <c r="E98" s="198" t="s">
        <v>557</v>
      </c>
      <c r="F98" s="198" t="s">
        <v>71</v>
      </c>
      <c r="G98" s="198" t="s">
        <v>71</v>
      </c>
      <c r="I98" s="198" t="s">
        <v>94</v>
      </c>
      <c r="J98" s="233">
        <v>200000</v>
      </c>
      <c r="K98" s="198" t="s">
        <v>71</v>
      </c>
    </row>
    <row r="99" spans="2:11">
      <c r="C99" s="198" t="s">
        <v>450</v>
      </c>
      <c r="D99" s="198" t="s">
        <v>358</v>
      </c>
      <c r="E99" s="198" t="s">
        <v>557</v>
      </c>
      <c r="F99" s="198" t="s">
        <v>71</v>
      </c>
      <c r="G99" s="198" t="s">
        <v>71</v>
      </c>
      <c r="I99" s="198" t="s">
        <v>94</v>
      </c>
      <c r="J99" s="233">
        <v>1000000</v>
      </c>
      <c r="K99" s="198" t="s">
        <v>71</v>
      </c>
    </row>
    <row r="100" spans="2:11">
      <c r="C100" s="198" t="s">
        <v>456</v>
      </c>
      <c r="D100" s="198" t="s">
        <v>367</v>
      </c>
      <c r="E100" s="198" t="s">
        <v>559</v>
      </c>
      <c r="F100" s="198" t="s">
        <v>64</v>
      </c>
      <c r="G100" s="198" t="s">
        <v>64</v>
      </c>
      <c r="H100" s="198" t="s">
        <v>503</v>
      </c>
      <c r="I100" s="198" t="s">
        <v>94</v>
      </c>
      <c r="J100" s="233">
        <v>58497126.436781608</v>
      </c>
      <c r="K100" s="198" t="s">
        <v>71</v>
      </c>
    </row>
    <row r="101" spans="2:11">
      <c r="C101" s="198" t="s">
        <v>458</v>
      </c>
      <c r="D101" s="198" t="s">
        <v>367</v>
      </c>
      <c r="E101" s="198" t="s">
        <v>559</v>
      </c>
      <c r="F101" s="198" t="s">
        <v>64</v>
      </c>
      <c r="G101" s="198" t="s">
        <v>64</v>
      </c>
      <c r="H101" s="198" t="s">
        <v>506</v>
      </c>
      <c r="I101" s="198" t="s">
        <v>94</v>
      </c>
      <c r="J101" s="233">
        <v>41358844.897914067</v>
      </c>
      <c r="K101" s="198" t="s">
        <v>71</v>
      </c>
    </row>
    <row r="102" spans="2:11">
      <c r="C102" s="198" t="s">
        <v>458</v>
      </c>
      <c r="D102" s="198" t="s">
        <v>367</v>
      </c>
      <c r="E102" s="198" t="s">
        <v>559</v>
      </c>
      <c r="F102" s="198" t="s">
        <v>64</v>
      </c>
      <c r="G102" s="198" t="s">
        <v>64</v>
      </c>
      <c r="H102" s="198" t="s">
        <v>504</v>
      </c>
      <c r="I102" s="198" t="s">
        <v>94</v>
      </c>
      <c r="J102" s="233">
        <v>24009153.543765448</v>
      </c>
      <c r="K102" s="198" t="s">
        <v>71</v>
      </c>
    </row>
    <row r="103" spans="2:11">
      <c r="C103" s="198" t="s">
        <v>461</v>
      </c>
      <c r="D103" s="198" t="s">
        <v>367</v>
      </c>
      <c r="E103" s="198" t="s">
        <v>559</v>
      </c>
      <c r="F103" s="198" t="s">
        <v>64</v>
      </c>
      <c r="G103" s="198" t="s">
        <v>64</v>
      </c>
      <c r="H103" s="198" t="s">
        <v>507</v>
      </c>
      <c r="I103" s="198" t="s">
        <v>94</v>
      </c>
      <c r="J103" s="233">
        <v>19301724.137931034</v>
      </c>
      <c r="K103" s="198" t="s">
        <v>71</v>
      </c>
    </row>
    <row r="104" spans="2:11">
      <c r="C104" s="198" t="s">
        <v>394</v>
      </c>
      <c r="D104" s="198" t="s">
        <v>362</v>
      </c>
      <c r="E104" s="198" t="s">
        <v>560</v>
      </c>
      <c r="F104" s="198" t="s">
        <v>64</v>
      </c>
      <c r="G104" s="198" t="s">
        <v>64</v>
      </c>
      <c r="H104" s="198" t="s">
        <v>474</v>
      </c>
      <c r="I104" s="198" t="s">
        <v>94</v>
      </c>
      <c r="J104" s="233">
        <v>700212162</v>
      </c>
      <c r="K104" s="198" t="s">
        <v>71</v>
      </c>
    </row>
    <row r="105" spans="2:11">
      <c r="C105" s="198" t="s">
        <v>436</v>
      </c>
      <c r="D105" s="198" t="s">
        <v>361</v>
      </c>
      <c r="E105" s="198" t="s">
        <v>561</v>
      </c>
      <c r="F105" s="198" t="s">
        <v>71</v>
      </c>
      <c r="G105" s="198" t="s">
        <v>71</v>
      </c>
      <c r="I105" s="198" t="s">
        <v>94</v>
      </c>
      <c r="J105" s="233">
        <v>3827234</v>
      </c>
      <c r="K105" s="198" t="s">
        <v>71</v>
      </c>
    </row>
    <row r="106" spans="2:11">
      <c r="C106" s="198" t="s">
        <v>436</v>
      </c>
      <c r="D106" s="198" t="s">
        <v>361</v>
      </c>
      <c r="E106" s="198" t="s">
        <v>562</v>
      </c>
      <c r="F106" s="198" t="s">
        <v>71</v>
      </c>
      <c r="G106" s="198" t="s">
        <v>71</v>
      </c>
      <c r="I106" s="198" t="s">
        <v>94</v>
      </c>
      <c r="J106" s="233">
        <v>6123587</v>
      </c>
      <c r="K106" s="198" t="s">
        <v>71</v>
      </c>
    </row>
    <row r="107" spans="2:11">
      <c r="C107" s="198" t="s">
        <v>436</v>
      </c>
      <c r="D107" s="198" t="s">
        <v>361</v>
      </c>
      <c r="E107" s="198" t="s">
        <v>563</v>
      </c>
      <c r="F107" s="198" t="s">
        <v>71</v>
      </c>
      <c r="G107" s="198" t="s">
        <v>71</v>
      </c>
      <c r="I107" s="198" t="s">
        <v>94</v>
      </c>
      <c r="J107" s="233">
        <v>2918378</v>
      </c>
      <c r="K107" s="198" t="s">
        <v>71</v>
      </c>
    </row>
    <row r="108" spans="2:11">
      <c r="B108" s="198" t="str">
        <f>VLOOKUP(C108,Companies[],3,FALSE)</f>
        <v>0023896 2G3</v>
      </c>
      <c r="C108" s="198" t="s">
        <v>385</v>
      </c>
      <c r="D108" s="198" t="s">
        <v>366</v>
      </c>
      <c r="E108" s="198" t="s">
        <v>565</v>
      </c>
      <c r="F108" s="198" t="s">
        <v>71</v>
      </c>
      <c r="G108" s="198" t="s">
        <v>71</v>
      </c>
      <c r="I108" s="198" t="s">
        <v>94</v>
      </c>
      <c r="J108" s="233">
        <v>899640</v>
      </c>
      <c r="K108" s="198" t="s">
        <v>71</v>
      </c>
    </row>
    <row r="109" spans="2:11">
      <c r="B109" s="198">
        <f>VLOOKUP(C109,Companies[],3,FALSE)</f>
        <v>16627</v>
      </c>
      <c r="C109" s="198" t="s">
        <v>390</v>
      </c>
      <c r="D109" s="198" t="s">
        <v>360</v>
      </c>
      <c r="E109" s="198" t="s">
        <v>565</v>
      </c>
      <c r="F109" s="198" t="s">
        <v>64</v>
      </c>
      <c r="G109" s="198" t="s">
        <v>64</v>
      </c>
      <c r="H109" s="198" t="s">
        <v>489</v>
      </c>
      <c r="I109" s="198" t="s">
        <v>94</v>
      </c>
      <c r="J109" s="233">
        <v>69448088</v>
      </c>
      <c r="K109" s="198" t="s">
        <v>71</v>
      </c>
    </row>
    <row r="110" spans="2:11">
      <c r="B110" s="198">
        <f>VLOOKUP(C110,Companies[],3,FALSE)</f>
        <v>16627</v>
      </c>
      <c r="C110" s="198" t="s">
        <v>390</v>
      </c>
      <c r="D110" s="198" t="s">
        <v>360</v>
      </c>
      <c r="E110" s="198" t="s">
        <v>565</v>
      </c>
      <c r="F110" s="198" t="s">
        <v>64</v>
      </c>
      <c r="G110" s="198" t="s">
        <v>64</v>
      </c>
      <c r="H110" s="198" t="s">
        <v>487</v>
      </c>
      <c r="I110" s="198" t="s">
        <v>94</v>
      </c>
      <c r="J110" s="233">
        <v>106509412</v>
      </c>
      <c r="K110" s="198" t="s">
        <v>71</v>
      </c>
    </row>
    <row r="111" spans="2:11">
      <c r="B111" s="198">
        <f>VLOOKUP(C111,Companies[],3,FALSE)</f>
        <v>16627</v>
      </c>
      <c r="C111" s="198" t="s">
        <v>390</v>
      </c>
      <c r="D111" s="198" t="s">
        <v>360</v>
      </c>
      <c r="E111" s="198" t="s">
        <v>565</v>
      </c>
      <c r="F111" s="198" t="s">
        <v>64</v>
      </c>
      <c r="G111" s="198" t="s">
        <v>64</v>
      </c>
      <c r="H111" s="198" t="s">
        <v>488</v>
      </c>
      <c r="I111" s="198" t="s">
        <v>94</v>
      </c>
      <c r="J111" s="233">
        <v>49068259</v>
      </c>
      <c r="K111" s="198" t="s">
        <v>71</v>
      </c>
    </row>
    <row r="112" spans="2:11">
      <c r="C112" s="198" t="s">
        <v>398</v>
      </c>
      <c r="D112" s="198" t="s">
        <v>360</v>
      </c>
      <c r="E112" s="198" t="s">
        <v>565</v>
      </c>
      <c r="F112" s="198" t="s">
        <v>71</v>
      </c>
      <c r="G112" s="198" t="s">
        <v>71</v>
      </c>
      <c r="I112" s="198" t="s">
        <v>94</v>
      </c>
      <c r="J112" s="233">
        <v>214964066</v>
      </c>
      <c r="K112" s="198" t="s">
        <v>71</v>
      </c>
    </row>
    <row r="113" spans="2:11">
      <c r="C113" s="198" t="s">
        <v>401</v>
      </c>
      <c r="D113" s="198" t="s">
        <v>360</v>
      </c>
      <c r="E113" s="198" t="s">
        <v>565</v>
      </c>
      <c r="F113" s="198" t="s">
        <v>64</v>
      </c>
      <c r="G113" s="198" t="s">
        <v>64</v>
      </c>
      <c r="H113" s="198" t="s">
        <v>478</v>
      </c>
      <c r="I113" s="198" t="s">
        <v>94</v>
      </c>
      <c r="J113" s="233">
        <v>5008666030</v>
      </c>
      <c r="K113" s="198" t="s">
        <v>71</v>
      </c>
    </row>
    <row r="114" spans="2:11">
      <c r="C114" s="198" t="s">
        <v>405</v>
      </c>
      <c r="D114" s="198" t="s">
        <v>360</v>
      </c>
      <c r="E114" s="198" t="s">
        <v>565</v>
      </c>
      <c r="F114" s="198" t="s">
        <v>64</v>
      </c>
      <c r="G114" s="198" t="s">
        <v>64</v>
      </c>
      <c r="H114" s="198" t="s">
        <v>483</v>
      </c>
      <c r="I114" s="198" t="s">
        <v>94</v>
      </c>
      <c r="J114" s="233">
        <v>93859252</v>
      </c>
      <c r="K114" s="198" t="s">
        <v>71</v>
      </c>
    </row>
    <row r="115" spans="2:11">
      <c r="C115" s="198" t="s">
        <v>412</v>
      </c>
      <c r="D115" s="198" t="s">
        <v>360</v>
      </c>
      <c r="E115" s="198" t="s">
        <v>565</v>
      </c>
      <c r="F115" s="198" t="s">
        <v>64</v>
      </c>
      <c r="G115" s="198" t="s">
        <v>64</v>
      </c>
      <c r="H115" s="198" t="s">
        <v>488</v>
      </c>
      <c r="I115" s="198" t="s">
        <v>94</v>
      </c>
      <c r="J115" s="233">
        <v>102278262</v>
      </c>
      <c r="K115" s="198" t="s">
        <v>71</v>
      </c>
    </row>
    <row r="116" spans="2:11">
      <c r="C116" s="198" t="s">
        <v>416</v>
      </c>
      <c r="D116" s="198" t="s">
        <v>360</v>
      </c>
      <c r="E116" s="198" t="s">
        <v>565</v>
      </c>
      <c r="F116" s="198" t="s">
        <v>64</v>
      </c>
      <c r="G116" s="198" t="s">
        <v>64</v>
      </c>
      <c r="H116" s="198" t="s">
        <v>477</v>
      </c>
      <c r="I116" s="198" t="s">
        <v>94</v>
      </c>
      <c r="J116" s="233">
        <v>8306948342</v>
      </c>
      <c r="K116" s="198" t="s">
        <v>71</v>
      </c>
    </row>
    <row r="117" spans="2:11">
      <c r="C117" s="198" t="s">
        <v>436</v>
      </c>
      <c r="D117" s="198" t="s">
        <v>360</v>
      </c>
      <c r="E117" s="198" t="s">
        <v>565</v>
      </c>
      <c r="F117" s="198" t="s">
        <v>71</v>
      </c>
      <c r="G117" s="198" t="s">
        <v>71</v>
      </c>
      <c r="I117" s="198" t="s">
        <v>94</v>
      </c>
      <c r="J117" s="233">
        <v>498407037</v>
      </c>
      <c r="K117" s="198" t="s">
        <v>71</v>
      </c>
    </row>
    <row r="118" spans="2:11">
      <c r="C118" s="198" t="s">
        <v>439</v>
      </c>
      <c r="D118" s="198" t="s">
        <v>360</v>
      </c>
      <c r="E118" s="198" t="s">
        <v>565</v>
      </c>
      <c r="F118" s="198" t="s">
        <v>64</v>
      </c>
      <c r="G118" s="198" t="s">
        <v>64</v>
      </c>
      <c r="H118" s="198" t="s">
        <v>489</v>
      </c>
      <c r="I118" s="198" t="s">
        <v>94</v>
      </c>
      <c r="J118" s="233">
        <v>447582167</v>
      </c>
      <c r="K118" s="198" t="s">
        <v>71</v>
      </c>
    </row>
    <row r="119" spans="2:11">
      <c r="C119" s="198" t="s">
        <v>439</v>
      </c>
      <c r="D119" s="198" t="s">
        <v>360</v>
      </c>
      <c r="E119" s="198" t="s">
        <v>565</v>
      </c>
      <c r="F119" s="198" t="s">
        <v>64</v>
      </c>
      <c r="G119" s="198" t="s">
        <v>64</v>
      </c>
      <c r="H119" s="198" t="s">
        <v>490</v>
      </c>
      <c r="I119" s="198" t="s">
        <v>94</v>
      </c>
      <c r="J119" s="233">
        <v>76330923</v>
      </c>
      <c r="K119" s="198" t="s">
        <v>71</v>
      </c>
    </row>
    <row r="120" spans="2:11">
      <c r="C120" s="198" t="s">
        <v>436</v>
      </c>
      <c r="D120" s="198" t="s">
        <v>361</v>
      </c>
      <c r="E120" s="198" t="s">
        <v>566</v>
      </c>
      <c r="F120" s="198" t="s">
        <v>71</v>
      </c>
      <c r="G120" s="198" t="s">
        <v>71</v>
      </c>
      <c r="I120" s="198" t="s">
        <v>94</v>
      </c>
      <c r="J120" s="233">
        <v>7654485</v>
      </c>
      <c r="K120" s="198" t="s">
        <v>71</v>
      </c>
    </row>
    <row r="121" spans="2:11">
      <c r="B121" s="198">
        <f>VLOOKUP(C121,Companies[],3,FALSE)</f>
        <v>16627</v>
      </c>
      <c r="C121" s="198" t="s">
        <v>390</v>
      </c>
      <c r="D121" s="198" t="s">
        <v>360</v>
      </c>
      <c r="E121" s="198" t="s">
        <v>567</v>
      </c>
      <c r="F121" s="198" t="s">
        <v>64</v>
      </c>
      <c r="G121" s="198" t="s">
        <v>64</v>
      </c>
      <c r="H121" s="198" t="s">
        <v>489</v>
      </c>
      <c r="I121" s="198" t="s">
        <v>94</v>
      </c>
      <c r="J121" s="233">
        <v>1500000</v>
      </c>
      <c r="K121" s="198" t="s">
        <v>71</v>
      </c>
    </row>
    <row r="122" spans="2:11">
      <c r="C122" s="198" t="s">
        <v>394</v>
      </c>
      <c r="D122" s="198" t="s">
        <v>360</v>
      </c>
      <c r="E122" s="198" t="s">
        <v>567</v>
      </c>
      <c r="F122" s="198" t="s">
        <v>64</v>
      </c>
      <c r="G122" s="198" t="s">
        <v>64</v>
      </c>
      <c r="H122" s="198" t="s">
        <v>474</v>
      </c>
      <c r="I122" s="198" t="s">
        <v>94</v>
      </c>
      <c r="J122" s="233">
        <v>9540850131</v>
      </c>
      <c r="K122" s="198" t="s">
        <v>71</v>
      </c>
    </row>
    <row r="123" spans="2:11">
      <c r="C123" s="198" t="s">
        <v>401</v>
      </c>
      <c r="D123" s="198" t="s">
        <v>360</v>
      </c>
      <c r="E123" s="198" t="s">
        <v>567</v>
      </c>
      <c r="F123" s="198" t="s">
        <v>64</v>
      </c>
      <c r="G123" s="198" t="s">
        <v>64</v>
      </c>
      <c r="H123" s="198" t="s">
        <v>478</v>
      </c>
      <c r="I123" s="198" t="s">
        <v>94</v>
      </c>
      <c r="J123" s="233">
        <v>638000000</v>
      </c>
      <c r="K123" s="198" t="s">
        <v>71</v>
      </c>
    </row>
    <row r="124" spans="2:11">
      <c r="C124" s="198" t="s">
        <v>420</v>
      </c>
      <c r="D124" s="198" t="s">
        <v>360</v>
      </c>
      <c r="E124" s="198" t="s">
        <v>567</v>
      </c>
      <c r="F124" s="198" t="s">
        <v>64</v>
      </c>
      <c r="G124" s="198" t="s">
        <v>64</v>
      </c>
      <c r="H124" s="198" t="s">
        <v>482</v>
      </c>
      <c r="I124" s="198" t="s">
        <v>94</v>
      </c>
      <c r="J124" s="233">
        <v>3997950</v>
      </c>
      <c r="K124" s="198" t="s">
        <v>71</v>
      </c>
    </row>
    <row r="125" spans="2:11">
      <c r="C125" s="198" t="s">
        <v>425</v>
      </c>
      <c r="D125" s="198" t="s">
        <v>360</v>
      </c>
      <c r="E125" s="198" t="s">
        <v>567</v>
      </c>
      <c r="F125" s="198" t="s">
        <v>64</v>
      </c>
      <c r="G125" s="198" t="s">
        <v>64</v>
      </c>
      <c r="H125" s="198" t="s">
        <v>493</v>
      </c>
      <c r="I125" s="198" t="s">
        <v>94</v>
      </c>
      <c r="J125" s="233">
        <v>37395000</v>
      </c>
      <c r="K125" s="198" t="s">
        <v>71</v>
      </c>
    </row>
    <row r="126" spans="2:11">
      <c r="C126" s="198" t="s">
        <v>427</v>
      </c>
      <c r="D126" s="198" t="s">
        <v>360</v>
      </c>
      <c r="E126" s="198" t="s">
        <v>567</v>
      </c>
      <c r="F126" s="198" t="s">
        <v>64</v>
      </c>
      <c r="G126" s="198" t="s">
        <v>64</v>
      </c>
      <c r="H126" s="198" t="s">
        <v>474</v>
      </c>
      <c r="I126" s="198" t="s">
        <v>94</v>
      </c>
      <c r="J126" s="233">
        <v>3145000</v>
      </c>
      <c r="K126" s="198" t="s">
        <v>71</v>
      </c>
    </row>
    <row r="127" spans="2:11">
      <c r="C127" s="198" t="s">
        <v>429</v>
      </c>
      <c r="D127" s="198" t="s">
        <v>360</v>
      </c>
      <c r="E127" s="198" t="s">
        <v>567</v>
      </c>
      <c r="F127" s="198" t="s">
        <v>64</v>
      </c>
      <c r="G127" s="198" t="s">
        <v>64</v>
      </c>
      <c r="H127" s="198" t="s">
        <v>481</v>
      </c>
      <c r="I127" s="198" t="s">
        <v>94</v>
      </c>
      <c r="J127" s="233">
        <v>25000000</v>
      </c>
      <c r="K127" s="198" t="s">
        <v>71</v>
      </c>
    </row>
    <row r="128" spans="2:11">
      <c r="C128" s="198" t="s">
        <v>394</v>
      </c>
      <c r="D128" s="198" t="s">
        <v>358</v>
      </c>
      <c r="E128" s="198" t="s">
        <v>568</v>
      </c>
      <c r="F128" s="198" t="s">
        <v>64</v>
      </c>
      <c r="G128" s="198" t="s">
        <v>64</v>
      </c>
      <c r="H128" s="198" t="s">
        <v>474</v>
      </c>
      <c r="I128" s="198" t="s">
        <v>94</v>
      </c>
      <c r="J128" s="233">
        <v>50000000</v>
      </c>
      <c r="K128" s="198" t="s">
        <v>71</v>
      </c>
    </row>
    <row r="129" spans="3:11">
      <c r="C129" s="198" t="s">
        <v>398</v>
      </c>
      <c r="D129" s="198" t="s">
        <v>358</v>
      </c>
      <c r="E129" s="198" t="s">
        <v>568</v>
      </c>
      <c r="F129" s="198" t="s">
        <v>71</v>
      </c>
      <c r="G129" s="198" t="s">
        <v>71</v>
      </c>
      <c r="I129" s="198" t="s">
        <v>94</v>
      </c>
      <c r="J129" s="233">
        <v>1500900000</v>
      </c>
      <c r="K129" s="198" t="s">
        <v>71</v>
      </c>
    </row>
    <row r="130" spans="3:11">
      <c r="C130" s="198" t="s">
        <v>412</v>
      </c>
      <c r="D130" s="198" t="s">
        <v>358</v>
      </c>
      <c r="E130" s="198" t="s">
        <v>568</v>
      </c>
      <c r="F130" s="198" t="s">
        <v>64</v>
      </c>
      <c r="G130" s="198" t="s">
        <v>64</v>
      </c>
      <c r="H130" s="198" t="s">
        <v>488</v>
      </c>
      <c r="I130" s="198" t="s">
        <v>94</v>
      </c>
      <c r="J130" s="233">
        <v>650021100</v>
      </c>
      <c r="K130" s="198" t="s">
        <v>71</v>
      </c>
    </row>
    <row r="131" spans="3:11">
      <c r="C131" s="198" t="s">
        <v>432</v>
      </c>
      <c r="D131" s="198" t="s">
        <v>358</v>
      </c>
      <c r="E131" s="198" t="s">
        <v>568</v>
      </c>
      <c r="F131" s="198" t="s">
        <v>71</v>
      </c>
      <c r="G131" s="198" t="s">
        <v>71</v>
      </c>
      <c r="I131" s="198" t="s">
        <v>94</v>
      </c>
      <c r="J131" s="233">
        <v>4000000</v>
      </c>
      <c r="K131" s="198" t="s">
        <v>71</v>
      </c>
    </row>
    <row r="132" spans="3:11">
      <c r="C132" s="198" t="s">
        <v>456</v>
      </c>
      <c r="D132" s="198" t="s">
        <v>358</v>
      </c>
      <c r="E132" s="198" t="s">
        <v>568</v>
      </c>
      <c r="F132" s="198" t="s">
        <v>64</v>
      </c>
      <c r="G132" s="198" t="s">
        <v>64</v>
      </c>
      <c r="H132" s="198" t="s">
        <v>503</v>
      </c>
      <c r="I132" s="198" t="s">
        <v>94</v>
      </c>
      <c r="J132" s="233">
        <v>1038445211</v>
      </c>
      <c r="K132" s="198" t="s">
        <v>71</v>
      </c>
    </row>
    <row r="133" spans="3:11">
      <c r="C133" s="198" t="s">
        <v>458</v>
      </c>
      <c r="D133" s="198" t="s">
        <v>358</v>
      </c>
      <c r="E133" s="198" t="s">
        <v>568</v>
      </c>
      <c r="F133" s="198" t="s">
        <v>71</v>
      </c>
      <c r="G133" s="198" t="s">
        <v>71</v>
      </c>
      <c r="I133" s="198" t="s">
        <v>94</v>
      </c>
      <c r="J133" s="233">
        <v>2431242457</v>
      </c>
      <c r="K133" s="198" t="s">
        <v>71</v>
      </c>
    </row>
    <row r="134" spans="3:11">
      <c r="C134" s="198" t="s">
        <v>458</v>
      </c>
      <c r="D134" s="198" t="s">
        <v>358</v>
      </c>
      <c r="E134" s="198" t="s">
        <v>568</v>
      </c>
      <c r="F134" s="198" t="s">
        <v>64</v>
      </c>
      <c r="G134" s="198" t="s">
        <v>64</v>
      </c>
      <c r="H134" s="198" t="s">
        <v>505</v>
      </c>
      <c r="I134" s="198" t="s">
        <v>94</v>
      </c>
      <c r="J134" s="233">
        <v>2104729374</v>
      </c>
      <c r="K134" s="198" t="s">
        <v>71</v>
      </c>
    </row>
    <row r="135" spans="3:11">
      <c r="C135" s="198" t="s">
        <v>447</v>
      </c>
      <c r="D135" s="198" t="s">
        <v>362</v>
      </c>
      <c r="E135" s="198" t="s">
        <v>569</v>
      </c>
      <c r="F135" s="198" t="s">
        <v>64</v>
      </c>
      <c r="G135" s="198" t="s">
        <v>64</v>
      </c>
      <c r="H135" s="198" t="s">
        <v>498</v>
      </c>
      <c r="I135" s="198" t="s">
        <v>94</v>
      </c>
      <c r="J135" s="233">
        <v>243960735</v>
      </c>
      <c r="K135" s="198" t="s">
        <v>71</v>
      </c>
    </row>
    <row r="136" spans="3:11">
      <c r="C136" s="198" t="s">
        <v>447</v>
      </c>
      <c r="D136" s="198" t="s">
        <v>367</v>
      </c>
      <c r="E136" s="198" t="s">
        <v>570</v>
      </c>
      <c r="F136" s="198" t="s">
        <v>64</v>
      </c>
      <c r="G136" s="198" t="s">
        <v>64</v>
      </c>
      <c r="H136" s="198" t="s">
        <v>498</v>
      </c>
      <c r="I136" s="198" t="s">
        <v>94</v>
      </c>
      <c r="J136" s="233">
        <v>171894738</v>
      </c>
      <c r="K136" s="198" t="s">
        <v>71</v>
      </c>
    </row>
    <row r="137" spans="3:11">
      <c r="C137" s="198" t="s">
        <v>422</v>
      </c>
      <c r="D137" s="198" t="s">
        <v>364</v>
      </c>
      <c r="E137" s="198" t="s">
        <v>572</v>
      </c>
      <c r="F137" s="198" t="s">
        <v>64</v>
      </c>
      <c r="G137" s="198" t="s">
        <v>64</v>
      </c>
      <c r="H137" s="198" t="s">
        <v>493</v>
      </c>
      <c r="I137" s="198" t="s">
        <v>94</v>
      </c>
      <c r="J137" s="233">
        <v>70426190</v>
      </c>
      <c r="K137" s="198" t="s">
        <v>71</v>
      </c>
    </row>
    <row r="138" spans="3:11">
      <c r="C138" s="198" t="s">
        <v>436</v>
      </c>
      <c r="D138" s="198" t="s">
        <v>361</v>
      </c>
      <c r="E138" s="198" t="s">
        <v>573</v>
      </c>
      <c r="F138" s="198" t="s">
        <v>71</v>
      </c>
      <c r="G138" s="198" t="s">
        <v>71</v>
      </c>
      <c r="I138" s="198" t="s">
        <v>94</v>
      </c>
      <c r="J138" s="233">
        <v>5928750</v>
      </c>
      <c r="K138" s="198" t="s">
        <v>71</v>
      </c>
    </row>
    <row r="139" spans="3:11">
      <c r="C139" s="198" t="s">
        <v>390</v>
      </c>
      <c r="D139" s="198" t="s">
        <v>358</v>
      </c>
      <c r="E139" s="198" t="s">
        <v>576</v>
      </c>
      <c r="F139" s="198" t="s">
        <v>71</v>
      </c>
      <c r="G139" s="198" t="s">
        <v>71</v>
      </c>
      <c r="I139" s="198" t="s">
        <v>94</v>
      </c>
      <c r="J139" s="233">
        <v>7545522822</v>
      </c>
      <c r="K139" s="198" t="s">
        <v>71</v>
      </c>
    </row>
    <row r="140" spans="3:11">
      <c r="C140" s="198" t="s">
        <v>398</v>
      </c>
      <c r="D140" s="198" t="s">
        <v>358</v>
      </c>
      <c r="E140" s="198" t="s">
        <v>576</v>
      </c>
      <c r="F140" s="198" t="s">
        <v>71</v>
      </c>
      <c r="G140" s="198" t="s">
        <v>71</v>
      </c>
      <c r="I140" s="198" t="s">
        <v>94</v>
      </c>
      <c r="J140" s="233">
        <v>2009697740</v>
      </c>
      <c r="K140" s="198" t="s">
        <v>71</v>
      </c>
    </row>
    <row r="141" spans="3:11">
      <c r="C141" s="198" t="s">
        <v>412</v>
      </c>
      <c r="D141" s="198" t="s">
        <v>358</v>
      </c>
      <c r="E141" s="198" t="s">
        <v>576</v>
      </c>
      <c r="F141" s="198" t="s">
        <v>64</v>
      </c>
      <c r="G141" s="198" t="s">
        <v>64</v>
      </c>
      <c r="H141" s="198" t="s">
        <v>488</v>
      </c>
      <c r="I141" s="198" t="s">
        <v>94</v>
      </c>
      <c r="J141" s="233">
        <v>3611215403</v>
      </c>
      <c r="K141" s="198" t="s">
        <v>71</v>
      </c>
    </row>
    <row r="142" spans="3:11">
      <c r="C142" s="198" t="s">
        <v>390</v>
      </c>
      <c r="D142" s="198" t="s">
        <v>364</v>
      </c>
      <c r="E142" s="198" t="s">
        <v>577</v>
      </c>
      <c r="F142" s="198" t="s">
        <v>71</v>
      </c>
      <c r="G142" s="198" t="s">
        <v>71</v>
      </c>
      <c r="I142" s="198" t="s">
        <v>94</v>
      </c>
      <c r="J142" s="233">
        <v>9413650</v>
      </c>
      <c r="K142" s="198" t="s">
        <v>71</v>
      </c>
    </row>
    <row r="143" spans="3:11">
      <c r="C143" s="198" t="s">
        <v>394</v>
      </c>
      <c r="D143" s="198" t="s">
        <v>364</v>
      </c>
      <c r="E143" s="198" t="s">
        <v>577</v>
      </c>
      <c r="F143" s="198" t="s">
        <v>64</v>
      </c>
      <c r="G143" s="198" t="s">
        <v>64</v>
      </c>
      <c r="H143" s="198" t="s">
        <v>474</v>
      </c>
      <c r="I143" s="198" t="s">
        <v>94</v>
      </c>
      <c r="J143" s="233">
        <v>101670000</v>
      </c>
      <c r="K143" s="198" t="s">
        <v>71</v>
      </c>
    </row>
    <row r="144" spans="3:11">
      <c r="C144" s="198" t="s">
        <v>398</v>
      </c>
      <c r="D144" s="198" t="s">
        <v>364</v>
      </c>
      <c r="E144" s="198" t="s">
        <v>577</v>
      </c>
      <c r="F144" s="198" t="s">
        <v>71</v>
      </c>
      <c r="G144" s="198" t="s">
        <v>71</v>
      </c>
      <c r="I144" s="198" t="s">
        <v>94</v>
      </c>
      <c r="J144" s="233">
        <v>25405275</v>
      </c>
      <c r="K144" s="198" t="s">
        <v>71</v>
      </c>
    </row>
    <row r="145" spans="2:11">
      <c r="C145" s="198" t="s">
        <v>401</v>
      </c>
      <c r="D145" s="198" t="s">
        <v>364</v>
      </c>
      <c r="E145" s="198" t="s">
        <v>577</v>
      </c>
      <c r="F145" s="198" t="s">
        <v>64</v>
      </c>
      <c r="G145" s="198" t="s">
        <v>64</v>
      </c>
      <c r="H145" s="198" t="s">
        <v>478</v>
      </c>
      <c r="I145" s="198" t="s">
        <v>94</v>
      </c>
      <c r="J145" s="233">
        <v>19472400</v>
      </c>
      <c r="K145" s="198" t="s">
        <v>71</v>
      </c>
    </row>
    <row r="146" spans="2:11">
      <c r="C146" s="198" t="s">
        <v>420</v>
      </c>
      <c r="D146" s="198" t="s">
        <v>364</v>
      </c>
      <c r="E146" s="198" t="s">
        <v>577</v>
      </c>
      <c r="F146" s="198" t="s">
        <v>64</v>
      </c>
      <c r="G146" s="198" t="s">
        <v>64</v>
      </c>
      <c r="H146" s="198" t="s">
        <v>482</v>
      </c>
      <c r="I146" s="198" t="s">
        <v>94</v>
      </c>
      <c r="J146" s="233">
        <v>2064000</v>
      </c>
      <c r="K146" s="198" t="s">
        <v>71</v>
      </c>
    </row>
    <row r="147" spans="2:11">
      <c r="C147" s="198" t="s">
        <v>436</v>
      </c>
      <c r="D147" s="198" t="s">
        <v>364</v>
      </c>
      <c r="E147" s="198" t="s">
        <v>577</v>
      </c>
      <c r="F147" s="198" t="s">
        <v>71</v>
      </c>
      <c r="G147" s="198" t="s">
        <v>71</v>
      </c>
      <c r="I147" s="198" t="s">
        <v>94</v>
      </c>
      <c r="J147" s="233">
        <v>2637950</v>
      </c>
      <c r="K147" s="198" t="s">
        <v>71</v>
      </c>
    </row>
    <row r="148" spans="2:11">
      <c r="C148" s="198" t="s">
        <v>436</v>
      </c>
      <c r="D148" s="198" t="s">
        <v>361</v>
      </c>
      <c r="E148" s="198" t="s">
        <v>578</v>
      </c>
      <c r="F148" s="198" t="s">
        <v>71</v>
      </c>
      <c r="G148" s="198" t="s">
        <v>71</v>
      </c>
      <c r="I148" s="198" t="s">
        <v>94</v>
      </c>
      <c r="J148" s="233">
        <v>144072387</v>
      </c>
      <c r="K148" s="198" t="s">
        <v>71</v>
      </c>
    </row>
    <row r="149" spans="2:11">
      <c r="B149" s="198">
        <f>VLOOKUP(C149,Companies[],3,FALSE)</f>
        <v>16627</v>
      </c>
      <c r="C149" s="198" t="s">
        <v>390</v>
      </c>
      <c r="D149" s="198" t="s">
        <v>358</v>
      </c>
      <c r="E149" s="198" t="s">
        <v>579</v>
      </c>
      <c r="F149" s="198" t="s">
        <v>71</v>
      </c>
      <c r="G149" s="198" t="s">
        <v>71</v>
      </c>
      <c r="I149" s="198" t="s">
        <v>94</v>
      </c>
      <c r="J149" s="233">
        <v>17922176046</v>
      </c>
      <c r="K149" s="198" t="s">
        <v>71</v>
      </c>
    </row>
    <row r="150" spans="2:11">
      <c r="C150" s="198" t="s">
        <v>394</v>
      </c>
      <c r="D150" s="198" t="s">
        <v>358</v>
      </c>
      <c r="E150" s="198" t="s">
        <v>579</v>
      </c>
      <c r="F150" s="198" t="s">
        <v>64</v>
      </c>
      <c r="G150" s="198" t="s">
        <v>64</v>
      </c>
      <c r="H150" s="198" t="s">
        <v>474</v>
      </c>
      <c r="I150" s="198" t="s">
        <v>94</v>
      </c>
      <c r="J150" s="233">
        <v>246288354</v>
      </c>
      <c r="K150" s="198" t="s">
        <v>71</v>
      </c>
    </row>
    <row r="151" spans="2:11">
      <c r="C151" s="198" t="s">
        <v>398</v>
      </c>
      <c r="D151" s="198" t="s">
        <v>358</v>
      </c>
      <c r="E151" s="198" t="s">
        <v>579</v>
      </c>
      <c r="F151" s="198" t="s">
        <v>71</v>
      </c>
      <c r="G151" s="198" t="s">
        <v>71</v>
      </c>
      <c r="I151" s="198" t="s">
        <v>94</v>
      </c>
      <c r="J151" s="233">
        <v>5396325342</v>
      </c>
      <c r="K151" s="198" t="s">
        <v>71</v>
      </c>
    </row>
    <row r="152" spans="2:11">
      <c r="C152" s="198" t="s">
        <v>401</v>
      </c>
      <c r="D152" s="198" t="s">
        <v>358</v>
      </c>
      <c r="E152" s="198" t="s">
        <v>579</v>
      </c>
      <c r="F152" s="198" t="s">
        <v>64</v>
      </c>
      <c r="G152" s="198" t="s">
        <v>64</v>
      </c>
      <c r="H152" s="198" t="s">
        <v>478</v>
      </c>
      <c r="I152" s="198" t="s">
        <v>94</v>
      </c>
      <c r="J152" s="233">
        <v>5508274</v>
      </c>
      <c r="K152" s="198" t="s">
        <v>71</v>
      </c>
    </row>
    <row r="153" spans="2:11">
      <c r="C153" s="198" t="s">
        <v>405</v>
      </c>
      <c r="D153" s="198" t="s">
        <v>358</v>
      </c>
      <c r="E153" s="198" t="s">
        <v>579</v>
      </c>
      <c r="F153" s="198" t="s">
        <v>64</v>
      </c>
      <c r="G153" s="198" t="s">
        <v>64</v>
      </c>
      <c r="H153" s="198" t="s">
        <v>483</v>
      </c>
      <c r="I153" s="198" t="s">
        <v>94</v>
      </c>
      <c r="J153" s="233">
        <v>58262591</v>
      </c>
      <c r="K153" s="198" t="s">
        <v>71</v>
      </c>
    </row>
    <row r="154" spans="2:11">
      <c r="C154" s="198" t="s">
        <v>408</v>
      </c>
      <c r="D154" s="198" t="s">
        <v>358</v>
      </c>
      <c r="E154" s="198" t="s">
        <v>579</v>
      </c>
      <c r="F154" s="198" t="s">
        <v>64</v>
      </c>
      <c r="G154" s="198" t="s">
        <v>64</v>
      </c>
      <c r="H154" s="198" t="s">
        <v>479</v>
      </c>
      <c r="I154" s="198" t="s">
        <v>94</v>
      </c>
      <c r="J154" s="233">
        <v>558753168</v>
      </c>
      <c r="K154" s="198" t="s">
        <v>71</v>
      </c>
    </row>
    <row r="155" spans="2:11">
      <c r="C155" s="198" t="s">
        <v>412</v>
      </c>
      <c r="D155" s="198" t="s">
        <v>358</v>
      </c>
      <c r="E155" s="198" t="s">
        <v>579</v>
      </c>
      <c r="F155" s="198" t="s">
        <v>64</v>
      </c>
      <c r="G155" s="198" t="s">
        <v>64</v>
      </c>
      <c r="H155" s="198" t="s">
        <v>488</v>
      </c>
      <c r="I155" s="198" t="s">
        <v>94</v>
      </c>
      <c r="J155" s="233">
        <v>5033551012</v>
      </c>
      <c r="K155" s="198" t="s">
        <v>71</v>
      </c>
    </row>
    <row r="156" spans="2:11">
      <c r="C156" s="198" t="s">
        <v>420</v>
      </c>
      <c r="D156" s="198" t="s">
        <v>358</v>
      </c>
      <c r="E156" s="198" t="s">
        <v>579</v>
      </c>
      <c r="F156" s="198" t="s">
        <v>64</v>
      </c>
      <c r="G156" s="198" t="s">
        <v>64</v>
      </c>
      <c r="H156" s="198" t="s">
        <v>482</v>
      </c>
      <c r="I156" s="198" t="s">
        <v>94</v>
      </c>
      <c r="J156" s="233">
        <v>178200</v>
      </c>
      <c r="K156" s="198" t="s">
        <v>71</v>
      </c>
    </row>
    <row r="157" spans="2:11">
      <c r="C157" s="198" t="s">
        <v>429</v>
      </c>
      <c r="D157" s="198" t="s">
        <v>358</v>
      </c>
      <c r="E157" s="198" t="s">
        <v>579</v>
      </c>
      <c r="F157" s="198" t="s">
        <v>64</v>
      </c>
      <c r="G157" s="198" t="s">
        <v>64</v>
      </c>
      <c r="H157" s="198" t="s">
        <v>481</v>
      </c>
      <c r="I157" s="198" t="s">
        <v>94</v>
      </c>
      <c r="J157" s="233">
        <v>17700586</v>
      </c>
      <c r="K157" s="198" t="s">
        <v>71</v>
      </c>
    </row>
    <row r="158" spans="2:11">
      <c r="C158" s="198" t="s">
        <v>432</v>
      </c>
      <c r="D158" s="198" t="s">
        <v>358</v>
      </c>
      <c r="E158" s="198" t="s">
        <v>579</v>
      </c>
      <c r="F158" s="198" t="s">
        <v>71</v>
      </c>
      <c r="G158" s="198" t="s">
        <v>71</v>
      </c>
      <c r="I158" s="198" t="s">
        <v>94</v>
      </c>
      <c r="J158" s="233">
        <v>16077</v>
      </c>
      <c r="K158" s="198" t="s">
        <v>71</v>
      </c>
    </row>
    <row r="159" spans="2:11">
      <c r="C159" s="198" t="s">
        <v>436</v>
      </c>
      <c r="D159" s="198" t="s">
        <v>358</v>
      </c>
      <c r="E159" s="198" t="s">
        <v>579</v>
      </c>
      <c r="F159" s="198" t="s">
        <v>71</v>
      </c>
      <c r="G159" s="198" t="s">
        <v>71</v>
      </c>
      <c r="I159" s="198" t="s">
        <v>94</v>
      </c>
      <c r="J159" s="233">
        <v>433472918</v>
      </c>
      <c r="K159" s="198" t="s">
        <v>71</v>
      </c>
    </row>
    <row r="160" spans="2:11">
      <c r="C160" s="198" t="s">
        <v>439</v>
      </c>
      <c r="D160" s="198" t="s">
        <v>358</v>
      </c>
      <c r="E160" s="198" t="s">
        <v>579</v>
      </c>
      <c r="F160" s="198" t="s">
        <v>64</v>
      </c>
      <c r="G160" s="198" t="s">
        <v>64</v>
      </c>
      <c r="H160" s="198" t="s">
        <v>489</v>
      </c>
      <c r="I160" s="198" t="s">
        <v>94</v>
      </c>
      <c r="J160" s="233">
        <v>465342950</v>
      </c>
      <c r="K160" s="198" t="s">
        <v>71</v>
      </c>
    </row>
    <row r="161" spans="3:11">
      <c r="C161" s="198" t="s">
        <v>439</v>
      </c>
      <c r="D161" s="198" t="s">
        <v>358</v>
      </c>
      <c r="E161" s="198" t="s">
        <v>579</v>
      </c>
      <c r="F161" s="198" t="s">
        <v>64</v>
      </c>
      <c r="G161" s="198" t="s">
        <v>64</v>
      </c>
      <c r="H161" s="198" t="s">
        <v>490</v>
      </c>
      <c r="I161" s="198" t="s">
        <v>94</v>
      </c>
      <c r="J161" s="233">
        <v>112899605</v>
      </c>
      <c r="K161" s="198" t="s">
        <v>71</v>
      </c>
    </row>
    <row r="162" spans="3:11">
      <c r="C162" s="198" t="s">
        <v>443</v>
      </c>
      <c r="D162" s="198" t="s">
        <v>358</v>
      </c>
      <c r="E162" s="198" t="s">
        <v>579</v>
      </c>
      <c r="F162" s="198" t="s">
        <v>71</v>
      </c>
      <c r="G162" s="198" t="s">
        <v>71</v>
      </c>
      <c r="I162" s="198" t="s">
        <v>94</v>
      </c>
      <c r="J162" s="233">
        <v>91186363</v>
      </c>
      <c r="K162" s="198" t="s">
        <v>71</v>
      </c>
    </row>
    <row r="163" spans="3:11">
      <c r="C163" s="198" t="s">
        <v>390</v>
      </c>
      <c r="D163" s="198" t="s">
        <v>358</v>
      </c>
      <c r="E163" s="198" t="s">
        <v>580</v>
      </c>
      <c r="F163" s="198" t="s">
        <v>71</v>
      </c>
      <c r="G163" s="198" t="s">
        <v>71</v>
      </c>
      <c r="I163" s="198" t="s">
        <v>94</v>
      </c>
      <c r="J163" s="233">
        <v>2749055460</v>
      </c>
      <c r="K163" s="198" t="s">
        <v>71</v>
      </c>
    </row>
    <row r="164" spans="3:11">
      <c r="C164" s="198" t="s">
        <v>398</v>
      </c>
      <c r="D164" s="198" t="s">
        <v>358</v>
      </c>
      <c r="E164" s="198" t="s">
        <v>580</v>
      </c>
      <c r="F164" s="198" t="s">
        <v>71</v>
      </c>
      <c r="G164" s="198" t="s">
        <v>71</v>
      </c>
      <c r="I164" s="198" t="s">
        <v>94</v>
      </c>
      <c r="J164" s="233">
        <v>3536206665</v>
      </c>
      <c r="K164" s="198" t="s">
        <v>71</v>
      </c>
    </row>
    <row r="165" spans="3:11">
      <c r="C165" s="198" t="s">
        <v>412</v>
      </c>
      <c r="D165" s="198" t="s">
        <v>358</v>
      </c>
      <c r="E165" s="198" t="s">
        <v>580</v>
      </c>
      <c r="F165" s="198" t="s">
        <v>64</v>
      </c>
      <c r="G165" s="198" t="s">
        <v>64</v>
      </c>
      <c r="H165" s="198" t="s">
        <v>488</v>
      </c>
      <c r="I165" s="198" t="s">
        <v>94</v>
      </c>
      <c r="J165" s="233">
        <v>1271491480</v>
      </c>
      <c r="K165" s="198" t="s">
        <v>71</v>
      </c>
    </row>
    <row r="166" spans="3:11">
      <c r="C166" s="198" t="s">
        <v>422</v>
      </c>
      <c r="D166" s="198" t="s">
        <v>363</v>
      </c>
      <c r="E166" s="198" t="s">
        <v>581</v>
      </c>
      <c r="F166" s="198" t="s">
        <v>64</v>
      </c>
      <c r="G166" s="198" t="s">
        <v>64</v>
      </c>
      <c r="H166" s="198" t="s">
        <v>493</v>
      </c>
      <c r="I166" s="198" t="s">
        <v>94</v>
      </c>
      <c r="J166" s="233">
        <v>8022000</v>
      </c>
      <c r="K166" s="198" t="s">
        <v>71</v>
      </c>
    </row>
    <row r="167" spans="3:11">
      <c r="C167" s="198" t="s">
        <v>427</v>
      </c>
      <c r="D167" s="198" t="s">
        <v>363</v>
      </c>
      <c r="E167" s="198" t="s">
        <v>581</v>
      </c>
      <c r="F167" s="198" t="s">
        <v>64</v>
      </c>
      <c r="G167" s="198" t="s">
        <v>64</v>
      </c>
      <c r="H167" s="198" t="s">
        <v>474</v>
      </c>
      <c r="I167" s="198" t="s">
        <v>94</v>
      </c>
      <c r="J167" s="233">
        <v>242673664</v>
      </c>
      <c r="K167" s="198" t="s">
        <v>71</v>
      </c>
    </row>
    <row r="168" spans="3:11" ht="14.45" thickBot="1">
      <c r="G168" s="213"/>
    </row>
    <row r="169" spans="3:11" ht="16.5" thickBot="1">
      <c r="G169" s="213"/>
      <c r="I169" s="215" t="s">
        <v>582</v>
      </c>
      <c r="J169" s="216"/>
      <c r="K169" s="234">
        <f>SUMIF(Table10[Devise de déclaration],"USD",Table10[Valeur de revenus])+(IFERROR(SUMIF(Table10[Devise de déclaration],"&lt;&gt;USD",Table10[Valeur de revenus])/'Partie 1 - Présentation'!$E$51,0))</f>
        <v>246119216.52219597</v>
      </c>
    </row>
    <row r="170" spans="3:11" ht="16.5" thickBot="1">
      <c r="G170" s="213"/>
      <c r="I170" s="216"/>
      <c r="J170" s="278"/>
      <c r="K170" s="279"/>
    </row>
    <row r="171" spans="3:11" ht="16.5" thickBot="1">
      <c r="G171" s="213"/>
      <c r="I171" s="215" t="str">
        <f>"Total en "&amp;'Partie 1 - Présentation'!$E$50</f>
        <v>Total en XOF</v>
      </c>
      <c r="J171" s="216"/>
      <c r="K171" s="234">
        <f>IF('Partie 1 - Présentation'!$E$50="USD",0,SUMIF(Table10[Devise de déclaration],'Partie 1 - Présentation'!$E$50,Table10[Valeur de revenus]))+(IFERROR(SUMIF(Table10[Devise de déclaration],"USD",Table10[Valeur de revenus])*'Partie 1 - Présentation'!$E$51,0))</f>
        <v>141447174927.47125</v>
      </c>
    </row>
    <row r="172" spans="3:11" ht="15.95">
      <c r="G172" s="213"/>
      <c r="I172" s="278"/>
      <c r="J172" s="278"/>
      <c r="K172" s="279"/>
    </row>
    <row r="174" spans="3:11" ht="22.5">
      <c r="C174" s="217" t="s">
        <v>583</v>
      </c>
      <c r="D174" s="212"/>
      <c r="E174" s="212"/>
      <c r="F174" s="212"/>
      <c r="G174" s="212"/>
      <c r="H174" s="212"/>
      <c r="I174" s="212"/>
      <c r="J174" s="212"/>
      <c r="K174" s="212"/>
    </row>
    <row r="175" spans="3:11">
      <c r="C175" s="218" t="s">
        <v>618</v>
      </c>
      <c r="D175" s="219"/>
      <c r="E175" s="219"/>
      <c r="F175" s="219"/>
      <c r="G175" s="220"/>
      <c r="H175" s="219"/>
      <c r="I175" s="219"/>
      <c r="J175" s="219"/>
      <c r="K175" s="219"/>
    </row>
    <row r="176" spans="3:11">
      <c r="C176" s="218"/>
      <c r="D176" s="219"/>
      <c r="E176" s="219"/>
      <c r="F176" s="219"/>
      <c r="G176" s="220"/>
      <c r="H176" s="219"/>
      <c r="I176" s="219"/>
      <c r="J176" s="219"/>
      <c r="K176" s="219"/>
    </row>
    <row r="177" spans="3:11">
      <c r="C177" s="219" t="s">
        <v>585</v>
      </c>
      <c r="D177" s="313"/>
      <c r="E177" s="313"/>
      <c r="F177" s="313"/>
      <c r="G177" s="313"/>
      <c r="H177" s="313"/>
      <c r="I177" s="313"/>
      <c r="J177" s="313"/>
      <c r="K177" s="313"/>
    </row>
    <row r="178" spans="3:11">
      <c r="C178" s="313"/>
      <c r="D178" s="313"/>
      <c r="E178" s="313"/>
      <c r="F178" s="313"/>
      <c r="G178" s="313"/>
      <c r="H178" s="313"/>
      <c r="I178" s="313"/>
      <c r="J178" s="313"/>
      <c r="K178" s="313"/>
    </row>
    <row r="179" spans="3:11">
      <c r="C179" s="314" t="s">
        <v>385</v>
      </c>
      <c r="D179" s="314" t="s">
        <v>361</v>
      </c>
      <c r="E179" s="318" t="s">
        <v>588</v>
      </c>
      <c r="F179" s="314" t="s">
        <v>71</v>
      </c>
      <c r="G179" s="314" t="s">
        <v>71</v>
      </c>
      <c r="H179" s="314"/>
      <c r="I179" s="314" t="s">
        <v>94</v>
      </c>
      <c r="J179" s="315">
        <v>14924376</v>
      </c>
      <c r="K179" s="313"/>
    </row>
    <row r="180" spans="3:11">
      <c r="C180" s="316" t="s">
        <v>390</v>
      </c>
      <c r="D180" s="316" t="s">
        <v>358</v>
      </c>
      <c r="E180" s="316" t="s">
        <v>588</v>
      </c>
      <c r="F180" s="316" t="s">
        <v>71</v>
      </c>
      <c r="G180" s="316" t="s">
        <v>71</v>
      </c>
      <c r="H180" s="316"/>
      <c r="I180" s="316" t="s">
        <v>94</v>
      </c>
      <c r="J180" s="317">
        <v>1554035782</v>
      </c>
      <c r="K180" s="313"/>
    </row>
    <row r="181" spans="3:11">
      <c r="C181" s="314" t="s">
        <v>390</v>
      </c>
      <c r="D181" s="314" t="s">
        <v>366</v>
      </c>
      <c r="E181" s="314" t="s">
        <v>591</v>
      </c>
      <c r="F181" s="314" t="s">
        <v>71</v>
      </c>
      <c r="G181" s="314" t="s">
        <v>71</v>
      </c>
      <c r="H181" s="314"/>
      <c r="I181" s="314" t="s">
        <v>94</v>
      </c>
      <c r="J181" s="315">
        <v>31210255</v>
      </c>
      <c r="K181" s="313"/>
    </row>
    <row r="182" spans="3:11">
      <c r="C182" s="316" t="s">
        <v>390</v>
      </c>
      <c r="D182" s="316" t="s">
        <v>365</v>
      </c>
      <c r="E182" s="316" t="s">
        <v>592</v>
      </c>
      <c r="F182" s="316" t="s">
        <v>71</v>
      </c>
      <c r="G182" s="316" t="s">
        <v>71</v>
      </c>
      <c r="H182" s="316"/>
      <c r="I182" s="316" t="s">
        <v>94</v>
      </c>
      <c r="J182" s="317">
        <v>261057600</v>
      </c>
      <c r="K182" s="313"/>
    </row>
    <row r="183" spans="3:11">
      <c r="C183" s="314" t="s">
        <v>394</v>
      </c>
      <c r="D183" s="314" t="s">
        <v>358</v>
      </c>
      <c r="E183" s="314" t="s">
        <v>588</v>
      </c>
      <c r="F183" s="314" t="s">
        <v>64</v>
      </c>
      <c r="G183" s="314" t="s">
        <v>64</v>
      </c>
      <c r="H183" s="314" t="s">
        <v>474</v>
      </c>
      <c r="I183" s="314" t="s">
        <v>94</v>
      </c>
      <c r="J183" s="315">
        <v>3409680254</v>
      </c>
      <c r="K183" s="313"/>
    </row>
    <row r="184" spans="3:11">
      <c r="C184" s="316" t="s">
        <v>394</v>
      </c>
      <c r="D184" s="316" t="s">
        <v>366</v>
      </c>
      <c r="E184" s="316" t="s">
        <v>591</v>
      </c>
      <c r="F184" s="316" t="s">
        <v>64</v>
      </c>
      <c r="G184" s="316" t="s">
        <v>64</v>
      </c>
      <c r="H184" s="316" t="s">
        <v>474</v>
      </c>
      <c r="I184" s="316" t="s">
        <v>94</v>
      </c>
      <c r="J184" s="317">
        <v>36915282</v>
      </c>
      <c r="K184" s="313"/>
    </row>
    <row r="185" spans="3:11">
      <c r="C185" s="314" t="s">
        <v>394</v>
      </c>
      <c r="D185" s="314" t="s">
        <v>365</v>
      </c>
      <c r="E185" s="314" t="s">
        <v>592</v>
      </c>
      <c r="F185" s="314" t="s">
        <v>64</v>
      </c>
      <c r="G185" s="314" t="s">
        <v>64</v>
      </c>
      <c r="H185" s="314" t="s">
        <v>474</v>
      </c>
      <c r="I185" s="314" t="s">
        <v>94</v>
      </c>
      <c r="J185" s="315">
        <v>349602388</v>
      </c>
      <c r="K185" s="313"/>
    </row>
    <row r="186" spans="3:11">
      <c r="C186" s="316" t="s">
        <v>398</v>
      </c>
      <c r="D186" s="316" t="s">
        <v>358</v>
      </c>
      <c r="E186" s="316" t="s">
        <v>588</v>
      </c>
      <c r="F186" s="316" t="s">
        <v>71</v>
      </c>
      <c r="G186" s="316" t="s">
        <v>71</v>
      </c>
      <c r="H186" s="316"/>
      <c r="I186" s="316" t="s">
        <v>94</v>
      </c>
      <c r="J186" s="317">
        <v>1457048407</v>
      </c>
      <c r="K186" s="313"/>
    </row>
    <row r="187" spans="3:11">
      <c r="C187" s="314" t="s">
        <v>398</v>
      </c>
      <c r="D187" s="314" t="s">
        <v>366</v>
      </c>
      <c r="E187" s="314" t="s">
        <v>591</v>
      </c>
      <c r="F187" s="314" t="s">
        <v>71</v>
      </c>
      <c r="G187" s="314" t="s">
        <v>71</v>
      </c>
      <c r="H187" s="314"/>
      <c r="I187" s="314" t="s">
        <v>94</v>
      </c>
      <c r="J187" s="315">
        <v>103602946</v>
      </c>
      <c r="K187" s="313"/>
    </row>
    <row r="188" spans="3:11">
      <c r="C188" s="316" t="s">
        <v>398</v>
      </c>
      <c r="D188" s="316" t="s">
        <v>365</v>
      </c>
      <c r="E188" s="316" t="s">
        <v>592</v>
      </c>
      <c r="F188" s="316" t="s">
        <v>71</v>
      </c>
      <c r="G188" s="316" t="s">
        <v>71</v>
      </c>
      <c r="H188" s="316"/>
      <c r="I188" s="316" t="s">
        <v>94</v>
      </c>
      <c r="J188" s="317">
        <v>427491542</v>
      </c>
      <c r="K188" s="313"/>
    </row>
    <row r="189" spans="3:11">
      <c r="C189" s="314" t="s">
        <v>401</v>
      </c>
      <c r="D189" s="314" t="s">
        <v>358</v>
      </c>
      <c r="E189" s="314" t="s">
        <v>588</v>
      </c>
      <c r="F189" s="314" t="s">
        <v>64</v>
      </c>
      <c r="G189" s="314" t="s">
        <v>64</v>
      </c>
      <c r="H189" s="314" t="s">
        <v>478</v>
      </c>
      <c r="I189" s="314" t="s">
        <v>94</v>
      </c>
      <c r="J189" s="315">
        <v>5026167480</v>
      </c>
      <c r="K189" s="313"/>
    </row>
    <row r="190" spans="3:11">
      <c r="C190" s="316" t="s">
        <v>401</v>
      </c>
      <c r="D190" s="316" t="s">
        <v>366</v>
      </c>
      <c r="E190" s="316" t="s">
        <v>591</v>
      </c>
      <c r="F190" s="316" t="s">
        <v>64</v>
      </c>
      <c r="G190" s="316" t="s">
        <v>64</v>
      </c>
      <c r="H190" s="316" t="s">
        <v>478</v>
      </c>
      <c r="I190" s="316" t="s">
        <v>94</v>
      </c>
      <c r="J190" s="317">
        <v>64631140</v>
      </c>
      <c r="K190" s="313"/>
    </row>
    <row r="191" spans="3:11">
      <c r="C191" s="314" t="s">
        <v>401</v>
      </c>
      <c r="D191" s="314" t="s">
        <v>365</v>
      </c>
      <c r="E191" s="314" t="s">
        <v>592</v>
      </c>
      <c r="F191" s="314" t="s">
        <v>64</v>
      </c>
      <c r="G191" s="314" t="s">
        <v>64</v>
      </c>
      <c r="H191" s="314" t="s">
        <v>478</v>
      </c>
      <c r="I191" s="314" t="s">
        <v>94</v>
      </c>
      <c r="J191" s="315">
        <v>505877249</v>
      </c>
      <c r="K191" s="313"/>
    </row>
    <row r="192" spans="3:11">
      <c r="C192" s="316" t="s">
        <v>405</v>
      </c>
      <c r="D192" s="316" t="s">
        <v>358</v>
      </c>
      <c r="E192" s="316" t="s">
        <v>588</v>
      </c>
      <c r="F192" s="316" t="s">
        <v>64</v>
      </c>
      <c r="G192" s="316" t="s">
        <v>64</v>
      </c>
      <c r="H192" s="316" t="s">
        <v>483</v>
      </c>
      <c r="I192" s="316" t="s">
        <v>94</v>
      </c>
      <c r="J192" s="317">
        <v>72377636</v>
      </c>
      <c r="K192" s="313"/>
    </row>
    <row r="193" spans="3:11">
      <c r="C193" s="314" t="s">
        <v>405</v>
      </c>
      <c r="D193" s="314" t="s">
        <v>366</v>
      </c>
      <c r="E193" s="314" t="s">
        <v>591</v>
      </c>
      <c r="F193" s="314" t="s">
        <v>64</v>
      </c>
      <c r="G193" s="314" t="s">
        <v>64</v>
      </c>
      <c r="H193" s="314" t="s">
        <v>483</v>
      </c>
      <c r="I193" s="314" t="s">
        <v>94</v>
      </c>
      <c r="J193" s="315">
        <v>6670759</v>
      </c>
      <c r="K193" s="313"/>
    </row>
    <row r="194" spans="3:11">
      <c r="C194" s="316" t="s">
        <v>405</v>
      </c>
      <c r="D194" s="316" t="s">
        <v>365</v>
      </c>
      <c r="E194" s="316" t="s">
        <v>592</v>
      </c>
      <c r="F194" s="316" t="s">
        <v>64</v>
      </c>
      <c r="G194" s="316" t="s">
        <v>64</v>
      </c>
      <c r="H194" s="316" t="s">
        <v>483</v>
      </c>
      <c r="I194" s="316" t="s">
        <v>94</v>
      </c>
      <c r="J194" s="317">
        <v>40880496</v>
      </c>
      <c r="K194" s="313"/>
    </row>
    <row r="195" spans="3:11">
      <c r="C195" s="314" t="s">
        <v>408</v>
      </c>
      <c r="D195" s="314" t="s">
        <v>358</v>
      </c>
      <c r="E195" s="314" t="s">
        <v>588</v>
      </c>
      <c r="F195" s="314" t="s">
        <v>64</v>
      </c>
      <c r="G195" s="314" t="s">
        <v>64</v>
      </c>
      <c r="H195" s="314" t="s">
        <v>479</v>
      </c>
      <c r="I195" s="314" t="s">
        <v>94</v>
      </c>
      <c r="J195" s="315">
        <v>3039912537</v>
      </c>
      <c r="K195" s="313"/>
    </row>
    <row r="196" spans="3:11">
      <c r="C196" s="316" t="s">
        <v>408</v>
      </c>
      <c r="D196" s="316" t="s">
        <v>366</v>
      </c>
      <c r="E196" s="316" t="s">
        <v>591</v>
      </c>
      <c r="F196" s="316" t="s">
        <v>64</v>
      </c>
      <c r="G196" s="316" t="s">
        <v>64</v>
      </c>
      <c r="H196" s="316" t="s">
        <v>479</v>
      </c>
      <c r="I196" s="316" t="s">
        <v>94</v>
      </c>
      <c r="J196" s="317">
        <v>199515612</v>
      </c>
      <c r="K196" s="313"/>
    </row>
    <row r="197" spans="3:11">
      <c r="C197" s="314" t="s">
        <v>408</v>
      </c>
      <c r="D197" s="314" t="s">
        <v>365</v>
      </c>
      <c r="E197" s="314" t="s">
        <v>592</v>
      </c>
      <c r="F197" s="314" t="s">
        <v>64</v>
      </c>
      <c r="G197" s="314" t="s">
        <v>64</v>
      </c>
      <c r="H197" s="314" t="s">
        <v>479</v>
      </c>
      <c r="I197" s="314" t="s">
        <v>94</v>
      </c>
      <c r="J197" s="315">
        <v>829998630</v>
      </c>
      <c r="K197" s="313"/>
    </row>
    <row r="198" spans="3:11">
      <c r="C198" s="316" t="s">
        <v>412</v>
      </c>
      <c r="D198" s="316" t="s">
        <v>358</v>
      </c>
      <c r="E198" s="316" t="s">
        <v>588</v>
      </c>
      <c r="F198" s="316" t="s">
        <v>64</v>
      </c>
      <c r="G198" s="316" t="s">
        <v>64</v>
      </c>
      <c r="H198" s="316" t="s">
        <v>488</v>
      </c>
      <c r="I198" s="316" t="s">
        <v>94</v>
      </c>
      <c r="J198" s="317">
        <v>940030000</v>
      </c>
      <c r="K198" s="313"/>
    </row>
    <row r="199" spans="3:11">
      <c r="C199" s="314" t="s">
        <v>412</v>
      </c>
      <c r="D199" s="314" t="s">
        <v>366</v>
      </c>
      <c r="E199" s="314" t="s">
        <v>591</v>
      </c>
      <c r="F199" s="314" t="s">
        <v>64</v>
      </c>
      <c r="G199" s="314" t="s">
        <v>64</v>
      </c>
      <c r="H199" s="314" t="s">
        <v>488</v>
      </c>
      <c r="I199" s="314" t="s">
        <v>94</v>
      </c>
      <c r="J199" s="315">
        <v>22474093</v>
      </c>
      <c r="K199" s="313"/>
    </row>
    <row r="200" spans="3:11">
      <c r="C200" s="316" t="s">
        <v>412</v>
      </c>
      <c r="D200" s="316" t="s">
        <v>365</v>
      </c>
      <c r="E200" s="316" t="s">
        <v>592</v>
      </c>
      <c r="F200" s="316" t="s">
        <v>64</v>
      </c>
      <c r="G200" s="316" t="s">
        <v>64</v>
      </c>
      <c r="H200" s="316" t="s">
        <v>488</v>
      </c>
      <c r="I200" s="316" t="s">
        <v>94</v>
      </c>
      <c r="J200" s="317">
        <v>172826302</v>
      </c>
      <c r="K200" s="313"/>
    </row>
    <row r="201" spans="3:11">
      <c r="C201" s="314" t="s">
        <v>416</v>
      </c>
      <c r="D201" s="314" t="s">
        <v>358</v>
      </c>
      <c r="E201" s="314" t="s">
        <v>588</v>
      </c>
      <c r="F201" s="314" t="s">
        <v>64</v>
      </c>
      <c r="G201" s="314" t="s">
        <v>64</v>
      </c>
      <c r="H201" s="314" t="s">
        <v>477</v>
      </c>
      <c r="I201" s="314" t="s">
        <v>94</v>
      </c>
      <c r="J201" s="315">
        <v>3169844532</v>
      </c>
      <c r="K201" s="313"/>
    </row>
    <row r="202" spans="3:11">
      <c r="C202" s="316" t="s">
        <v>416</v>
      </c>
      <c r="D202" s="316" t="s">
        <v>366</v>
      </c>
      <c r="E202" s="316" t="s">
        <v>591</v>
      </c>
      <c r="F202" s="316" t="s">
        <v>64</v>
      </c>
      <c r="G202" s="316" t="s">
        <v>64</v>
      </c>
      <c r="H202" s="316" t="s">
        <v>477</v>
      </c>
      <c r="I202" s="316" t="s">
        <v>94</v>
      </c>
      <c r="J202" s="317">
        <v>22819482</v>
      </c>
      <c r="K202" s="313"/>
    </row>
    <row r="203" spans="3:11">
      <c r="C203" s="314" t="s">
        <v>416</v>
      </c>
      <c r="D203" s="314" t="s">
        <v>365</v>
      </c>
      <c r="E203" s="314" t="s">
        <v>592</v>
      </c>
      <c r="F203" s="314" t="s">
        <v>64</v>
      </c>
      <c r="G203" s="314" t="s">
        <v>64</v>
      </c>
      <c r="H203" s="314" t="s">
        <v>477</v>
      </c>
      <c r="I203" s="314" t="s">
        <v>94</v>
      </c>
      <c r="J203" s="315">
        <v>180089899</v>
      </c>
      <c r="K203" s="313"/>
    </row>
    <row r="204" spans="3:11">
      <c r="C204" s="316" t="s">
        <v>420</v>
      </c>
      <c r="D204" s="316" t="s">
        <v>358</v>
      </c>
      <c r="E204" s="316" t="s">
        <v>588</v>
      </c>
      <c r="F204" s="316" t="s">
        <v>64</v>
      </c>
      <c r="G204" s="316" t="s">
        <v>64</v>
      </c>
      <c r="H204" s="316" t="s">
        <v>482</v>
      </c>
      <c r="I204" s="316" t="s">
        <v>94</v>
      </c>
      <c r="J204" s="317">
        <v>365871664</v>
      </c>
      <c r="K204" s="313"/>
    </row>
    <row r="205" spans="3:11">
      <c r="C205" s="314" t="s">
        <v>420</v>
      </c>
      <c r="D205" s="314" t="s">
        <v>366</v>
      </c>
      <c r="E205" s="314" t="s">
        <v>591</v>
      </c>
      <c r="F205" s="314" t="s">
        <v>64</v>
      </c>
      <c r="G205" s="314" t="s">
        <v>64</v>
      </c>
      <c r="H205" s="314" t="s">
        <v>482</v>
      </c>
      <c r="I205" s="314" t="s">
        <v>94</v>
      </c>
      <c r="J205" s="315">
        <v>21343465</v>
      </c>
      <c r="K205" s="313"/>
    </row>
    <row r="206" spans="3:11">
      <c r="C206" s="316" t="s">
        <v>420</v>
      </c>
      <c r="D206" s="316" t="s">
        <v>365</v>
      </c>
      <c r="E206" s="316" t="s">
        <v>592</v>
      </c>
      <c r="F206" s="316" t="s">
        <v>64</v>
      </c>
      <c r="G206" s="316" t="s">
        <v>64</v>
      </c>
      <c r="H206" s="316" t="s">
        <v>482</v>
      </c>
      <c r="I206" s="316" t="s">
        <v>94</v>
      </c>
      <c r="J206" s="317">
        <v>96883264</v>
      </c>
      <c r="K206" s="313"/>
    </row>
    <row r="207" spans="3:11">
      <c r="C207" s="314" t="s">
        <v>422</v>
      </c>
      <c r="D207" s="314" t="s">
        <v>358</v>
      </c>
      <c r="E207" s="314" t="s">
        <v>588</v>
      </c>
      <c r="F207" s="314" t="s">
        <v>71</v>
      </c>
      <c r="G207" s="314" t="s">
        <v>71</v>
      </c>
      <c r="H207" s="314"/>
      <c r="I207" s="314" t="s">
        <v>94</v>
      </c>
      <c r="J207" s="315">
        <v>62799748</v>
      </c>
      <c r="K207" s="313"/>
    </row>
    <row r="208" spans="3:11">
      <c r="C208" s="316" t="s">
        <v>422</v>
      </c>
      <c r="D208" s="316" t="s">
        <v>366</v>
      </c>
      <c r="E208" s="316" t="s">
        <v>591</v>
      </c>
      <c r="F208" s="316" t="s">
        <v>71</v>
      </c>
      <c r="G208" s="316" t="s">
        <v>71</v>
      </c>
      <c r="H208" s="316"/>
      <c r="I208" s="316" t="s">
        <v>94</v>
      </c>
      <c r="J208" s="317">
        <v>672840</v>
      </c>
      <c r="K208" s="313"/>
    </row>
    <row r="209" spans="3:11">
      <c r="C209" s="314" t="s">
        <v>422</v>
      </c>
      <c r="D209" s="314" t="s">
        <v>365</v>
      </c>
      <c r="E209" s="314" t="s">
        <v>592</v>
      </c>
      <c r="F209" s="314" t="s">
        <v>71</v>
      </c>
      <c r="G209" s="314" t="s">
        <v>71</v>
      </c>
      <c r="H209" s="314"/>
      <c r="I209" s="314" t="s">
        <v>94</v>
      </c>
      <c r="J209" s="315">
        <v>8098377</v>
      </c>
      <c r="K209" s="313"/>
    </row>
    <row r="210" spans="3:11">
      <c r="C210" s="316" t="s">
        <v>425</v>
      </c>
      <c r="D210" s="316" t="s">
        <v>358</v>
      </c>
      <c r="E210" s="316" t="s">
        <v>588</v>
      </c>
      <c r="F210" s="316" t="s">
        <v>64</v>
      </c>
      <c r="G210" s="316" t="s">
        <v>64</v>
      </c>
      <c r="H210" s="316" t="s">
        <v>495</v>
      </c>
      <c r="I210" s="316" t="s">
        <v>94</v>
      </c>
      <c r="J210" s="317">
        <v>300259626</v>
      </c>
      <c r="K210" s="313"/>
    </row>
    <row r="211" spans="3:11">
      <c r="C211" s="314" t="s">
        <v>425</v>
      </c>
      <c r="D211" s="314" t="s">
        <v>366</v>
      </c>
      <c r="E211" s="314" t="s">
        <v>591</v>
      </c>
      <c r="F211" s="314" t="s">
        <v>64</v>
      </c>
      <c r="G211" s="314" t="s">
        <v>64</v>
      </c>
      <c r="H211" s="314" t="s">
        <v>495</v>
      </c>
      <c r="I211" s="314" t="s">
        <v>94</v>
      </c>
      <c r="J211" s="315">
        <v>8029190</v>
      </c>
      <c r="K211" s="313"/>
    </row>
    <row r="212" spans="3:11">
      <c r="C212" s="316" t="s">
        <v>425</v>
      </c>
      <c r="D212" s="316" t="s">
        <v>365</v>
      </c>
      <c r="E212" s="316" t="s">
        <v>592</v>
      </c>
      <c r="F212" s="316" t="s">
        <v>64</v>
      </c>
      <c r="G212" s="316" t="s">
        <v>64</v>
      </c>
      <c r="H212" s="316" t="s">
        <v>495</v>
      </c>
      <c r="I212" s="316" t="s">
        <v>94</v>
      </c>
      <c r="J212" s="317">
        <v>35756070</v>
      </c>
      <c r="K212" s="313"/>
    </row>
    <row r="213" spans="3:11">
      <c r="C213" s="314" t="s">
        <v>427</v>
      </c>
      <c r="D213" s="314" t="s">
        <v>358</v>
      </c>
      <c r="E213" s="314" t="s">
        <v>588</v>
      </c>
      <c r="F213" s="314" t="s">
        <v>64</v>
      </c>
      <c r="G213" s="314" t="s">
        <v>64</v>
      </c>
      <c r="H213" s="314" t="s">
        <v>474</v>
      </c>
      <c r="I213" s="314" t="s">
        <v>94</v>
      </c>
      <c r="J213" s="315">
        <v>118422786</v>
      </c>
      <c r="K213" s="313"/>
    </row>
    <row r="214" spans="3:11">
      <c r="C214" s="316" t="s">
        <v>427</v>
      </c>
      <c r="D214" s="316" t="s">
        <v>366</v>
      </c>
      <c r="E214" s="316" t="s">
        <v>591</v>
      </c>
      <c r="F214" s="316" t="s">
        <v>64</v>
      </c>
      <c r="G214" s="316" t="s">
        <v>64</v>
      </c>
      <c r="H214" s="316" t="s">
        <v>474</v>
      </c>
      <c r="I214" s="316" t="s">
        <v>94</v>
      </c>
      <c r="J214" s="317">
        <v>1542200</v>
      </c>
      <c r="K214" s="313"/>
    </row>
    <row r="215" spans="3:11">
      <c r="C215" s="314" t="s">
        <v>427</v>
      </c>
      <c r="D215" s="314" t="s">
        <v>365</v>
      </c>
      <c r="E215" s="314" t="s">
        <v>592</v>
      </c>
      <c r="F215" s="314" t="s">
        <v>64</v>
      </c>
      <c r="G215" s="314" t="s">
        <v>64</v>
      </c>
      <c r="H215" s="314" t="s">
        <v>474</v>
      </c>
      <c r="I215" s="314" t="s">
        <v>94</v>
      </c>
      <c r="J215" s="315">
        <v>15141599</v>
      </c>
      <c r="K215" s="313"/>
    </row>
    <row r="216" spans="3:11">
      <c r="C216" s="316" t="s">
        <v>429</v>
      </c>
      <c r="D216" s="316" t="s">
        <v>358</v>
      </c>
      <c r="E216" s="316" t="s">
        <v>588</v>
      </c>
      <c r="F216" s="316" t="s">
        <v>64</v>
      </c>
      <c r="G216" s="316" t="s">
        <v>64</v>
      </c>
      <c r="H216" s="316" t="s">
        <v>481</v>
      </c>
      <c r="I216" s="316" t="s">
        <v>94</v>
      </c>
      <c r="J216" s="317">
        <v>51565110</v>
      </c>
      <c r="K216" s="313"/>
    </row>
    <row r="217" spans="3:11">
      <c r="C217" s="314" t="s">
        <v>429</v>
      </c>
      <c r="D217" s="314" t="s">
        <v>366</v>
      </c>
      <c r="E217" s="314" t="s">
        <v>591</v>
      </c>
      <c r="F217" s="314" t="s">
        <v>64</v>
      </c>
      <c r="G217" s="314" t="s">
        <v>64</v>
      </c>
      <c r="H217" s="314" t="s">
        <v>481</v>
      </c>
      <c r="I217" s="314" t="s">
        <v>94</v>
      </c>
      <c r="J217" s="315">
        <v>6017760</v>
      </c>
      <c r="K217" s="313"/>
    </row>
    <row r="218" spans="3:11">
      <c r="C218" s="316" t="s">
        <v>429</v>
      </c>
      <c r="D218" s="316" t="s">
        <v>365</v>
      </c>
      <c r="E218" s="316" t="s">
        <v>592</v>
      </c>
      <c r="F218" s="316" t="s">
        <v>64</v>
      </c>
      <c r="G218" s="316" t="s">
        <v>64</v>
      </c>
      <c r="H218" s="316" t="s">
        <v>481</v>
      </c>
      <c r="I218" s="316" t="s">
        <v>94</v>
      </c>
      <c r="J218" s="317">
        <v>41529117</v>
      </c>
      <c r="K218" s="313"/>
    </row>
    <row r="219" spans="3:11">
      <c r="C219" s="314" t="s">
        <v>432</v>
      </c>
      <c r="D219" s="314" t="s">
        <v>358</v>
      </c>
      <c r="E219" s="314" t="s">
        <v>588</v>
      </c>
      <c r="F219" s="314" t="s">
        <v>71</v>
      </c>
      <c r="G219" s="314" t="s">
        <v>71</v>
      </c>
      <c r="H219" s="314"/>
      <c r="I219" s="314" t="s">
        <v>94</v>
      </c>
      <c r="J219" s="315">
        <v>53475553</v>
      </c>
      <c r="K219" s="313"/>
    </row>
    <row r="220" spans="3:11">
      <c r="C220" s="316" t="s">
        <v>432</v>
      </c>
      <c r="D220" s="316" t="s">
        <v>366</v>
      </c>
      <c r="E220" s="316" t="s">
        <v>591</v>
      </c>
      <c r="F220" s="316" t="s">
        <v>71</v>
      </c>
      <c r="G220" s="316" t="s">
        <v>71</v>
      </c>
      <c r="H220" s="316"/>
      <c r="I220" s="316" t="s">
        <v>94</v>
      </c>
      <c r="J220" s="317">
        <v>1285200</v>
      </c>
      <c r="K220" s="313"/>
    </row>
    <row r="221" spans="3:11">
      <c r="C221" s="314" t="s">
        <v>432</v>
      </c>
      <c r="D221" s="314" t="s">
        <v>365</v>
      </c>
      <c r="E221" s="314" t="s">
        <v>592</v>
      </c>
      <c r="F221" s="314" t="s">
        <v>71</v>
      </c>
      <c r="G221" s="314" t="s">
        <v>71</v>
      </c>
      <c r="H221" s="314"/>
      <c r="I221" s="314" t="s">
        <v>94</v>
      </c>
      <c r="J221" s="315">
        <v>500000</v>
      </c>
      <c r="K221" s="313"/>
    </row>
    <row r="222" spans="3:11">
      <c r="C222" s="316" t="s">
        <v>436</v>
      </c>
      <c r="D222" s="316" t="s">
        <v>358</v>
      </c>
      <c r="E222" s="316" t="s">
        <v>588</v>
      </c>
      <c r="F222" s="316" t="s">
        <v>71</v>
      </c>
      <c r="G222" s="316" t="s">
        <v>71</v>
      </c>
      <c r="H222" s="316"/>
      <c r="I222" s="316" t="s">
        <v>94</v>
      </c>
      <c r="J222" s="317">
        <v>211477742</v>
      </c>
      <c r="K222" s="313"/>
    </row>
    <row r="223" spans="3:11">
      <c r="C223" s="314" t="s">
        <v>436</v>
      </c>
      <c r="D223" s="314" t="s">
        <v>366</v>
      </c>
      <c r="E223" s="314" t="s">
        <v>591</v>
      </c>
      <c r="F223" s="314" t="s">
        <v>71</v>
      </c>
      <c r="G223" s="314" t="s">
        <v>71</v>
      </c>
      <c r="H223" s="314"/>
      <c r="I223" s="314" t="s">
        <v>94</v>
      </c>
      <c r="J223" s="315">
        <v>40635872</v>
      </c>
      <c r="K223" s="313"/>
    </row>
    <row r="224" spans="3:11">
      <c r="C224" s="316" t="s">
        <v>436</v>
      </c>
      <c r="D224" s="316" t="s">
        <v>365</v>
      </c>
      <c r="E224" s="316" t="s">
        <v>592</v>
      </c>
      <c r="F224" s="316" t="s">
        <v>71</v>
      </c>
      <c r="G224" s="316" t="s">
        <v>71</v>
      </c>
      <c r="H224" s="316"/>
      <c r="I224" s="316" t="s">
        <v>94</v>
      </c>
      <c r="J224" s="317">
        <v>125398916</v>
      </c>
      <c r="K224" s="313"/>
    </row>
    <row r="225" spans="3:11">
      <c r="C225" s="314" t="s">
        <v>439</v>
      </c>
      <c r="D225" s="314" t="s">
        <v>358</v>
      </c>
      <c r="E225" s="314" t="s">
        <v>588</v>
      </c>
      <c r="F225" s="314" t="s">
        <v>64</v>
      </c>
      <c r="G225" s="314" t="s">
        <v>64</v>
      </c>
      <c r="H225" s="314" t="s">
        <v>489</v>
      </c>
      <c r="I225" s="314" t="s">
        <v>94</v>
      </c>
      <c r="J225" s="315">
        <v>131452632</v>
      </c>
      <c r="K225" s="313"/>
    </row>
    <row r="226" spans="3:11">
      <c r="C226" s="316" t="s">
        <v>439</v>
      </c>
      <c r="D226" s="316" t="s">
        <v>358</v>
      </c>
      <c r="E226" s="316" t="s">
        <v>588</v>
      </c>
      <c r="F226" s="316" t="s">
        <v>64</v>
      </c>
      <c r="G226" s="316" t="s">
        <v>64</v>
      </c>
      <c r="H226" s="316" t="s">
        <v>490</v>
      </c>
      <c r="I226" s="316" t="s">
        <v>94</v>
      </c>
      <c r="J226" s="317">
        <v>52005489</v>
      </c>
      <c r="K226" s="313"/>
    </row>
    <row r="227" spans="3:11">
      <c r="C227" s="314" t="s">
        <v>439</v>
      </c>
      <c r="D227" s="314" t="s">
        <v>366</v>
      </c>
      <c r="E227" s="314" t="s">
        <v>591</v>
      </c>
      <c r="F227" s="314" t="s">
        <v>64</v>
      </c>
      <c r="G227" s="314" t="s">
        <v>64</v>
      </c>
      <c r="H227" s="314" t="s">
        <v>489</v>
      </c>
      <c r="I227" s="314" t="s">
        <v>94</v>
      </c>
      <c r="J227" s="315">
        <v>24624442</v>
      </c>
      <c r="K227" s="313"/>
    </row>
    <row r="228" spans="3:11">
      <c r="C228" s="316" t="s">
        <v>439</v>
      </c>
      <c r="D228" s="316" t="s">
        <v>366</v>
      </c>
      <c r="E228" s="316" t="s">
        <v>591</v>
      </c>
      <c r="F228" s="316" t="s">
        <v>64</v>
      </c>
      <c r="G228" s="316" t="s">
        <v>64</v>
      </c>
      <c r="H228" s="316" t="s">
        <v>490</v>
      </c>
      <c r="I228" s="316" t="s">
        <v>94</v>
      </c>
      <c r="J228" s="317">
        <v>13099376</v>
      </c>
      <c r="K228" s="313"/>
    </row>
    <row r="229" spans="3:11">
      <c r="C229" s="314" t="s">
        <v>439</v>
      </c>
      <c r="D229" s="314" t="s">
        <v>365</v>
      </c>
      <c r="E229" s="314" t="s">
        <v>592</v>
      </c>
      <c r="F229" s="314" t="s">
        <v>64</v>
      </c>
      <c r="G229" s="314" t="s">
        <v>64</v>
      </c>
      <c r="H229" s="314" t="s">
        <v>489</v>
      </c>
      <c r="I229" s="314" t="s">
        <v>94</v>
      </c>
      <c r="J229" s="315">
        <v>102825767</v>
      </c>
      <c r="K229" s="313"/>
    </row>
    <row r="230" spans="3:11">
      <c r="C230" s="316" t="s">
        <v>439</v>
      </c>
      <c r="D230" s="316" t="s">
        <v>365</v>
      </c>
      <c r="E230" s="316" t="s">
        <v>592</v>
      </c>
      <c r="F230" s="316" t="s">
        <v>64</v>
      </c>
      <c r="G230" s="316" t="s">
        <v>64</v>
      </c>
      <c r="H230" s="316" t="s">
        <v>490</v>
      </c>
      <c r="I230" s="316" t="s">
        <v>94</v>
      </c>
      <c r="J230" s="317">
        <v>44172579</v>
      </c>
      <c r="K230" s="313"/>
    </row>
    <row r="231" spans="3:11">
      <c r="C231" s="314" t="s">
        <v>443</v>
      </c>
      <c r="D231" s="314" t="s">
        <v>358</v>
      </c>
      <c r="E231" s="314" t="s">
        <v>588</v>
      </c>
      <c r="F231" s="314" t="s">
        <v>71</v>
      </c>
      <c r="G231" s="314" t="s">
        <v>71</v>
      </c>
      <c r="H231" s="314"/>
      <c r="I231" s="314" t="s">
        <v>94</v>
      </c>
      <c r="J231" s="315">
        <v>332292850</v>
      </c>
      <c r="K231" s="313"/>
    </row>
    <row r="232" spans="3:11">
      <c r="C232" s="316" t="s">
        <v>443</v>
      </c>
      <c r="D232" s="316" t="s">
        <v>366</v>
      </c>
      <c r="E232" s="316" t="s">
        <v>591</v>
      </c>
      <c r="F232" s="316" t="s">
        <v>71</v>
      </c>
      <c r="G232" s="316" t="s">
        <v>71</v>
      </c>
      <c r="H232" s="316"/>
      <c r="I232" s="316" t="s">
        <v>94</v>
      </c>
      <c r="J232" s="317">
        <v>5481000</v>
      </c>
      <c r="K232" s="313"/>
    </row>
    <row r="233" spans="3:11">
      <c r="C233" s="314" t="s">
        <v>443</v>
      </c>
      <c r="D233" s="314" t="s">
        <v>365</v>
      </c>
      <c r="E233" s="314" t="s">
        <v>592</v>
      </c>
      <c r="F233" s="314" t="s">
        <v>71</v>
      </c>
      <c r="G233" s="314" t="s">
        <v>71</v>
      </c>
      <c r="H233" s="314"/>
      <c r="I233" s="314" t="s">
        <v>94</v>
      </c>
      <c r="J233" s="315">
        <v>60662124</v>
      </c>
      <c r="K233" s="313"/>
    </row>
    <row r="234" spans="3:11">
      <c r="C234" s="316" t="s">
        <v>447</v>
      </c>
      <c r="D234" s="316" t="s">
        <v>358</v>
      </c>
      <c r="E234" s="316" t="s">
        <v>588</v>
      </c>
      <c r="F234" s="316" t="s">
        <v>64</v>
      </c>
      <c r="G234" s="316" t="s">
        <v>64</v>
      </c>
      <c r="H234" s="316" t="s">
        <v>498</v>
      </c>
      <c r="I234" s="316" t="s">
        <v>94</v>
      </c>
      <c r="J234" s="317">
        <v>70026623</v>
      </c>
      <c r="K234" s="313"/>
    </row>
    <row r="235" spans="3:11">
      <c r="C235" s="314" t="s">
        <v>447</v>
      </c>
      <c r="D235" s="314" t="s">
        <v>366</v>
      </c>
      <c r="E235" s="314" t="s">
        <v>591</v>
      </c>
      <c r="F235" s="314" t="s">
        <v>64</v>
      </c>
      <c r="G235" s="314" t="s">
        <v>64</v>
      </c>
      <c r="H235" s="314" t="s">
        <v>498</v>
      </c>
      <c r="I235" s="314" t="s">
        <v>94</v>
      </c>
      <c r="J235" s="315">
        <v>11811560</v>
      </c>
      <c r="K235" s="313"/>
    </row>
    <row r="236" spans="3:11">
      <c r="C236" s="316" t="s">
        <v>447</v>
      </c>
      <c r="D236" s="316" t="s">
        <v>365</v>
      </c>
      <c r="E236" s="316" t="s">
        <v>592</v>
      </c>
      <c r="F236" s="316" t="s">
        <v>64</v>
      </c>
      <c r="G236" s="316" t="s">
        <v>64</v>
      </c>
      <c r="H236" s="316" t="s">
        <v>498</v>
      </c>
      <c r="I236" s="316" t="s">
        <v>94</v>
      </c>
      <c r="J236" s="317">
        <v>41000000</v>
      </c>
      <c r="K236" s="313"/>
    </row>
    <row r="237" spans="3:11">
      <c r="C237" s="314" t="s">
        <v>448</v>
      </c>
      <c r="D237" s="314" t="s">
        <v>358</v>
      </c>
      <c r="E237" s="314" t="s">
        <v>588</v>
      </c>
      <c r="F237" s="314" t="s">
        <v>64</v>
      </c>
      <c r="G237" s="314" t="s">
        <v>64</v>
      </c>
      <c r="H237" s="314" t="s">
        <v>500</v>
      </c>
      <c r="I237" s="314" t="s">
        <v>94</v>
      </c>
      <c r="J237" s="315">
        <v>54991642</v>
      </c>
      <c r="K237" s="313"/>
    </row>
    <row r="238" spans="3:11">
      <c r="C238" s="316" t="s">
        <v>448</v>
      </c>
      <c r="D238" s="316" t="s">
        <v>366</v>
      </c>
      <c r="E238" s="316" t="s">
        <v>591</v>
      </c>
      <c r="F238" s="316" t="s">
        <v>64</v>
      </c>
      <c r="G238" s="316" t="s">
        <v>64</v>
      </c>
      <c r="H238" s="316" t="s">
        <v>500</v>
      </c>
      <c r="I238" s="316" t="s">
        <v>94</v>
      </c>
      <c r="J238" s="317">
        <v>204120</v>
      </c>
      <c r="K238" s="313"/>
    </row>
    <row r="239" spans="3:11">
      <c r="C239" s="314" t="s">
        <v>448</v>
      </c>
      <c r="D239" s="314" t="s">
        <v>365</v>
      </c>
      <c r="E239" s="314" t="s">
        <v>592</v>
      </c>
      <c r="F239" s="314" t="s">
        <v>64</v>
      </c>
      <c r="G239" s="314" t="s">
        <v>64</v>
      </c>
      <c r="H239" s="314" t="s">
        <v>500</v>
      </c>
      <c r="I239" s="314" t="s">
        <v>94</v>
      </c>
      <c r="J239" s="315">
        <v>3110400</v>
      </c>
      <c r="K239" s="313"/>
    </row>
    <row r="240" spans="3:11">
      <c r="C240" s="316" t="s">
        <v>450</v>
      </c>
      <c r="D240" s="316" t="s">
        <v>358</v>
      </c>
      <c r="E240" s="316" t="s">
        <v>588</v>
      </c>
      <c r="F240" s="316" t="s">
        <v>71</v>
      </c>
      <c r="G240" s="316" t="s">
        <v>71</v>
      </c>
      <c r="H240" s="316"/>
      <c r="I240" s="316" t="s">
        <v>94</v>
      </c>
      <c r="J240" s="317">
        <v>179424971</v>
      </c>
      <c r="K240" s="313"/>
    </row>
    <row r="241" spans="3:11">
      <c r="C241" s="314" t="s">
        <v>450</v>
      </c>
      <c r="D241" s="314" t="s">
        <v>366</v>
      </c>
      <c r="E241" s="314" t="s">
        <v>591</v>
      </c>
      <c r="F241" s="314" t="s">
        <v>71</v>
      </c>
      <c r="G241" s="314" t="s">
        <v>71</v>
      </c>
      <c r="H241" s="314"/>
      <c r="I241" s="314" t="s">
        <v>94</v>
      </c>
      <c r="J241" s="315">
        <v>272470</v>
      </c>
      <c r="K241" s="313"/>
    </row>
    <row r="242" spans="3:11">
      <c r="C242" s="316" t="s">
        <v>450</v>
      </c>
      <c r="D242" s="316" t="s">
        <v>365</v>
      </c>
      <c r="E242" s="316" t="s">
        <v>592</v>
      </c>
      <c r="F242" s="316" t="s">
        <v>71</v>
      </c>
      <c r="G242" s="316" t="s">
        <v>71</v>
      </c>
      <c r="H242" s="316"/>
      <c r="I242" s="316" t="s">
        <v>94</v>
      </c>
      <c r="J242" s="317">
        <v>4147200</v>
      </c>
      <c r="K242" s="313"/>
    </row>
    <row r="243" spans="3:11">
      <c r="C243" s="314" t="s">
        <v>453</v>
      </c>
      <c r="D243" s="314" t="s">
        <v>358</v>
      </c>
      <c r="E243" s="314" t="s">
        <v>588</v>
      </c>
      <c r="F243" s="314" t="s">
        <v>71</v>
      </c>
      <c r="G243" s="314" t="s">
        <v>71</v>
      </c>
      <c r="H243" s="314"/>
      <c r="I243" s="314" t="s">
        <v>94</v>
      </c>
      <c r="J243" s="315">
        <v>84664</v>
      </c>
      <c r="K243" s="313"/>
    </row>
    <row r="244" spans="3:11">
      <c r="C244" s="316" t="s">
        <v>453</v>
      </c>
      <c r="D244" s="316" t="s">
        <v>366</v>
      </c>
      <c r="E244" s="316" t="s">
        <v>591</v>
      </c>
      <c r="F244" s="316" t="s">
        <v>71</v>
      </c>
      <c r="G244" s="316" t="s">
        <v>71</v>
      </c>
      <c r="H244" s="316"/>
      <c r="I244" s="316" t="s">
        <v>94</v>
      </c>
      <c r="J244" s="317">
        <v>75600</v>
      </c>
      <c r="K244" s="313"/>
    </row>
    <row r="245" spans="3:11">
      <c r="C245" s="314" t="s">
        <v>453</v>
      </c>
      <c r="D245" s="314" t="s">
        <v>365</v>
      </c>
      <c r="E245" s="314" t="s">
        <v>592</v>
      </c>
      <c r="F245" s="314" t="s">
        <v>71</v>
      </c>
      <c r="G245" s="314" t="s">
        <v>71</v>
      </c>
      <c r="H245" s="314"/>
      <c r="I245" s="314" t="s">
        <v>94</v>
      </c>
      <c r="J245" s="315">
        <v>1008000</v>
      </c>
      <c r="K245" s="313"/>
    </row>
    <row r="246" spans="3:11">
      <c r="C246" s="316" t="s">
        <v>456</v>
      </c>
      <c r="D246" s="316" t="s">
        <v>358</v>
      </c>
      <c r="E246" s="316" t="s">
        <v>588</v>
      </c>
      <c r="F246" s="316" t="s">
        <v>64</v>
      </c>
      <c r="G246" s="316" t="s">
        <v>64</v>
      </c>
      <c r="H246" s="316" t="s">
        <v>503</v>
      </c>
      <c r="I246" s="316" t="s">
        <v>94</v>
      </c>
      <c r="J246" s="317">
        <v>146284321</v>
      </c>
      <c r="K246" s="313"/>
    </row>
    <row r="247" spans="3:11">
      <c r="C247" s="314" t="s">
        <v>456</v>
      </c>
      <c r="D247" s="314" t="s">
        <v>366</v>
      </c>
      <c r="E247" s="314" t="s">
        <v>591</v>
      </c>
      <c r="F247" s="314" t="s">
        <v>64</v>
      </c>
      <c r="G247" s="314" t="s">
        <v>64</v>
      </c>
      <c r="H247" s="314" t="s">
        <v>503</v>
      </c>
      <c r="I247" s="314" t="s">
        <v>94</v>
      </c>
      <c r="J247" s="315">
        <v>340200</v>
      </c>
      <c r="K247" s="313"/>
    </row>
    <row r="248" spans="3:11">
      <c r="C248" s="316" t="s">
        <v>456</v>
      </c>
      <c r="D248" s="316" t="s">
        <v>365</v>
      </c>
      <c r="E248" s="316" t="s">
        <v>592</v>
      </c>
      <c r="F248" s="316" t="s">
        <v>64</v>
      </c>
      <c r="G248" s="316" t="s">
        <v>64</v>
      </c>
      <c r="H248" s="316" t="s">
        <v>503</v>
      </c>
      <c r="I248" s="316" t="s">
        <v>94</v>
      </c>
      <c r="J248" s="317">
        <v>5110269</v>
      </c>
      <c r="K248" s="313"/>
    </row>
    <row r="249" spans="3:11">
      <c r="C249" s="314" t="s">
        <v>458</v>
      </c>
      <c r="D249" s="314" t="s">
        <v>358</v>
      </c>
      <c r="E249" s="314" t="s">
        <v>588</v>
      </c>
      <c r="F249" s="314" t="s">
        <v>71</v>
      </c>
      <c r="G249" s="314" t="s">
        <v>71</v>
      </c>
      <c r="H249" s="314"/>
      <c r="I249" s="314" t="s">
        <v>94</v>
      </c>
      <c r="J249" s="315">
        <v>1664475581</v>
      </c>
      <c r="K249" s="313"/>
    </row>
    <row r="250" spans="3:11">
      <c r="C250" s="316" t="s">
        <v>458</v>
      </c>
      <c r="D250" s="316" t="s">
        <v>366</v>
      </c>
      <c r="E250" s="316" t="s">
        <v>591</v>
      </c>
      <c r="F250" s="316" t="s">
        <v>71</v>
      </c>
      <c r="G250" s="316" t="s">
        <v>71</v>
      </c>
      <c r="H250" s="316"/>
      <c r="I250" s="316" t="s">
        <v>94</v>
      </c>
      <c r="J250" s="317">
        <v>4588920</v>
      </c>
      <c r="K250" s="313"/>
    </row>
    <row r="251" spans="3:11">
      <c r="C251" s="314" t="s">
        <v>458</v>
      </c>
      <c r="D251" s="314" t="s">
        <v>365</v>
      </c>
      <c r="E251" s="314" t="s">
        <v>592</v>
      </c>
      <c r="F251" s="314" t="s">
        <v>71</v>
      </c>
      <c r="G251" s="314" t="s">
        <v>71</v>
      </c>
      <c r="H251" s="314"/>
      <c r="I251" s="314" t="s">
        <v>94</v>
      </c>
      <c r="J251" s="315">
        <v>68472999</v>
      </c>
      <c r="K251" s="313"/>
    </row>
    <row r="252" spans="3:11">
      <c r="C252" s="316" t="s">
        <v>461</v>
      </c>
      <c r="D252" s="316" t="s">
        <v>358</v>
      </c>
      <c r="E252" s="316" t="s">
        <v>588</v>
      </c>
      <c r="F252" s="316" t="s">
        <v>64</v>
      </c>
      <c r="G252" s="316" t="s">
        <v>64</v>
      </c>
      <c r="H252" s="316" t="s">
        <v>507</v>
      </c>
      <c r="I252" s="316" t="s">
        <v>94</v>
      </c>
      <c r="J252" s="317">
        <v>398368860</v>
      </c>
      <c r="K252" s="313"/>
    </row>
    <row r="253" spans="3:11">
      <c r="C253" s="314" t="s">
        <v>461</v>
      </c>
      <c r="D253" s="314" t="s">
        <v>366</v>
      </c>
      <c r="E253" s="314" t="s">
        <v>591</v>
      </c>
      <c r="F253" s="314" t="s">
        <v>64</v>
      </c>
      <c r="G253" s="314" t="s">
        <v>64</v>
      </c>
      <c r="H253" s="314" t="s">
        <v>507</v>
      </c>
      <c r="I253" s="314" t="s">
        <v>94</v>
      </c>
      <c r="J253" s="315">
        <v>735588</v>
      </c>
      <c r="K253" s="313"/>
    </row>
    <row r="254" spans="3:11">
      <c r="C254" s="316" t="s">
        <v>461</v>
      </c>
      <c r="D254" s="316" t="s">
        <v>365</v>
      </c>
      <c r="E254" s="316" t="s">
        <v>592</v>
      </c>
      <c r="F254" s="316" t="s">
        <v>64</v>
      </c>
      <c r="G254" s="316" t="s">
        <v>64</v>
      </c>
      <c r="H254" s="316" t="s">
        <v>507</v>
      </c>
      <c r="I254" s="316" t="s">
        <v>94</v>
      </c>
      <c r="J254" s="317">
        <v>11174400</v>
      </c>
      <c r="K254" s="313"/>
    </row>
    <row r="255" spans="3:11">
      <c r="C255" s="313" t="s">
        <v>593</v>
      </c>
      <c r="D255" s="313"/>
      <c r="E255" s="313"/>
      <c r="F255" s="313"/>
      <c r="G255" s="313"/>
      <c r="H255" s="313"/>
      <c r="I255" s="313"/>
      <c r="J255" s="319">
        <f>SUM(J179:J254)</f>
        <v>26938715425</v>
      </c>
      <c r="K255" s="313"/>
    </row>
    <row r="256" spans="3:11">
      <c r="C256" s="313"/>
      <c r="D256" s="313"/>
      <c r="E256" s="313"/>
      <c r="F256" s="313"/>
      <c r="G256" s="313"/>
      <c r="H256" s="313"/>
      <c r="I256" s="313"/>
      <c r="J256" s="313"/>
      <c r="K256" s="313"/>
    </row>
    <row r="257" spans="3:11">
      <c r="C257" s="313"/>
      <c r="D257" s="313"/>
      <c r="E257" s="313"/>
      <c r="F257" s="313"/>
      <c r="G257" s="313"/>
      <c r="H257" s="313"/>
      <c r="I257" s="313"/>
      <c r="J257" s="313"/>
      <c r="K257" s="313"/>
    </row>
    <row r="258" spans="3:11">
      <c r="C258" s="313"/>
      <c r="D258" s="313"/>
      <c r="E258" s="313"/>
      <c r="F258" s="313"/>
      <c r="G258" s="313"/>
      <c r="H258" s="313"/>
      <c r="I258" s="313"/>
      <c r="J258" s="313"/>
      <c r="K258" s="313"/>
    </row>
    <row r="259" spans="3:11">
      <c r="C259" s="313"/>
      <c r="D259" s="313"/>
      <c r="E259" s="313"/>
      <c r="F259" s="313"/>
      <c r="G259" s="313"/>
      <c r="H259" s="313"/>
      <c r="I259" s="313"/>
      <c r="J259" s="313"/>
      <c r="K259" s="313"/>
    </row>
    <row r="260" spans="3:11">
      <c r="C260" s="313"/>
      <c r="D260" s="313"/>
      <c r="E260" s="313"/>
      <c r="F260" s="313"/>
      <c r="G260" s="313"/>
      <c r="H260" s="313"/>
      <c r="I260" s="313"/>
      <c r="J260" s="313"/>
      <c r="K260" s="313"/>
    </row>
    <row r="261" spans="3:11">
      <c r="C261" s="313"/>
      <c r="D261" s="313"/>
      <c r="E261" s="313"/>
      <c r="F261" s="313"/>
      <c r="G261" s="313"/>
      <c r="H261" s="313"/>
      <c r="I261" s="313"/>
      <c r="J261" s="313"/>
      <c r="K261" s="313"/>
    </row>
    <row r="262" spans="3:11">
      <c r="C262" s="313"/>
      <c r="D262" s="313"/>
      <c r="E262" s="313"/>
      <c r="F262" s="313"/>
      <c r="G262" s="313"/>
      <c r="H262" s="313"/>
      <c r="I262" s="313"/>
      <c r="J262" s="313"/>
      <c r="K262" s="313"/>
    </row>
    <row r="263" spans="3:11">
      <c r="C263" s="313"/>
      <c r="D263" s="313"/>
      <c r="E263" s="313"/>
      <c r="F263" s="313"/>
      <c r="G263" s="313"/>
      <c r="H263" s="313"/>
      <c r="I263" s="313"/>
      <c r="J263" s="313"/>
      <c r="K263" s="313"/>
    </row>
    <row r="264" spans="3:11">
      <c r="C264" s="313"/>
      <c r="D264" s="313"/>
      <c r="E264" s="313"/>
      <c r="F264" s="313"/>
      <c r="G264" s="313"/>
      <c r="H264" s="313"/>
      <c r="I264" s="313"/>
      <c r="J264" s="313"/>
      <c r="K264" s="313"/>
    </row>
    <row r="265" spans="3:11">
      <c r="C265" s="313"/>
      <c r="D265" s="313"/>
      <c r="E265" s="313"/>
      <c r="F265" s="313"/>
      <c r="G265" s="313"/>
      <c r="H265" s="313"/>
      <c r="I265" s="313"/>
      <c r="J265" s="313"/>
      <c r="K265" s="313"/>
    </row>
    <row r="266" spans="3:11">
      <c r="C266" s="313"/>
      <c r="D266" s="313"/>
      <c r="E266" s="313"/>
      <c r="F266" s="313"/>
      <c r="G266" s="313"/>
      <c r="H266" s="313"/>
      <c r="I266" s="313"/>
      <c r="J266" s="313"/>
      <c r="K266" s="313"/>
    </row>
    <row r="267" spans="3:11">
      <c r="C267" s="313"/>
      <c r="D267" s="313"/>
      <c r="E267" s="313"/>
      <c r="F267" s="313"/>
      <c r="G267" s="313"/>
      <c r="H267" s="313"/>
      <c r="I267" s="313"/>
      <c r="J267" s="313"/>
      <c r="K267" s="313"/>
    </row>
    <row r="268" spans="3:11">
      <c r="C268" s="313"/>
      <c r="D268" s="313"/>
      <c r="E268" s="313"/>
      <c r="F268" s="313"/>
      <c r="G268" s="313"/>
      <c r="H268" s="313"/>
      <c r="I268" s="313"/>
      <c r="J268" s="313"/>
      <c r="K268" s="313"/>
    </row>
    <row r="269" spans="3:11">
      <c r="C269" s="313" t="s">
        <v>594</v>
      </c>
      <c r="D269" s="313"/>
      <c r="E269" s="313"/>
      <c r="F269" s="313"/>
      <c r="G269" s="313"/>
      <c r="H269" s="313"/>
      <c r="I269" s="313"/>
      <c r="J269" s="313"/>
      <c r="K269" s="313"/>
    </row>
    <row r="270" spans="3:11">
      <c r="C270" s="313"/>
      <c r="D270" s="313"/>
      <c r="E270" s="313"/>
      <c r="F270" s="313"/>
      <c r="G270" s="313"/>
      <c r="H270" s="313"/>
      <c r="I270" s="313"/>
      <c r="J270" s="313"/>
      <c r="K270" s="313"/>
    </row>
    <row r="271" spans="3:11">
      <c r="C271" s="314" t="s">
        <v>385</v>
      </c>
      <c r="D271" s="314" t="s">
        <v>358</v>
      </c>
      <c r="E271" s="314" t="s">
        <v>596</v>
      </c>
      <c r="F271" s="314" t="s">
        <v>71</v>
      </c>
      <c r="G271" s="314" t="s">
        <v>71</v>
      </c>
      <c r="H271" s="314"/>
      <c r="I271" s="314" t="s">
        <v>94</v>
      </c>
      <c r="J271" s="315">
        <v>278945</v>
      </c>
      <c r="K271" s="219"/>
    </row>
    <row r="272" spans="3:11">
      <c r="C272" s="316" t="s">
        <v>390</v>
      </c>
      <c r="D272" s="316" t="s">
        <v>358</v>
      </c>
      <c r="E272" s="316" t="s">
        <v>596</v>
      </c>
      <c r="F272" s="316" t="s">
        <v>71</v>
      </c>
      <c r="G272" s="316" t="s">
        <v>71</v>
      </c>
      <c r="H272" s="316"/>
      <c r="I272" s="316" t="s">
        <v>94</v>
      </c>
      <c r="J272" s="317">
        <v>67592995</v>
      </c>
      <c r="K272" s="219"/>
    </row>
    <row r="273" spans="3:11">
      <c r="C273" s="314" t="s">
        <v>394</v>
      </c>
      <c r="D273" s="314" t="s">
        <v>358</v>
      </c>
      <c r="E273" s="314" t="s">
        <v>597</v>
      </c>
      <c r="F273" s="314" t="s">
        <v>64</v>
      </c>
      <c r="G273" s="314" t="s">
        <v>64</v>
      </c>
      <c r="H273" s="314" t="s">
        <v>474</v>
      </c>
      <c r="I273" s="314" t="s">
        <v>94</v>
      </c>
      <c r="J273" s="315">
        <v>387349761</v>
      </c>
      <c r="K273" s="219"/>
    </row>
    <row r="274" spans="3:11">
      <c r="C274" s="316" t="s">
        <v>394</v>
      </c>
      <c r="D274" s="316" t="s">
        <v>358</v>
      </c>
      <c r="E274" s="316" t="s">
        <v>596</v>
      </c>
      <c r="F274" s="316" t="s">
        <v>64</v>
      </c>
      <c r="G274" s="316" t="s">
        <v>64</v>
      </c>
      <c r="H274" s="316" t="s">
        <v>474</v>
      </c>
      <c r="I274" s="316" t="s">
        <v>94</v>
      </c>
      <c r="J274" s="317">
        <v>30370439</v>
      </c>
      <c r="K274" s="219"/>
    </row>
    <row r="275" spans="3:11">
      <c r="C275" s="314" t="s">
        <v>398</v>
      </c>
      <c r="D275" s="314" t="s">
        <v>358</v>
      </c>
      <c r="E275" s="314" t="s">
        <v>596</v>
      </c>
      <c r="F275" s="314" t="s">
        <v>71</v>
      </c>
      <c r="G275" s="314" t="s">
        <v>71</v>
      </c>
      <c r="H275" s="314"/>
      <c r="I275" s="314" t="s">
        <v>94</v>
      </c>
      <c r="J275" s="315">
        <v>3888045</v>
      </c>
      <c r="K275" s="219"/>
    </row>
    <row r="276" spans="3:11">
      <c r="C276" s="316" t="s">
        <v>401</v>
      </c>
      <c r="D276" s="316" t="s">
        <v>358</v>
      </c>
      <c r="E276" s="316" t="s">
        <v>597</v>
      </c>
      <c r="F276" s="316" t="s">
        <v>64</v>
      </c>
      <c r="G276" s="316" t="s">
        <v>64</v>
      </c>
      <c r="H276" s="316" t="s">
        <v>478</v>
      </c>
      <c r="I276" s="316" t="s">
        <v>94</v>
      </c>
      <c r="J276" s="317">
        <v>503024309</v>
      </c>
      <c r="K276" s="219"/>
    </row>
    <row r="277" spans="3:11">
      <c r="C277" s="314" t="s">
        <v>401</v>
      </c>
      <c r="D277" s="314" t="s">
        <v>358</v>
      </c>
      <c r="E277" s="314" t="s">
        <v>596</v>
      </c>
      <c r="F277" s="314" t="s">
        <v>64</v>
      </c>
      <c r="G277" s="314" t="s">
        <v>64</v>
      </c>
      <c r="H277" s="314" t="s">
        <v>478</v>
      </c>
      <c r="I277" s="314" t="s">
        <v>94</v>
      </c>
      <c r="J277" s="315">
        <v>2016180</v>
      </c>
      <c r="K277" s="219"/>
    </row>
    <row r="278" spans="3:11">
      <c r="C278" s="316" t="s">
        <v>405</v>
      </c>
      <c r="D278" s="316" t="s">
        <v>358</v>
      </c>
      <c r="E278" s="316" t="s">
        <v>597</v>
      </c>
      <c r="F278" s="316" t="s">
        <v>64</v>
      </c>
      <c r="G278" s="316" t="s">
        <v>64</v>
      </c>
      <c r="H278" s="316" t="s">
        <v>483</v>
      </c>
      <c r="I278" s="316" t="s">
        <v>94</v>
      </c>
      <c r="J278" s="317">
        <v>32797631</v>
      </c>
      <c r="K278" s="219"/>
    </row>
    <row r="279" spans="3:11">
      <c r="C279" s="314" t="s">
        <v>405</v>
      </c>
      <c r="D279" s="314" t="s">
        <v>358</v>
      </c>
      <c r="E279" s="314" t="s">
        <v>596</v>
      </c>
      <c r="F279" s="314" t="s">
        <v>64</v>
      </c>
      <c r="G279" s="314" t="s">
        <v>64</v>
      </c>
      <c r="H279" s="314" t="s">
        <v>483</v>
      </c>
      <c r="I279" s="314" t="s">
        <v>94</v>
      </c>
      <c r="J279" s="315">
        <v>5176469</v>
      </c>
      <c r="K279" s="219"/>
    </row>
    <row r="280" spans="3:11">
      <c r="C280" s="316" t="s">
        <v>408</v>
      </c>
      <c r="D280" s="316" t="s">
        <v>358</v>
      </c>
      <c r="E280" s="316" t="s">
        <v>596</v>
      </c>
      <c r="F280" s="316" t="s">
        <v>64</v>
      </c>
      <c r="G280" s="316" t="s">
        <v>64</v>
      </c>
      <c r="H280" s="316" t="s">
        <v>479</v>
      </c>
      <c r="I280" s="316" t="s">
        <v>94</v>
      </c>
      <c r="J280" s="317">
        <v>65698881</v>
      </c>
      <c r="K280" s="219"/>
    </row>
    <row r="281" spans="3:11">
      <c r="C281" s="314" t="s">
        <v>412</v>
      </c>
      <c r="D281" s="314" t="s">
        <v>358</v>
      </c>
      <c r="E281" s="314" t="s">
        <v>597</v>
      </c>
      <c r="F281" s="314" t="s">
        <v>64</v>
      </c>
      <c r="G281" s="314" t="s">
        <v>64</v>
      </c>
      <c r="H281" s="314" t="s">
        <v>488</v>
      </c>
      <c r="I281" s="314" t="s">
        <v>94</v>
      </c>
      <c r="J281" s="315">
        <v>126182424</v>
      </c>
      <c r="K281" s="219"/>
    </row>
    <row r="282" spans="3:11">
      <c r="C282" s="316" t="s">
        <v>412</v>
      </c>
      <c r="D282" s="316" t="s">
        <v>358</v>
      </c>
      <c r="E282" s="316" t="s">
        <v>596</v>
      </c>
      <c r="F282" s="316" t="s">
        <v>64</v>
      </c>
      <c r="G282" s="316" t="s">
        <v>64</v>
      </c>
      <c r="H282" s="316" t="s">
        <v>488</v>
      </c>
      <c r="I282" s="316" t="s">
        <v>94</v>
      </c>
      <c r="J282" s="317">
        <v>2203688</v>
      </c>
      <c r="K282" s="219"/>
    </row>
    <row r="283" spans="3:11">
      <c r="C283" s="314" t="s">
        <v>416</v>
      </c>
      <c r="D283" s="314" t="s">
        <v>358</v>
      </c>
      <c r="E283" s="314" t="s">
        <v>597</v>
      </c>
      <c r="F283" s="314" t="s">
        <v>64</v>
      </c>
      <c r="G283" s="314" t="s">
        <v>64</v>
      </c>
      <c r="H283" s="314" t="s">
        <v>477</v>
      </c>
      <c r="I283" s="314" t="s">
        <v>94</v>
      </c>
      <c r="J283" s="315">
        <v>552596336.21000004</v>
      </c>
      <c r="K283" s="219"/>
    </row>
    <row r="284" spans="3:11">
      <c r="C284" s="316" t="s">
        <v>416</v>
      </c>
      <c r="D284" s="316" t="s">
        <v>358</v>
      </c>
      <c r="E284" s="316" t="s">
        <v>597</v>
      </c>
      <c r="F284" s="316" t="s">
        <v>71</v>
      </c>
      <c r="G284" s="316" t="s">
        <v>71</v>
      </c>
      <c r="H284" s="316"/>
      <c r="I284" s="316" t="s">
        <v>94</v>
      </c>
      <c r="J284" s="317">
        <v>131158391</v>
      </c>
      <c r="K284" s="219"/>
    </row>
    <row r="285" spans="3:11">
      <c r="C285" s="314" t="s">
        <v>416</v>
      </c>
      <c r="D285" s="314" t="s">
        <v>358</v>
      </c>
      <c r="E285" s="314" t="s">
        <v>596</v>
      </c>
      <c r="F285" s="314" t="s">
        <v>64</v>
      </c>
      <c r="G285" s="314" t="s">
        <v>64</v>
      </c>
      <c r="H285" s="314" t="s">
        <v>477</v>
      </c>
      <c r="I285" s="314" t="s">
        <v>94</v>
      </c>
      <c r="J285" s="315">
        <v>6703299</v>
      </c>
      <c r="K285" s="219"/>
    </row>
    <row r="286" spans="3:11">
      <c r="C286" s="316" t="s">
        <v>420</v>
      </c>
      <c r="D286" s="316" t="s">
        <v>358</v>
      </c>
      <c r="E286" s="316" t="s">
        <v>597</v>
      </c>
      <c r="F286" s="316" t="s">
        <v>64</v>
      </c>
      <c r="G286" s="316" t="s">
        <v>64</v>
      </c>
      <c r="H286" s="316" t="s">
        <v>482</v>
      </c>
      <c r="I286" s="316" t="s">
        <v>94</v>
      </c>
      <c r="J286" s="317">
        <v>103254380</v>
      </c>
      <c r="K286" s="219"/>
    </row>
    <row r="287" spans="3:11">
      <c r="C287" s="314" t="s">
        <v>420</v>
      </c>
      <c r="D287" s="314" t="s">
        <v>358</v>
      </c>
      <c r="E287" s="314" t="s">
        <v>596</v>
      </c>
      <c r="F287" s="314" t="s">
        <v>64</v>
      </c>
      <c r="G287" s="314" t="s">
        <v>64</v>
      </c>
      <c r="H287" s="314" t="s">
        <v>482</v>
      </c>
      <c r="I287" s="314" t="s">
        <v>94</v>
      </c>
      <c r="J287" s="315">
        <v>2201774</v>
      </c>
      <c r="K287" s="219"/>
    </row>
    <row r="288" spans="3:11">
      <c r="C288" s="316" t="s">
        <v>422</v>
      </c>
      <c r="D288" s="316" t="s">
        <v>358</v>
      </c>
      <c r="E288" s="316" t="s">
        <v>597</v>
      </c>
      <c r="F288" s="316" t="s">
        <v>71</v>
      </c>
      <c r="G288" s="316" t="s">
        <v>71</v>
      </c>
      <c r="H288" s="316"/>
      <c r="I288" s="316" t="s">
        <v>94</v>
      </c>
      <c r="J288" s="317">
        <v>638611922</v>
      </c>
      <c r="K288" s="219"/>
    </row>
    <row r="289" spans="3:11">
      <c r="C289" s="314" t="s">
        <v>422</v>
      </c>
      <c r="D289" s="314" t="s">
        <v>358</v>
      </c>
      <c r="E289" s="314" t="s">
        <v>596</v>
      </c>
      <c r="F289" s="314" t="s">
        <v>71</v>
      </c>
      <c r="G289" s="314" t="s">
        <v>71</v>
      </c>
      <c r="H289" s="314"/>
      <c r="I289" s="314" t="s">
        <v>94</v>
      </c>
      <c r="J289" s="315">
        <v>1374540</v>
      </c>
      <c r="K289" s="219"/>
    </row>
    <row r="290" spans="3:11">
      <c r="C290" s="316" t="s">
        <v>425</v>
      </c>
      <c r="D290" s="316" t="s">
        <v>358</v>
      </c>
      <c r="E290" s="316" t="s">
        <v>597</v>
      </c>
      <c r="F290" s="316" t="s">
        <v>64</v>
      </c>
      <c r="G290" s="316" t="s">
        <v>64</v>
      </c>
      <c r="H290" s="316" t="s">
        <v>495</v>
      </c>
      <c r="I290" s="316" t="s">
        <v>94</v>
      </c>
      <c r="J290" s="317">
        <v>465081</v>
      </c>
      <c r="K290" s="219"/>
    </row>
    <row r="291" spans="3:11">
      <c r="C291" s="314" t="s">
        <v>425</v>
      </c>
      <c r="D291" s="314" t="s">
        <v>358</v>
      </c>
      <c r="E291" s="314" t="s">
        <v>596</v>
      </c>
      <c r="F291" s="314" t="s">
        <v>64</v>
      </c>
      <c r="G291" s="314" t="s">
        <v>64</v>
      </c>
      <c r="H291" s="314" t="s">
        <v>495</v>
      </c>
      <c r="I291" s="314" t="s">
        <v>94</v>
      </c>
      <c r="J291" s="315">
        <v>1817613</v>
      </c>
      <c r="K291" s="219"/>
    </row>
    <row r="292" spans="3:11">
      <c r="C292" s="316" t="s">
        <v>427</v>
      </c>
      <c r="D292" s="316" t="s">
        <v>358</v>
      </c>
      <c r="E292" s="316" t="s">
        <v>597</v>
      </c>
      <c r="F292" s="316" t="s">
        <v>64</v>
      </c>
      <c r="G292" s="316" t="s">
        <v>64</v>
      </c>
      <c r="H292" s="316" t="s">
        <v>474</v>
      </c>
      <c r="I292" s="316" t="s">
        <v>94</v>
      </c>
      <c r="J292" s="317">
        <v>1626910</v>
      </c>
      <c r="K292" s="219"/>
    </row>
    <row r="293" spans="3:11">
      <c r="C293" s="314" t="s">
        <v>429</v>
      </c>
      <c r="D293" s="314" t="s">
        <v>358</v>
      </c>
      <c r="E293" s="314" t="s">
        <v>597</v>
      </c>
      <c r="F293" s="314" t="s">
        <v>64</v>
      </c>
      <c r="G293" s="314" t="s">
        <v>64</v>
      </c>
      <c r="H293" s="314" t="s">
        <v>481</v>
      </c>
      <c r="I293" s="314" t="s">
        <v>94</v>
      </c>
      <c r="J293" s="315">
        <v>90000</v>
      </c>
      <c r="K293" s="219"/>
    </row>
    <row r="294" spans="3:11">
      <c r="C294" s="316" t="s">
        <v>429</v>
      </c>
      <c r="D294" s="316" t="s">
        <v>358</v>
      </c>
      <c r="E294" s="316" t="s">
        <v>596</v>
      </c>
      <c r="F294" s="316" t="s">
        <v>64</v>
      </c>
      <c r="G294" s="316" t="s">
        <v>64</v>
      </c>
      <c r="H294" s="316" t="s">
        <v>481</v>
      </c>
      <c r="I294" s="316" t="s">
        <v>94</v>
      </c>
      <c r="J294" s="317">
        <v>9726732</v>
      </c>
      <c r="K294" s="219"/>
    </row>
    <row r="295" spans="3:11">
      <c r="C295" s="314" t="s">
        <v>430</v>
      </c>
      <c r="D295" s="314" t="s">
        <v>358</v>
      </c>
      <c r="E295" s="314" t="s">
        <v>596</v>
      </c>
      <c r="F295" s="314" t="s">
        <v>64</v>
      </c>
      <c r="G295" s="314" t="s">
        <v>64</v>
      </c>
      <c r="H295" s="314" t="s">
        <v>497</v>
      </c>
      <c r="I295" s="314" t="s">
        <v>94</v>
      </c>
      <c r="J295" s="315">
        <v>635842</v>
      </c>
      <c r="K295" s="219"/>
    </row>
    <row r="296" spans="3:11">
      <c r="C296" s="316" t="s">
        <v>432</v>
      </c>
      <c r="D296" s="316" t="s">
        <v>358</v>
      </c>
      <c r="E296" s="316" t="s">
        <v>596</v>
      </c>
      <c r="F296" s="316" t="s">
        <v>71</v>
      </c>
      <c r="G296" s="316" t="s">
        <v>71</v>
      </c>
      <c r="H296" s="316"/>
      <c r="I296" s="316" t="s">
        <v>94</v>
      </c>
      <c r="J296" s="317">
        <v>2331725</v>
      </c>
      <c r="K296" s="219"/>
    </row>
    <row r="297" spans="3:11">
      <c r="C297" s="314" t="s">
        <v>439</v>
      </c>
      <c r="D297" s="314" t="s">
        <v>358</v>
      </c>
      <c r="E297" s="314" t="s">
        <v>597</v>
      </c>
      <c r="F297" s="314" t="s">
        <v>64</v>
      </c>
      <c r="G297" s="314" t="s">
        <v>64</v>
      </c>
      <c r="H297" s="314" t="s">
        <v>489</v>
      </c>
      <c r="I297" s="314" t="s">
        <v>94</v>
      </c>
      <c r="J297" s="315">
        <v>114411506</v>
      </c>
      <c r="K297" s="219"/>
    </row>
    <row r="298" spans="3:11">
      <c r="C298" s="316" t="s">
        <v>439</v>
      </c>
      <c r="D298" s="316" t="s">
        <v>358</v>
      </c>
      <c r="E298" s="316" t="s">
        <v>597</v>
      </c>
      <c r="F298" s="316" t="s">
        <v>64</v>
      </c>
      <c r="G298" s="316" t="s">
        <v>64</v>
      </c>
      <c r="H298" s="316" t="s">
        <v>490</v>
      </c>
      <c r="I298" s="316" t="s">
        <v>94</v>
      </c>
      <c r="J298" s="317">
        <v>18555168</v>
      </c>
      <c r="K298" s="219"/>
    </row>
    <row r="299" spans="3:11">
      <c r="C299" s="314" t="s">
        <v>439</v>
      </c>
      <c r="D299" s="314" t="s">
        <v>358</v>
      </c>
      <c r="E299" s="314" t="s">
        <v>596</v>
      </c>
      <c r="F299" s="314" t="s">
        <v>64</v>
      </c>
      <c r="G299" s="314" t="s">
        <v>64</v>
      </c>
      <c r="H299" s="314" t="s">
        <v>489</v>
      </c>
      <c r="I299" s="314" t="s">
        <v>94</v>
      </c>
      <c r="J299" s="315">
        <v>3555628</v>
      </c>
      <c r="K299" s="219"/>
    </row>
    <row r="300" spans="3:11">
      <c r="C300" s="316" t="s">
        <v>439</v>
      </c>
      <c r="D300" s="316" t="s">
        <v>358</v>
      </c>
      <c r="E300" s="316" t="s">
        <v>596</v>
      </c>
      <c r="F300" s="316" t="s">
        <v>64</v>
      </c>
      <c r="G300" s="316" t="s">
        <v>64</v>
      </c>
      <c r="H300" s="316" t="s">
        <v>490</v>
      </c>
      <c r="I300" s="316" t="s">
        <v>94</v>
      </c>
      <c r="J300" s="317">
        <v>981224</v>
      </c>
      <c r="K300" s="219"/>
    </row>
    <row r="301" spans="3:11">
      <c r="C301" s="314" t="s">
        <v>443</v>
      </c>
      <c r="D301" s="314" t="s">
        <v>358</v>
      </c>
      <c r="E301" s="314" t="s">
        <v>597</v>
      </c>
      <c r="F301" s="314" t="s">
        <v>71</v>
      </c>
      <c r="G301" s="314" t="s">
        <v>71</v>
      </c>
      <c r="H301" s="314"/>
      <c r="I301" s="314" t="s">
        <v>94</v>
      </c>
      <c r="J301" s="315">
        <v>6281838</v>
      </c>
      <c r="K301" s="219"/>
    </row>
    <row r="302" spans="3:11">
      <c r="C302" s="316" t="s">
        <v>443</v>
      </c>
      <c r="D302" s="316" t="s">
        <v>358</v>
      </c>
      <c r="E302" s="316" t="s">
        <v>596</v>
      </c>
      <c r="F302" s="316" t="s">
        <v>71</v>
      </c>
      <c r="G302" s="316" t="s">
        <v>71</v>
      </c>
      <c r="H302" s="316"/>
      <c r="I302" s="316" t="s">
        <v>94</v>
      </c>
      <c r="J302" s="317">
        <v>1414674</v>
      </c>
      <c r="K302" s="219"/>
    </row>
    <row r="303" spans="3:11">
      <c r="C303" s="314" t="s">
        <v>448</v>
      </c>
      <c r="D303" s="314" t="s">
        <v>358</v>
      </c>
      <c r="E303" s="314" t="s">
        <v>597</v>
      </c>
      <c r="F303" s="314" t="s">
        <v>64</v>
      </c>
      <c r="G303" s="314" t="s">
        <v>64</v>
      </c>
      <c r="H303" s="314" t="s">
        <v>500</v>
      </c>
      <c r="I303" s="314" t="s">
        <v>94</v>
      </c>
      <c r="J303" s="315">
        <v>3325563</v>
      </c>
      <c r="K303" s="219"/>
    </row>
    <row r="304" spans="3:11">
      <c r="C304" s="316" t="s">
        <v>456</v>
      </c>
      <c r="D304" s="316" t="s">
        <v>358</v>
      </c>
      <c r="E304" s="316" t="s">
        <v>597</v>
      </c>
      <c r="F304" s="316" t="s">
        <v>64</v>
      </c>
      <c r="G304" s="316" t="s">
        <v>64</v>
      </c>
      <c r="H304" s="316" t="s">
        <v>503</v>
      </c>
      <c r="I304" s="316" t="s">
        <v>94</v>
      </c>
      <c r="J304" s="317">
        <v>1112674849</v>
      </c>
      <c r="K304" s="219"/>
    </row>
    <row r="305" spans="3:11">
      <c r="C305" s="314" t="s">
        <v>456</v>
      </c>
      <c r="D305" s="314" t="s">
        <v>358</v>
      </c>
      <c r="E305" s="314" t="s">
        <v>596</v>
      </c>
      <c r="F305" s="314" t="s">
        <v>64</v>
      </c>
      <c r="G305" s="314" t="s">
        <v>64</v>
      </c>
      <c r="H305" s="314" t="s">
        <v>503</v>
      </c>
      <c r="I305" s="314" t="s">
        <v>94</v>
      </c>
      <c r="J305" s="315">
        <v>1180000</v>
      </c>
      <c r="K305" s="219"/>
    </row>
    <row r="306" spans="3:11">
      <c r="C306" s="316" t="s">
        <v>458</v>
      </c>
      <c r="D306" s="316" t="s">
        <v>358</v>
      </c>
      <c r="E306" s="316" t="s">
        <v>597</v>
      </c>
      <c r="F306" s="316" t="s">
        <v>71</v>
      </c>
      <c r="G306" s="316" t="s">
        <v>71</v>
      </c>
      <c r="H306" s="316"/>
      <c r="I306" s="316" t="s">
        <v>94</v>
      </c>
      <c r="J306" s="317">
        <v>943797114</v>
      </c>
      <c r="K306" s="219"/>
    </row>
    <row r="307" spans="3:11">
      <c r="C307" s="314" t="s">
        <v>458</v>
      </c>
      <c r="D307" s="314" t="s">
        <v>358</v>
      </c>
      <c r="E307" s="314" t="s">
        <v>596</v>
      </c>
      <c r="F307" s="314" t="s">
        <v>71</v>
      </c>
      <c r="G307" s="314" t="s">
        <v>71</v>
      </c>
      <c r="H307" s="314"/>
      <c r="I307" s="314" t="s">
        <v>94</v>
      </c>
      <c r="J307" s="315">
        <v>24516293.704999924</v>
      </c>
      <c r="K307" s="219"/>
    </row>
    <row r="308" spans="3:11">
      <c r="C308" s="316" t="s">
        <v>461</v>
      </c>
      <c r="D308" s="316" t="s">
        <v>358</v>
      </c>
      <c r="E308" s="316" t="s">
        <v>597</v>
      </c>
      <c r="F308" s="316" t="s">
        <v>64</v>
      </c>
      <c r="G308" s="316" t="s">
        <v>64</v>
      </c>
      <c r="H308" s="316" t="s">
        <v>507</v>
      </c>
      <c r="I308" s="316" t="s">
        <v>94</v>
      </c>
      <c r="J308" s="317">
        <v>1353971321</v>
      </c>
      <c r="K308" s="219"/>
    </row>
    <row r="309" spans="3:11">
      <c r="C309" s="314" t="s">
        <v>461</v>
      </c>
      <c r="D309" s="314" t="s">
        <v>358</v>
      </c>
      <c r="E309" s="314" t="s">
        <v>596</v>
      </c>
      <c r="F309" s="314" t="s">
        <v>64</v>
      </c>
      <c r="G309" s="314" t="s">
        <v>64</v>
      </c>
      <c r="H309" s="314" t="s">
        <v>507</v>
      </c>
      <c r="I309" s="314" t="s">
        <v>94</v>
      </c>
      <c r="J309" s="315">
        <v>90590</v>
      </c>
      <c r="K309" s="219"/>
    </row>
    <row r="310" spans="3:11">
      <c r="C310" s="314" t="s">
        <v>390</v>
      </c>
      <c r="D310" s="314" t="s">
        <v>358</v>
      </c>
      <c r="E310" s="314" t="s">
        <v>595</v>
      </c>
      <c r="F310" s="314" t="s">
        <v>71</v>
      </c>
      <c r="G310" s="314" t="s">
        <v>71</v>
      </c>
      <c r="H310" s="314"/>
      <c r="I310" s="314" t="s">
        <v>94</v>
      </c>
      <c r="J310" s="315">
        <v>158230101</v>
      </c>
      <c r="K310" s="219"/>
    </row>
    <row r="311" spans="3:11">
      <c r="C311" s="316" t="s">
        <v>398</v>
      </c>
      <c r="D311" s="316" t="s">
        <v>358</v>
      </c>
      <c r="E311" s="316" t="s">
        <v>595</v>
      </c>
      <c r="F311" s="316" t="s">
        <v>71</v>
      </c>
      <c r="G311" s="316" t="s">
        <v>71</v>
      </c>
      <c r="H311" s="316"/>
      <c r="I311" s="316" t="s">
        <v>94</v>
      </c>
      <c r="J311" s="317">
        <v>1144511587</v>
      </c>
      <c r="K311" s="219"/>
    </row>
    <row r="312" spans="3:11">
      <c r="C312" s="314" t="s">
        <v>412</v>
      </c>
      <c r="D312" s="314" t="s">
        <v>358</v>
      </c>
      <c r="E312" s="314" t="s">
        <v>595</v>
      </c>
      <c r="F312" s="314" t="s">
        <v>64</v>
      </c>
      <c r="G312" s="314" t="s">
        <v>64</v>
      </c>
      <c r="H312" s="314" t="s">
        <v>488</v>
      </c>
      <c r="I312" s="314" t="s">
        <v>94</v>
      </c>
      <c r="J312" s="315">
        <v>105926293</v>
      </c>
      <c r="K312" s="219"/>
    </row>
    <row r="313" spans="3:11">
      <c r="C313" s="316" t="s">
        <v>439</v>
      </c>
      <c r="D313" s="316" t="s">
        <v>358</v>
      </c>
      <c r="E313" s="316" t="s">
        <v>595</v>
      </c>
      <c r="F313" s="316" t="s">
        <v>64</v>
      </c>
      <c r="G313" s="316" t="s">
        <v>64</v>
      </c>
      <c r="H313" s="316" t="s">
        <v>489</v>
      </c>
      <c r="I313" s="316" t="s">
        <v>94</v>
      </c>
      <c r="J313" s="317">
        <v>141535683</v>
      </c>
      <c r="K313" s="219"/>
    </row>
    <row r="314" spans="3:11">
      <c r="C314" s="314" t="s">
        <v>439</v>
      </c>
      <c r="D314" s="314" t="s">
        <v>358</v>
      </c>
      <c r="E314" s="314" t="s">
        <v>595</v>
      </c>
      <c r="F314" s="314" t="s">
        <v>64</v>
      </c>
      <c r="G314" s="314" t="s">
        <v>64</v>
      </c>
      <c r="H314" s="314" t="s">
        <v>490</v>
      </c>
      <c r="I314" s="314" t="s">
        <v>94</v>
      </c>
      <c r="J314" s="315">
        <v>22266202</v>
      </c>
      <c r="K314" s="219"/>
    </row>
    <row r="315" spans="3:11">
      <c r="C315" s="316" t="s">
        <v>443</v>
      </c>
      <c r="D315" s="316" t="s">
        <v>358</v>
      </c>
      <c r="E315" s="316" t="s">
        <v>595</v>
      </c>
      <c r="F315" s="316" t="s">
        <v>71</v>
      </c>
      <c r="G315" s="316" t="s">
        <v>71</v>
      </c>
      <c r="H315" s="316"/>
      <c r="I315" s="316" t="s">
        <v>94</v>
      </c>
      <c r="J315" s="317">
        <v>14503917</v>
      </c>
      <c r="K315" s="219"/>
    </row>
    <row r="316" spans="3:11">
      <c r="C316" s="320" t="s">
        <v>593</v>
      </c>
      <c r="D316" s="219"/>
      <c r="E316" s="219"/>
      <c r="F316" s="219"/>
      <c r="G316" s="219"/>
      <c r="H316" s="219"/>
      <c r="I316" s="219"/>
      <c r="J316" s="322">
        <f>SUM(J271:J315)</f>
        <v>7850903863.915</v>
      </c>
      <c r="K316" s="219"/>
    </row>
    <row r="317" spans="3:11">
      <c r="C317" s="218"/>
      <c r="D317" s="219"/>
      <c r="E317" s="219"/>
      <c r="F317" s="219"/>
      <c r="G317" s="219"/>
      <c r="H317" s="219"/>
      <c r="I317" s="219"/>
      <c r="J317" s="219"/>
      <c r="K317" s="219"/>
    </row>
    <row r="318" spans="3:11">
      <c r="C318" s="218" t="s">
        <v>619</v>
      </c>
      <c r="D318" s="219"/>
      <c r="E318" s="219"/>
      <c r="F318" s="219"/>
      <c r="G318" s="219"/>
      <c r="H318" s="219"/>
      <c r="I318" s="219"/>
      <c r="J318" s="321">
        <f>SUM(J316,J255,K171)</f>
        <v>176236794216.38626</v>
      </c>
      <c r="K318" s="219"/>
    </row>
    <row r="319" spans="3:11" ht="15" customHeight="1" thickBot="1">
      <c r="C319" s="54"/>
      <c r="D319" s="54"/>
      <c r="E319" s="54"/>
      <c r="F319" s="54"/>
      <c r="G319" s="54"/>
      <c r="H319" s="54"/>
      <c r="I319" s="54"/>
      <c r="J319" s="54"/>
      <c r="K319" s="54"/>
    </row>
    <row r="321" spans="3:15" ht="14.25" hidden="1" customHeight="1" thickBot="1">
      <c r="C321" s="345" t="s">
        <v>33</v>
      </c>
      <c r="D321" s="345"/>
      <c r="E321" s="345"/>
      <c r="F321" s="345"/>
      <c r="G321" s="345"/>
      <c r="H321" s="345"/>
      <c r="I321" s="345"/>
      <c r="J321" s="345"/>
      <c r="K321" s="345"/>
      <c r="L321" s="235"/>
      <c r="M321" s="235"/>
      <c r="N321" s="235"/>
      <c r="O321" s="235"/>
    </row>
    <row r="322" spans="3:15" ht="17.25" hidden="1" customHeight="1" thickBot="1">
      <c r="C322" s="331" t="s">
        <v>34</v>
      </c>
      <c r="D322" s="331"/>
      <c r="E322" s="331"/>
      <c r="F322" s="331"/>
      <c r="G322" s="331"/>
      <c r="H322" s="331"/>
      <c r="I322" s="331"/>
      <c r="J322" s="331"/>
      <c r="K322" s="331"/>
      <c r="L322" s="236"/>
      <c r="M322" s="236"/>
      <c r="N322" s="236"/>
      <c r="O322" s="236"/>
    </row>
    <row r="323" spans="3:15" ht="13.5" hidden="1" customHeight="1" thickBot="1">
      <c r="C323" s="331" t="s">
        <v>35</v>
      </c>
      <c r="D323" s="331"/>
      <c r="E323" s="331"/>
      <c r="F323" s="331"/>
      <c r="G323" s="331"/>
      <c r="H323" s="331"/>
      <c r="I323" s="331"/>
      <c r="J323" s="331"/>
      <c r="K323" s="331"/>
      <c r="L323" s="237"/>
      <c r="M323" s="237"/>
      <c r="N323" s="237"/>
      <c r="O323" s="237"/>
    </row>
    <row r="324" spans="3:15" ht="17.25" hidden="1" customHeight="1">
      <c r="C324" s="371" t="s">
        <v>36</v>
      </c>
      <c r="D324" s="371"/>
      <c r="E324" s="371"/>
      <c r="F324" s="371"/>
      <c r="G324" s="371"/>
      <c r="H324" s="371"/>
      <c r="I324" s="371"/>
      <c r="J324" s="371"/>
      <c r="K324" s="371"/>
      <c r="L324" s="238"/>
      <c r="M324" s="238"/>
      <c r="N324" s="238"/>
      <c r="O324" s="238"/>
    </row>
    <row r="325" spans="3:15" ht="16.5" thickBot="1">
      <c r="C325" s="54"/>
      <c r="D325" s="54"/>
      <c r="E325" s="54"/>
      <c r="F325" s="54"/>
      <c r="G325" s="54"/>
      <c r="H325" s="54"/>
      <c r="I325" s="54"/>
      <c r="J325" s="54"/>
      <c r="K325" s="54"/>
    </row>
    <row r="326" spans="3:15">
      <c r="C326" s="326" t="s">
        <v>115</v>
      </c>
      <c r="D326" s="326"/>
      <c r="E326" s="326"/>
      <c r="F326" s="326"/>
      <c r="G326" s="326"/>
      <c r="H326" s="326"/>
      <c r="I326" s="326"/>
      <c r="J326" s="326"/>
      <c r="K326" s="326"/>
    </row>
    <row r="327" spans="3:15">
      <c r="C327" s="196" t="s">
        <v>38</v>
      </c>
      <c r="D327" s="196"/>
      <c r="E327" s="196"/>
      <c r="F327" s="196"/>
      <c r="G327" s="196"/>
      <c r="H327" s="196"/>
      <c r="I327" s="326"/>
      <c r="J327" s="326"/>
      <c r="K327" s="326"/>
    </row>
  </sheetData>
  <protectedRanges>
    <protectedRange algorithmName="SHA-512" hashValue="19r0bVvPR7yZA0UiYij7Tv1CBk3noIABvFePbLhCJ4nk3L6A+Fy+RdPPS3STf+a52x4pG2PQK4FAkXK9epnlIA==" saltValue="gQC4yrLvnbJqxYZ0KSEoZA==" spinCount="100000" sqref="I172 C168:D172 F168:G172 H271:H315 C271:D315 H179:H254 C179:D254 H15:H168 B15:D167" name="Government revenues_1"/>
    <protectedRange algorithmName="SHA-512" hashValue="19r0bVvPR7yZA0UiYij7Tv1CBk3noIABvFePbLhCJ4nk3L6A+Fy+RdPPS3STf+a52x4pG2PQK4FAkXK9epnlIA==" saltValue="gQC4yrLvnbJqxYZ0KSEoZA==" spinCount="100000" sqref="J169:J172 I271:I315 I179:I254 I15:I167" name="Government revenues_2"/>
  </protectedRanges>
  <mergeCells count="16">
    <mergeCell ref="I327:K327"/>
    <mergeCell ref="C323:K323"/>
    <mergeCell ref="C324:K324"/>
    <mergeCell ref="C326:K326"/>
    <mergeCell ref="C3:F3"/>
    <mergeCell ref="C4:G4"/>
    <mergeCell ref="C5:G5"/>
    <mergeCell ref="C6:G6"/>
    <mergeCell ref="C7:G7"/>
    <mergeCell ref="C11:K11"/>
    <mergeCell ref="C13:K13"/>
    <mergeCell ref="C321:K321"/>
    <mergeCell ref="C322:K322"/>
    <mergeCell ref="I4:K8"/>
    <mergeCell ref="C9:K9"/>
    <mergeCell ref="C8:G8"/>
  </mergeCells>
  <dataValidations count="8">
    <dataValidation type="whole" allowBlank="1" showInputMessage="1" showErrorMessage="1" errorTitle="Veuillez ne pas modifier" error="Veuillez ne pas modifier ces cellules" sqref="C321:C324 I327:K327" xr:uid="{57FB8956-8886-4544-B87B-E90A685DCD42}">
      <formula1>444</formula1>
      <formula2>445</formula2>
    </dataValidation>
    <dataValidation allowBlank="1" showInputMessage="1" showErrorMessage="1" errorTitle="Veuillez ne pas modifier" error="Veuillez ne pas modifier ces cellules" sqref="C327:E327" xr:uid="{2196945A-5BE1-4C2A-BE8A-AD6E26F529A7}"/>
    <dataValidation type="whole" errorStyle="warning" allowBlank="1" showInputMessage="1" showErrorMessage="1" errorTitle="Veuillez ne pas remplir" error="Ces cellules seront complétées automatiquement" sqref="K169 K171" xr:uid="{E0955F84-CF46-403C-A96B-A533675BDDC3}">
      <formula1>44444</formula1>
      <formula2>44445</formula2>
    </dataValidation>
    <dataValidation type="list" allowBlank="1" showInputMessage="1" showErrorMessage="1" sqref="C271:C315 C179:C254 C15:C167" xr:uid="{B6B7EB1A-CE56-4498-9FA2-2F9C5748A2BD}">
      <formula1>Companies_list</formula1>
    </dataValidation>
    <dataValidation type="decimal" operator="notBetween" allowBlank="1" showInputMessage="1" showErrorMessage="1" errorTitle="Nombre" error="Veuillez inscrire un nombre dans cette cellule" promptTitle="Montant du flux de revenus" prompt="Veuillez inscrire le montant total réconcilié du flux de revenus comme reporté par le gouvernement, " sqref="J271:J315 J179:J254 J15:J167" xr:uid="{F5697852-5424-40D3-886B-BB5D3E2162F3}">
      <formula1>0.1</formula1>
      <formula2>0.2</formula2>
    </dataValidation>
    <dataValidation type="list" allowBlank="1" showInputMessage="1" showErrorMessage="1" promptTitle="Nom du flux de revenu" prompt="Veuillez saisir le nom des flux de revenus ici._x000a__x000a_Inclure uniquement les paiements effectués au nom des entreprises. NE PAS inclure les revenus au nom de particuliers, tels que PAYE, etc..." sqref="E271:E315 E179:E254 E15:E167" xr:uid="{04B89EC5-5E6B-4F94-B74D-E536B28B3990}">
      <formula1>Revenue_stream_list</formula1>
    </dataValidation>
    <dataValidation type="list" allowBlank="1" showInputMessage="1" showErrorMessage="1" sqref="D271:D315 D179:D254 D15:D167" xr:uid="{28EF720B-7618-42E4-BE48-44C61AC2FCAC}">
      <formula1>Government_entities_list</formula1>
    </dataValidation>
    <dataValidation allowBlank="1" showInputMessage="1" showErrorMessage="1" promptTitle="Volume en nature" prompt="Veuillez renseigner le volume en nature du flux de revenu, si applicable" sqref="L15:L167" xr:uid="{74B2EE4B-5C91-44FD-BAEF-E32A9E459541}"/>
  </dataValidations>
  <hyperlinks>
    <hyperlink ref="C13" r:id="rId1" location="r4-1" display="EITI Requirement 4.1" xr:uid="{00000000-0004-0000-0500-000004000000}"/>
    <hyperlink ref="C9:K9" r:id="rId2" display="If you have any questions, please contact data@eiti.org" xr:uid="{00000000-0004-0000-0500-000005000000}"/>
    <hyperlink ref="C323:H323" r:id="rId3" display="Pour la version la plus récente des modèles de données résumées, consultez https://eiti.org/fr/document/modele-donnees-resumees-itie" xr:uid="{8C407262-8913-493A-9FC4-16A008DC04B3}"/>
    <hyperlink ref="C322:H322" r:id="rId4" display="Vous voulez en savoir plus sur votre pays ? Vérifiez si votre pays met en œuvre la Norme ITIE en visitant https://eiti.org/countries" xr:uid="{B550273B-C2A8-4BFF-92DC-DA59B212B8B9}"/>
    <hyperlink ref="C324:H324" r:id="rId5" display="Give us your feedback or report a conflict in the data! Write to us at  data@eiti.org" xr:uid="{95C432BD-4805-43FB-BFB4-24CA5D2DDD85}"/>
    <hyperlink ref="C13:K13" r:id="rId6" location="r4-1" display="Exigence ITIE 4.1.c: Paiements des entreprises ;  Exigence ITIE 4.7: Déclaration par projet" xr:uid="{56E47720-71A5-4292-8CE6-DF965AE29E62}"/>
  </hyperlinks>
  <pageMargins left="0.7" right="0.7" top="0.75" bottom="0.75" header="0.3" footer="0.3"/>
  <pageSetup paperSize="9" orientation="portrait" r:id="rId7"/>
  <tableParts count="1">
    <tablePart r:id="rId8"/>
  </tableParts>
  <extLst>
    <ext xmlns:x14="http://schemas.microsoft.com/office/spreadsheetml/2009/9/main" uri="{CCE6A557-97BC-4b89-ADB6-D9C93CAAB3DF}">
      <x14:dataValidations xmlns:xm="http://schemas.microsoft.com/office/excel/2006/main" count="4">
        <x14:dataValidation type="list" allowBlank="1" showInputMessage="1" showErrorMessage="1" xr:uid="{4B62CD62-4315-4760-9D20-3717CF5F4392}">
          <x14:formula1>
            <xm:f>Listes!$I$11:$I$168</xm:f>
          </x14:formula1>
          <xm:sqref>J170 J172</xm:sqref>
        </x14:dataValidation>
        <x14:dataValidation type="list" operator="greaterThanOrEqual" allowBlank="1" showInputMessage="1" showErrorMessage="1" errorTitle="Nombre" error="Veuillez saisir uniquement des chiffres dans cette cellule. " xr:uid="{DDA99A49-5FA2-4501-BEE8-B7997A8E7207}">
          <x14:formula1>
            <xm:f>Listes!$I$11:$I$168</xm:f>
          </x14:formula1>
          <xm:sqref>I271:I315 I179:I254 I15:I167</xm:sqref>
        </x14:dataValidation>
        <x14:dataValidation type="list" allowBlank="1" showInputMessage="1" showErrorMessage="1" xr:uid="{E517FE03-1D14-4653-BEC3-9C25B305920A}">
          <x14:formula1>
            <xm:f>'Partie 3 - Entités déclarantes'!$B$70:$B$112</xm:f>
          </x14:formula1>
          <xm:sqref>H271:H315 H179:H254 H15:H167</xm:sqref>
        </x14:dataValidation>
        <x14:dataValidation type="list" allowBlank="1" showInputMessage="1" showErrorMessage="1" xr:uid="{835B35E2-CA88-4442-A5C8-F01CD6E7D433}">
          <x14:formula1>
            <xm:f>Listes!$I$3:$I$7</xm:f>
          </x14:formula1>
          <xm:sqref>K15:K167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E246"/>
  <sheetViews>
    <sheetView topLeftCell="O5" zoomScale="70" zoomScaleNormal="70" workbookViewId="0"/>
  </sheetViews>
  <sheetFormatPr defaultColWidth="26.140625" defaultRowHeight="14.1"/>
  <cols>
    <col min="7" max="7" width="29" customWidth="1"/>
    <col min="10" max="10" width="18.85546875" customWidth="1"/>
    <col min="11" max="11" width="29.85546875" customWidth="1"/>
    <col min="12" max="12" width="4" customWidth="1"/>
    <col min="13" max="13" width="3.85546875" customWidth="1"/>
    <col min="17" max="17" width="6.85546875" customWidth="1"/>
    <col min="18" max="18" width="5.140625" customWidth="1"/>
    <col min="20" max="20" width="39.140625" customWidth="1"/>
    <col min="26" max="26" width="8.85546875" customWidth="1"/>
    <col min="28" max="28" width="8.42578125" customWidth="1"/>
  </cols>
  <sheetData>
    <row r="1" spans="1:31" ht="27.95">
      <c r="A1" s="5" t="s">
        <v>620</v>
      </c>
      <c r="B1" s="3"/>
      <c r="C1" s="3"/>
      <c r="D1" s="3"/>
      <c r="E1" s="3"/>
      <c r="F1" s="3"/>
      <c r="G1" s="3"/>
      <c r="H1" s="3"/>
      <c r="I1" s="5" t="s">
        <v>621</v>
      </c>
      <c r="J1" s="3"/>
      <c r="K1" s="5" t="s">
        <v>622</v>
      </c>
      <c r="L1" s="3"/>
      <c r="M1" s="3"/>
      <c r="N1" s="5" t="s">
        <v>623</v>
      </c>
      <c r="O1" s="5"/>
      <c r="P1" s="3"/>
      <c r="Q1" s="3"/>
      <c r="R1" s="3"/>
      <c r="S1" s="5" t="s">
        <v>624</v>
      </c>
      <c r="T1" s="3"/>
      <c r="U1" s="3"/>
      <c r="V1" s="3"/>
      <c r="W1" s="3"/>
      <c r="X1" s="3"/>
      <c r="Y1" s="3"/>
      <c r="Z1" s="3"/>
      <c r="AA1" s="5" t="s">
        <v>625</v>
      </c>
      <c r="AB1" s="3"/>
      <c r="AC1" s="5" t="s">
        <v>626</v>
      </c>
      <c r="AE1" s="5" t="s">
        <v>627</v>
      </c>
    </row>
    <row r="2" spans="1:31" ht="29.1">
      <c r="A2" s="5" t="s">
        <v>628</v>
      </c>
      <c r="B2" s="5" t="s">
        <v>629</v>
      </c>
      <c r="C2" s="5" t="s">
        <v>630</v>
      </c>
      <c r="D2" s="5" t="s">
        <v>631</v>
      </c>
      <c r="E2" s="5" t="s">
        <v>632</v>
      </c>
      <c r="F2" s="5" t="s">
        <v>633</v>
      </c>
      <c r="G2" s="5" t="s">
        <v>634</v>
      </c>
      <c r="H2" s="3"/>
      <c r="I2" s="3" t="s">
        <v>635</v>
      </c>
      <c r="J2" s="3"/>
      <c r="K2" s="3" t="s">
        <v>635</v>
      </c>
      <c r="L2" s="3"/>
      <c r="M2" s="3"/>
      <c r="N2" s="6" t="s">
        <v>636</v>
      </c>
      <c r="O2" s="6" t="s">
        <v>637</v>
      </c>
      <c r="P2" s="6" t="s">
        <v>638</v>
      </c>
      <c r="Q2" s="3"/>
      <c r="R2" s="3"/>
      <c r="S2" s="5" t="s">
        <v>639</v>
      </c>
      <c r="T2" s="5" t="s">
        <v>640</v>
      </c>
      <c r="U2" s="5" t="s">
        <v>641</v>
      </c>
      <c r="V2" s="5" t="s">
        <v>642</v>
      </c>
      <c r="W2" s="5" t="s">
        <v>643</v>
      </c>
      <c r="X2" s="5" t="s">
        <v>644</v>
      </c>
      <c r="Y2" s="5" t="s">
        <v>645</v>
      </c>
      <c r="Z2" s="3"/>
      <c r="AA2" s="5" t="s">
        <v>646</v>
      </c>
      <c r="AB2" s="3"/>
      <c r="AC2" s="3" t="s">
        <v>647</v>
      </c>
      <c r="AE2" t="s">
        <v>355</v>
      </c>
    </row>
    <row r="3" spans="1:31" ht="42">
      <c r="A3" s="3" t="s">
        <v>648</v>
      </c>
      <c r="B3" s="3" t="s">
        <v>649</v>
      </c>
      <c r="C3" s="3" t="s">
        <v>650</v>
      </c>
      <c r="D3" s="3" t="s">
        <v>651</v>
      </c>
      <c r="E3" s="3" t="s">
        <v>652</v>
      </c>
      <c r="F3" s="3">
        <v>971</v>
      </c>
      <c r="G3" s="3" t="s">
        <v>653</v>
      </c>
      <c r="H3" s="3"/>
      <c r="I3" s="3" t="s">
        <v>654</v>
      </c>
      <c r="J3" s="3"/>
      <c r="K3" s="7" t="s">
        <v>655</v>
      </c>
      <c r="L3" s="3"/>
      <c r="M3" s="3"/>
      <c r="N3" s="8" t="s">
        <v>656</v>
      </c>
      <c r="O3" s="3" t="s">
        <v>657</v>
      </c>
      <c r="P3" s="3" t="s">
        <v>658</v>
      </c>
      <c r="Q3" s="3"/>
      <c r="R3" s="3"/>
      <c r="S3" s="3" t="s">
        <v>540</v>
      </c>
      <c r="T3" s="3" t="s">
        <v>659</v>
      </c>
      <c r="U3" s="3" t="s">
        <v>660</v>
      </c>
      <c r="V3" s="3" t="s">
        <v>661</v>
      </c>
      <c r="W3" s="3" t="s">
        <v>662</v>
      </c>
      <c r="X3" s="3" t="s">
        <v>540</v>
      </c>
      <c r="Y3" s="3" t="s">
        <v>540</v>
      </c>
      <c r="Z3" s="3"/>
      <c r="AA3" s="3" t="s">
        <v>663</v>
      </c>
      <c r="AB3" s="3"/>
      <c r="AC3" s="3" t="s">
        <v>664</v>
      </c>
      <c r="AE3" t="s">
        <v>359</v>
      </c>
    </row>
    <row r="4" spans="1:31" ht="42">
      <c r="A4" t="s">
        <v>665</v>
      </c>
      <c r="B4" t="s">
        <v>666</v>
      </c>
      <c r="C4" t="s">
        <v>667</v>
      </c>
      <c r="D4" t="s">
        <v>668</v>
      </c>
      <c r="E4" t="s">
        <v>669</v>
      </c>
      <c r="F4">
        <v>710</v>
      </c>
      <c r="G4" t="s">
        <v>670</v>
      </c>
      <c r="H4" s="3"/>
      <c r="I4" s="3" t="s">
        <v>64</v>
      </c>
      <c r="J4" s="3"/>
      <c r="K4" s="3" t="s">
        <v>671</v>
      </c>
      <c r="L4" s="3"/>
      <c r="M4" s="3"/>
      <c r="N4" s="8" t="s">
        <v>672</v>
      </c>
      <c r="O4" s="3" t="s">
        <v>673</v>
      </c>
      <c r="P4" s="3" t="s">
        <v>674</v>
      </c>
      <c r="Q4" s="3"/>
      <c r="R4" s="3"/>
      <c r="S4" s="3" t="s">
        <v>675</v>
      </c>
      <c r="T4" s="3" t="s">
        <v>676</v>
      </c>
      <c r="U4" s="3" t="s">
        <v>677</v>
      </c>
      <c r="V4" s="3" t="s">
        <v>661</v>
      </c>
      <c r="W4" s="3" t="s">
        <v>678</v>
      </c>
      <c r="X4" s="3" t="s">
        <v>675</v>
      </c>
      <c r="Y4" s="3" t="s">
        <v>675</v>
      </c>
      <c r="Z4" s="3"/>
      <c r="AA4" s="3" t="s">
        <v>85</v>
      </c>
      <c r="AB4" s="3"/>
      <c r="AC4" s="3" t="s">
        <v>496</v>
      </c>
      <c r="AE4" t="s">
        <v>679</v>
      </c>
    </row>
    <row r="5" spans="1:31" ht="27.95">
      <c r="A5" s="3" t="s">
        <v>680</v>
      </c>
      <c r="B5" s="3" t="s">
        <v>681</v>
      </c>
      <c r="C5" s="3" t="s">
        <v>682</v>
      </c>
      <c r="D5" s="3" t="s">
        <v>683</v>
      </c>
      <c r="E5" s="3" t="s">
        <v>684</v>
      </c>
      <c r="F5" s="3">
        <v>8</v>
      </c>
      <c r="G5" s="3" t="s">
        <v>685</v>
      </c>
      <c r="H5" s="3"/>
      <c r="I5" s="3" t="s">
        <v>686</v>
      </c>
      <c r="J5" s="3"/>
      <c r="K5" s="3" t="s">
        <v>81</v>
      </c>
      <c r="L5" s="3"/>
      <c r="M5" s="3"/>
      <c r="N5" s="8" t="s">
        <v>687</v>
      </c>
      <c r="O5" s="3" t="s">
        <v>688</v>
      </c>
      <c r="P5" s="3" t="s">
        <v>689</v>
      </c>
      <c r="Q5" s="3"/>
      <c r="R5" s="3"/>
      <c r="S5" s="3" t="s">
        <v>690</v>
      </c>
      <c r="T5" s="3" t="s">
        <v>691</v>
      </c>
      <c r="U5" s="3" t="s">
        <v>692</v>
      </c>
      <c r="V5" s="3" t="s">
        <v>661</v>
      </c>
      <c r="W5" s="3" t="s">
        <v>690</v>
      </c>
      <c r="X5" s="3" t="s">
        <v>690</v>
      </c>
      <c r="Y5" s="3" t="s">
        <v>690</v>
      </c>
      <c r="Z5" s="3"/>
      <c r="AA5" s="3" t="s">
        <v>86</v>
      </c>
      <c r="AB5" s="3"/>
      <c r="AC5" s="3" t="s">
        <v>476</v>
      </c>
      <c r="AE5" t="s">
        <v>693</v>
      </c>
    </row>
    <row r="6" spans="1:31">
      <c r="A6" s="3" t="s">
        <v>694</v>
      </c>
      <c r="B6" s="3" t="s">
        <v>695</v>
      </c>
      <c r="C6" s="3" t="s">
        <v>696</v>
      </c>
      <c r="D6" s="3" t="s">
        <v>697</v>
      </c>
      <c r="E6" s="3" t="s">
        <v>698</v>
      </c>
      <c r="F6" s="3">
        <v>12</v>
      </c>
      <c r="G6" s="3" t="s">
        <v>699</v>
      </c>
      <c r="H6" s="3"/>
      <c r="I6" s="3" t="s">
        <v>71</v>
      </c>
      <c r="J6" s="3"/>
      <c r="K6" s="3" t="s">
        <v>107</v>
      </c>
      <c r="L6" s="3"/>
      <c r="M6" s="3"/>
      <c r="N6" s="8" t="s">
        <v>700</v>
      </c>
      <c r="O6" s="3" t="s">
        <v>701</v>
      </c>
      <c r="P6" s="3" t="s">
        <v>226</v>
      </c>
      <c r="Q6" s="3"/>
      <c r="R6" s="3"/>
      <c r="S6" s="3" t="s">
        <v>702</v>
      </c>
      <c r="T6" s="3" t="s">
        <v>703</v>
      </c>
      <c r="U6" s="3" t="s">
        <v>704</v>
      </c>
      <c r="V6" s="3" t="s">
        <v>661</v>
      </c>
      <c r="W6" s="3" t="s">
        <v>702</v>
      </c>
      <c r="X6" s="3" t="s">
        <v>702</v>
      </c>
      <c r="Y6" s="3" t="s">
        <v>702</v>
      </c>
      <c r="Z6" s="3"/>
      <c r="AA6" s="3" t="s">
        <v>387</v>
      </c>
      <c r="AB6" s="3"/>
      <c r="AC6" s="3" t="s">
        <v>494</v>
      </c>
      <c r="AE6" t="s">
        <v>368</v>
      </c>
    </row>
    <row r="7" spans="1:31" ht="56.1">
      <c r="A7" t="s">
        <v>705</v>
      </c>
      <c r="B7" t="s">
        <v>706</v>
      </c>
      <c r="C7" t="s">
        <v>707</v>
      </c>
      <c r="D7" t="s">
        <v>708</v>
      </c>
      <c r="E7" t="s">
        <v>709</v>
      </c>
      <c r="F7">
        <v>978</v>
      </c>
      <c r="G7" t="s">
        <v>710</v>
      </c>
      <c r="H7" s="3"/>
      <c r="I7" s="3" t="s">
        <v>89</v>
      </c>
      <c r="J7" s="3"/>
      <c r="K7" s="3" t="s">
        <v>306</v>
      </c>
      <c r="L7" s="3"/>
      <c r="N7" s="8" t="s">
        <v>711</v>
      </c>
      <c r="O7" s="3" t="s">
        <v>712</v>
      </c>
      <c r="P7" s="3" t="s">
        <v>713</v>
      </c>
      <c r="Q7" s="3"/>
      <c r="R7" s="3"/>
      <c r="S7" s="3" t="s">
        <v>575</v>
      </c>
      <c r="T7" s="3" t="s">
        <v>714</v>
      </c>
      <c r="U7" s="3" t="s">
        <v>715</v>
      </c>
      <c r="V7" s="3" t="s">
        <v>661</v>
      </c>
      <c r="W7" s="3" t="s">
        <v>716</v>
      </c>
      <c r="X7" s="3" t="s">
        <v>717</v>
      </c>
      <c r="Y7" s="3" t="s">
        <v>717</v>
      </c>
      <c r="Z7" s="3"/>
      <c r="AA7" s="3" t="s">
        <v>89</v>
      </c>
      <c r="AB7" s="3"/>
      <c r="AC7" s="3" t="s">
        <v>718</v>
      </c>
      <c r="AE7" t="s">
        <v>370</v>
      </c>
    </row>
    <row r="8" spans="1:31" ht="27.95">
      <c r="A8" s="3" t="s">
        <v>719</v>
      </c>
      <c r="B8" s="3" t="s">
        <v>720</v>
      </c>
      <c r="C8" s="3" t="s">
        <v>721</v>
      </c>
      <c r="D8" s="3" t="s">
        <v>722</v>
      </c>
      <c r="E8" s="3" t="s">
        <v>709</v>
      </c>
      <c r="F8" s="3">
        <v>978</v>
      </c>
      <c r="G8" s="3" t="s">
        <v>710</v>
      </c>
      <c r="H8" s="3"/>
      <c r="I8" s="3"/>
      <c r="J8" s="3"/>
      <c r="K8" s="3"/>
      <c r="L8" s="3"/>
      <c r="M8" s="3"/>
      <c r="N8" s="8" t="s">
        <v>723</v>
      </c>
      <c r="O8" s="3" t="s">
        <v>486</v>
      </c>
      <c r="P8" s="3" t="s">
        <v>198</v>
      </c>
      <c r="Q8" s="3"/>
      <c r="R8" s="3"/>
      <c r="S8" s="3" t="s">
        <v>724</v>
      </c>
      <c r="T8" s="3" t="s">
        <v>725</v>
      </c>
      <c r="U8" s="3" t="s">
        <v>726</v>
      </c>
      <c r="V8" s="3" t="s">
        <v>661</v>
      </c>
      <c r="W8" s="3" t="s">
        <v>716</v>
      </c>
      <c r="X8" s="3" t="s">
        <v>724</v>
      </c>
      <c r="Y8" s="3" t="s">
        <v>724</v>
      </c>
      <c r="Z8" s="3"/>
      <c r="AA8" s="3" t="s">
        <v>445</v>
      </c>
      <c r="AB8" s="3"/>
      <c r="AC8" s="3" t="s">
        <v>89</v>
      </c>
    </row>
    <row r="9" spans="1:31" ht="56.1">
      <c r="A9" s="3" t="s">
        <v>727</v>
      </c>
      <c r="B9" s="3" t="s">
        <v>728</v>
      </c>
      <c r="C9" s="3" t="s">
        <v>729</v>
      </c>
      <c r="D9" s="3" t="s">
        <v>730</v>
      </c>
      <c r="E9" s="3" t="s">
        <v>731</v>
      </c>
      <c r="F9" s="3">
        <v>973</v>
      </c>
      <c r="G9" s="3" t="s">
        <v>732</v>
      </c>
      <c r="H9" s="3"/>
      <c r="I9" s="5" t="s">
        <v>733</v>
      </c>
      <c r="J9" s="3"/>
      <c r="K9" s="3"/>
      <c r="L9" s="3"/>
      <c r="M9" s="3"/>
      <c r="N9" s="8" t="s">
        <v>734</v>
      </c>
      <c r="O9" s="3" t="s">
        <v>735</v>
      </c>
      <c r="P9" s="3" t="s">
        <v>208</v>
      </c>
      <c r="Q9" s="3"/>
      <c r="R9" s="3"/>
      <c r="S9" s="3" t="s">
        <v>544</v>
      </c>
      <c r="T9" s="3" t="s">
        <v>736</v>
      </c>
      <c r="U9" s="3" t="s">
        <v>737</v>
      </c>
      <c r="V9" s="3" t="s">
        <v>661</v>
      </c>
      <c r="W9" s="3" t="s">
        <v>716</v>
      </c>
      <c r="X9" s="3" t="s">
        <v>738</v>
      </c>
      <c r="Y9" s="3" t="s">
        <v>544</v>
      </c>
      <c r="Z9" s="3"/>
      <c r="AA9" s="3" t="s">
        <v>718</v>
      </c>
      <c r="AB9" s="3"/>
      <c r="AC9" s="3"/>
    </row>
    <row r="10" spans="1:31" ht="56.1">
      <c r="A10" s="3" t="s">
        <v>739</v>
      </c>
      <c r="B10" s="3" t="s">
        <v>740</v>
      </c>
      <c r="C10" s="3" t="s">
        <v>741</v>
      </c>
      <c r="D10" s="3" t="s">
        <v>742</v>
      </c>
      <c r="E10" s="3" t="s">
        <v>743</v>
      </c>
      <c r="F10" s="3">
        <v>951</v>
      </c>
      <c r="G10" s="3" t="s">
        <v>744</v>
      </c>
      <c r="H10" s="3"/>
      <c r="I10" s="4" t="s">
        <v>745</v>
      </c>
      <c r="J10" s="4" t="s">
        <v>746</v>
      </c>
      <c r="K10" s="9" t="s">
        <v>747</v>
      </c>
      <c r="L10" s="3"/>
      <c r="M10" s="3"/>
      <c r="N10" s="8" t="s">
        <v>748</v>
      </c>
      <c r="O10" s="3" t="s">
        <v>749</v>
      </c>
      <c r="P10" s="3" t="s">
        <v>205</v>
      </c>
      <c r="Q10" s="3"/>
      <c r="R10" s="3"/>
      <c r="S10" s="3" t="s">
        <v>571</v>
      </c>
      <c r="T10" s="3" t="s">
        <v>750</v>
      </c>
      <c r="U10" s="3" t="s">
        <v>751</v>
      </c>
      <c r="V10" s="3" t="s">
        <v>661</v>
      </c>
      <c r="W10" s="3" t="s">
        <v>716</v>
      </c>
      <c r="X10" s="3" t="s">
        <v>738</v>
      </c>
      <c r="Y10" s="3" t="s">
        <v>571</v>
      </c>
      <c r="Z10" s="3"/>
      <c r="AA10" s="3"/>
      <c r="AB10" s="3"/>
      <c r="AC10" s="3"/>
    </row>
    <row r="11" spans="1:31" ht="56.1">
      <c r="A11" s="3" t="s">
        <v>752</v>
      </c>
      <c r="B11" s="3" t="s">
        <v>753</v>
      </c>
      <c r="C11" s="3" t="s">
        <v>754</v>
      </c>
      <c r="D11" s="3" t="s">
        <v>755</v>
      </c>
      <c r="E11" s="3" t="s">
        <v>743</v>
      </c>
      <c r="F11" s="3">
        <v>951</v>
      </c>
      <c r="G11" s="3" t="s">
        <v>744</v>
      </c>
      <c r="H11" s="3"/>
      <c r="I11" s="10" t="s">
        <v>756</v>
      </c>
      <c r="J11" s="10">
        <v>784</v>
      </c>
      <c r="K11" s="11" t="s">
        <v>757</v>
      </c>
      <c r="L11" s="3"/>
      <c r="M11" s="3"/>
      <c r="N11" s="8" t="s">
        <v>758</v>
      </c>
      <c r="O11" s="3" t="s">
        <v>759</v>
      </c>
      <c r="P11" s="3" t="s">
        <v>760</v>
      </c>
      <c r="Q11" s="3"/>
      <c r="R11" s="3"/>
      <c r="S11" s="3" t="s">
        <v>761</v>
      </c>
      <c r="T11" s="3" t="s">
        <v>762</v>
      </c>
      <c r="U11" s="3" t="s">
        <v>763</v>
      </c>
      <c r="V11" s="3" t="s">
        <v>661</v>
      </c>
      <c r="W11" s="3" t="s">
        <v>716</v>
      </c>
      <c r="X11" s="3" t="s">
        <v>738</v>
      </c>
      <c r="Y11" s="3" t="s">
        <v>761</v>
      </c>
      <c r="Z11" s="3"/>
      <c r="AA11" s="3"/>
      <c r="AB11" s="3"/>
      <c r="AC11" s="3"/>
    </row>
    <row r="12" spans="1:31" ht="42">
      <c r="A12" t="s">
        <v>764</v>
      </c>
      <c r="B12" t="s">
        <v>765</v>
      </c>
      <c r="C12" t="s">
        <v>766</v>
      </c>
      <c r="D12" t="s">
        <v>767</v>
      </c>
      <c r="E12" t="s">
        <v>768</v>
      </c>
      <c r="F12">
        <v>532</v>
      </c>
      <c r="G12" t="s">
        <v>769</v>
      </c>
      <c r="H12" s="3"/>
      <c r="I12" s="10" t="s">
        <v>770</v>
      </c>
      <c r="J12" s="10">
        <v>971</v>
      </c>
      <c r="K12" s="11" t="s">
        <v>771</v>
      </c>
      <c r="L12" s="3"/>
      <c r="M12" s="3"/>
      <c r="N12" s="8" t="s">
        <v>772</v>
      </c>
      <c r="O12" s="3" t="s">
        <v>773</v>
      </c>
      <c r="P12" s="3" t="s">
        <v>774</v>
      </c>
      <c r="Q12" s="3"/>
      <c r="R12" s="3"/>
      <c r="S12" s="3" t="s">
        <v>551</v>
      </c>
      <c r="T12" s="3" t="s">
        <v>775</v>
      </c>
      <c r="U12" s="3" t="s">
        <v>776</v>
      </c>
      <c r="V12" s="3" t="s">
        <v>661</v>
      </c>
      <c r="W12" s="3" t="s">
        <v>777</v>
      </c>
      <c r="X12" s="3" t="s">
        <v>551</v>
      </c>
      <c r="Y12" s="3" t="s">
        <v>551</v>
      </c>
      <c r="Z12" s="3"/>
      <c r="AA12" s="3"/>
      <c r="AB12" s="3"/>
      <c r="AC12" s="3"/>
    </row>
    <row r="13" spans="1:31" ht="42">
      <c r="A13" t="s">
        <v>778</v>
      </c>
      <c r="B13" t="s">
        <v>779</v>
      </c>
      <c r="C13" t="s">
        <v>780</v>
      </c>
      <c r="D13" t="s">
        <v>781</v>
      </c>
      <c r="E13" t="s">
        <v>782</v>
      </c>
      <c r="F13">
        <v>682</v>
      </c>
      <c r="G13" t="s">
        <v>783</v>
      </c>
      <c r="H13" s="3"/>
      <c r="I13" s="10" t="s">
        <v>784</v>
      </c>
      <c r="J13" s="10">
        <v>8</v>
      </c>
      <c r="K13" s="11" t="s">
        <v>785</v>
      </c>
      <c r="L13" s="3"/>
      <c r="M13" s="3"/>
      <c r="N13" s="8" t="s">
        <v>786</v>
      </c>
      <c r="O13" s="3" t="s">
        <v>787</v>
      </c>
      <c r="P13" s="3" t="s">
        <v>788</v>
      </c>
      <c r="Q13" s="3"/>
      <c r="R13" s="3"/>
      <c r="S13" s="3" t="s">
        <v>789</v>
      </c>
      <c r="T13" s="3" t="s">
        <v>790</v>
      </c>
      <c r="U13" s="3" t="s">
        <v>791</v>
      </c>
      <c r="V13" s="3" t="s">
        <v>661</v>
      </c>
      <c r="W13" s="3" t="s">
        <v>777</v>
      </c>
      <c r="X13" s="3" t="s">
        <v>789</v>
      </c>
      <c r="Y13" s="3" t="s">
        <v>789</v>
      </c>
      <c r="Z13" s="3"/>
      <c r="AA13" s="3"/>
      <c r="AB13" s="3"/>
      <c r="AC13" s="3"/>
    </row>
    <row r="14" spans="1:31" ht="42">
      <c r="A14" s="3" t="s">
        <v>792</v>
      </c>
      <c r="B14" s="3" t="s">
        <v>793</v>
      </c>
      <c r="C14" s="3" t="s">
        <v>794</v>
      </c>
      <c r="D14" s="3" t="s">
        <v>795</v>
      </c>
      <c r="E14" s="3" t="s">
        <v>796</v>
      </c>
      <c r="F14" s="3">
        <v>32</v>
      </c>
      <c r="G14" s="3" t="s">
        <v>797</v>
      </c>
      <c r="H14" s="3"/>
      <c r="I14" s="10" t="s">
        <v>798</v>
      </c>
      <c r="J14" s="10">
        <v>51</v>
      </c>
      <c r="K14" s="11" t="s">
        <v>799</v>
      </c>
      <c r="L14" s="3"/>
      <c r="M14" s="3"/>
      <c r="N14" s="8" t="s">
        <v>800</v>
      </c>
      <c r="O14" s="3" t="s">
        <v>801</v>
      </c>
      <c r="P14" s="3" t="s">
        <v>802</v>
      </c>
      <c r="Q14" s="3"/>
      <c r="R14" s="3"/>
      <c r="S14" s="3" t="s">
        <v>803</v>
      </c>
      <c r="T14" s="3" t="s">
        <v>804</v>
      </c>
      <c r="U14" s="3" t="s">
        <v>805</v>
      </c>
      <c r="V14" s="3" t="s">
        <v>661</v>
      </c>
      <c r="W14" s="3" t="s">
        <v>777</v>
      </c>
      <c r="X14" s="3" t="s">
        <v>803</v>
      </c>
      <c r="Y14" s="3" t="s">
        <v>803</v>
      </c>
      <c r="Z14" s="3"/>
      <c r="AA14" s="3"/>
      <c r="AB14" s="3"/>
      <c r="AC14" s="3"/>
    </row>
    <row r="15" spans="1:31" ht="42">
      <c r="A15" s="3" t="s">
        <v>806</v>
      </c>
      <c r="B15" s="3" t="s">
        <v>807</v>
      </c>
      <c r="C15" s="3" t="s">
        <v>808</v>
      </c>
      <c r="D15" s="3" t="s">
        <v>809</v>
      </c>
      <c r="E15" s="3" t="s">
        <v>810</v>
      </c>
      <c r="F15" s="3">
        <v>51</v>
      </c>
      <c r="G15" s="3" t="s">
        <v>811</v>
      </c>
      <c r="H15" s="3"/>
      <c r="I15" s="10" t="s">
        <v>812</v>
      </c>
      <c r="J15" s="10">
        <v>532</v>
      </c>
      <c r="K15" s="11" t="s">
        <v>813</v>
      </c>
      <c r="L15" s="3"/>
      <c r="M15" s="3"/>
      <c r="N15" s="8" t="s">
        <v>814</v>
      </c>
      <c r="O15" s="3" t="s">
        <v>485</v>
      </c>
      <c r="P15" s="3" t="s">
        <v>200</v>
      </c>
      <c r="Q15" s="3"/>
      <c r="R15" s="3"/>
      <c r="S15" s="3" t="s">
        <v>533</v>
      </c>
      <c r="T15" s="3" t="s">
        <v>815</v>
      </c>
      <c r="U15" s="3" t="s">
        <v>816</v>
      </c>
      <c r="V15" s="3" t="s">
        <v>661</v>
      </c>
      <c r="W15" s="3" t="s">
        <v>533</v>
      </c>
      <c r="X15" s="3" t="s">
        <v>533</v>
      </c>
      <c r="Y15" s="3" t="s">
        <v>533</v>
      </c>
      <c r="Z15" s="3"/>
      <c r="AA15" s="3"/>
      <c r="AB15" s="3"/>
      <c r="AC15" s="3"/>
    </row>
    <row r="16" spans="1:31" ht="27.95">
      <c r="A16" s="3" t="s">
        <v>817</v>
      </c>
      <c r="B16" s="3" t="s">
        <v>818</v>
      </c>
      <c r="C16" s="3" t="s">
        <v>819</v>
      </c>
      <c r="D16" s="3" t="s">
        <v>820</v>
      </c>
      <c r="E16" s="3" t="s">
        <v>821</v>
      </c>
      <c r="F16" s="3">
        <v>533</v>
      </c>
      <c r="G16" s="3" t="s">
        <v>822</v>
      </c>
      <c r="H16" s="3"/>
      <c r="I16" s="10" t="s">
        <v>823</v>
      </c>
      <c r="J16" s="10">
        <v>973</v>
      </c>
      <c r="K16" s="11" t="s">
        <v>824</v>
      </c>
      <c r="L16" s="3"/>
      <c r="M16" s="3"/>
      <c r="N16" s="8" t="s">
        <v>825</v>
      </c>
      <c r="O16" s="3" t="s">
        <v>826</v>
      </c>
      <c r="P16" s="3" t="s">
        <v>827</v>
      </c>
      <c r="Q16" s="3"/>
      <c r="R16" s="3"/>
      <c r="S16" s="3" t="s">
        <v>828</v>
      </c>
      <c r="T16" s="3" t="s">
        <v>829</v>
      </c>
      <c r="U16" s="3" t="s">
        <v>830</v>
      </c>
      <c r="V16" s="3" t="s">
        <v>831</v>
      </c>
      <c r="W16" s="3" t="s">
        <v>828</v>
      </c>
      <c r="X16" s="3" t="s">
        <v>828</v>
      </c>
      <c r="Y16" s="3" t="s">
        <v>828</v>
      </c>
      <c r="Z16" s="3"/>
      <c r="AA16" s="3"/>
      <c r="AB16" s="3"/>
      <c r="AC16" s="3"/>
    </row>
    <row r="17" spans="1:29" ht="27.95">
      <c r="A17" s="3" t="s">
        <v>832</v>
      </c>
      <c r="B17" s="3" t="s">
        <v>833</v>
      </c>
      <c r="C17" s="3" t="s">
        <v>834</v>
      </c>
      <c r="D17" s="3" t="s">
        <v>835</v>
      </c>
      <c r="E17" s="3" t="s">
        <v>836</v>
      </c>
      <c r="F17" s="3">
        <v>36</v>
      </c>
      <c r="G17" s="3" t="s">
        <v>837</v>
      </c>
      <c r="H17" s="3"/>
      <c r="I17" s="10" t="s">
        <v>838</v>
      </c>
      <c r="J17" s="10">
        <v>32</v>
      </c>
      <c r="K17" s="11" t="s">
        <v>839</v>
      </c>
      <c r="L17" s="3"/>
      <c r="M17" s="3"/>
      <c r="N17" s="8" t="s">
        <v>840</v>
      </c>
      <c r="O17" s="3" t="s">
        <v>841</v>
      </c>
      <c r="P17" s="3" t="s">
        <v>240</v>
      </c>
      <c r="Q17" s="3"/>
      <c r="R17" s="3"/>
      <c r="S17" s="3" t="s">
        <v>842</v>
      </c>
      <c r="T17" s="3" t="s">
        <v>843</v>
      </c>
      <c r="U17" s="3" t="s">
        <v>844</v>
      </c>
      <c r="V17" s="3" t="s">
        <v>845</v>
      </c>
      <c r="W17" s="3" t="s">
        <v>846</v>
      </c>
      <c r="X17" s="3" t="s">
        <v>847</v>
      </c>
      <c r="Y17" s="3" t="s">
        <v>842</v>
      </c>
      <c r="Z17" s="3"/>
      <c r="AA17" s="3"/>
      <c r="AB17" s="3"/>
      <c r="AC17" s="3"/>
    </row>
    <row r="18" spans="1:29" ht="27.95">
      <c r="A18" s="3" t="s">
        <v>848</v>
      </c>
      <c r="B18" s="3" t="s">
        <v>849</v>
      </c>
      <c r="C18" s="3" t="s">
        <v>850</v>
      </c>
      <c r="D18" s="3" t="s">
        <v>851</v>
      </c>
      <c r="E18" s="3" t="s">
        <v>709</v>
      </c>
      <c r="F18" s="3">
        <v>978</v>
      </c>
      <c r="G18" s="3" t="s">
        <v>710</v>
      </c>
      <c r="H18" s="3"/>
      <c r="I18" s="10" t="s">
        <v>852</v>
      </c>
      <c r="J18" s="10">
        <v>36</v>
      </c>
      <c r="K18" s="11" t="s">
        <v>853</v>
      </c>
      <c r="L18" s="3"/>
      <c r="M18" s="3"/>
      <c r="N18" s="8" t="s">
        <v>854</v>
      </c>
      <c r="O18" s="3" t="s">
        <v>855</v>
      </c>
      <c r="P18" s="3" t="s">
        <v>856</v>
      </c>
      <c r="Q18" s="3"/>
      <c r="R18" s="3"/>
      <c r="S18" s="3" t="s">
        <v>548</v>
      </c>
      <c r="T18" s="3" t="s">
        <v>857</v>
      </c>
      <c r="U18" s="3" t="s">
        <v>858</v>
      </c>
      <c r="V18" s="3" t="s">
        <v>845</v>
      </c>
      <c r="W18" s="3" t="s">
        <v>846</v>
      </c>
      <c r="X18" s="3" t="s">
        <v>847</v>
      </c>
      <c r="Y18" s="3" t="s">
        <v>548</v>
      </c>
      <c r="Z18" s="3"/>
      <c r="AA18" s="3"/>
      <c r="AB18" s="3"/>
      <c r="AC18" s="3"/>
    </row>
    <row r="19" spans="1:29" ht="27.95">
      <c r="A19" s="3" t="s">
        <v>859</v>
      </c>
      <c r="B19" s="3" t="s">
        <v>860</v>
      </c>
      <c r="C19" s="3" t="s">
        <v>861</v>
      </c>
      <c r="D19" s="3" t="s">
        <v>862</v>
      </c>
      <c r="E19" s="3" t="s">
        <v>863</v>
      </c>
      <c r="F19" s="3">
        <v>944</v>
      </c>
      <c r="G19" s="3" t="s">
        <v>864</v>
      </c>
      <c r="H19" s="3"/>
      <c r="I19" s="10" t="s">
        <v>865</v>
      </c>
      <c r="J19" s="10">
        <v>533</v>
      </c>
      <c r="K19" s="11" t="s">
        <v>866</v>
      </c>
      <c r="L19" s="3"/>
      <c r="M19" s="3"/>
      <c r="N19" s="8" t="s">
        <v>867</v>
      </c>
      <c r="O19" s="3" t="s">
        <v>868</v>
      </c>
      <c r="P19" s="3" t="s">
        <v>869</v>
      </c>
      <c r="Q19" s="3"/>
      <c r="R19" s="3"/>
      <c r="S19" s="3" t="s">
        <v>870</v>
      </c>
      <c r="T19" s="3" t="s">
        <v>871</v>
      </c>
      <c r="U19" s="3" t="s">
        <v>872</v>
      </c>
      <c r="V19" s="3" t="s">
        <v>845</v>
      </c>
      <c r="W19" s="3" t="s">
        <v>846</v>
      </c>
      <c r="X19" s="3" t="s">
        <v>870</v>
      </c>
      <c r="Y19" s="3" t="s">
        <v>870</v>
      </c>
      <c r="Z19" s="3"/>
      <c r="AA19" s="3"/>
      <c r="AB19" s="3"/>
      <c r="AC19" s="3"/>
    </row>
    <row r="20" spans="1:29" ht="27.95">
      <c r="A20" s="3" t="s">
        <v>873</v>
      </c>
      <c r="B20" s="3" t="s">
        <v>874</v>
      </c>
      <c r="C20" s="3" t="s">
        <v>875</v>
      </c>
      <c r="D20" s="3" t="s">
        <v>876</v>
      </c>
      <c r="E20" s="3" t="s">
        <v>877</v>
      </c>
      <c r="F20" s="3">
        <v>44</v>
      </c>
      <c r="G20" s="3" t="s">
        <v>878</v>
      </c>
      <c r="H20" s="3"/>
      <c r="I20" s="10" t="s">
        <v>879</v>
      </c>
      <c r="J20" s="10">
        <v>944</v>
      </c>
      <c r="K20" s="11" t="s">
        <v>880</v>
      </c>
      <c r="L20" s="3"/>
      <c r="M20" s="3"/>
      <c r="N20" s="8" t="s">
        <v>881</v>
      </c>
      <c r="O20" s="3" t="s">
        <v>882</v>
      </c>
      <c r="P20" s="3" t="s">
        <v>883</v>
      </c>
      <c r="Q20" s="3"/>
      <c r="R20" s="3"/>
      <c r="S20" s="3" t="s">
        <v>564</v>
      </c>
      <c r="T20" s="3" t="s">
        <v>884</v>
      </c>
      <c r="U20" s="3" t="s">
        <v>885</v>
      </c>
      <c r="V20" s="3" t="s">
        <v>845</v>
      </c>
      <c r="W20" s="3" t="s">
        <v>846</v>
      </c>
      <c r="X20" s="3" t="s">
        <v>886</v>
      </c>
      <c r="Y20" s="3" t="s">
        <v>564</v>
      </c>
      <c r="Z20" s="3"/>
      <c r="AA20" s="3"/>
      <c r="AB20" s="3"/>
      <c r="AC20" s="3"/>
    </row>
    <row r="21" spans="1:29" ht="27.95">
      <c r="A21" s="3" t="s">
        <v>887</v>
      </c>
      <c r="B21" s="3" t="s">
        <v>888</v>
      </c>
      <c r="C21" s="3" t="s">
        <v>889</v>
      </c>
      <c r="D21" s="3" t="s">
        <v>890</v>
      </c>
      <c r="E21" s="3" t="s">
        <v>891</v>
      </c>
      <c r="F21" s="3">
        <v>48</v>
      </c>
      <c r="G21" s="3" t="s">
        <v>892</v>
      </c>
      <c r="H21" s="3"/>
      <c r="I21" s="10" t="s">
        <v>893</v>
      </c>
      <c r="J21" s="10">
        <v>977</v>
      </c>
      <c r="K21" s="11" t="s">
        <v>894</v>
      </c>
      <c r="L21" s="3"/>
      <c r="M21" s="3"/>
      <c r="N21" s="8" t="s">
        <v>895</v>
      </c>
      <c r="O21" s="3" t="s">
        <v>896</v>
      </c>
      <c r="P21" s="3" t="s">
        <v>227</v>
      </c>
      <c r="Q21" s="3"/>
      <c r="R21" s="3"/>
      <c r="S21" s="3" t="s">
        <v>897</v>
      </c>
      <c r="T21" s="3" t="s">
        <v>898</v>
      </c>
      <c r="U21" s="3" t="s">
        <v>899</v>
      </c>
      <c r="V21" s="3" t="s">
        <v>845</v>
      </c>
      <c r="W21" s="3" t="s">
        <v>846</v>
      </c>
      <c r="X21" s="3" t="s">
        <v>886</v>
      </c>
      <c r="Y21" s="3" t="s">
        <v>897</v>
      </c>
      <c r="Z21" s="3"/>
      <c r="AA21" s="3"/>
      <c r="AB21" s="3"/>
      <c r="AC21" s="3"/>
    </row>
    <row r="22" spans="1:29" ht="27.95">
      <c r="A22" s="3" t="s">
        <v>900</v>
      </c>
      <c r="B22" s="3" t="s">
        <v>901</v>
      </c>
      <c r="C22" s="3" t="s">
        <v>902</v>
      </c>
      <c r="D22" s="3" t="s">
        <v>903</v>
      </c>
      <c r="E22" s="3" t="s">
        <v>904</v>
      </c>
      <c r="F22" s="3">
        <v>50</v>
      </c>
      <c r="G22" s="3" t="s">
        <v>905</v>
      </c>
      <c r="H22" s="3"/>
      <c r="I22" s="10" t="s">
        <v>906</v>
      </c>
      <c r="J22" s="10">
        <v>52</v>
      </c>
      <c r="K22" s="11" t="s">
        <v>907</v>
      </c>
      <c r="L22" s="3"/>
      <c r="M22" s="3"/>
      <c r="N22" s="8" t="s">
        <v>908</v>
      </c>
      <c r="O22" s="3" t="s">
        <v>909</v>
      </c>
      <c r="P22" s="3" t="s">
        <v>910</v>
      </c>
      <c r="Q22" s="3"/>
      <c r="R22" s="3"/>
      <c r="S22" s="3" t="s">
        <v>911</v>
      </c>
      <c r="T22" s="3" t="s">
        <v>912</v>
      </c>
      <c r="U22" s="3" t="s">
        <v>913</v>
      </c>
      <c r="V22" s="3" t="s">
        <v>845</v>
      </c>
      <c r="W22" s="3" t="s">
        <v>846</v>
      </c>
      <c r="X22" s="3" t="s">
        <v>886</v>
      </c>
      <c r="Y22" s="3" t="s">
        <v>914</v>
      </c>
      <c r="Z22" s="3"/>
      <c r="AA22" s="3"/>
      <c r="AB22" s="3"/>
      <c r="AC22" s="3"/>
    </row>
    <row r="23" spans="1:29" ht="27.95">
      <c r="A23" s="3" t="s">
        <v>915</v>
      </c>
      <c r="B23" s="3" t="s">
        <v>916</v>
      </c>
      <c r="C23" s="3" t="s">
        <v>917</v>
      </c>
      <c r="D23" s="3" t="s">
        <v>918</v>
      </c>
      <c r="E23" s="3" t="s">
        <v>919</v>
      </c>
      <c r="F23" s="3">
        <v>52</v>
      </c>
      <c r="G23" s="3" t="s">
        <v>920</v>
      </c>
      <c r="H23" s="3"/>
      <c r="I23" s="10" t="s">
        <v>921</v>
      </c>
      <c r="J23" s="10">
        <v>50</v>
      </c>
      <c r="K23" s="11" t="s">
        <v>922</v>
      </c>
      <c r="L23" s="3"/>
      <c r="M23" s="3"/>
      <c r="N23" s="8" t="s">
        <v>923</v>
      </c>
      <c r="O23" s="3" t="s">
        <v>924</v>
      </c>
      <c r="P23" s="3" t="s">
        <v>925</v>
      </c>
      <c r="Q23" s="3"/>
      <c r="R23" s="3"/>
      <c r="S23" s="3" t="s">
        <v>528</v>
      </c>
      <c r="T23" s="3" t="s">
        <v>926</v>
      </c>
      <c r="U23" s="3" t="s">
        <v>927</v>
      </c>
      <c r="V23" s="3" t="s">
        <v>845</v>
      </c>
      <c r="W23" s="3" t="s">
        <v>846</v>
      </c>
      <c r="X23" s="3" t="s">
        <v>886</v>
      </c>
      <c r="Y23" s="3" t="s">
        <v>914</v>
      </c>
      <c r="Z23" s="3"/>
      <c r="AA23" s="3"/>
      <c r="AB23" s="3"/>
      <c r="AC23" s="3"/>
    </row>
    <row r="24" spans="1:29" ht="42">
      <c r="A24" s="3" t="s">
        <v>928</v>
      </c>
      <c r="B24" s="3" t="s">
        <v>929</v>
      </c>
      <c r="C24" s="3" t="s">
        <v>930</v>
      </c>
      <c r="D24" s="3" t="s">
        <v>931</v>
      </c>
      <c r="E24" s="3" t="s">
        <v>932</v>
      </c>
      <c r="F24" s="3">
        <v>974</v>
      </c>
      <c r="G24" s="3" t="s">
        <v>933</v>
      </c>
      <c r="H24" s="3"/>
      <c r="I24" s="10" t="s">
        <v>934</v>
      </c>
      <c r="J24" s="10">
        <v>975</v>
      </c>
      <c r="K24" s="11" t="s">
        <v>935</v>
      </c>
      <c r="L24" s="3"/>
      <c r="M24" s="3"/>
      <c r="N24" s="8" t="s">
        <v>936</v>
      </c>
      <c r="O24" s="3" t="s">
        <v>937</v>
      </c>
      <c r="P24" s="3" t="s">
        <v>938</v>
      </c>
      <c r="Q24" s="3"/>
      <c r="R24" s="3"/>
      <c r="S24" s="3" t="s">
        <v>939</v>
      </c>
      <c r="T24" s="3" t="s">
        <v>940</v>
      </c>
      <c r="U24" s="3" t="s">
        <v>941</v>
      </c>
      <c r="V24" s="3" t="s">
        <v>845</v>
      </c>
      <c r="W24" s="3" t="s">
        <v>846</v>
      </c>
      <c r="X24" s="3" t="s">
        <v>886</v>
      </c>
      <c r="Y24" s="3" t="s">
        <v>939</v>
      </c>
      <c r="Z24" s="3"/>
      <c r="AA24" s="3"/>
      <c r="AB24" s="3"/>
      <c r="AC24" s="3"/>
    </row>
    <row r="25" spans="1:29" ht="27.95">
      <c r="A25" s="3" t="s">
        <v>942</v>
      </c>
      <c r="B25" s="3" t="s">
        <v>943</v>
      </c>
      <c r="C25" s="3" t="s">
        <v>944</v>
      </c>
      <c r="D25" s="3" t="s">
        <v>945</v>
      </c>
      <c r="E25" s="3" t="s">
        <v>709</v>
      </c>
      <c r="F25" s="3">
        <v>978</v>
      </c>
      <c r="G25" s="3" t="s">
        <v>710</v>
      </c>
      <c r="H25" s="3"/>
      <c r="I25" s="10" t="s">
        <v>946</v>
      </c>
      <c r="J25" s="10">
        <v>48</v>
      </c>
      <c r="K25" s="11" t="s">
        <v>947</v>
      </c>
      <c r="L25" s="3"/>
      <c r="M25" s="3"/>
      <c r="N25" s="8" t="s">
        <v>948</v>
      </c>
      <c r="O25" s="3" t="s">
        <v>949</v>
      </c>
      <c r="P25" s="3" t="s">
        <v>950</v>
      </c>
      <c r="Q25" s="3"/>
      <c r="R25" s="3"/>
      <c r="S25" s="3" t="s">
        <v>558</v>
      </c>
      <c r="T25" s="3" t="s">
        <v>951</v>
      </c>
      <c r="U25" s="3" t="s">
        <v>952</v>
      </c>
      <c r="V25" s="3" t="s">
        <v>845</v>
      </c>
      <c r="W25" s="3" t="s">
        <v>846</v>
      </c>
      <c r="X25" s="3" t="s">
        <v>886</v>
      </c>
      <c r="Y25" s="3" t="s">
        <v>558</v>
      </c>
      <c r="Z25" s="3"/>
      <c r="AA25" s="3"/>
      <c r="AB25" s="3"/>
      <c r="AC25" s="3"/>
    </row>
    <row r="26" spans="1:29" ht="42">
      <c r="A26" s="3" t="s">
        <v>953</v>
      </c>
      <c r="B26" s="3" t="s">
        <v>954</v>
      </c>
      <c r="C26" s="3" t="s">
        <v>955</v>
      </c>
      <c r="D26" s="3" t="s">
        <v>956</v>
      </c>
      <c r="E26" s="3" t="s">
        <v>957</v>
      </c>
      <c r="F26" s="3">
        <v>84</v>
      </c>
      <c r="G26" s="3" t="s">
        <v>958</v>
      </c>
      <c r="H26" s="3"/>
      <c r="I26" s="10" t="s">
        <v>959</v>
      </c>
      <c r="J26" s="10">
        <v>108</v>
      </c>
      <c r="K26" s="11" t="s">
        <v>960</v>
      </c>
      <c r="L26" s="3"/>
      <c r="M26" s="3"/>
      <c r="N26" s="8" t="s">
        <v>961</v>
      </c>
      <c r="O26" s="3" t="s">
        <v>962</v>
      </c>
      <c r="P26" s="3" t="s">
        <v>963</v>
      </c>
      <c r="Q26" s="3"/>
      <c r="R26" s="3"/>
      <c r="S26" s="3" t="s">
        <v>964</v>
      </c>
      <c r="T26" s="3" t="s">
        <v>965</v>
      </c>
      <c r="U26" s="3" t="s">
        <v>966</v>
      </c>
      <c r="V26" s="3" t="s">
        <v>845</v>
      </c>
      <c r="W26" s="3" t="s">
        <v>967</v>
      </c>
      <c r="X26" s="3" t="s">
        <v>964</v>
      </c>
      <c r="Y26" s="3" t="s">
        <v>964</v>
      </c>
      <c r="Z26" s="3"/>
      <c r="AA26" s="3"/>
      <c r="AB26" s="3"/>
      <c r="AC26" s="3"/>
    </row>
    <row r="27" spans="1:29" ht="42">
      <c r="A27" s="3" t="s">
        <v>968</v>
      </c>
      <c r="B27" s="3" t="s">
        <v>969</v>
      </c>
      <c r="C27" s="3" t="s">
        <v>970</v>
      </c>
      <c r="D27" s="3" t="s">
        <v>971</v>
      </c>
      <c r="E27" s="3" t="s">
        <v>94</v>
      </c>
      <c r="F27" s="3">
        <v>952</v>
      </c>
      <c r="G27" s="3" t="s">
        <v>972</v>
      </c>
      <c r="H27" s="3"/>
      <c r="I27" s="10" t="s">
        <v>973</v>
      </c>
      <c r="J27" s="10">
        <v>60</v>
      </c>
      <c r="K27" s="11" t="s">
        <v>974</v>
      </c>
      <c r="L27" s="3"/>
      <c r="M27" s="3"/>
      <c r="N27" s="8" t="s">
        <v>975</v>
      </c>
      <c r="O27" s="3" t="s">
        <v>976</v>
      </c>
      <c r="P27" s="3" t="s">
        <v>977</v>
      </c>
      <c r="Q27" s="3"/>
      <c r="R27" s="3"/>
      <c r="S27" s="3" t="s">
        <v>554</v>
      </c>
      <c r="T27" s="3" t="s">
        <v>978</v>
      </c>
      <c r="U27" s="3" t="s">
        <v>979</v>
      </c>
      <c r="V27" s="3" t="s">
        <v>845</v>
      </c>
      <c r="W27" s="3" t="s">
        <v>967</v>
      </c>
      <c r="X27" s="3" t="s">
        <v>554</v>
      </c>
      <c r="Y27" s="3" t="s">
        <v>554</v>
      </c>
      <c r="Z27" s="3"/>
      <c r="AA27" s="3"/>
      <c r="AB27" s="3"/>
      <c r="AC27" s="3"/>
    </row>
    <row r="28" spans="1:29" ht="27.95">
      <c r="A28" s="3" t="s">
        <v>980</v>
      </c>
      <c r="B28" s="3" t="s">
        <v>981</v>
      </c>
      <c r="C28" s="3" t="s">
        <v>982</v>
      </c>
      <c r="D28" s="3" t="s">
        <v>983</v>
      </c>
      <c r="E28" s="3" t="s">
        <v>984</v>
      </c>
      <c r="F28" s="3">
        <v>60</v>
      </c>
      <c r="G28" s="3" t="s">
        <v>985</v>
      </c>
      <c r="H28" s="3"/>
      <c r="I28" s="10" t="s">
        <v>986</v>
      </c>
      <c r="J28" s="10">
        <v>96</v>
      </c>
      <c r="K28" s="11" t="s">
        <v>987</v>
      </c>
      <c r="L28" s="3"/>
      <c r="M28" s="3"/>
      <c r="N28" s="8" t="s">
        <v>988</v>
      </c>
      <c r="O28" s="3" t="s">
        <v>989</v>
      </c>
      <c r="P28" s="3" t="s">
        <v>990</v>
      </c>
      <c r="Q28" s="3"/>
      <c r="R28" s="3"/>
      <c r="S28" s="3" t="s">
        <v>991</v>
      </c>
      <c r="T28" s="3" t="s">
        <v>992</v>
      </c>
      <c r="U28" s="3" t="s">
        <v>993</v>
      </c>
      <c r="V28" s="3" t="s">
        <v>845</v>
      </c>
      <c r="W28" s="3" t="s">
        <v>994</v>
      </c>
      <c r="X28" s="3" t="s">
        <v>995</v>
      </c>
      <c r="Y28" s="3" t="s">
        <v>994</v>
      </c>
      <c r="Z28" s="3"/>
      <c r="AA28" s="3"/>
      <c r="AB28" s="3"/>
      <c r="AC28" s="3"/>
    </row>
    <row r="29" spans="1:29" ht="27.95">
      <c r="A29" s="3" t="s">
        <v>996</v>
      </c>
      <c r="B29" s="3" t="s">
        <v>997</v>
      </c>
      <c r="C29" s="3" t="s">
        <v>998</v>
      </c>
      <c r="D29" s="3" t="s">
        <v>999</v>
      </c>
      <c r="E29" s="3" t="s">
        <v>998</v>
      </c>
      <c r="F29" s="3">
        <v>64</v>
      </c>
      <c r="G29" s="3" t="s">
        <v>1000</v>
      </c>
      <c r="H29" s="3"/>
      <c r="I29" s="10" t="s">
        <v>1001</v>
      </c>
      <c r="J29" s="10">
        <v>68</v>
      </c>
      <c r="K29" s="11" t="s">
        <v>1002</v>
      </c>
      <c r="L29" s="3"/>
      <c r="M29" s="3"/>
      <c r="N29" s="8" t="s">
        <v>1003</v>
      </c>
      <c r="O29" s="3" t="s">
        <v>1004</v>
      </c>
      <c r="P29" s="3" t="s">
        <v>1005</v>
      </c>
      <c r="Q29" s="3"/>
      <c r="R29" s="3"/>
      <c r="S29" s="3" t="s">
        <v>1006</v>
      </c>
      <c r="T29" s="3" t="s">
        <v>1007</v>
      </c>
      <c r="U29" s="3" t="s">
        <v>1008</v>
      </c>
      <c r="V29" s="3" t="s">
        <v>845</v>
      </c>
      <c r="W29" s="3" t="s">
        <v>1009</v>
      </c>
      <c r="X29" s="3" t="s">
        <v>1009</v>
      </c>
      <c r="Y29" s="3" t="s">
        <v>1009</v>
      </c>
      <c r="Z29" s="3"/>
      <c r="AA29" s="3"/>
      <c r="AB29" s="3"/>
      <c r="AC29" s="3"/>
    </row>
    <row r="30" spans="1:29">
      <c r="A30" s="3" t="s">
        <v>1010</v>
      </c>
      <c r="B30" s="3" t="s">
        <v>1011</v>
      </c>
      <c r="C30" s="3" t="s">
        <v>1012</v>
      </c>
      <c r="D30" s="3" t="s">
        <v>1013</v>
      </c>
      <c r="E30" s="3" t="s">
        <v>1014</v>
      </c>
      <c r="F30" s="3">
        <v>68</v>
      </c>
      <c r="G30" s="3" t="s">
        <v>1015</v>
      </c>
      <c r="H30" s="3"/>
      <c r="I30" s="10" t="s">
        <v>1016</v>
      </c>
      <c r="J30" s="10">
        <v>986</v>
      </c>
      <c r="K30" s="11" t="s">
        <v>1017</v>
      </c>
      <c r="L30" s="3"/>
      <c r="M30" s="3"/>
      <c r="N30" s="8" t="s">
        <v>1018</v>
      </c>
      <c r="O30" s="3" t="s">
        <v>1019</v>
      </c>
      <c r="P30" s="3" t="s">
        <v>1020</v>
      </c>
      <c r="Q30" s="3"/>
      <c r="R30" s="3"/>
      <c r="S30" s="3" t="s">
        <v>1021</v>
      </c>
      <c r="T30" s="3" t="s">
        <v>1021</v>
      </c>
      <c r="U30" s="3" t="s">
        <v>1021</v>
      </c>
      <c r="V30" s="3" t="s">
        <v>1021</v>
      </c>
      <c r="W30" s="3" t="s">
        <v>1021</v>
      </c>
      <c r="X30" s="3" t="s">
        <v>1021</v>
      </c>
      <c r="Y30" s="3" t="s">
        <v>1021</v>
      </c>
      <c r="Z30" s="3"/>
      <c r="AA30" s="3"/>
      <c r="AB30" s="3"/>
      <c r="AC30" s="3"/>
    </row>
    <row r="31" spans="1:29" ht="27.95">
      <c r="A31" s="3" t="s">
        <v>1022</v>
      </c>
      <c r="B31" s="3" t="s">
        <v>1023</v>
      </c>
      <c r="C31" s="3" t="s">
        <v>1024</v>
      </c>
      <c r="D31" s="3" t="s">
        <v>1025</v>
      </c>
      <c r="E31" s="3" t="s">
        <v>1026</v>
      </c>
      <c r="F31" s="3">
        <v>977</v>
      </c>
      <c r="G31" s="3" t="s">
        <v>1027</v>
      </c>
      <c r="H31" s="3"/>
      <c r="I31" s="10" t="s">
        <v>1028</v>
      </c>
      <c r="J31" s="10">
        <v>44</v>
      </c>
      <c r="K31" s="11" t="s">
        <v>1029</v>
      </c>
      <c r="L31" s="3"/>
      <c r="M31" s="3"/>
      <c r="N31" s="8" t="s">
        <v>1030</v>
      </c>
      <c r="O31" s="3" t="s">
        <v>1031</v>
      </c>
      <c r="P31" s="3" t="s">
        <v>1032</v>
      </c>
      <c r="Q31" s="3"/>
      <c r="R31" s="3"/>
      <c r="S31" s="3"/>
      <c r="T31" s="3"/>
      <c r="U31" s="3"/>
      <c r="V31" s="3"/>
      <c r="W31" s="3"/>
      <c r="X31" s="3"/>
      <c r="Y31" s="3"/>
      <c r="Z31" s="3"/>
      <c r="AA31" s="3"/>
      <c r="AB31" s="3"/>
      <c r="AC31" s="3"/>
    </row>
    <row r="32" spans="1:29">
      <c r="A32" s="3" t="s">
        <v>1033</v>
      </c>
      <c r="B32" s="3" t="s">
        <v>1034</v>
      </c>
      <c r="C32" s="3" t="s">
        <v>1035</v>
      </c>
      <c r="D32" s="3" t="s">
        <v>1036</v>
      </c>
      <c r="E32" s="3" t="s">
        <v>1037</v>
      </c>
      <c r="F32" s="3">
        <v>72</v>
      </c>
      <c r="G32" s="3" t="s">
        <v>1038</v>
      </c>
      <c r="H32" s="3"/>
      <c r="I32" s="10" t="s">
        <v>1039</v>
      </c>
      <c r="J32" s="10">
        <v>64</v>
      </c>
      <c r="K32" s="11" t="s">
        <v>1000</v>
      </c>
      <c r="L32" s="3"/>
      <c r="M32" s="3"/>
      <c r="N32" s="8" t="s">
        <v>1040</v>
      </c>
      <c r="O32" s="3" t="s">
        <v>1041</v>
      </c>
      <c r="P32" s="3" t="s">
        <v>1042</v>
      </c>
      <c r="Q32" s="3"/>
      <c r="R32" s="3"/>
      <c r="S32" s="3"/>
      <c r="T32" s="3"/>
      <c r="U32" s="3"/>
      <c r="V32" s="3"/>
      <c r="W32" s="3"/>
      <c r="X32" s="3"/>
      <c r="Y32" s="3"/>
      <c r="Z32" s="3"/>
      <c r="AA32" s="3"/>
      <c r="AB32" s="3"/>
      <c r="AC32" s="3"/>
    </row>
    <row r="33" spans="1:29">
      <c r="A33" s="3" t="s">
        <v>1043</v>
      </c>
      <c r="B33" s="3" t="s">
        <v>1044</v>
      </c>
      <c r="C33" s="3" t="s">
        <v>1045</v>
      </c>
      <c r="D33" s="3" t="s">
        <v>1046</v>
      </c>
      <c r="E33" s="3" t="s">
        <v>1047</v>
      </c>
      <c r="F33" s="3">
        <v>986</v>
      </c>
      <c r="G33" s="3" t="s">
        <v>1048</v>
      </c>
      <c r="H33" s="3"/>
      <c r="I33" s="10" t="s">
        <v>1049</v>
      </c>
      <c r="J33" s="10">
        <v>72</v>
      </c>
      <c r="K33" s="11" t="s">
        <v>1050</v>
      </c>
      <c r="L33" s="3"/>
      <c r="M33" s="3"/>
      <c r="N33" s="8" t="s">
        <v>1051</v>
      </c>
      <c r="O33" s="3" t="s">
        <v>1052</v>
      </c>
      <c r="P33" s="3" t="s">
        <v>1053</v>
      </c>
      <c r="Q33" s="3"/>
      <c r="R33" s="3"/>
      <c r="S33" s="3"/>
      <c r="T33" s="3"/>
      <c r="U33" s="3"/>
      <c r="V33" s="3"/>
      <c r="W33" s="3"/>
      <c r="X33" s="3"/>
      <c r="Y33" s="3"/>
      <c r="Z33" s="3"/>
      <c r="AA33" s="3"/>
      <c r="AB33" s="3"/>
      <c r="AC33" s="3"/>
    </row>
    <row r="34" spans="1:29">
      <c r="A34" s="3" t="s">
        <v>1054</v>
      </c>
      <c r="B34" s="3" t="s">
        <v>1055</v>
      </c>
      <c r="C34" s="3" t="s">
        <v>1056</v>
      </c>
      <c r="D34" s="3" t="s">
        <v>1057</v>
      </c>
      <c r="E34" s="3" t="s">
        <v>1058</v>
      </c>
      <c r="F34" s="3">
        <v>975</v>
      </c>
      <c r="G34" s="3" t="s">
        <v>1059</v>
      </c>
      <c r="H34" s="3"/>
      <c r="I34" s="10" t="s">
        <v>1060</v>
      </c>
      <c r="J34" s="10">
        <v>974</v>
      </c>
      <c r="K34" s="11" t="s">
        <v>1061</v>
      </c>
      <c r="L34" s="3"/>
      <c r="M34" s="3"/>
      <c r="N34" s="8" t="s">
        <v>1062</v>
      </c>
      <c r="O34" s="3" t="s">
        <v>1063</v>
      </c>
      <c r="P34" s="3" t="s">
        <v>1064</v>
      </c>
      <c r="Q34" s="3"/>
      <c r="R34" s="3"/>
      <c r="S34" s="3"/>
      <c r="T34" s="3"/>
      <c r="U34" s="3"/>
      <c r="V34" s="3"/>
      <c r="W34" s="3"/>
      <c r="X34" s="3"/>
      <c r="Y34" s="3"/>
      <c r="Z34" s="3"/>
      <c r="AA34" s="3"/>
      <c r="AB34" s="3"/>
      <c r="AC34" s="3"/>
    </row>
    <row r="35" spans="1:29">
      <c r="A35" s="3" t="s">
        <v>1065</v>
      </c>
      <c r="B35" s="3" t="s">
        <v>1066</v>
      </c>
      <c r="C35" s="3" t="s">
        <v>1067</v>
      </c>
      <c r="D35" s="3" t="s">
        <v>1068</v>
      </c>
      <c r="E35" s="3" t="s">
        <v>94</v>
      </c>
      <c r="F35" s="3">
        <v>952</v>
      </c>
      <c r="G35" s="3" t="s">
        <v>972</v>
      </c>
      <c r="H35" s="3"/>
      <c r="I35" s="10" t="s">
        <v>1069</v>
      </c>
      <c r="J35" s="10">
        <v>84</v>
      </c>
      <c r="K35" s="11" t="s">
        <v>1070</v>
      </c>
      <c r="L35" s="3"/>
      <c r="M35" s="3"/>
      <c r="N35" s="8" t="s">
        <v>1071</v>
      </c>
      <c r="O35" s="3" t="s">
        <v>499</v>
      </c>
      <c r="P35" s="3" t="s">
        <v>194</v>
      </c>
      <c r="Q35" s="3"/>
      <c r="R35" s="3"/>
      <c r="S35" s="3"/>
      <c r="T35" s="3"/>
      <c r="U35" s="3"/>
      <c r="V35" s="3"/>
      <c r="W35" s="3"/>
      <c r="X35" s="3"/>
      <c r="Y35" s="3"/>
      <c r="Z35" s="3"/>
      <c r="AA35" s="3"/>
      <c r="AB35" s="3"/>
      <c r="AC35" s="3"/>
    </row>
    <row r="36" spans="1:29">
      <c r="A36" s="3" t="s">
        <v>1072</v>
      </c>
      <c r="B36" s="3" t="s">
        <v>1073</v>
      </c>
      <c r="C36" s="3" t="s">
        <v>1074</v>
      </c>
      <c r="D36" s="3" t="s">
        <v>1075</v>
      </c>
      <c r="E36" s="3" t="s">
        <v>1076</v>
      </c>
      <c r="F36" s="3">
        <v>108</v>
      </c>
      <c r="G36" s="3" t="s">
        <v>1077</v>
      </c>
      <c r="H36" s="3"/>
      <c r="I36" s="10" t="s">
        <v>1078</v>
      </c>
      <c r="J36" s="10">
        <v>124</v>
      </c>
      <c r="K36" s="11" t="s">
        <v>1079</v>
      </c>
      <c r="L36" s="3"/>
      <c r="M36" s="3"/>
      <c r="N36" s="8" t="s">
        <v>1080</v>
      </c>
      <c r="O36" s="3" t="s">
        <v>1081</v>
      </c>
      <c r="P36" s="3" t="s">
        <v>1082</v>
      </c>
      <c r="Q36" s="3"/>
      <c r="R36" s="3"/>
      <c r="S36" s="3"/>
      <c r="T36" s="3"/>
      <c r="U36" s="3"/>
      <c r="V36" s="3"/>
      <c r="W36" s="3"/>
      <c r="X36" s="3"/>
      <c r="Y36" s="3"/>
      <c r="Z36" s="3"/>
      <c r="AA36" s="3"/>
      <c r="AB36" s="3"/>
      <c r="AC36" s="3"/>
    </row>
    <row r="37" spans="1:29" ht="27.95">
      <c r="A37" s="3" t="s">
        <v>1083</v>
      </c>
      <c r="B37" s="3" t="s">
        <v>1084</v>
      </c>
      <c r="C37" s="3" t="s">
        <v>1085</v>
      </c>
      <c r="D37" s="3" t="s">
        <v>1086</v>
      </c>
      <c r="E37" s="3" t="s">
        <v>1087</v>
      </c>
      <c r="F37" s="3">
        <v>116</v>
      </c>
      <c r="G37" s="3" t="s">
        <v>1088</v>
      </c>
      <c r="H37" s="3"/>
      <c r="I37" s="10" t="s">
        <v>1089</v>
      </c>
      <c r="J37" s="10">
        <v>976</v>
      </c>
      <c r="K37" s="11" t="s">
        <v>1090</v>
      </c>
      <c r="L37" s="3"/>
      <c r="M37" s="3"/>
      <c r="N37" s="8" t="s">
        <v>1091</v>
      </c>
      <c r="O37" s="3" t="s">
        <v>1092</v>
      </c>
      <c r="P37" s="3" t="s">
        <v>1093</v>
      </c>
      <c r="Q37" s="3"/>
      <c r="R37" s="3"/>
      <c r="S37" s="3"/>
      <c r="T37" s="3"/>
      <c r="U37" s="3"/>
      <c r="V37" s="3"/>
      <c r="W37" s="3"/>
      <c r="X37" s="3"/>
      <c r="Y37" s="3"/>
      <c r="Z37" s="3"/>
      <c r="AA37" s="3"/>
      <c r="AB37" s="3"/>
      <c r="AC37" s="3"/>
    </row>
    <row r="38" spans="1:29">
      <c r="A38" s="3" t="s">
        <v>1094</v>
      </c>
      <c r="B38" s="3" t="s">
        <v>1095</v>
      </c>
      <c r="C38" s="3" t="s">
        <v>1096</v>
      </c>
      <c r="D38" s="3" t="s">
        <v>1097</v>
      </c>
      <c r="E38" s="3" t="s">
        <v>1098</v>
      </c>
      <c r="F38" s="3">
        <v>950</v>
      </c>
      <c r="G38" s="3" t="s">
        <v>1099</v>
      </c>
      <c r="H38" s="3"/>
      <c r="I38" s="10" t="s">
        <v>1100</v>
      </c>
      <c r="J38" s="10">
        <v>756</v>
      </c>
      <c r="K38" s="11" t="s">
        <v>1101</v>
      </c>
      <c r="L38" s="3"/>
      <c r="M38" s="3"/>
      <c r="N38" s="8" t="s">
        <v>1102</v>
      </c>
      <c r="O38" s="3" t="s">
        <v>1103</v>
      </c>
      <c r="P38" s="3" t="s">
        <v>1104</v>
      </c>
      <c r="Q38" s="3"/>
      <c r="R38" s="3"/>
      <c r="S38" s="3"/>
      <c r="T38" s="3"/>
      <c r="U38" s="3"/>
      <c r="V38" s="3"/>
      <c r="W38" s="3"/>
      <c r="X38" s="3"/>
      <c r="Y38" s="3"/>
      <c r="Z38" s="3"/>
      <c r="AA38" s="3"/>
      <c r="AB38" s="3"/>
      <c r="AC38" s="3"/>
    </row>
    <row r="39" spans="1:29">
      <c r="A39" s="3" t="s">
        <v>1105</v>
      </c>
      <c r="B39" s="3" t="s">
        <v>1106</v>
      </c>
      <c r="C39" s="3" t="s">
        <v>1107</v>
      </c>
      <c r="D39" s="3" t="s">
        <v>1108</v>
      </c>
      <c r="E39" s="3" t="s">
        <v>1109</v>
      </c>
      <c r="F39" s="3">
        <v>124</v>
      </c>
      <c r="G39" s="3" t="s">
        <v>1110</v>
      </c>
      <c r="H39" s="3"/>
      <c r="I39" s="10" t="s">
        <v>1111</v>
      </c>
      <c r="J39" s="10">
        <v>990</v>
      </c>
      <c r="K39" s="11" t="s">
        <v>1112</v>
      </c>
      <c r="L39" s="3"/>
      <c r="M39" s="3"/>
      <c r="N39" s="8" t="s">
        <v>1113</v>
      </c>
      <c r="O39" s="3" t="s">
        <v>1114</v>
      </c>
      <c r="P39" s="3" t="s">
        <v>1115</v>
      </c>
      <c r="Q39" s="3"/>
      <c r="R39" s="3"/>
      <c r="S39" s="3"/>
      <c r="T39" s="3"/>
      <c r="U39" s="3"/>
      <c r="V39" s="3"/>
      <c r="W39" s="3"/>
      <c r="X39" s="3"/>
      <c r="Y39" s="3"/>
      <c r="Z39" s="3"/>
      <c r="AA39" s="3"/>
      <c r="AB39" s="3"/>
      <c r="AC39" s="3"/>
    </row>
    <row r="40" spans="1:29">
      <c r="A40" s="3" t="s">
        <v>1116</v>
      </c>
      <c r="B40" s="3" t="s">
        <v>1117</v>
      </c>
      <c r="C40" s="3" t="s">
        <v>1118</v>
      </c>
      <c r="D40" s="3" t="s">
        <v>1119</v>
      </c>
      <c r="E40" s="3" t="s">
        <v>1120</v>
      </c>
      <c r="F40" s="3">
        <v>132</v>
      </c>
      <c r="G40" s="3" t="s">
        <v>1121</v>
      </c>
      <c r="H40" s="3"/>
      <c r="I40" s="10" t="s">
        <v>1122</v>
      </c>
      <c r="J40" s="10">
        <v>0</v>
      </c>
      <c r="K40" s="11" t="s">
        <v>1123</v>
      </c>
      <c r="L40" s="3"/>
      <c r="M40" s="3"/>
      <c r="N40" s="8" t="s">
        <v>1124</v>
      </c>
      <c r="O40" s="3" t="s">
        <v>1125</v>
      </c>
      <c r="P40" s="3" t="s">
        <v>236</v>
      </c>
      <c r="Q40" s="3"/>
      <c r="R40" s="3"/>
      <c r="S40" s="3"/>
      <c r="T40" s="3"/>
      <c r="U40" s="3"/>
      <c r="V40" s="3"/>
      <c r="W40" s="3"/>
      <c r="X40" s="3"/>
      <c r="Y40" s="3"/>
      <c r="Z40" s="3"/>
      <c r="AA40" s="3"/>
      <c r="AB40" s="3"/>
      <c r="AC40" s="3"/>
    </row>
    <row r="41" spans="1:29" ht="27.95">
      <c r="A41" s="3" t="s">
        <v>1126</v>
      </c>
      <c r="B41" s="3" t="s">
        <v>1127</v>
      </c>
      <c r="C41" s="3" t="s">
        <v>1128</v>
      </c>
      <c r="D41" s="3" t="s">
        <v>1129</v>
      </c>
      <c r="E41" s="3" t="s">
        <v>1130</v>
      </c>
      <c r="F41" s="3">
        <v>990</v>
      </c>
      <c r="G41" s="3" t="s">
        <v>1112</v>
      </c>
      <c r="H41" s="3"/>
      <c r="I41" s="10" t="s">
        <v>1131</v>
      </c>
      <c r="J41" s="10">
        <v>170</v>
      </c>
      <c r="K41" s="11" t="s">
        <v>1132</v>
      </c>
      <c r="L41" s="3"/>
      <c r="M41" s="3"/>
      <c r="N41" s="8" t="s">
        <v>1133</v>
      </c>
      <c r="O41" s="3" t="s">
        <v>1134</v>
      </c>
      <c r="P41" s="3" t="s">
        <v>1135</v>
      </c>
      <c r="Q41" s="3"/>
      <c r="R41" s="3"/>
      <c r="S41" s="3"/>
      <c r="T41" s="3"/>
      <c r="U41" s="3"/>
      <c r="V41" s="3"/>
      <c r="W41" s="3"/>
      <c r="X41" s="3"/>
      <c r="Y41" s="3"/>
      <c r="Z41" s="3"/>
      <c r="AA41" s="3"/>
      <c r="AB41" s="3"/>
      <c r="AC41" s="3"/>
    </row>
    <row r="42" spans="1:29">
      <c r="A42" s="3" t="s">
        <v>1136</v>
      </c>
      <c r="B42" s="3" t="s">
        <v>1137</v>
      </c>
      <c r="C42" s="3" t="s">
        <v>1138</v>
      </c>
      <c r="D42" s="3" t="s">
        <v>1139</v>
      </c>
      <c r="E42" s="3" t="s">
        <v>1140</v>
      </c>
      <c r="F42" s="3">
        <v>0</v>
      </c>
      <c r="G42" s="3" t="s">
        <v>1141</v>
      </c>
      <c r="H42" s="3"/>
      <c r="I42" s="10" t="s">
        <v>1142</v>
      </c>
      <c r="J42" s="10">
        <v>188</v>
      </c>
      <c r="K42" s="11" t="s">
        <v>1143</v>
      </c>
      <c r="L42" s="3"/>
      <c r="M42" s="3"/>
      <c r="N42" s="8" t="s">
        <v>1144</v>
      </c>
      <c r="O42" s="3" t="s">
        <v>1145</v>
      </c>
      <c r="P42" s="3" t="s">
        <v>1146</v>
      </c>
      <c r="Q42" s="3"/>
      <c r="R42" s="3"/>
      <c r="S42" s="3"/>
      <c r="T42" s="3"/>
      <c r="U42" s="3"/>
      <c r="V42" s="3"/>
      <c r="W42" s="3"/>
      <c r="X42" s="3"/>
      <c r="Y42" s="3"/>
      <c r="Z42" s="3"/>
      <c r="AA42" s="3"/>
      <c r="AB42" s="3"/>
      <c r="AC42" s="3"/>
    </row>
    <row r="43" spans="1:29">
      <c r="A43" s="3" t="s">
        <v>1147</v>
      </c>
      <c r="B43" s="3" t="s">
        <v>1148</v>
      </c>
      <c r="C43" s="3" t="s">
        <v>1149</v>
      </c>
      <c r="D43" s="3" t="s">
        <v>1150</v>
      </c>
      <c r="E43" s="3" t="s">
        <v>709</v>
      </c>
      <c r="F43" s="3">
        <v>978</v>
      </c>
      <c r="G43" s="3" t="s">
        <v>710</v>
      </c>
      <c r="H43" s="3"/>
      <c r="I43" s="10" t="s">
        <v>1151</v>
      </c>
      <c r="J43" s="10">
        <v>931</v>
      </c>
      <c r="K43" s="11" t="s">
        <v>1152</v>
      </c>
      <c r="L43" s="3"/>
      <c r="M43" s="3"/>
      <c r="N43" s="8" t="s">
        <v>1153</v>
      </c>
      <c r="O43" s="3" t="s">
        <v>1154</v>
      </c>
      <c r="P43" s="3" t="s">
        <v>1155</v>
      </c>
      <c r="Q43" s="3"/>
      <c r="R43" s="3"/>
      <c r="S43" s="3"/>
      <c r="T43" s="3"/>
      <c r="U43" s="3"/>
      <c r="V43" s="3"/>
      <c r="W43" s="3"/>
      <c r="X43" s="3"/>
      <c r="Y43" s="3"/>
      <c r="Z43" s="3"/>
      <c r="AA43" s="3"/>
      <c r="AB43" s="3"/>
      <c r="AC43" s="3"/>
    </row>
    <row r="44" spans="1:29">
      <c r="A44" s="3" t="s">
        <v>1156</v>
      </c>
      <c r="B44" s="3" t="s">
        <v>1157</v>
      </c>
      <c r="C44" s="3" t="s">
        <v>1158</v>
      </c>
      <c r="D44" s="3" t="s">
        <v>1159</v>
      </c>
      <c r="E44" s="3" t="s">
        <v>1160</v>
      </c>
      <c r="F44" s="3">
        <v>170</v>
      </c>
      <c r="G44" s="3" t="s">
        <v>1161</v>
      </c>
      <c r="H44" s="3"/>
      <c r="I44" s="10" t="s">
        <v>1162</v>
      </c>
      <c r="J44" s="10">
        <v>132</v>
      </c>
      <c r="K44" s="11" t="s">
        <v>1163</v>
      </c>
      <c r="L44" s="3"/>
      <c r="M44" s="3"/>
      <c r="N44" s="8" t="s">
        <v>1164</v>
      </c>
      <c r="O44" s="3" t="s">
        <v>1165</v>
      </c>
      <c r="P44" s="3" t="s">
        <v>1166</v>
      </c>
      <c r="Q44" s="3"/>
      <c r="R44" s="3"/>
      <c r="S44" s="3"/>
      <c r="T44" s="3"/>
      <c r="U44" s="3"/>
      <c r="V44" s="3"/>
      <c r="W44" s="3"/>
      <c r="X44" s="3"/>
      <c r="Y44" s="3"/>
      <c r="Z44" s="3"/>
      <c r="AA44" s="3"/>
      <c r="AB44" s="3"/>
      <c r="AC44" s="3"/>
    </row>
    <row r="45" spans="1:29">
      <c r="A45" s="3" t="s">
        <v>1167</v>
      </c>
      <c r="B45" s="3" t="s">
        <v>1168</v>
      </c>
      <c r="C45" s="3" t="s">
        <v>1169</v>
      </c>
      <c r="D45" s="3" t="s">
        <v>1170</v>
      </c>
      <c r="E45" s="3" t="s">
        <v>1171</v>
      </c>
      <c r="F45" s="3">
        <v>174</v>
      </c>
      <c r="G45" s="3" t="s">
        <v>1172</v>
      </c>
      <c r="H45" s="3"/>
      <c r="I45" s="10" t="s">
        <v>1173</v>
      </c>
      <c r="J45" s="10">
        <v>203</v>
      </c>
      <c r="K45" s="11" t="s">
        <v>1174</v>
      </c>
      <c r="L45" s="3"/>
      <c r="M45" s="3"/>
      <c r="N45" s="8" t="s">
        <v>1175</v>
      </c>
      <c r="O45" s="3" t="s">
        <v>492</v>
      </c>
      <c r="P45" s="3" t="s">
        <v>203</v>
      </c>
      <c r="Q45" s="3"/>
      <c r="R45" s="3"/>
      <c r="S45" s="3"/>
      <c r="T45" s="3"/>
      <c r="U45" s="3"/>
      <c r="V45" s="3"/>
      <c r="W45" s="3"/>
      <c r="X45" s="3"/>
      <c r="Y45" s="3"/>
      <c r="Z45" s="3"/>
      <c r="AA45" s="3"/>
      <c r="AB45" s="3"/>
      <c r="AC45" s="3"/>
    </row>
    <row r="46" spans="1:29">
      <c r="A46" t="s">
        <v>1176</v>
      </c>
      <c r="B46" t="s">
        <v>1177</v>
      </c>
      <c r="C46" t="s">
        <v>1178</v>
      </c>
      <c r="D46" t="s">
        <v>1179</v>
      </c>
      <c r="E46" t="s">
        <v>1180</v>
      </c>
      <c r="F46">
        <v>408</v>
      </c>
      <c r="G46" t="s">
        <v>1181</v>
      </c>
      <c r="H46" s="3"/>
      <c r="I46" s="10" t="s">
        <v>1182</v>
      </c>
      <c r="J46" s="10">
        <v>262</v>
      </c>
      <c r="K46" s="11" t="s">
        <v>1183</v>
      </c>
      <c r="L46" s="3"/>
      <c r="M46" s="3"/>
      <c r="N46" s="8" t="s">
        <v>1184</v>
      </c>
      <c r="O46" s="3" t="s">
        <v>1185</v>
      </c>
      <c r="P46" s="3" t="s">
        <v>1186</v>
      </c>
      <c r="Q46" s="3"/>
      <c r="R46" s="3"/>
      <c r="S46" s="3"/>
      <c r="T46" s="3"/>
      <c r="U46" s="3"/>
      <c r="V46" s="3"/>
      <c r="W46" s="3"/>
      <c r="X46" s="3"/>
      <c r="Y46" s="3"/>
      <c r="Z46" s="3"/>
      <c r="AA46" s="3"/>
      <c r="AB46" s="3"/>
      <c r="AC46" s="3"/>
    </row>
    <row r="47" spans="1:29" ht="27.95">
      <c r="A47" t="s">
        <v>1187</v>
      </c>
      <c r="B47" t="s">
        <v>1188</v>
      </c>
      <c r="C47" t="s">
        <v>1189</v>
      </c>
      <c r="D47" t="s">
        <v>1190</v>
      </c>
      <c r="E47" t="s">
        <v>1191</v>
      </c>
      <c r="F47">
        <v>410</v>
      </c>
      <c r="G47" t="s">
        <v>1192</v>
      </c>
      <c r="H47" s="3"/>
      <c r="I47" s="10" t="s">
        <v>1193</v>
      </c>
      <c r="J47" s="10">
        <v>208</v>
      </c>
      <c r="K47" s="11" t="s">
        <v>1194</v>
      </c>
      <c r="L47" s="3"/>
      <c r="M47" s="3"/>
      <c r="N47" s="8" t="s">
        <v>1195</v>
      </c>
      <c r="O47" s="3" t="s">
        <v>1196</v>
      </c>
      <c r="P47" s="3" t="s">
        <v>1197</v>
      </c>
      <c r="Q47" s="3"/>
      <c r="R47" s="3"/>
      <c r="S47" s="3"/>
      <c r="T47" s="3"/>
      <c r="U47" s="3"/>
      <c r="V47" s="3"/>
      <c r="W47" s="3"/>
      <c r="X47" s="3"/>
      <c r="Y47" s="3"/>
      <c r="Z47" s="3"/>
      <c r="AA47" s="3"/>
      <c r="AB47" s="3"/>
      <c r="AC47" s="3"/>
    </row>
    <row r="48" spans="1:29" ht="27.95">
      <c r="A48" s="3" t="s">
        <v>1198</v>
      </c>
      <c r="B48" s="3" t="s">
        <v>1199</v>
      </c>
      <c r="C48" s="3" t="s">
        <v>1200</v>
      </c>
      <c r="D48" s="3" t="s">
        <v>1201</v>
      </c>
      <c r="E48" s="3" t="s">
        <v>1202</v>
      </c>
      <c r="F48" s="3">
        <v>188</v>
      </c>
      <c r="G48" s="3" t="s">
        <v>1203</v>
      </c>
      <c r="H48" s="3"/>
      <c r="I48" s="10" t="s">
        <v>1204</v>
      </c>
      <c r="J48" s="10">
        <v>214</v>
      </c>
      <c r="K48" s="11" t="s">
        <v>1205</v>
      </c>
      <c r="L48" s="3"/>
      <c r="M48" s="3"/>
      <c r="N48" s="8" t="s">
        <v>1206</v>
      </c>
      <c r="O48" s="3" t="s">
        <v>1207</v>
      </c>
      <c r="P48" s="3" t="s">
        <v>1208</v>
      </c>
      <c r="Q48" s="3"/>
      <c r="R48" s="3"/>
      <c r="S48" s="3"/>
      <c r="T48" s="3"/>
      <c r="U48" s="3"/>
      <c r="V48" s="3"/>
      <c r="W48" s="3"/>
      <c r="X48" s="3"/>
      <c r="Y48" s="3"/>
      <c r="Z48" s="3"/>
      <c r="AA48" s="3"/>
      <c r="AB48" s="3"/>
      <c r="AC48" s="3"/>
    </row>
    <row r="49" spans="1:29">
      <c r="A49" s="3" t="s">
        <v>1209</v>
      </c>
      <c r="B49" s="3" t="s">
        <v>1210</v>
      </c>
      <c r="C49" s="3" t="s">
        <v>1211</v>
      </c>
      <c r="D49" s="3" t="s">
        <v>1212</v>
      </c>
      <c r="E49" s="3" t="s">
        <v>94</v>
      </c>
      <c r="F49" s="3">
        <v>952</v>
      </c>
      <c r="G49" s="3" t="s">
        <v>972</v>
      </c>
      <c r="H49" s="3"/>
      <c r="I49" s="10" t="s">
        <v>1213</v>
      </c>
      <c r="J49" s="10">
        <v>12</v>
      </c>
      <c r="K49" s="11" t="s">
        <v>1214</v>
      </c>
      <c r="L49" s="3"/>
      <c r="M49" s="3"/>
      <c r="N49" s="8" t="s">
        <v>1215</v>
      </c>
      <c r="O49" s="3" t="s">
        <v>1216</v>
      </c>
      <c r="P49" s="3" t="s">
        <v>1217</v>
      </c>
      <c r="Q49" s="3"/>
      <c r="R49" s="3"/>
      <c r="S49" s="3"/>
      <c r="T49" s="3"/>
      <c r="U49" s="3"/>
      <c r="V49" s="3"/>
      <c r="W49" s="3"/>
      <c r="X49" s="3"/>
      <c r="Y49" s="3"/>
      <c r="Z49" s="3"/>
      <c r="AA49" s="3"/>
      <c r="AB49" s="3"/>
      <c r="AC49" s="3"/>
    </row>
    <row r="50" spans="1:29">
      <c r="A50" s="3" t="s">
        <v>1218</v>
      </c>
      <c r="B50" s="3" t="s">
        <v>1219</v>
      </c>
      <c r="C50" s="3" t="s">
        <v>1220</v>
      </c>
      <c r="D50" s="3" t="s">
        <v>1221</v>
      </c>
      <c r="E50" s="3" t="s">
        <v>1222</v>
      </c>
      <c r="F50" s="3">
        <v>191</v>
      </c>
      <c r="G50" s="3" t="s">
        <v>1223</v>
      </c>
      <c r="H50" s="3"/>
      <c r="I50" s="10" t="s">
        <v>1224</v>
      </c>
      <c r="J50" s="10">
        <v>818</v>
      </c>
      <c r="K50" s="11" t="s">
        <v>1225</v>
      </c>
      <c r="L50" s="3"/>
      <c r="M50" s="3"/>
      <c r="N50" s="8" t="s">
        <v>1226</v>
      </c>
      <c r="O50" s="3" t="s">
        <v>1227</v>
      </c>
      <c r="P50" s="3" t="s">
        <v>1228</v>
      </c>
      <c r="Q50" s="3"/>
      <c r="R50" s="3"/>
      <c r="S50" s="3"/>
      <c r="T50" s="3"/>
      <c r="U50" s="3"/>
      <c r="V50" s="3"/>
      <c r="W50" s="3"/>
      <c r="X50" s="3"/>
      <c r="Y50" s="3"/>
      <c r="Z50" s="3"/>
      <c r="AA50" s="3"/>
      <c r="AB50" s="3"/>
      <c r="AC50" s="3"/>
    </row>
    <row r="51" spans="1:29">
      <c r="A51" s="3" t="s">
        <v>1229</v>
      </c>
      <c r="B51" s="3" t="s">
        <v>1230</v>
      </c>
      <c r="C51" s="3" t="s">
        <v>1231</v>
      </c>
      <c r="D51" s="3" t="s">
        <v>1232</v>
      </c>
      <c r="E51" s="3" t="s">
        <v>1233</v>
      </c>
      <c r="F51" s="3">
        <v>931</v>
      </c>
      <c r="G51" s="3" t="s">
        <v>1234</v>
      </c>
      <c r="H51" s="3"/>
      <c r="I51" s="10" t="s">
        <v>1235</v>
      </c>
      <c r="J51" s="10">
        <v>232</v>
      </c>
      <c r="K51" s="11" t="s">
        <v>1236</v>
      </c>
      <c r="L51" s="3"/>
      <c r="M51" s="3"/>
      <c r="N51" s="8" t="s">
        <v>1237</v>
      </c>
      <c r="O51" s="3" t="s">
        <v>1238</v>
      </c>
      <c r="P51" s="3" t="s">
        <v>1239</v>
      </c>
      <c r="Q51" s="3"/>
      <c r="R51" s="3"/>
      <c r="S51" s="3"/>
      <c r="T51" s="3"/>
      <c r="U51" s="3"/>
      <c r="V51" s="3"/>
      <c r="W51" s="3"/>
      <c r="X51" s="3"/>
      <c r="Y51" s="3"/>
      <c r="Z51" s="3"/>
      <c r="AA51" s="3"/>
      <c r="AB51" s="3"/>
      <c r="AC51" s="3"/>
    </row>
    <row r="52" spans="1:29" ht="27.95">
      <c r="A52" s="3" t="s">
        <v>1240</v>
      </c>
      <c r="B52" s="3" t="s">
        <v>1241</v>
      </c>
      <c r="C52" s="3" t="s">
        <v>1242</v>
      </c>
      <c r="D52" s="3" t="s">
        <v>1243</v>
      </c>
      <c r="E52" s="3" t="s">
        <v>1244</v>
      </c>
      <c r="F52" s="3">
        <v>208</v>
      </c>
      <c r="G52" s="3" t="s">
        <v>1245</v>
      </c>
      <c r="H52" s="3"/>
      <c r="I52" s="10" t="s">
        <v>1246</v>
      </c>
      <c r="J52" s="10">
        <v>230</v>
      </c>
      <c r="K52" s="11" t="s">
        <v>1247</v>
      </c>
      <c r="L52" s="3"/>
      <c r="M52" s="3"/>
      <c r="N52" s="8" t="s">
        <v>1248</v>
      </c>
      <c r="O52" s="3" t="s">
        <v>1249</v>
      </c>
      <c r="P52" s="3" t="s">
        <v>1250</v>
      </c>
      <c r="Q52" s="3"/>
      <c r="R52" s="3"/>
      <c r="S52" s="3"/>
      <c r="T52" s="3"/>
      <c r="U52" s="3"/>
      <c r="V52" s="3"/>
      <c r="W52" s="3"/>
      <c r="X52" s="3"/>
      <c r="Y52" s="3"/>
      <c r="Z52" s="3"/>
      <c r="AA52" s="3"/>
      <c r="AB52" s="3"/>
      <c r="AC52" s="3"/>
    </row>
    <row r="53" spans="1:29">
      <c r="A53" s="3" t="s">
        <v>1251</v>
      </c>
      <c r="B53" s="3" t="s">
        <v>1252</v>
      </c>
      <c r="C53" s="3" t="s">
        <v>1253</v>
      </c>
      <c r="D53" s="3" t="s">
        <v>1254</v>
      </c>
      <c r="E53" s="3" t="s">
        <v>1255</v>
      </c>
      <c r="F53" s="3">
        <v>96</v>
      </c>
      <c r="G53" s="3" t="s">
        <v>1256</v>
      </c>
      <c r="H53" s="3"/>
      <c r="I53" s="10" t="s">
        <v>1257</v>
      </c>
      <c r="J53" s="10">
        <v>978</v>
      </c>
      <c r="K53" s="11" t="s">
        <v>1258</v>
      </c>
      <c r="L53" s="3"/>
      <c r="M53" s="3"/>
      <c r="N53" s="8" t="s">
        <v>1259</v>
      </c>
      <c r="O53" s="3" t="s">
        <v>475</v>
      </c>
      <c r="P53" s="3" t="s">
        <v>191</v>
      </c>
      <c r="Q53" s="3"/>
      <c r="R53" s="3"/>
      <c r="S53" s="3"/>
      <c r="T53" s="3"/>
      <c r="U53" s="3"/>
      <c r="V53" s="3"/>
      <c r="W53" s="3"/>
      <c r="X53" s="3"/>
      <c r="Y53" s="3"/>
      <c r="Z53" s="3"/>
      <c r="AA53" s="3"/>
      <c r="AB53" s="3"/>
      <c r="AC53" s="3"/>
    </row>
    <row r="54" spans="1:29">
      <c r="A54" s="3" t="s">
        <v>1260</v>
      </c>
      <c r="B54" s="3" t="s">
        <v>1261</v>
      </c>
      <c r="C54" s="3" t="s">
        <v>1262</v>
      </c>
      <c r="D54" s="3" t="s">
        <v>1263</v>
      </c>
      <c r="E54" s="3" t="s">
        <v>1264</v>
      </c>
      <c r="F54" s="3">
        <v>262</v>
      </c>
      <c r="G54" s="3" t="s">
        <v>1265</v>
      </c>
      <c r="H54" s="3"/>
      <c r="I54" s="10" t="s">
        <v>1266</v>
      </c>
      <c r="J54" s="10">
        <v>242</v>
      </c>
      <c r="K54" s="11" t="s">
        <v>1267</v>
      </c>
      <c r="L54" s="3"/>
      <c r="M54" s="3"/>
      <c r="N54" s="8" t="s">
        <v>1268</v>
      </c>
      <c r="O54" s="3" t="s">
        <v>1269</v>
      </c>
      <c r="P54" s="3" t="s">
        <v>1270</v>
      </c>
      <c r="Q54" s="3"/>
      <c r="R54" s="3"/>
      <c r="S54" s="3"/>
      <c r="T54" s="3"/>
      <c r="U54" s="3"/>
      <c r="V54" s="3"/>
      <c r="W54" s="3"/>
      <c r="X54" s="3"/>
      <c r="Y54" s="3"/>
      <c r="Z54" s="3"/>
      <c r="AA54" s="3"/>
      <c r="AB54" s="3"/>
      <c r="AC54" s="3"/>
    </row>
    <row r="55" spans="1:29" ht="27.95">
      <c r="A55" s="3" t="s">
        <v>1271</v>
      </c>
      <c r="B55" s="3" t="s">
        <v>1272</v>
      </c>
      <c r="C55" s="3" t="s">
        <v>1273</v>
      </c>
      <c r="D55" s="3" t="s">
        <v>1274</v>
      </c>
      <c r="E55" s="3" t="s">
        <v>743</v>
      </c>
      <c r="F55" s="3">
        <v>951</v>
      </c>
      <c r="G55" s="3" t="s">
        <v>744</v>
      </c>
      <c r="H55" s="3"/>
      <c r="I55" s="10" t="s">
        <v>1275</v>
      </c>
      <c r="J55" s="10">
        <v>238</v>
      </c>
      <c r="K55" s="11" t="s">
        <v>1276</v>
      </c>
      <c r="L55" s="3"/>
      <c r="M55" s="3"/>
      <c r="N55" s="8" t="s">
        <v>1277</v>
      </c>
      <c r="O55" s="3" t="s">
        <v>480</v>
      </c>
      <c r="P55" s="3" t="s">
        <v>196</v>
      </c>
      <c r="Q55" s="3"/>
      <c r="R55" s="3"/>
      <c r="S55" s="3"/>
      <c r="T55" s="3"/>
      <c r="U55" s="3"/>
      <c r="V55" s="3"/>
      <c r="W55" s="3"/>
      <c r="X55" s="3"/>
      <c r="Y55" s="3"/>
      <c r="Z55" s="3"/>
      <c r="AA55" s="3"/>
      <c r="AB55" s="3"/>
      <c r="AC55" s="3"/>
    </row>
    <row r="56" spans="1:29">
      <c r="A56" t="s">
        <v>1278</v>
      </c>
      <c r="B56" t="s">
        <v>1279</v>
      </c>
      <c r="C56" t="s">
        <v>1280</v>
      </c>
      <c r="D56" t="s">
        <v>1281</v>
      </c>
      <c r="E56" t="s">
        <v>1282</v>
      </c>
      <c r="F56">
        <v>818</v>
      </c>
      <c r="G56" t="s">
        <v>1283</v>
      </c>
      <c r="H56" s="3"/>
      <c r="I56" s="10" t="s">
        <v>1284</v>
      </c>
      <c r="J56" s="10">
        <v>826</v>
      </c>
      <c r="K56" s="11" t="s">
        <v>1285</v>
      </c>
      <c r="L56" s="3"/>
      <c r="M56" s="3"/>
      <c r="N56" s="8" t="s">
        <v>1286</v>
      </c>
      <c r="O56" s="3" t="s">
        <v>1287</v>
      </c>
      <c r="P56" s="3" t="s">
        <v>1288</v>
      </c>
      <c r="Q56" s="3"/>
      <c r="R56" s="3"/>
      <c r="S56" s="3"/>
      <c r="T56" s="3"/>
      <c r="U56" s="3"/>
      <c r="V56" s="3"/>
      <c r="W56" s="3"/>
      <c r="X56" s="3"/>
      <c r="Y56" s="3"/>
      <c r="Z56" s="3"/>
      <c r="AA56" s="3"/>
      <c r="AB56" s="3"/>
      <c r="AC56" s="3"/>
    </row>
    <row r="57" spans="1:29">
      <c r="A57" t="s">
        <v>1289</v>
      </c>
      <c r="B57" t="s">
        <v>1290</v>
      </c>
      <c r="C57" t="s">
        <v>1291</v>
      </c>
      <c r="D57" t="s">
        <v>1292</v>
      </c>
      <c r="E57" t="s">
        <v>1293</v>
      </c>
      <c r="F57">
        <v>784</v>
      </c>
      <c r="G57" t="s">
        <v>1294</v>
      </c>
      <c r="H57" s="3"/>
      <c r="I57" s="10" t="s">
        <v>1295</v>
      </c>
      <c r="J57" s="10">
        <v>981</v>
      </c>
      <c r="K57" s="11" t="s">
        <v>1296</v>
      </c>
      <c r="L57" s="3"/>
      <c r="M57" s="3"/>
      <c r="N57" s="8" t="s">
        <v>1297</v>
      </c>
      <c r="O57" s="3" t="s">
        <v>1298</v>
      </c>
      <c r="P57" s="3" t="s">
        <v>1299</v>
      </c>
      <c r="Q57" s="3"/>
      <c r="R57" s="3"/>
      <c r="S57" s="3"/>
      <c r="T57" s="3"/>
      <c r="U57" s="3"/>
      <c r="V57" s="3"/>
      <c r="W57" s="3"/>
      <c r="X57" s="3"/>
      <c r="Y57" s="3"/>
      <c r="Z57" s="3"/>
      <c r="AA57" s="3"/>
      <c r="AB57" s="3"/>
      <c r="AC57" s="3"/>
    </row>
    <row r="58" spans="1:29" ht="42">
      <c r="A58" t="s">
        <v>1300</v>
      </c>
      <c r="B58" t="s">
        <v>1301</v>
      </c>
      <c r="C58" t="s">
        <v>1302</v>
      </c>
      <c r="D58" t="s">
        <v>1303</v>
      </c>
      <c r="E58" t="s">
        <v>1304</v>
      </c>
      <c r="F58">
        <v>840</v>
      </c>
      <c r="G58" t="s">
        <v>1305</v>
      </c>
      <c r="H58" s="3"/>
      <c r="I58" s="10" t="s">
        <v>1306</v>
      </c>
      <c r="J58" s="10">
        <v>0</v>
      </c>
      <c r="K58" s="11" t="s">
        <v>1307</v>
      </c>
      <c r="L58" s="3"/>
      <c r="M58" s="3"/>
      <c r="N58" s="8" t="s">
        <v>1308</v>
      </c>
      <c r="O58" s="3" t="s">
        <v>1309</v>
      </c>
      <c r="P58" s="3" t="s">
        <v>1310</v>
      </c>
      <c r="Q58" s="3"/>
      <c r="R58" s="3"/>
      <c r="S58" s="3"/>
      <c r="T58" s="3"/>
      <c r="U58" s="3"/>
      <c r="V58" s="3"/>
      <c r="W58" s="3"/>
      <c r="X58" s="3"/>
      <c r="Y58" s="3"/>
      <c r="Z58" s="3"/>
      <c r="AA58" s="3"/>
      <c r="AB58" s="3"/>
      <c r="AC58" s="3"/>
    </row>
    <row r="59" spans="1:29">
      <c r="A59" t="s">
        <v>1311</v>
      </c>
      <c r="B59" t="s">
        <v>1312</v>
      </c>
      <c r="C59" t="s">
        <v>1313</v>
      </c>
      <c r="D59" t="s">
        <v>1314</v>
      </c>
      <c r="E59" t="s">
        <v>1315</v>
      </c>
      <c r="F59">
        <v>232</v>
      </c>
      <c r="G59" t="s">
        <v>1316</v>
      </c>
      <c r="H59" s="3"/>
      <c r="I59" s="10" t="s">
        <v>1317</v>
      </c>
      <c r="J59" s="10">
        <v>936</v>
      </c>
      <c r="K59" s="11" t="s">
        <v>1318</v>
      </c>
      <c r="L59" s="3"/>
      <c r="M59" s="3"/>
      <c r="N59" s="8" t="s">
        <v>1319</v>
      </c>
      <c r="O59" s="3" t="s">
        <v>1320</v>
      </c>
      <c r="P59" s="3" t="s">
        <v>1321</v>
      </c>
      <c r="Q59" s="3"/>
      <c r="R59" s="3"/>
      <c r="S59" s="3"/>
      <c r="T59" s="3"/>
      <c r="U59" s="3"/>
      <c r="V59" s="3"/>
      <c r="W59" s="3"/>
      <c r="X59" s="3"/>
      <c r="Y59" s="3"/>
      <c r="Z59" s="3"/>
      <c r="AA59" s="3"/>
      <c r="AB59" s="3"/>
      <c r="AC59" s="3"/>
    </row>
    <row r="60" spans="1:29">
      <c r="A60" t="s">
        <v>1322</v>
      </c>
      <c r="B60" t="s">
        <v>1323</v>
      </c>
      <c r="C60" t="s">
        <v>1324</v>
      </c>
      <c r="D60" t="s">
        <v>1325</v>
      </c>
      <c r="E60" t="s">
        <v>709</v>
      </c>
      <c r="F60">
        <v>978</v>
      </c>
      <c r="G60" t="s">
        <v>710</v>
      </c>
      <c r="H60" s="3"/>
      <c r="I60" s="10" t="s">
        <v>1326</v>
      </c>
      <c r="J60" s="10">
        <v>292</v>
      </c>
      <c r="K60" s="11" t="s">
        <v>1327</v>
      </c>
      <c r="L60" s="3"/>
      <c r="M60" s="3"/>
      <c r="N60" s="8" t="s">
        <v>1328</v>
      </c>
      <c r="O60" s="3" t="s">
        <v>1329</v>
      </c>
      <c r="P60" s="3" t="s">
        <v>1330</v>
      </c>
      <c r="Q60" s="3"/>
      <c r="R60" s="3"/>
      <c r="S60" s="3"/>
      <c r="T60" s="3"/>
      <c r="U60" s="3"/>
      <c r="V60" s="3"/>
      <c r="W60" s="3"/>
      <c r="X60" s="3"/>
      <c r="Y60" s="3"/>
      <c r="Z60" s="3"/>
      <c r="AA60" s="3"/>
      <c r="AB60" s="3"/>
      <c r="AC60" s="3"/>
    </row>
    <row r="61" spans="1:29">
      <c r="A61" t="s">
        <v>1331</v>
      </c>
      <c r="B61" t="s">
        <v>1332</v>
      </c>
      <c r="C61" t="s">
        <v>1333</v>
      </c>
      <c r="D61" t="s">
        <v>1334</v>
      </c>
      <c r="E61" t="s">
        <v>709</v>
      </c>
      <c r="F61">
        <v>978</v>
      </c>
      <c r="G61" t="s">
        <v>710</v>
      </c>
      <c r="H61" s="3"/>
      <c r="I61" s="10" t="s">
        <v>1335</v>
      </c>
      <c r="J61" s="10">
        <v>270</v>
      </c>
      <c r="K61" s="11" t="s">
        <v>1336</v>
      </c>
      <c r="L61" s="3"/>
      <c r="M61" s="3"/>
      <c r="N61" s="8" t="s">
        <v>1337</v>
      </c>
      <c r="O61" s="3" t="s">
        <v>1338</v>
      </c>
      <c r="P61" s="3" t="s">
        <v>1339</v>
      </c>
      <c r="Q61" s="3"/>
      <c r="R61" s="3"/>
      <c r="S61" s="3"/>
      <c r="T61" s="3"/>
      <c r="U61" s="3"/>
      <c r="V61" s="3"/>
      <c r="W61" s="3"/>
      <c r="X61" s="3"/>
      <c r="Y61" s="3"/>
      <c r="Z61" s="3"/>
      <c r="AA61" s="3"/>
      <c r="AB61" s="3"/>
      <c r="AC61" s="3"/>
    </row>
    <row r="62" spans="1:29">
      <c r="A62" t="s">
        <v>1340</v>
      </c>
      <c r="B62" t="s">
        <v>1341</v>
      </c>
      <c r="C62" t="s">
        <v>1342</v>
      </c>
      <c r="D62" t="s">
        <v>1343</v>
      </c>
      <c r="E62" t="s">
        <v>1344</v>
      </c>
      <c r="F62">
        <v>748</v>
      </c>
      <c r="G62" t="s">
        <v>1345</v>
      </c>
      <c r="I62" s="1" t="s">
        <v>1346</v>
      </c>
      <c r="J62" s="1">
        <v>324</v>
      </c>
      <c r="K62" s="2" t="s">
        <v>1347</v>
      </c>
      <c r="N62" s="8" t="s">
        <v>1348</v>
      </c>
      <c r="O62" s="3" t="s">
        <v>1349</v>
      </c>
      <c r="P62" s="3" t="s">
        <v>1350</v>
      </c>
      <c r="Q62" s="3"/>
      <c r="R62" s="3"/>
      <c r="S62" s="3"/>
    </row>
    <row r="63" spans="1:29" ht="27.95">
      <c r="A63" s="3" t="s">
        <v>1351</v>
      </c>
      <c r="B63" s="3" t="s">
        <v>1352</v>
      </c>
      <c r="C63" s="3" t="s">
        <v>1353</v>
      </c>
      <c r="D63" s="3" t="s">
        <v>1354</v>
      </c>
      <c r="E63" s="3" t="s">
        <v>1304</v>
      </c>
      <c r="F63" s="3">
        <v>840</v>
      </c>
      <c r="G63" s="3" t="s">
        <v>1305</v>
      </c>
      <c r="I63" s="1" t="s">
        <v>1355</v>
      </c>
      <c r="J63" s="1">
        <v>320</v>
      </c>
      <c r="K63" s="2" t="s">
        <v>1356</v>
      </c>
      <c r="N63" s="8" t="s">
        <v>1357</v>
      </c>
      <c r="O63" s="3" t="s">
        <v>1358</v>
      </c>
      <c r="P63" s="3" t="s">
        <v>1359</v>
      </c>
      <c r="Q63" s="3"/>
      <c r="R63" s="3"/>
      <c r="S63" s="3"/>
    </row>
    <row r="64" spans="1:29" ht="27.95">
      <c r="A64" t="s">
        <v>1360</v>
      </c>
      <c r="B64" t="s">
        <v>1361</v>
      </c>
      <c r="C64" t="s">
        <v>1362</v>
      </c>
      <c r="D64" t="s">
        <v>1363</v>
      </c>
      <c r="E64" t="s">
        <v>1364</v>
      </c>
      <c r="F64">
        <v>230</v>
      </c>
      <c r="G64" t="s">
        <v>1365</v>
      </c>
      <c r="I64" s="1" t="s">
        <v>1366</v>
      </c>
      <c r="J64" s="1">
        <v>328</v>
      </c>
      <c r="K64" s="2" t="s">
        <v>1367</v>
      </c>
      <c r="N64" s="8" t="s">
        <v>1368</v>
      </c>
      <c r="O64" s="3" t="s">
        <v>1369</v>
      </c>
      <c r="P64" s="3" t="s">
        <v>1370</v>
      </c>
      <c r="Q64" s="3"/>
      <c r="R64" s="3"/>
      <c r="S64" s="3"/>
    </row>
    <row r="65" spans="1:19" ht="27.95">
      <c r="A65" t="s">
        <v>1371</v>
      </c>
      <c r="B65" t="s">
        <v>1372</v>
      </c>
      <c r="C65" t="s">
        <v>1373</v>
      </c>
      <c r="D65" t="s">
        <v>1374</v>
      </c>
      <c r="E65" t="s">
        <v>1375</v>
      </c>
      <c r="F65">
        <v>643</v>
      </c>
      <c r="G65" t="s">
        <v>1376</v>
      </c>
      <c r="I65" s="1" t="s">
        <v>1377</v>
      </c>
      <c r="J65" s="1">
        <v>344</v>
      </c>
      <c r="K65" s="2" t="s">
        <v>1378</v>
      </c>
      <c r="N65" s="8" t="s">
        <v>1379</v>
      </c>
      <c r="O65" s="3" t="s">
        <v>1380</v>
      </c>
      <c r="P65" s="3" t="s">
        <v>1381</v>
      </c>
      <c r="Q65" s="3"/>
      <c r="R65" s="3"/>
      <c r="S65" s="3"/>
    </row>
    <row r="66" spans="1:19" ht="42">
      <c r="A66" t="s">
        <v>1382</v>
      </c>
      <c r="B66" t="s">
        <v>1383</v>
      </c>
      <c r="C66" t="s">
        <v>1384</v>
      </c>
      <c r="D66" t="s">
        <v>1385</v>
      </c>
      <c r="E66" t="s">
        <v>1386</v>
      </c>
      <c r="F66">
        <v>242</v>
      </c>
      <c r="G66" t="s">
        <v>1387</v>
      </c>
      <c r="I66" s="1" t="s">
        <v>1388</v>
      </c>
      <c r="J66" s="1">
        <v>340</v>
      </c>
      <c r="K66" s="2" t="s">
        <v>1389</v>
      </c>
      <c r="N66" s="8" t="s">
        <v>1390</v>
      </c>
      <c r="O66" s="3" t="s">
        <v>1391</v>
      </c>
      <c r="P66" s="3" t="s">
        <v>1392</v>
      </c>
      <c r="Q66" s="3"/>
      <c r="R66" s="3"/>
      <c r="S66" s="3"/>
    </row>
    <row r="67" spans="1:19" ht="27.95">
      <c r="A67" t="s">
        <v>1393</v>
      </c>
      <c r="B67" t="s">
        <v>1394</v>
      </c>
      <c r="C67" t="s">
        <v>1395</v>
      </c>
      <c r="D67" t="s">
        <v>1396</v>
      </c>
      <c r="E67" t="s">
        <v>709</v>
      </c>
      <c r="F67">
        <v>978</v>
      </c>
      <c r="G67" t="s">
        <v>710</v>
      </c>
      <c r="I67" s="1" t="s">
        <v>1397</v>
      </c>
      <c r="J67" s="1">
        <v>191</v>
      </c>
      <c r="K67" s="2" t="s">
        <v>1398</v>
      </c>
      <c r="N67" s="8" t="s">
        <v>1399</v>
      </c>
      <c r="O67" s="3" t="s">
        <v>1400</v>
      </c>
      <c r="P67" s="3" t="s">
        <v>1401</v>
      </c>
      <c r="Q67" s="3"/>
      <c r="R67" s="3"/>
      <c r="S67" s="3"/>
    </row>
    <row r="68" spans="1:19">
      <c r="A68" t="s">
        <v>1402</v>
      </c>
      <c r="B68" t="s">
        <v>1403</v>
      </c>
      <c r="C68" t="s">
        <v>1404</v>
      </c>
      <c r="D68" t="s">
        <v>1405</v>
      </c>
      <c r="E68" t="s">
        <v>709</v>
      </c>
      <c r="F68">
        <v>978</v>
      </c>
      <c r="G68" t="s">
        <v>710</v>
      </c>
      <c r="I68" s="1" t="s">
        <v>1406</v>
      </c>
      <c r="J68" s="1">
        <v>332</v>
      </c>
      <c r="K68" s="2" t="s">
        <v>1407</v>
      </c>
      <c r="N68" s="8" t="s">
        <v>1408</v>
      </c>
      <c r="O68" s="3" t="s">
        <v>1409</v>
      </c>
      <c r="P68" s="3" t="s">
        <v>1410</v>
      </c>
      <c r="Q68" s="3"/>
      <c r="R68" s="3"/>
      <c r="S68" s="3"/>
    </row>
    <row r="69" spans="1:19">
      <c r="A69" t="s">
        <v>1411</v>
      </c>
      <c r="B69" t="s">
        <v>1412</v>
      </c>
      <c r="C69" t="s">
        <v>1413</v>
      </c>
      <c r="D69" t="s">
        <v>1414</v>
      </c>
      <c r="E69" t="s">
        <v>1098</v>
      </c>
      <c r="F69">
        <v>950</v>
      </c>
      <c r="G69" t="s">
        <v>1099</v>
      </c>
      <c r="I69" s="1" t="s">
        <v>1415</v>
      </c>
      <c r="J69" s="1">
        <v>348</v>
      </c>
      <c r="K69" s="2" t="s">
        <v>1416</v>
      </c>
      <c r="N69" s="8" t="s">
        <v>1417</v>
      </c>
      <c r="O69" s="3" t="s">
        <v>1418</v>
      </c>
      <c r="P69" s="3" t="s">
        <v>1419</v>
      </c>
      <c r="Q69" s="3"/>
      <c r="R69" s="3"/>
      <c r="S69" s="3"/>
    </row>
    <row r="70" spans="1:19" ht="27.95">
      <c r="A70" t="s">
        <v>1420</v>
      </c>
      <c r="B70" t="s">
        <v>1421</v>
      </c>
      <c r="C70" t="s">
        <v>1422</v>
      </c>
      <c r="D70" t="s">
        <v>1423</v>
      </c>
      <c r="E70" t="s">
        <v>1424</v>
      </c>
      <c r="F70">
        <v>270</v>
      </c>
      <c r="G70" t="s">
        <v>1425</v>
      </c>
      <c r="I70" s="1" t="s">
        <v>1426</v>
      </c>
      <c r="J70" s="1">
        <v>360</v>
      </c>
      <c r="K70" s="2" t="s">
        <v>1427</v>
      </c>
      <c r="N70" s="8" t="s">
        <v>1428</v>
      </c>
      <c r="O70" s="3" t="s">
        <v>1429</v>
      </c>
      <c r="P70" s="3" t="s">
        <v>1430</v>
      </c>
      <c r="Q70" s="3"/>
      <c r="R70" s="3"/>
      <c r="S70" s="3"/>
    </row>
    <row r="71" spans="1:19">
      <c r="A71" t="s">
        <v>1431</v>
      </c>
      <c r="B71" t="s">
        <v>1432</v>
      </c>
      <c r="C71" t="s">
        <v>1433</v>
      </c>
      <c r="D71" t="s">
        <v>1434</v>
      </c>
      <c r="E71" t="s">
        <v>1435</v>
      </c>
      <c r="F71">
        <v>981</v>
      </c>
      <c r="G71" t="s">
        <v>1436</v>
      </c>
      <c r="I71" s="1" t="s">
        <v>1437</v>
      </c>
      <c r="J71" s="1">
        <v>376</v>
      </c>
      <c r="K71" s="2" t="s">
        <v>1438</v>
      </c>
      <c r="N71" s="8" t="s">
        <v>1439</v>
      </c>
      <c r="O71" s="3" t="s">
        <v>1440</v>
      </c>
      <c r="P71" s="3" t="s">
        <v>1441</v>
      </c>
      <c r="Q71" s="3"/>
      <c r="R71" s="3"/>
      <c r="S71" s="3"/>
    </row>
    <row r="72" spans="1:19" ht="27.95">
      <c r="A72" s="3" t="s">
        <v>1442</v>
      </c>
      <c r="B72" t="s">
        <v>1443</v>
      </c>
      <c r="C72" t="s">
        <v>1444</v>
      </c>
      <c r="D72" t="s">
        <v>1445</v>
      </c>
      <c r="I72" s="1" t="s">
        <v>1446</v>
      </c>
      <c r="J72" s="1">
        <v>0</v>
      </c>
      <c r="K72" s="2" t="s">
        <v>1447</v>
      </c>
      <c r="N72" s="8" t="s">
        <v>1448</v>
      </c>
      <c r="O72" s="3" t="s">
        <v>1449</v>
      </c>
      <c r="P72" s="3" t="s">
        <v>1450</v>
      </c>
      <c r="Q72" s="3"/>
      <c r="R72" s="3"/>
      <c r="S72" s="3"/>
    </row>
    <row r="73" spans="1:19">
      <c r="A73" t="s">
        <v>1451</v>
      </c>
      <c r="B73" t="s">
        <v>1452</v>
      </c>
      <c r="C73" t="s">
        <v>1453</v>
      </c>
      <c r="D73" t="s">
        <v>1454</v>
      </c>
      <c r="E73" t="s">
        <v>1455</v>
      </c>
      <c r="F73">
        <v>936</v>
      </c>
      <c r="G73" t="s">
        <v>1456</v>
      </c>
      <c r="I73" s="1" t="s">
        <v>1457</v>
      </c>
      <c r="J73" s="1">
        <v>356</v>
      </c>
      <c r="K73" s="2" t="s">
        <v>1458</v>
      </c>
      <c r="N73" s="8" t="s">
        <v>1459</v>
      </c>
      <c r="O73" s="3" t="s">
        <v>1460</v>
      </c>
      <c r="P73" s="3" t="s">
        <v>1461</v>
      </c>
      <c r="Q73" s="3"/>
      <c r="R73" s="3"/>
      <c r="S73" s="3"/>
    </row>
    <row r="74" spans="1:19" ht="42">
      <c r="A74" t="s">
        <v>1462</v>
      </c>
      <c r="B74" t="s">
        <v>1463</v>
      </c>
      <c r="C74" t="s">
        <v>1464</v>
      </c>
      <c r="D74" t="s">
        <v>1465</v>
      </c>
      <c r="E74" t="s">
        <v>1466</v>
      </c>
      <c r="F74">
        <v>292</v>
      </c>
      <c r="G74" t="s">
        <v>1467</v>
      </c>
      <c r="I74" s="1" t="s">
        <v>1468</v>
      </c>
      <c r="J74" s="1">
        <v>368</v>
      </c>
      <c r="K74" s="2" t="s">
        <v>1469</v>
      </c>
      <c r="N74" s="8">
        <v>7103</v>
      </c>
      <c r="O74" s="3" t="s">
        <v>1470</v>
      </c>
      <c r="P74" s="3" t="s">
        <v>1471</v>
      </c>
      <c r="Q74" s="3"/>
      <c r="R74" s="3"/>
      <c r="S74" s="3"/>
    </row>
    <row r="75" spans="1:19">
      <c r="A75" t="s">
        <v>1472</v>
      </c>
      <c r="B75" t="s">
        <v>1473</v>
      </c>
      <c r="C75" t="s">
        <v>1474</v>
      </c>
      <c r="D75" t="s">
        <v>1475</v>
      </c>
      <c r="E75" t="s">
        <v>709</v>
      </c>
      <c r="F75">
        <v>978</v>
      </c>
      <c r="G75" t="s">
        <v>710</v>
      </c>
      <c r="I75" s="1" t="s">
        <v>1476</v>
      </c>
      <c r="J75" s="1">
        <v>364</v>
      </c>
      <c r="K75" s="2" t="s">
        <v>1477</v>
      </c>
      <c r="N75" s="3"/>
      <c r="O75" s="3"/>
      <c r="P75" s="3"/>
      <c r="Q75" s="3"/>
      <c r="R75" s="3"/>
      <c r="S75" s="3"/>
    </row>
    <row r="76" spans="1:19">
      <c r="A76" t="s">
        <v>1478</v>
      </c>
      <c r="B76" t="s">
        <v>1479</v>
      </c>
      <c r="C76" t="s">
        <v>1480</v>
      </c>
      <c r="D76" t="s">
        <v>1481</v>
      </c>
      <c r="E76" t="s">
        <v>743</v>
      </c>
      <c r="F76">
        <v>951</v>
      </c>
      <c r="G76" t="s">
        <v>744</v>
      </c>
      <c r="I76" s="1" t="s">
        <v>1482</v>
      </c>
      <c r="J76" s="1">
        <v>352</v>
      </c>
      <c r="K76" s="2" t="s">
        <v>1483</v>
      </c>
      <c r="N76" s="3"/>
      <c r="O76" s="3"/>
      <c r="P76" s="3"/>
      <c r="Q76" s="3"/>
      <c r="R76" s="3"/>
      <c r="S76" s="3"/>
    </row>
    <row r="77" spans="1:19">
      <c r="A77" t="s">
        <v>1484</v>
      </c>
      <c r="B77" t="s">
        <v>1485</v>
      </c>
      <c r="C77" t="s">
        <v>1486</v>
      </c>
      <c r="D77" t="s">
        <v>1487</v>
      </c>
      <c r="E77" t="s">
        <v>1244</v>
      </c>
      <c r="F77">
        <v>208</v>
      </c>
      <c r="G77" t="s">
        <v>1245</v>
      </c>
      <c r="I77" s="1" t="s">
        <v>1488</v>
      </c>
      <c r="J77" s="1">
        <v>0</v>
      </c>
      <c r="K77" s="2" t="s">
        <v>1489</v>
      </c>
      <c r="N77" s="3"/>
      <c r="O77" s="3"/>
      <c r="P77" s="3"/>
    </row>
    <row r="78" spans="1:19">
      <c r="A78" t="s">
        <v>1490</v>
      </c>
      <c r="B78" t="s">
        <v>1491</v>
      </c>
      <c r="C78" t="s">
        <v>1492</v>
      </c>
      <c r="D78" t="s">
        <v>1493</v>
      </c>
      <c r="E78" t="s">
        <v>709</v>
      </c>
      <c r="F78">
        <v>978</v>
      </c>
      <c r="G78" t="s">
        <v>710</v>
      </c>
      <c r="I78" s="1" t="s">
        <v>1494</v>
      </c>
      <c r="J78" s="1">
        <v>388</v>
      </c>
      <c r="K78" s="2" t="s">
        <v>1495</v>
      </c>
    </row>
    <row r="79" spans="1:19">
      <c r="A79" t="s">
        <v>1496</v>
      </c>
      <c r="B79" t="s">
        <v>1497</v>
      </c>
      <c r="C79" t="s">
        <v>1498</v>
      </c>
      <c r="D79" t="s">
        <v>1499</v>
      </c>
      <c r="E79" t="s">
        <v>1304</v>
      </c>
      <c r="F79">
        <v>840</v>
      </c>
      <c r="G79" t="s">
        <v>1305</v>
      </c>
      <c r="I79" s="1" t="s">
        <v>1500</v>
      </c>
      <c r="J79" s="1">
        <v>400</v>
      </c>
      <c r="K79" s="2" t="s">
        <v>1501</v>
      </c>
    </row>
    <row r="80" spans="1:19">
      <c r="A80" t="s">
        <v>1502</v>
      </c>
      <c r="B80" t="s">
        <v>1503</v>
      </c>
      <c r="C80" t="s">
        <v>1504</v>
      </c>
      <c r="D80" t="s">
        <v>1505</v>
      </c>
      <c r="E80" t="s">
        <v>1506</v>
      </c>
      <c r="F80">
        <v>320</v>
      </c>
      <c r="G80" t="s">
        <v>1507</v>
      </c>
      <c r="I80" s="1" t="s">
        <v>1508</v>
      </c>
      <c r="J80" s="1">
        <v>392</v>
      </c>
      <c r="K80" s="2" t="s">
        <v>1509</v>
      </c>
    </row>
    <row r="81" spans="1:11">
      <c r="A81" t="s">
        <v>1510</v>
      </c>
      <c r="B81" t="s">
        <v>1511</v>
      </c>
      <c r="C81" t="s">
        <v>1512</v>
      </c>
      <c r="D81" t="s">
        <v>1513</v>
      </c>
      <c r="E81" t="s">
        <v>1514</v>
      </c>
      <c r="F81">
        <v>0</v>
      </c>
      <c r="G81" t="s">
        <v>1515</v>
      </c>
      <c r="I81" s="1" t="s">
        <v>1516</v>
      </c>
      <c r="J81" s="1">
        <v>404</v>
      </c>
      <c r="K81" s="2" t="s">
        <v>1517</v>
      </c>
    </row>
    <row r="82" spans="1:11">
      <c r="A82" t="s">
        <v>1518</v>
      </c>
      <c r="B82" t="s">
        <v>1519</v>
      </c>
      <c r="C82" t="s">
        <v>1520</v>
      </c>
      <c r="D82" t="s">
        <v>1521</v>
      </c>
      <c r="E82" t="s">
        <v>1522</v>
      </c>
      <c r="F82">
        <v>324</v>
      </c>
      <c r="G82" t="s">
        <v>1523</v>
      </c>
      <c r="I82" s="1" t="s">
        <v>1524</v>
      </c>
      <c r="J82" s="1">
        <v>417</v>
      </c>
      <c r="K82" s="2" t="s">
        <v>1525</v>
      </c>
    </row>
    <row r="83" spans="1:11">
      <c r="A83" t="s">
        <v>1526</v>
      </c>
      <c r="B83" t="s">
        <v>1527</v>
      </c>
      <c r="C83" t="s">
        <v>1528</v>
      </c>
      <c r="D83" t="s">
        <v>1529</v>
      </c>
      <c r="E83" t="s">
        <v>1098</v>
      </c>
      <c r="F83">
        <v>950</v>
      </c>
      <c r="G83" t="s">
        <v>1099</v>
      </c>
      <c r="I83" s="1" t="s">
        <v>1530</v>
      </c>
      <c r="J83" s="1">
        <v>116</v>
      </c>
      <c r="K83" s="2" t="s">
        <v>1531</v>
      </c>
    </row>
    <row r="84" spans="1:11">
      <c r="A84" t="s">
        <v>1532</v>
      </c>
      <c r="B84" t="s">
        <v>1533</v>
      </c>
      <c r="C84" t="s">
        <v>1534</v>
      </c>
      <c r="D84" t="s">
        <v>1535</v>
      </c>
      <c r="E84" t="s">
        <v>94</v>
      </c>
      <c r="F84">
        <v>952</v>
      </c>
      <c r="G84" t="s">
        <v>972</v>
      </c>
      <c r="I84" s="1" t="s">
        <v>1536</v>
      </c>
      <c r="J84" s="1">
        <v>174</v>
      </c>
      <c r="K84" s="2" t="s">
        <v>1537</v>
      </c>
    </row>
    <row r="85" spans="1:11">
      <c r="A85" t="s">
        <v>1538</v>
      </c>
      <c r="B85" t="s">
        <v>1539</v>
      </c>
      <c r="C85" t="s">
        <v>1540</v>
      </c>
      <c r="D85" t="s">
        <v>1541</v>
      </c>
      <c r="E85" t="s">
        <v>1542</v>
      </c>
      <c r="F85">
        <v>328</v>
      </c>
      <c r="G85" t="s">
        <v>1543</v>
      </c>
      <c r="I85" s="1" t="s">
        <v>1544</v>
      </c>
      <c r="J85" s="1">
        <v>408</v>
      </c>
      <c r="K85" s="2" t="s">
        <v>1545</v>
      </c>
    </row>
    <row r="86" spans="1:11">
      <c r="A86" t="s">
        <v>1546</v>
      </c>
      <c r="B86" t="s">
        <v>1547</v>
      </c>
      <c r="C86" t="s">
        <v>1548</v>
      </c>
      <c r="D86" t="s">
        <v>1549</v>
      </c>
      <c r="E86" t="s">
        <v>709</v>
      </c>
      <c r="F86">
        <v>978</v>
      </c>
      <c r="G86" t="s">
        <v>710</v>
      </c>
      <c r="I86" s="1" t="s">
        <v>1550</v>
      </c>
      <c r="J86" s="1">
        <v>410</v>
      </c>
      <c r="K86" s="2" t="s">
        <v>1551</v>
      </c>
    </row>
    <row r="87" spans="1:11">
      <c r="A87" t="s">
        <v>1552</v>
      </c>
      <c r="B87" t="s">
        <v>1553</v>
      </c>
      <c r="C87" t="s">
        <v>1554</v>
      </c>
      <c r="D87" t="s">
        <v>1555</v>
      </c>
      <c r="E87" t="s">
        <v>1556</v>
      </c>
      <c r="F87">
        <v>332</v>
      </c>
      <c r="G87" t="s">
        <v>1557</v>
      </c>
      <c r="I87" s="1" t="s">
        <v>1558</v>
      </c>
      <c r="J87" s="1">
        <v>414</v>
      </c>
      <c r="K87" s="2" t="s">
        <v>1559</v>
      </c>
    </row>
    <row r="88" spans="1:11">
      <c r="A88" t="s">
        <v>1560</v>
      </c>
      <c r="B88" t="s">
        <v>1561</v>
      </c>
      <c r="C88" t="s">
        <v>1562</v>
      </c>
      <c r="D88" t="s">
        <v>1563</v>
      </c>
      <c r="E88" t="s">
        <v>1564</v>
      </c>
      <c r="F88">
        <v>340</v>
      </c>
      <c r="G88" t="s">
        <v>1565</v>
      </c>
      <c r="I88" s="1" t="s">
        <v>1566</v>
      </c>
      <c r="J88" s="1">
        <v>136</v>
      </c>
      <c r="K88" s="2" t="s">
        <v>1567</v>
      </c>
    </row>
    <row r="89" spans="1:11">
      <c r="A89" t="s">
        <v>1568</v>
      </c>
      <c r="B89" t="s">
        <v>1569</v>
      </c>
      <c r="C89" t="s">
        <v>1570</v>
      </c>
      <c r="D89" t="s">
        <v>1571</v>
      </c>
      <c r="E89" t="s">
        <v>1572</v>
      </c>
      <c r="F89">
        <v>344</v>
      </c>
      <c r="G89" t="s">
        <v>1378</v>
      </c>
      <c r="I89" s="1" t="s">
        <v>1573</v>
      </c>
      <c r="J89" s="1">
        <v>398</v>
      </c>
      <c r="K89" s="2" t="s">
        <v>1574</v>
      </c>
    </row>
    <row r="90" spans="1:11">
      <c r="A90" t="s">
        <v>1575</v>
      </c>
      <c r="B90" t="s">
        <v>1576</v>
      </c>
      <c r="C90" t="s">
        <v>1577</v>
      </c>
      <c r="D90" t="s">
        <v>1578</v>
      </c>
      <c r="E90" t="s">
        <v>1579</v>
      </c>
      <c r="F90">
        <v>348</v>
      </c>
      <c r="G90" t="s">
        <v>1580</v>
      </c>
      <c r="I90" s="1" t="s">
        <v>1581</v>
      </c>
      <c r="J90" s="1">
        <v>418</v>
      </c>
      <c r="K90" s="2" t="s">
        <v>1582</v>
      </c>
    </row>
    <row r="91" spans="1:11">
      <c r="A91" t="s">
        <v>1583</v>
      </c>
      <c r="B91" t="s">
        <v>1584</v>
      </c>
      <c r="C91" t="s">
        <v>1585</v>
      </c>
      <c r="D91" t="s">
        <v>1586</v>
      </c>
      <c r="E91" t="s">
        <v>1587</v>
      </c>
      <c r="F91">
        <v>0</v>
      </c>
      <c r="G91" t="s">
        <v>1588</v>
      </c>
      <c r="I91" s="1" t="s">
        <v>1589</v>
      </c>
      <c r="J91" s="1">
        <v>422</v>
      </c>
      <c r="K91" s="2" t="s">
        <v>1590</v>
      </c>
    </row>
    <row r="92" spans="1:11">
      <c r="A92" s="3" t="s">
        <v>1591</v>
      </c>
      <c r="B92" s="3" t="s">
        <v>1592</v>
      </c>
      <c r="C92" s="3" t="s">
        <v>1593</v>
      </c>
      <c r="D92" s="3" t="s">
        <v>1594</v>
      </c>
      <c r="E92" s="3" t="s">
        <v>836</v>
      </c>
      <c r="F92" s="3">
        <v>36</v>
      </c>
      <c r="G92" s="3" t="s">
        <v>837</v>
      </c>
      <c r="I92" s="1" t="s">
        <v>1595</v>
      </c>
      <c r="J92" s="1">
        <v>144</v>
      </c>
      <c r="K92" s="2" t="s">
        <v>1596</v>
      </c>
    </row>
    <row r="93" spans="1:11">
      <c r="A93" t="s">
        <v>1597</v>
      </c>
      <c r="B93" t="s">
        <v>1598</v>
      </c>
      <c r="C93" t="s">
        <v>1599</v>
      </c>
      <c r="D93" t="s">
        <v>1600</v>
      </c>
      <c r="E93" t="s">
        <v>1244</v>
      </c>
      <c r="F93">
        <v>208</v>
      </c>
      <c r="G93" t="s">
        <v>1245</v>
      </c>
      <c r="I93" s="1" t="s">
        <v>1601</v>
      </c>
      <c r="J93" s="1">
        <v>430</v>
      </c>
      <c r="K93" s="2" t="s">
        <v>1602</v>
      </c>
    </row>
    <row r="94" spans="1:11">
      <c r="A94" t="s">
        <v>1603</v>
      </c>
      <c r="B94" t="s">
        <v>1604</v>
      </c>
      <c r="C94" t="s">
        <v>1605</v>
      </c>
      <c r="D94" t="s">
        <v>1606</v>
      </c>
      <c r="I94" s="1" t="s">
        <v>1607</v>
      </c>
      <c r="J94" s="1">
        <v>426</v>
      </c>
      <c r="K94" s="2" t="s">
        <v>1608</v>
      </c>
    </row>
    <row r="95" spans="1:11">
      <c r="A95" s="3" t="s">
        <v>1609</v>
      </c>
      <c r="B95" s="3" t="s">
        <v>1610</v>
      </c>
      <c r="C95" s="3" t="s">
        <v>1611</v>
      </c>
      <c r="D95" s="3" t="s">
        <v>1612</v>
      </c>
      <c r="E95" s="3" t="s">
        <v>836</v>
      </c>
      <c r="F95" s="3">
        <v>36</v>
      </c>
      <c r="G95" s="3" t="s">
        <v>837</v>
      </c>
      <c r="I95" s="1" t="s">
        <v>1613</v>
      </c>
      <c r="J95" s="1">
        <v>434</v>
      </c>
      <c r="K95" s="2" t="s">
        <v>1614</v>
      </c>
    </row>
    <row r="96" spans="1:11">
      <c r="A96" t="s">
        <v>1615</v>
      </c>
      <c r="B96" t="s">
        <v>1616</v>
      </c>
      <c r="C96" t="s">
        <v>1617</v>
      </c>
      <c r="D96" t="s">
        <v>1618</v>
      </c>
      <c r="E96" t="s">
        <v>1304</v>
      </c>
      <c r="F96">
        <v>840</v>
      </c>
      <c r="G96" t="s">
        <v>1305</v>
      </c>
      <c r="I96" s="1" t="s">
        <v>1619</v>
      </c>
      <c r="J96" s="1">
        <v>504</v>
      </c>
      <c r="K96" s="2" t="s">
        <v>1620</v>
      </c>
    </row>
    <row r="97" spans="1:11">
      <c r="A97" t="s">
        <v>1621</v>
      </c>
      <c r="B97" t="s">
        <v>1622</v>
      </c>
      <c r="C97" t="s">
        <v>1623</v>
      </c>
      <c r="D97" t="s">
        <v>1624</v>
      </c>
      <c r="E97" t="s">
        <v>1304</v>
      </c>
      <c r="F97">
        <v>840</v>
      </c>
      <c r="G97" t="s">
        <v>1305</v>
      </c>
      <c r="I97" s="1" t="s">
        <v>1625</v>
      </c>
      <c r="J97" s="1">
        <v>498</v>
      </c>
      <c r="K97" s="2" t="s">
        <v>1626</v>
      </c>
    </row>
    <row r="98" spans="1:11">
      <c r="A98" t="s">
        <v>1627</v>
      </c>
      <c r="B98" t="s">
        <v>1628</v>
      </c>
      <c r="C98" t="s">
        <v>1629</v>
      </c>
      <c r="D98" t="s">
        <v>1630</v>
      </c>
      <c r="I98" s="1" t="s">
        <v>1631</v>
      </c>
      <c r="J98" s="1">
        <v>969</v>
      </c>
      <c r="K98" s="2" t="s">
        <v>1632</v>
      </c>
    </row>
    <row r="99" spans="1:11">
      <c r="A99" s="3" t="s">
        <v>1633</v>
      </c>
      <c r="B99" s="3" t="s">
        <v>1634</v>
      </c>
      <c r="C99" s="3" t="s">
        <v>1635</v>
      </c>
      <c r="D99" s="3" t="s">
        <v>1636</v>
      </c>
      <c r="E99" s="3" t="s">
        <v>1637</v>
      </c>
      <c r="F99" s="3">
        <v>136</v>
      </c>
      <c r="G99" s="3" t="s">
        <v>1638</v>
      </c>
      <c r="I99" s="1" t="s">
        <v>1639</v>
      </c>
      <c r="J99" s="1">
        <v>807</v>
      </c>
      <c r="K99" s="2" t="s">
        <v>1640</v>
      </c>
    </row>
    <row r="100" spans="1:11">
      <c r="A100" t="s">
        <v>1633</v>
      </c>
      <c r="B100" t="s">
        <v>1641</v>
      </c>
      <c r="C100" t="s">
        <v>1642</v>
      </c>
      <c r="D100" t="s">
        <v>1643</v>
      </c>
      <c r="E100" t="s">
        <v>1644</v>
      </c>
      <c r="F100">
        <v>90</v>
      </c>
      <c r="G100" t="s">
        <v>1645</v>
      </c>
      <c r="I100" s="1" t="s">
        <v>1646</v>
      </c>
      <c r="J100" s="1">
        <v>104</v>
      </c>
      <c r="K100" s="2" t="s">
        <v>1647</v>
      </c>
    </row>
    <row r="101" spans="1:11">
      <c r="A101" t="s">
        <v>1648</v>
      </c>
      <c r="B101" t="s">
        <v>1649</v>
      </c>
      <c r="C101" t="s">
        <v>1650</v>
      </c>
      <c r="D101" t="s">
        <v>1651</v>
      </c>
      <c r="I101" s="1" t="s">
        <v>1652</v>
      </c>
      <c r="J101" s="1">
        <v>496</v>
      </c>
      <c r="K101" s="2" t="s">
        <v>1653</v>
      </c>
    </row>
    <row r="102" spans="1:11">
      <c r="A102" t="s">
        <v>1654</v>
      </c>
      <c r="B102" t="s">
        <v>1655</v>
      </c>
      <c r="C102" t="s">
        <v>1656</v>
      </c>
      <c r="D102" t="s">
        <v>1657</v>
      </c>
      <c r="E102" t="s">
        <v>1304</v>
      </c>
      <c r="F102">
        <v>840</v>
      </c>
      <c r="G102" t="s">
        <v>1305</v>
      </c>
      <c r="I102" s="1" t="s">
        <v>1658</v>
      </c>
      <c r="J102" s="1">
        <v>446</v>
      </c>
      <c r="K102" s="2" t="s">
        <v>1659</v>
      </c>
    </row>
    <row r="103" spans="1:11">
      <c r="A103" s="3" t="s">
        <v>1660</v>
      </c>
      <c r="B103" s="3" t="s">
        <v>1661</v>
      </c>
      <c r="C103" s="3" t="s">
        <v>1662</v>
      </c>
      <c r="D103" s="3" t="s">
        <v>1663</v>
      </c>
      <c r="E103" s="3" t="s">
        <v>1304</v>
      </c>
      <c r="F103" s="3">
        <v>840</v>
      </c>
      <c r="G103" s="3" t="s">
        <v>1305</v>
      </c>
      <c r="I103" s="1" t="s">
        <v>1664</v>
      </c>
      <c r="J103" s="1">
        <v>478</v>
      </c>
      <c r="K103" s="2" t="s">
        <v>1665</v>
      </c>
    </row>
    <row r="104" spans="1:11">
      <c r="A104" t="s">
        <v>1666</v>
      </c>
      <c r="B104" t="s">
        <v>1667</v>
      </c>
      <c r="C104" t="s">
        <v>1668</v>
      </c>
      <c r="D104" t="s">
        <v>1669</v>
      </c>
      <c r="E104" t="s">
        <v>1304</v>
      </c>
      <c r="F104">
        <v>840</v>
      </c>
      <c r="G104" t="s">
        <v>1305</v>
      </c>
      <c r="I104" s="1" t="s">
        <v>1670</v>
      </c>
      <c r="J104" s="1">
        <v>480</v>
      </c>
      <c r="K104" s="2" t="s">
        <v>1671</v>
      </c>
    </row>
    <row r="105" spans="1:11">
      <c r="A105" t="s">
        <v>1672</v>
      </c>
      <c r="B105" t="s">
        <v>1673</v>
      </c>
      <c r="C105" t="s">
        <v>1674</v>
      </c>
      <c r="D105" t="s">
        <v>1675</v>
      </c>
      <c r="I105" s="1" t="s">
        <v>1676</v>
      </c>
      <c r="J105" s="1">
        <v>462</v>
      </c>
      <c r="K105" s="2" t="s">
        <v>1677</v>
      </c>
    </row>
    <row r="106" spans="1:11">
      <c r="A106" s="3" t="s">
        <v>1678</v>
      </c>
      <c r="B106" s="3" t="s">
        <v>1679</v>
      </c>
      <c r="C106" s="3" t="s">
        <v>1680</v>
      </c>
      <c r="D106" s="3" t="s">
        <v>1681</v>
      </c>
      <c r="E106" s="3" t="s">
        <v>709</v>
      </c>
      <c r="F106" s="3">
        <v>978</v>
      </c>
      <c r="G106" s="3" t="s">
        <v>710</v>
      </c>
      <c r="I106" s="1" t="s">
        <v>1682</v>
      </c>
      <c r="J106" s="1">
        <v>454</v>
      </c>
      <c r="K106" s="2" t="s">
        <v>1683</v>
      </c>
    </row>
    <row r="107" spans="1:11">
      <c r="A107" t="s">
        <v>1684</v>
      </c>
      <c r="B107" t="s">
        <v>1685</v>
      </c>
      <c r="C107" t="s">
        <v>1686</v>
      </c>
      <c r="D107" t="s">
        <v>1687</v>
      </c>
      <c r="E107" t="s">
        <v>1688</v>
      </c>
      <c r="F107">
        <v>356</v>
      </c>
      <c r="G107" t="s">
        <v>1689</v>
      </c>
      <c r="I107" s="1" t="s">
        <v>1690</v>
      </c>
      <c r="J107" s="1">
        <v>484</v>
      </c>
      <c r="K107" s="2" t="s">
        <v>1691</v>
      </c>
    </row>
    <row r="108" spans="1:11">
      <c r="A108" t="s">
        <v>1692</v>
      </c>
      <c r="B108" t="s">
        <v>1693</v>
      </c>
      <c r="C108" t="s">
        <v>1694</v>
      </c>
      <c r="D108" t="s">
        <v>1695</v>
      </c>
      <c r="E108" t="s">
        <v>1696</v>
      </c>
      <c r="F108">
        <v>360</v>
      </c>
      <c r="G108" t="s">
        <v>1697</v>
      </c>
      <c r="I108" s="1" t="s">
        <v>1698</v>
      </c>
      <c r="J108" s="1">
        <v>458</v>
      </c>
      <c r="K108" s="2" t="s">
        <v>1699</v>
      </c>
    </row>
    <row r="109" spans="1:11">
      <c r="A109" t="s">
        <v>1700</v>
      </c>
      <c r="B109" t="s">
        <v>1701</v>
      </c>
      <c r="C109" t="s">
        <v>1702</v>
      </c>
      <c r="D109" t="s">
        <v>1703</v>
      </c>
      <c r="E109" t="s">
        <v>1704</v>
      </c>
      <c r="F109">
        <v>368</v>
      </c>
      <c r="G109" t="s">
        <v>1705</v>
      </c>
      <c r="I109" s="1" t="s">
        <v>1706</v>
      </c>
      <c r="J109" s="1">
        <v>943</v>
      </c>
      <c r="K109" s="2" t="s">
        <v>1707</v>
      </c>
    </row>
    <row r="110" spans="1:11">
      <c r="A110" t="s">
        <v>1708</v>
      </c>
      <c r="B110" t="s">
        <v>1709</v>
      </c>
      <c r="C110" t="s">
        <v>1710</v>
      </c>
      <c r="D110" t="s">
        <v>1711</v>
      </c>
      <c r="E110" t="s">
        <v>1712</v>
      </c>
      <c r="F110">
        <v>364</v>
      </c>
      <c r="G110" t="s">
        <v>1713</v>
      </c>
      <c r="I110" s="1" t="s">
        <v>1714</v>
      </c>
      <c r="J110" s="1">
        <v>516</v>
      </c>
      <c r="K110" s="2" t="s">
        <v>1715</v>
      </c>
    </row>
    <row r="111" spans="1:11">
      <c r="A111" t="s">
        <v>1716</v>
      </c>
      <c r="B111" t="s">
        <v>1717</v>
      </c>
      <c r="C111" t="s">
        <v>1718</v>
      </c>
      <c r="D111" t="s">
        <v>1719</v>
      </c>
      <c r="E111" t="s">
        <v>709</v>
      </c>
      <c r="F111">
        <v>978</v>
      </c>
      <c r="G111" t="s">
        <v>710</v>
      </c>
      <c r="I111" s="1" t="s">
        <v>1720</v>
      </c>
      <c r="J111" s="1">
        <v>566</v>
      </c>
      <c r="K111" s="2" t="s">
        <v>1721</v>
      </c>
    </row>
    <row r="112" spans="1:11">
      <c r="A112" t="s">
        <v>1722</v>
      </c>
      <c r="B112" t="s">
        <v>1723</v>
      </c>
      <c r="C112" t="s">
        <v>1724</v>
      </c>
      <c r="D112" t="s">
        <v>1725</v>
      </c>
      <c r="E112" t="s">
        <v>1726</v>
      </c>
      <c r="F112">
        <v>352</v>
      </c>
      <c r="G112" t="s">
        <v>1727</v>
      </c>
      <c r="I112" s="1" t="s">
        <v>1728</v>
      </c>
      <c r="J112" s="1">
        <v>558</v>
      </c>
      <c r="K112" s="2" t="s">
        <v>1729</v>
      </c>
    </row>
    <row r="113" spans="1:11">
      <c r="A113" t="s">
        <v>1730</v>
      </c>
      <c r="B113" t="s">
        <v>1731</v>
      </c>
      <c r="C113" t="s">
        <v>1732</v>
      </c>
      <c r="D113" t="s">
        <v>1733</v>
      </c>
      <c r="E113" t="s">
        <v>1734</v>
      </c>
      <c r="F113">
        <v>376</v>
      </c>
      <c r="G113" t="s">
        <v>1735</v>
      </c>
      <c r="I113" s="1" t="s">
        <v>1736</v>
      </c>
      <c r="J113" s="1">
        <v>578</v>
      </c>
      <c r="K113" s="2" t="s">
        <v>1737</v>
      </c>
    </row>
    <row r="114" spans="1:11">
      <c r="A114" t="s">
        <v>1738</v>
      </c>
      <c r="B114" t="s">
        <v>1739</v>
      </c>
      <c r="C114" t="s">
        <v>1740</v>
      </c>
      <c r="D114" t="s">
        <v>1741</v>
      </c>
      <c r="E114" t="s">
        <v>709</v>
      </c>
      <c r="F114">
        <v>978</v>
      </c>
      <c r="G114" t="s">
        <v>710</v>
      </c>
      <c r="I114" s="1" t="s">
        <v>1742</v>
      </c>
      <c r="J114" s="1">
        <v>524</v>
      </c>
      <c r="K114" s="2" t="s">
        <v>1743</v>
      </c>
    </row>
    <row r="115" spans="1:11">
      <c r="A115" t="s">
        <v>1744</v>
      </c>
      <c r="B115" t="s">
        <v>1745</v>
      </c>
      <c r="C115" t="s">
        <v>1746</v>
      </c>
      <c r="D115" t="s">
        <v>1747</v>
      </c>
      <c r="E115" t="s">
        <v>1748</v>
      </c>
      <c r="F115">
        <v>388</v>
      </c>
      <c r="G115" t="s">
        <v>1749</v>
      </c>
      <c r="I115" s="1" t="s">
        <v>1750</v>
      </c>
      <c r="J115" s="1">
        <v>554</v>
      </c>
      <c r="K115" s="2" t="s">
        <v>1751</v>
      </c>
    </row>
    <row r="116" spans="1:11">
      <c r="A116" t="s">
        <v>1752</v>
      </c>
      <c r="B116" t="s">
        <v>1753</v>
      </c>
      <c r="C116" t="s">
        <v>1754</v>
      </c>
      <c r="D116" t="s">
        <v>1755</v>
      </c>
      <c r="E116" t="s">
        <v>1756</v>
      </c>
      <c r="F116">
        <v>392</v>
      </c>
      <c r="G116" t="s">
        <v>1757</v>
      </c>
      <c r="I116" s="1" t="s">
        <v>1758</v>
      </c>
      <c r="J116" s="1">
        <v>512</v>
      </c>
      <c r="K116" s="2" t="s">
        <v>1759</v>
      </c>
    </row>
    <row r="117" spans="1:11">
      <c r="A117" t="s">
        <v>1760</v>
      </c>
      <c r="B117" t="s">
        <v>1761</v>
      </c>
      <c r="C117" t="s">
        <v>1762</v>
      </c>
      <c r="D117" t="s">
        <v>1763</v>
      </c>
      <c r="E117" t="s">
        <v>1764</v>
      </c>
      <c r="F117">
        <v>0</v>
      </c>
      <c r="G117" t="s">
        <v>1765</v>
      </c>
      <c r="I117" s="1" t="s">
        <v>1766</v>
      </c>
      <c r="J117" s="1">
        <v>590</v>
      </c>
      <c r="K117" s="2" t="s">
        <v>1767</v>
      </c>
    </row>
    <row r="118" spans="1:11">
      <c r="A118" t="s">
        <v>1768</v>
      </c>
      <c r="B118" t="s">
        <v>1769</v>
      </c>
      <c r="C118" t="s">
        <v>1770</v>
      </c>
      <c r="D118" t="s">
        <v>1771</v>
      </c>
      <c r="E118" t="s">
        <v>1772</v>
      </c>
      <c r="F118">
        <v>400</v>
      </c>
      <c r="G118" t="s">
        <v>1773</v>
      </c>
      <c r="I118" s="1" t="s">
        <v>1774</v>
      </c>
      <c r="J118" s="1">
        <v>604</v>
      </c>
      <c r="K118" s="2" t="s">
        <v>1775</v>
      </c>
    </row>
    <row r="119" spans="1:11">
      <c r="A119" t="s">
        <v>1776</v>
      </c>
      <c r="B119" t="s">
        <v>1777</v>
      </c>
      <c r="C119" t="s">
        <v>1778</v>
      </c>
      <c r="D119" t="s">
        <v>1779</v>
      </c>
      <c r="E119" t="s">
        <v>1780</v>
      </c>
      <c r="F119">
        <v>398</v>
      </c>
      <c r="G119" t="s">
        <v>1781</v>
      </c>
      <c r="I119" s="1" t="s">
        <v>1782</v>
      </c>
      <c r="J119" s="1">
        <v>598</v>
      </c>
      <c r="K119" s="2" t="s">
        <v>1783</v>
      </c>
    </row>
    <row r="120" spans="1:11">
      <c r="A120" t="s">
        <v>1784</v>
      </c>
      <c r="B120" t="s">
        <v>1785</v>
      </c>
      <c r="C120" t="s">
        <v>1786</v>
      </c>
      <c r="D120" t="s">
        <v>1787</v>
      </c>
      <c r="E120" t="s">
        <v>1788</v>
      </c>
      <c r="F120">
        <v>404</v>
      </c>
      <c r="G120" t="s">
        <v>1789</v>
      </c>
      <c r="I120" s="1" t="s">
        <v>1790</v>
      </c>
      <c r="J120" s="1">
        <v>608</v>
      </c>
      <c r="K120" s="2" t="s">
        <v>1791</v>
      </c>
    </row>
    <row r="121" spans="1:11">
      <c r="A121" t="s">
        <v>1792</v>
      </c>
      <c r="B121" t="s">
        <v>1793</v>
      </c>
      <c r="C121" t="s">
        <v>1794</v>
      </c>
      <c r="D121" t="s">
        <v>1795</v>
      </c>
      <c r="I121" s="1" t="s">
        <v>1796</v>
      </c>
      <c r="J121" s="1">
        <v>586</v>
      </c>
      <c r="K121" s="2" t="s">
        <v>1797</v>
      </c>
    </row>
    <row r="122" spans="1:11">
      <c r="A122" t="s">
        <v>1798</v>
      </c>
      <c r="B122" t="s">
        <v>1799</v>
      </c>
      <c r="C122" t="s">
        <v>1800</v>
      </c>
      <c r="D122" t="s">
        <v>1801</v>
      </c>
      <c r="E122" t="s">
        <v>709</v>
      </c>
      <c r="F122">
        <v>978</v>
      </c>
      <c r="G122" t="s">
        <v>710</v>
      </c>
      <c r="I122" s="1" t="s">
        <v>1802</v>
      </c>
      <c r="J122" s="1">
        <v>985</v>
      </c>
      <c r="K122" s="2" t="s">
        <v>1803</v>
      </c>
    </row>
    <row r="123" spans="1:11">
      <c r="A123" t="s">
        <v>1804</v>
      </c>
      <c r="B123" t="s">
        <v>1805</v>
      </c>
      <c r="C123" t="s">
        <v>1806</v>
      </c>
      <c r="D123" t="s">
        <v>1807</v>
      </c>
      <c r="E123" t="s">
        <v>1808</v>
      </c>
      <c r="F123">
        <v>414</v>
      </c>
      <c r="G123" t="s">
        <v>1559</v>
      </c>
      <c r="I123" s="1" t="s">
        <v>1809</v>
      </c>
      <c r="J123" s="1">
        <v>600</v>
      </c>
      <c r="K123" s="2" t="s">
        <v>1810</v>
      </c>
    </row>
    <row r="124" spans="1:11">
      <c r="A124" t="s">
        <v>1811</v>
      </c>
      <c r="B124" t="s">
        <v>1812</v>
      </c>
      <c r="C124" t="s">
        <v>1813</v>
      </c>
      <c r="D124" t="s">
        <v>1814</v>
      </c>
      <c r="E124" t="s">
        <v>1815</v>
      </c>
      <c r="F124">
        <v>426</v>
      </c>
      <c r="G124" t="s">
        <v>1816</v>
      </c>
      <c r="I124" s="1" t="s">
        <v>1817</v>
      </c>
      <c r="J124" s="1">
        <v>634</v>
      </c>
      <c r="K124" s="2" t="s">
        <v>1818</v>
      </c>
    </row>
    <row r="125" spans="1:11">
      <c r="A125" t="s">
        <v>1819</v>
      </c>
      <c r="B125" t="s">
        <v>1820</v>
      </c>
      <c r="C125" t="s">
        <v>1821</v>
      </c>
      <c r="D125" t="s">
        <v>1822</v>
      </c>
      <c r="E125" t="s">
        <v>709</v>
      </c>
      <c r="F125">
        <v>978</v>
      </c>
      <c r="G125" t="s">
        <v>710</v>
      </c>
      <c r="I125" s="1" t="s">
        <v>1823</v>
      </c>
      <c r="J125" s="1">
        <v>946</v>
      </c>
      <c r="K125" s="2" t="s">
        <v>1824</v>
      </c>
    </row>
    <row r="126" spans="1:11">
      <c r="A126" t="s">
        <v>1825</v>
      </c>
      <c r="B126" t="s">
        <v>1826</v>
      </c>
      <c r="C126" t="s">
        <v>1827</v>
      </c>
      <c r="D126" t="s">
        <v>1828</v>
      </c>
      <c r="E126" t="s">
        <v>1829</v>
      </c>
      <c r="F126">
        <v>422</v>
      </c>
      <c r="G126" t="s">
        <v>1830</v>
      </c>
      <c r="I126" s="1" t="s">
        <v>1831</v>
      </c>
      <c r="J126" s="1">
        <v>941</v>
      </c>
      <c r="K126" s="2" t="s">
        <v>1832</v>
      </c>
    </row>
    <row r="127" spans="1:11">
      <c r="A127" t="s">
        <v>1833</v>
      </c>
      <c r="B127" t="s">
        <v>1834</v>
      </c>
      <c r="C127" t="s">
        <v>1835</v>
      </c>
      <c r="D127" t="s">
        <v>1836</v>
      </c>
      <c r="E127" t="s">
        <v>1837</v>
      </c>
      <c r="F127">
        <v>430</v>
      </c>
      <c r="G127" t="s">
        <v>1838</v>
      </c>
      <c r="I127" s="1" t="s">
        <v>1839</v>
      </c>
      <c r="J127" s="1">
        <v>643</v>
      </c>
      <c r="K127" s="2" t="s">
        <v>1840</v>
      </c>
    </row>
    <row r="128" spans="1:11">
      <c r="A128" t="s">
        <v>1841</v>
      </c>
      <c r="B128" t="s">
        <v>1842</v>
      </c>
      <c r="C128" t="s">
        <v>1843</v>
      </c>
      <c r="D128" t="s">
        <v>1844</v>
      </c>
      <c r="E128" t="s">
        <v>1845</v>
      </c>
      <c r="F128">
        <v>434</v>
      </c>
      <c r="G128" t="s">
        <v>1846</v>
      </c>
      <c r="I128" s="1" t="s">
        <v>1847</v>
      </c>
      <c r="J128" s="1">
        <v>646</v>
      </c>
      <c r="K128" s="2" t="s">
        <v>1848</v>
      </c>
    </row>
    <row r="129" spans="1:11">
      <c r="A129" t="s">
        <v>1849</v>
      </c>
      <c r="B129" t="s">
        <v>1850</v>
      </c>
      <c r="C129" t="s">
        <v>1851</v>
      </c>
      <c r="D129" t="s">
        <v>1852</v>
      </c>
      <c r="E129" t="s">
        <v>1853</v>
      </c>
      <c r="F129">
        <v>756</v>
      </c>
      <c r="G129" t="s">
        <v>1854</v>
      </c>
      <c r="I129" s="1" t="s">
        <v>1855</v>
      </c>
      <c r="J129" s="1">
        <v>682</v>
      </c>
      <c r="K129" s="2" t="s">
        <v>1856</v>
      </c>
    </row>
    <row r="130" spans="1:11">
      <c r="A130" t="s">
        <v>1857</v>
      </c>
      <c r="B130" t="s">
        <v>1858</v>
      </c>
      <c r="C130" t="s">
        <v>1859</v>
      </c>
      <c r="D130" t="s">
        <v>1860</v>
      </c>
      <c r="E130" t="s">
        <v>709</v>
      </c>
      <c r="F130">
        <v>978</v>
      </c>
      <c r="G130" t="s">
        <v>710</v>
      </c>
      <c r="I130" s="1" t="s">
        <v>1861</v>
      </c>
      <c r="J130" s="1">
        <v>90</v>
      </c>
      <c r="K130" s="2" t="s">
        <v>1862</v>
      </c>
    </row>
    <row r="131" spans="1:11">
      <c r="A131" t="s">
        <v>1863</v>
      </c>
      <c r="B131" t="s">
        <v>1864</v>
      </c>
      <c r="C131" t="s">
        <v>1865</v>
      </c>
      <c r="D131" t="s">
        <v>1866</v>
      </c>
      <c r="E131" t="s">
        <v>709</v>
      </c>
      <c r="F131">
        <v>978</v>
      </c>
      <c r="G131" t="s">
        <v>710</v>
      </c>
      <c r="I131" s="1" t="s">
        <v>1867</v>
      </c>
      <c r="J131" s="1">
        <v>690</v>
      </c>
      <c r="K131" s="2" t="s">
        <v>1868</v>
      </c>
    </row>
    <row r="132" spans="1:11">
      <c r="A132" t="s">
        <v>1869</v>
      </c>
      <c r="B132" t="s">
        <v>1870</v>
      </c>
      <c r="C132" t="s">
        <v>1871</v>
      </c>
      <c r="D132" t="s">
        <v>1872</v>
      </c>
      <c r="E132" t="s">
        <v>1873</v>
      </c>
      <c r="F132">
        <v>446</v>
      </c>
      <c r="G132" t="s">
        <v>1874</v>
      </c>
      <c r="I132" s="1" t="s">
        <v>1875</v>
      </c>
      <c r="J132" s="1">
        <v>938</v>
      </c>
      <c r="K132" s="2" t="s">
        <v>1876</v>
      </c>
    </row>
    <row r="133" spans="1:11">
      <c r="A133" t="s">
        <v>1877</v>
      </c>
      <c r="B133" t="s">
        <v>1878</v>
      </c>
      <c r="C133" t="s">
        <v>1879</v>
      </c>
      <c r="D133" t="s">
        <v>1880</v>
      </c>
      <c r="E133" t="s">
        <v>1879</v>
      </c>
      <c r="F133">
        <v>807</v>
      </c>
      <c r="G133" t="s">
        <v>1881</v>
      </c>
      <c r="I133" s="1" t="s">
        <v>1882</v>
      </c>
      <c r="J133" s="1">
        <v>752</v>
      </c>
      <c r="K133" s="2" t="s">
        <v>1883</v>
      </c>
    </row>
    <row r="134" spans="1:11">
      <c r="A134" t="s">
        <v>1884</v>
      </c>
      <c r="B134" t="s">
        <v>1885</v>
      </c>
      <c r="C134" t="s">
        <v>1886</v>
      </c>
      <c r="D134" t="s">
        <v>1887</v>
      </c>
      <c r="E134" t="s">
        <v>1888</v>
      </c>
      <c r="F134">
        <v>969</v>
      </c>
      <c r="G134" t="s">
        <v>1889</v>
      </c>
      <c r="I134" s="1" t="s">
        <v>1890</v>
      </c>
      <c r="J134" s="1">
        <v>702</v>
      </c>
      <c r="K134" s="2" t="s">
        <v>1891</v>
      </c>
    </row>
    <row r="135" spans="1:11">
      <c r="A135" t="s">
        <v>1892</v>
      </c>
      <c r="B135" t="s">
        <v>1893</v>
      </c>
      <c r="C135" t="s">
        <v>1894</v>
      </c>
      <c r="D135" t="s">
        <v>1895</v>
      </c>
      <c r="E135" t="s">
        <v>1896</v>
      </c>
      <c r="F135">
        <v>458</v>
      </c>
      <c r="G135" t="s">
        <v>1897</v>
      </c>
      <c r="I135" s="1" t="s">
        <v>1898</v>
      </c>
      <c r="J135" s="1">
        <v>654</v>
      </c>
      <c r="K135" s="2" t="s">
        <v>1899</v>
      </c>
    </row>
    <row r="136" spans="1:11">
      <c r="A136" t="s">
        <v>1900</v>
      </c>
      <c r="B136" t="s">
        <v>1901</v>
      </c>
      <c r="C136" t="s">
        <v>1902</v>
      </c>
      <c r="D136" t="s">
        <v>1903</v>
      </c>
      <c r="E136" t="s">
        <v>1904</v>
      </c>
      <c r="F136">
        <v>454</v>
      </c>
      <c r="G136" t="s">
        <v>1905</v>
      </c>
      <c r="I136" s="1" t="s">
        <v>1906</v>
      </c>
      <c r="J136" s="1">
        <v>694</v>
      </c>
      <c r="K136" s="2" t="s">
        <v>1907</v>
      </c>
    </row>
    <row r="137" spans="1:11">
      <c r="A137" t="s">
        <v>1908</v>
      </c>
      <c r="B137" t="s">
        <v>1909</v>
      </c>
      <c r="C137" t="s">
        <v>1910</v>
      </c>
      <c r="D137" t="s">
        <v>1911</v>
      </c>
      <c r="E137" t="s">
        <v>1912</v>
      </c>
      <c r="F137">
        <v>462</v>
      </c>
      <c r="G137" t="s">
        <v>1913</v>
      </c>
      <c r="I137" s="1" t="s">
        <v>1914</v>
      </c>
      <c r="J137" s="1">
        <v>706</v>
      </c>
      <c r="K137" s="2" t="s">
        <v>1915</v>
      </c>
    </row>
    <row r="138" spans="1:11">
      <c r="A138" t="s">
        <v>1916</v>
      </c>
      <c r="B138" t="s">
        <v>1917</v>
      </c>
      <c r="C138" t="s">
        <v>1918</v>
      </c>
      <c r="D138" t="s">
        <v>1919</v>
      </c>
      <c r="E138" t="s">
        <v>94</v>
      </c>
      <c r="F138">
        <v>952</v>
      </c>
      <c r="G138" t="s">
        <v>972</v>
      </c>
      <c r="I138" s="1" t="s">
        <v>1920</v>
      </c>
      <c r="J138" s="1">
        <v>968</v>
      </c>
      <c r="K138" s="2" t="s">
        <v>1921</v>
      </c>
    </row>
    <row r="139" spans="1:11">
      <c r="A139" t="s">
        <v>1922</v>
      </c>
      <c r="B139" t="s">
        <v>1923</v>
      </c>
      <c r="C139" t="s">
        <v>1924</v>
      </c>
      <c r="D139" t="s">
        <v>1925</v>
      </c>
      <c r="E139" t="s">
        <v>1926</v>
      </c>
      <c r="F139">
        <v>238</v>
      </c>
      <c r="G139" t="s">
        <v>1927</v>
      </c>
      <c r="I139" s="1" t="s">
        <v>1928</v>
      </c>
      <c r="J139" s="1">
        <v>728</v>
      </c>
      <c r="K139" s="2" t="s">
        <v>1929</v>
      </c>
    </row>
    <row r="140" spans="1:11">
      <c r="A140" t="s">
        <v>1930</v>
      </c>
      <c r="B140" t="s">
        <v>1931</v>
      </c>
      <c r="C140" t="s">
        <v>1932</v>
      </c>
      <c r="D140" t="s">
        <v>1933</v>
      </c>
      <c r="E140" t="s">
        <v>709</v>
      </c>
      <c r="F140">
        <v>978</v>
      </c>
      <c r="G140" t="s">
        <v>710</v>
      </c>
      <c r="I140" s="1" t="s">
        <v>1934</v>
      </c>
      <c r="J140" s="1">
        <v>678</v>
      </c>
      <c r="K140" s="2" t="s">
        <v>1935</v>
      </c>
    </row>
    <row r="141" spans="1:11">
      <c r="A141" t="s">
        <v>1936</v>
      </c>
      <c r="B141" t="s">
        <v>1937</v>
      </c>
      <c r="C141" t="s">
        <v>1938</v>
      </c>
      <c r="D141" t="s">
        <v>1939</v>
      </c>
      <c r="E141" t="s">
        <v>1940</v>
      </c>
      <c r="F141">
        <v>504</v>
      </c>
      <c r="G141" t="s">
        <v>1941</v>
      </c>
      <c r="I141" s="1" t="s">
        <v>1942</v>
      </c>
      <c r="J141" s="1">
        <v>760</v>
      </c>
      <c r="K141" s="2" t="s">
        <v>1943</v>
      </c>
    </row>
    <row r="142" spans="1:11">
      <c r="A142" t="s">
        <v>1944</v>
      </c>
      <c r="B142" t="s">
        <v>1945</v>
      </c>
      <c r="C142" t="s">
        <v>1946</v>
      </c>
      <c r="D142" t="s">
        <v>1947</v>
      </c>
      <c r="E142" t="s">
        <v>709</v>
      </c>
      <c r="F142">
        <v>978</v>
      </c>
      <c r="G142" t="s">
        <v>710</v>
      </c>
      <c r="I142" s="1" t="s">
        <v>1948</v>
      </c>
      <c r="J142" s="1">
        <v>748</v>
      </c>
      <c r="K142" s="2" t="s">
        <v>1949</v>
      </c>
    </row>
    <row r="143" spans="1:11">
      <c r="A143" t="s">
        <v>1950</v>
      </c>
      <c r="B143" t="s">
        <v>1951</v>
      </c>
      <c r="C143" t="s">
        <v>1952</v>
      </c>
      <c r="D143" t="s">
        <v>1953</v>
      </c>
      <c r="E143" t="s">
        <v>1954</v>
      </c>
      <c r="F143">
        <v>480</v>
      </c>
      <c r="G143" t="s">
        <v>1955</v>
      </c>
      <c r="I143" s="1" t="s">
        <v>1956</v>
      </c>
      <c r="J143" s="1">
        <v>764</v>
      </c>
      <c r="K143" s="2" t="s">
        <v>1957</v>
      </c>
    </row>
    <row r="144" spans="1:11">
      <c r="A144" t="s">
        <v>1958</v>
      </c>
      <c r="B144" t="s">
        <v>1959</v>
      </c>
      <c r="C144" t="s">
        <v>1960</v>
      </c>
      <c r="D144" t="s">
        <v>1961</v>
      </c>
      <c r="E144" t="s">
        <v>1962</v>
      </c>
      <c r="F144">
        <v>478</v>
      </c>
      <c r="G144" t="s">
        <v>1963</v>
      </c>
      <c r="I144" s="1" t="s">
        <v>1964</v>
      </c>
      <c r="J144" s="1">
        <v>972</v>
      </c>
      <c r="K144" s="2" t="s">
        <v>1965</v>
      </c>
    </row>
    <row r="145" spans="1:11">
      <c r="A145" t="s">
        <v>1966</v>
      </c>
      <c r="B145" t="s">
        <v>1967</v>
      </c>
      <c r="C145" t="s">
        <v>1968</v>
      </c>
      <c r="D145" t="s">
        <v>1969</v>
      </c>
      <c r="E145" t="s">
        <v>709</v>
      </c>
      <c r="F145">
        <v>978</v>
      </c>
      <c r="G145" t="s">
        <v>710</v>
      </c>
      <c r="I145" s="1" t="s">
        <v>1970</v>
      </c>
      <c r="J145" s="1">
        <v>934</v>
      </c>
      <c r="K145" s="2" t="s">
        <v>1971</v>
      </c>
    </row>
    <row r="146" spans="1:11">
      <c r="A146" t="s">
        <v>1972</v>
      </c>
      <c r="B146" t="s">
        <v>1973</v>
      </c>
      <c r="C146" t="s">
        <v>1974</v>
      </c>
      <c r="D146" t="s">
        <v>1975</v>
      </c>
      <c r="E146" t="s">
        <v>1976</v>
      </c>
      <c r="F146">
        <v>484</v>
      </c>
      <c r="G146" t="s">
        <v>1977</v>
      </c>
      <c r="I146" s="1" t="s">
        <v>1978</v>
      </c>
      <c r="J146" s="1">
        <v>788</v>
      </c>
      <c r="K146" s="2" t="s">
        <v>1979</v>
      </c>
    </row>
    <row r="147" spans="1:11">
      <c r="A147" t="s">
        <v>1980</v>
      </c>
      <c r="B147" t="s">
        <v>1981</v>
      </c>
      <c r="C147" t="s">
        <v>1982</v>
      </c>
      <c r="D147" t="s">
        <v>1983</v>
      </c>
      <c r="E147" t="s">
        <v>1304</v>
      </c>
      <c r="F147">
        <v>840</v>
      </c>
      <c r="G147" t="s">
        <v>1305</v>
      </c>
      <c r="I147" s="1" t="s">
        <v>1984</v>
      </c>
      <c r="J147" s="1">
        <v>776</v>
      </c>
      <c r="K147" s="2" t="s">
        <v>1985</v>
      </c>
    </row>
    <row r="148" spans="1:11">
      <c r="A148" t="s">
        <v>1986</v>
      </c>
      <c r="B148" t="s">
        <v>1987</v>
      </c>
      <c r="C148" t="s">
        <v>1988</v>
      </c>
      <c r="D148" t="s">
        <v>1989</v>
      </c>
      <c r="E148" t="s">
        <v>1990</v>
      </c>
      <c r="F148">
        <v>498</v>
      </c>
      <c r="G148" t="s">
        <v>1991</v>
      </c>
      <c r="I148" s="1" t="s">
        <v>1992</v>
      </c>
      <c r="J148" s="1">
        <v>949</v>
      </c>
      <c r="K148" s="2" t="s">
        <v>1993</v>
      </c>
    </row>
    <row r="149" spans="1:11">
      <c r="A149" t="s">
        <v>1994</v>
      </c>
      <c r="B149" t="s">
        <v>1995</v>
      </c>
      <c r="C149" t="s">
        <v>1996</v>
      </c>
      <c r="D149" t="s">
        <v>1997</v>
      </c>
      <c r="E149" t="s">
        <v>709</v>
      </c>
      <c r="F149">
        <v>978</v>
      </c>
      <c r="G149" t="s">
        <v>710</v>
      </c>
      <c r="I149" s="1" t="s">
        <v>1998</v>
      </c>
      <c r="J149" s="1">
        <v>780</v>
      </c>
      <c r="K149" s="2" t="s">
        <v>1999</v>
      </c>
    </row>
    <row r="150" spans="1:11">
      <c r="A150" t="s">
        <v>2000</v>
      </c>
      <c r="B150" t="s">
        <v>2001</v>
      </c>
      <c r="C150" t="s">
        <v>2002</v>
      </c>
      <c r="D150" t="s">
        <v>2003</v>
      </c>
      <c r="E150" t="s">
        <v>2004</v>
      </c>
      <c r="F150">
        <v>496</v>
      </c>
      <c r="G150" t="s">
        <v>2005</v>
      </c>
      <c r="I150" s="1" t="s">
        <v>2006</v>
      </c>
      <c r="J150" s="1">
        <v>0</v>
      </c>
      <c r="K150" s="2" t="s">
        <v>2007</v>
      </c>
    </row>
    <row r="151" spans="1:11">
      <c r="A151" t="s">
        <v>2008</v>
      </c>
      <c r="B151" t="s">
        <v>2009</v>
      </c>
      <c r="C151" t="s">
        <v>2010</v>
      </c>
      <c r="D151" t="s">
        <v>2011</v>
      </c>
      <c r="E151" t="s">
        <v>709</v>
      </c>
      <c r="F151">
        <v>978</v>
      </c>
      <c r="G151" t="s">
        <v>710</v>
      </c>
      <c r="I151" s="1" t="s">
        <v>2012</v>
      </c>
      <c r="J151" s="1">
        <v>901</v>
      </c>
      <c r="K151" s="2" t="s">
        <v>2013</v>
      </c>
    </row>
    <row r="152" spans="1:11">
      <c r="A152" t="s">
        <v>2014</v>
      </c>
      <c r="B152" t="s">
        <v>2015</v>
      </c>
      <c r="C152" t="s">
        <v>2016</v>
      </c>
      <c r="D152" t="s">
        <v>2017</v>
      </c>
      <c r="E152" t="s">
        <v>743</v>
      </c>
      <c r="F152">
        <v>951</v>
      </c>
      <c r="G152" t="s">
        <v>744</v>
      </c>
      <c r="I152" s="1" t="s">
        <v>2018</v>
      </c>
      <c r="J152" s="1">
        <v>834</v>
      </c>
      <c r="K152" s="2" t="s">
        <v>2019</v>
      </c>
    </row>
    <row r="153" spans="1:11">
      <c r="A153" t="s">
        <v>2020</v>
      </c>
      <c r="B153" t="s">
        <v>2021</v>
      </c>
      <c r="C153" t="s">
        <v>2022</v>
      </c>
      <c r="D153" t="s">
        <v>2023</v>
      </c>
      <c r="E153" t="s">
        <v>2024</v>
      </c>
      <c r="F153">
        <v>943</v>
      </c>
      <c r="G153" t="s">
        <v>2025</v>
      </c>
      <c r="I153" s="1" t="s">
        <v>2026</v>
      </c>
      <c r="J153" s="1">
        <v>980</v>
      </c>
      <c r="K153" s="2" t="s">
        <v>2027</v>
      </c>
    </row>
    <row r="154" spans="1:11">
      <c r="A154" t="s">
        <v>2028</v>
      </c>
      <c r="B154" t="s">
        <v>2029</v>
      </c>
      <c r="C154" t="s">
        <v>2030</v>
      </c>
      <c r="D154" t="s">
        <v>2031</v>
      </c>
      <c r="E154" t="s">
        <v>2032</v>
      </c>
      <c r="F154">
        <v>104</v>
      </c>
      <c r="G154" t="s">
        <v>2033</v>
      </c>
      <c r="I154" s="1" t="s">
        <v>2034</v>
      </c>
      <c r="J154" s="1">
        <v>800</v>
      </c>
      <c r="K154" s="2" t="s">
        <v>2035</v>
      </c>
    </row>
    <row r="155" spans="1:11">
      <c r="A155" t="s">
        <v>2036</v>
      </c>
      <c r="B155" t="s">
        <v>2037</v>
      </c>
      <c r="C155" t="s">
        <v>2038</v>
      </c>
      <c r="D155" t="s">
        <v>2039</v>
      </c>
      <c r="E155" t="s">
        <v>2040</v>
      </c>
      <c r="F155">
        <v>516</v>
      </c>
      <c r="G155" t="s">
        <v>2041</v>
      </c>
      <c r="I155" s="1" t="s">
        <v>2042</v>
      </c>
      <c r="J155" s="1">
        <v>840</v>
      </c>
      <c r="K155" s="2" t="s">
        <v>2043</v>
      </c>
    </row>
    <row r="156" spans="1:11">
      <c r="A156" t="s">
        <v>2044</v>
      </c>
      <c r="B156" t="s">
        <v>2045</v>
      </c>
      <c r="C156" t="s">
        <v>2046</v>
      </c>
      <c r="D156" t="s">
        <v>2047</v>
      </c>
      <c r="I156" s="1" t="s">
        <v>2042</v>
      </c>
      <c r="J156" s="1"/>
      <c r="K156" s="2"/>
    </row>
    <row r="157" spans="1:11">
      <c r="A157" t="s">
        <v>2048</v>
      </c>
      <c r="B157" t="s">
        <v>2049</v>
      </c>
      <c r="C157" t="s">
        <v>2050</v>
      </c>
      <c r="D157" t="s">
        <v>2051</v>
      </c>
      <c r="E157" t="s">
        <v>2052</v>
      </c>
      <c r="F157">
        <v>524</v>
      </c>
      <c r="G157" t="s">
        <v>2053</v>
      </c>
      <c r="I157" s="1" t="s">
        <v>2054</v>
      </c>
      <c r="J157" s="1">
        <v>858</v>
      </c>
      <c r="K157" s="2" t="s">
        <v>2055</v>
      </c>
    </row>
    <row r="158" spans="1:11">
      <c r="A158" t="s">
        <v>2056</v>
      </c>
      <c r="B158" t="s">
        <v>2057</v>
      </c>
      <c r="C158" t="s">
        <v>2058</v>
      </c>
      <c r="D158" t="s">
        <v>2059</v>
      </c>
      <c r="E158" t="s">
        <v>2060</v>
      </c>
      <c r="F158">
        <v>558</v>
      </c>
      <c r="G158" t="s">
        <v>2061</v>
      </c>
      <c r="I158" s="1" t="s">
        <v>2062</v>
      </c>
      <c r="J158" s="1">
        <v>860</v>
      </c>
      <c r="K158" s="2" t="s">
        <v>2063</v>
      </c>
    </row>
    <row r="159" spans="1:11">
      <c r="A159" t="s">
        <v>2064</v>
      </c>
      <c r="B159" t="s">
        <v>2065</v>
      </c>
      <c r="C159" t="s">
        <v>2066</v>
      </c>
      <c r="D159" t="s">
        <v>2067</v>
      </c>
      <c r="E159" t="s">
        <v>94</v>
      </c>
      <c r="F159">
        <v>952</v>
      </c>
      <c r="G159" t="s">
        <v>972</v>
      </c>
      <c r="I159" s="1" t="s">
        <v>2068</v>
      </c>
      <c r="J159" s="1">
        <v>937</v>
      </c>
      <c r="K159" s="2" t="s">
        <v>2069</v>
      </c>
    </row>
    <row r="160" spans="1:11">
      <c r="A160" t="s">
        <v>2070</v>
      </c>
      <c r="B160" t="s">
        <v>2071</v>
      </c>
      <c r="C160" t="s">
        <v>2072</v>
      </c>
      <c r="D160" t="s">
        <v>2073</v>
      </c>
      <c r="E160" t="s">
        <v>2074</v>
      </c>
      <c r="F160">
        <v>566</v>
      </c>
      <c r="G160" t="s">
        <v>2075</v>
      </c>
      <c r="I160" s="1" t="s">
        <v>2076</v>
      </c>
      <c r="J160" s="1">
        <v>704</v>
      </c>
      <c r="K160" s="2" t="s">
        <v>2077</v>
      </c>
    </row>
    <row r="161" spans="1:11">
      <c r="A161" t="s">
        <v>2078</v>
      </c>
      <c r="B161" t="s">
        <v>2079</v>
      </c>
      <c r="C161" t="s">
        <v>2080</v>
      </c>
      <c r="D161" t="s">
        <v>2081</v>
      </c>
      <c r="I161" s="1" t="s">
        <v>2082</v>
      </c>
      <c r="J161" s="1">
        <v>548</v>
      </c>
      <c r="K161" s="2" t="s">
        <v>2083</v>
      </c>
    </row>
    <row r="162" spans="1:11">
      <c r="A162" t="s">
        <v>2084</v>
      </c>
      <c r="B162" t="s">
        <v>2085</v>
      </c>
      <c r="C162" t="s">
        <v>2086</v>
      </c>
      <c r="D162" t="s">
        <v>2087</v>
      </c>
      <c r="E162" t="s">
        <v>2088</v>
      </c>
      <c r="F162">
        <v>578</v>
      </c>
      <c r="G162" t="s">
        <v>2089</v>
      </c>
      <c r="I162" s="1" t="s">
        <v>2090</v>
      </c>
      <c r="J162" s="1">
        <v>882</v>
      </c>
      <c r="K162" s="2" t="s">
        <v>2091</v>
      </c>
    </row>
    <row r="163" spans="1:11">
      <c r="A163" t="s">
        <v>2092</v>
      </c>
      <c r="B163" t="s">
        <v>2093</v>
      </c>
      <c r="C163" t="s">
        <v>2094</v>
      </c>
      <c r="D163" t="s">
        <v>2095</v>
      </c>
      <c r="I163" s="1" t="s">
        <v>2096</v>
      </c>
      <c r="J163" s="1">
        <v>950</v>
      </c>
      <c r="K163" s="2" t="s">
        <v>2097</v>
      </c>
    </row>
    <row r="164" spans="1:11">
      <c r="A164" t="s">
        <v>2098</v>
      </c>
      <c r="B164" t="s">
        <v>2099</v>
      </c>
      <c r="C164" t="s">
        <v>2100</v>
      </c>
      <c r="D164" t="s">
        <v>2101</v>
      </c>
      <c r="E164" t="s">
        <v>2102</v>
      </c>
      <c r="F164">
        <v>554</v>
      </c>
      <c r="G164" t="s">
        <v>2103</v>
      </c>
      <c r="I164" s="1" t="s">
        <v>2104</v>
      </c>
      <c r="J164" s="1">
        <v>951</v>
      </c>
      <c r="K164" s="2" t="s">
        <v>2105</v>
      </c>
    </row>
    <row r="165" spans="1:11">
      <c r="A165" t="s">
        <v>2106</v>
      </c>
      <c r="B165" t="s">
        <v>2107</v>
      </c>
      <c r="C165" t="s">
        <v>2108</v>
      </c>
      <c r="D165" t="s">
        <v>2109</v>
      </c>
      <c r="E165" t="s">
        <v>2110</v>
      </c>
      <c r="F165">
        <v>512</v>
      </c>
      <c r="G165" t="s">
        <v>2111</v>
      </c>
      <c r="I165" s="1" t="s">
        <v>2112</v>
      </c>
      <c r="J165" s="1">
        <v>952</v>
      </c>
      <c r="K165" s="2" t="s">
        <v>2113</v>
      </c>
    </row>
    <row r="166" spans="1:11">
      <c r="A166" t="s">
        <v>2114</v>
      </c>
      <c r="B166" t="s">
        <v>2115</v>
      </c>
      <c r="C166" t="s">
        <v>2116</v>
      </c>
      <c r="D166" t="s">
        <v>2117</v>
      </c>
      <c r="E166" t="s">
        <v>2118</v>
      </c>
      <c r="F166">
        <v>800</v>
      </c>
      <c r="G166" t="s">
        <v>2119</v>
      </c>
      <c r="I166" s="1" t="s">
        <v>2120</v>
      </c>
      <c r="J166" s="1">
        <v>886</v>
      </c>
      <c r="K166" s="2" t="s">
        <v>2121</v>
      </c>
    </row>
    <row r="167" spans="1:11">
      <c r="A167" t="s">
        <v>2122</v>
      </c>
      <c r="B167" t="s">
        <v>2123</v>
      </c>
      <c r="C167" t="s">
        <v>2124</v>
      </c>
      <c r="D167" t="s">
        <v>2125</v>
      </c>
      <c r="E167" t="s">
        <v>2126</v>
      </c>
      <c r="F167">
        <v>860</v>
      </c>
      <c r="G167" t="s">
        <v>2063</v>
      </c>
      <c r="I167" s="1" t="s">
        <v>2127</v>
      </c>
      <c r="J167" s="1">
        <v>710</v>
      </c>
      <c r="K167" s="2" t="s">
        <v>2128</v>
      </c>
    </row>
    <row r="168" spans="1:11">
      <c r="A168" t="s">
        <v>2129</v>
      </c>
      <c r="B168" t="s">
        <v>2130</v>
      </c>
      <c r="C168" t="s">
        <v>2131</v>
      </c>
      <c r="D168" t="s">
        <v>2132</v>
      </c>
      <c r="E168" t="s">
        <v>2133</v>
      </c>
      <c r="F168">
        <v>586</v>
      </c>
      <c r="G168" t="s">
        <v>2134</v>
      </c>
      <c r="I168" s="1" t="s">
        <v>2135</v>
      </c>
      <c r="J168" s="1">
        <v>967</v>
      </c>
      <c r="K168" s="2" t="s">
        <v>2136</v>
      </c>
    </row>
    <row r="169" spans="1:11">
      <c r="A169" t="s">
        <v>2137</v>
      </c>
      <c r="B169" t="s">
        <v>2138</v>
      </c>
      <c r="C169" t="s">
        <v>2139</v>
      </c>
      <c r="D169" t="s">
        <v>2140</v>
      </c>
      <c r="E169" t="s">
        <v>1304</v>
      </c>
      <c r="F169">
        <v>840</v>
      </c>
      <c r="G169" t="s">
        <v>1305</v>
      </c>
    </row>
    <row r="170" spans="1:11">
      <c r="A170" t="s">
        <v>2141</v>
      </c>
      <c r="B170" t="s">
        <v>2142</v>
      </c>
      <c r="C170" t="s">
        <v>2143</v>
      </c>
      <c r="D170" t="s">
        <v>2144</v>
      </c>
      <c r="E170" t="s">
        <v>2145</v>
      </c>
      <c r="F170">
        <v>590</v>
      </c>
      <c r="G170" t="s">
        <v>1767</v>
      </c>
    </row>
    <row r="171" spans="1:11">
      <c r="A171" t="s">
        <v>2146</v>
      </c>
      <c r="B171" t="s">
        <v>2147</v>
      </c>
      <c r="C171" t="s">
        <v>2148</v>
      </c>
      <c r="D171" t="s">
        <v>2149</v>
      </c>
      <c r="E171" t="s">
        <v>2150</v>
      </c>
      <c r="F171">
        <v>598</v>
      </c>
      <c r="G171" t="s">
        <v>1783</v>
      </c>
    </row>
    <row r="172" spans="1:11">
      <c r="A172" t="s">
        <v>2151</v>
      </c>
      <c r="B172" t="s">
        <v>2152</v>
      </c>
      <c r="C172" t="s">
        <v>2153</v>
      </c>
      <c r="D172" t="s">
        <v>2154</v>
      </c>
      <c r="E172" t="s">
        <v>2155</v>
      </c>
      <c r="F172">
        <v>600</v>
      </c>
      <c r="G172" t="s">
        <v>2156</v>
      </c>
    </row>
    <row r="173" spans="1:11">
      <c r="A173" t="s">
        <v>2157</v>
      </c>
      <c r="B173" t="s">
        <v>2158</v>
      </c>
      <c r="C173" t="s">
        <v>2159</v>
      </c>
      <c r="D173" t="s">
        <v>2160</v>
      </c>
      <c r="E173" t="s">
        <v>709</v>
      </c>
      <c r="F173">
        <v>978</v>
      </c>
      <c r="G173" t="s">
        <v>710</v>
      </c>
    </row>
    <row r="174" spans="1:11">
      <c r="A174" t="s">
        <v>2161</v>
      </c>
      <c r="B174" t="s">
        <v>2162</v>
      </c>
      <c r="C174" t="s">
        <v>2163</v>
      </c>
      <c r="D174" t="s">
        <v>2164</v>
      </c>
      <c r="E174" t="s">
        <v>2165</v>
      </c>
      <c r="F174">
        <v>604</v>
      </c>
      <c r="G174" t="s">
        <v>2166</v>
      </c>
    </row>
    <row r="175" spans="1:11">
      <c r="A175" t="s">
        <v>2167</v>
      </c>
      <c r="B175" t="s">
        <v>2168</v>
      </c>
      <c r="C175" t="s">
        <v>2169</v>
      </c>
      <c r="D175" t="s">
        <v>2170</v>
      </c>
      <c r="E175" t="s">
        <v>2171</v>
      </c>
      <c r="F175">
        <v>608</v>
      </c>
      <c r="G175" t="s">
        <v>2172</v>
      </c>
    </row>
    <row r="176" spans="1:11">
      <c r="A176" t="s">
        <v>2173</v>
      </c>
      <c r="B176" t="s">
        <v>2174</v>
      </c>
      <c r="C176" t="s">
        <v>2175</v>
      </c>
      <c r="D176" t="s">
        <v>2176</v>
      </c>
    </row>
    <row r="177" spans="1:7">
      <c r="A177" t="s">
        <v>2177</v>
      </c>
      <c r="B177" t="s">
        <v>2178</v>
      </c>
      <c r="C177" t="s">
        <v>2179</v>
      </c>
      <c r="D177" t="s">
        <v>2180</v>
      </c>
      <c r="E177" t="s">
        <v>2181</v>
      </c>
      <c r="F177">
        <v>985</v>
      </c>
      <c r="G177" t="s">
        <v>2182</v>
      </c>
    </row>
    <row r="178" spans="1:7">
      <c r="A178" t="s">
        <v>2183</v>
      </c>
      <c r="B178" t="s">
        <v>2184</v>
      </c>
      <c r="C178" t="s">
        <v>2185</v>
      </c>
      <c r="D178" t="s">
        <v>2186</v>
      </c>
      <c r="E178" t="s">
        <v>709</v>
      </c>
      <c r="F178">
        <v>978</v>
      </c>
      <c r="G178" t="s">
        <v>710</v>
      </c>
    </row>
    <row r="179" spans="1:7">
      <c r="A179" t="s">
        <v>2187</v>
      </c>
      <c r="B179" t="s">
        <v>2188</v>
      </c>
      <c r="C179" t="s">
        <v>2189</v>
      </c>
      <c r="D179" t="s">
        <v>2190</v>
      </c>
      <c r="E179" t="s">
        <v>1304</v>
      </c>
      <c r="F179">
        <v>840</v>
      </c>
      <c r="G179" t="s">
        <v>1305</v>
      </c>
    </row>
    <row r="180" spans="1:7">
      <c r="A180" t="s">
        <v>2191</v>
      </c>
      <c r="B180" t="s">
        <v>2192</v>
      </c>
      <c r="C180" t="s">
        <v>2193</v>
      </c>
      <c r="D180" t="s">
        <v>2194</v>
      </c>
      <c r="E180" t="s">
        <v>709</v>
      </c>
      <c r="F180">
        <v>978</v>
      </c>
      <c r="G180" t="s">
        <v>710</v>
      </c>
    </row>
    <row r="181" spans="1:7">
      <c r="A181" t="s">
        <v>2195</v>
      </c>
      <c r="B181" t="s">
        <v>2196</v>
      </c>
      <c r="C181" t="s">
        <v>2197</v>
      </c>
      <c r="D181" t="s">
        <v>2198</v>
      </c>
      <c r="E181" t="s">
        <v>2199</v>
      </c>
      <c r="F181">
        <v>634</v>
      </c>
      <c r="G181" t="s">
        <v>2200</v>
      </c>
    </row>
    <row r="182" spans="1:7">
      <c r="A182" s="3" t="s">
        <v>2201</v>
      </c>
      <c r="B182" s="3" t="s">
        <v>2202</v>
      </c>
      <c r="C182" s="3" t="s">
        <v>2203</v>
      </c>
      <c r="D182" s="3" t="s">
        <v>2204</v>
      </c>
      <c r="E182" s="3" t="s">
        <v>1098</v>
      </c>
      <c r="F182" s="3">
        <v>950</v>
      </c>
      <c r="G182" s="3" t="s">
        <v>1099</v>
      </c>
    </row>
    <row r="183" spans="1:7" ht="27.95">
      <c r="A183" s="3" t="s">
        <v>2205</v>
      </c>
      <c r="B183" s="3" t="s">
        <v>2206</v>
      </c>
      <c r="C183" s="3" t="s">
        <v>2207</v>
      </c>
      <c r="D183" s="3" t="s">
        <v>2208</v>
      </c>
      <c r="E183" s="3" t="s">
        <v>2209</v>
      </c>
      <c r="F183" s="3">
        <v>976</v>
      </c>
      <c r="G183" s="3" t="s">
        <v>2210</v>
      </c>
    </row>
    <row r="184" spans="1:7">
      <c r="A184" t="s">
        <v>2211</v>
      </c>
      <c r="B184" t="s">
        <v>2212</v>
      </c>
      <c r="C184" t="s">
        <v>2213</v>
      </c>
      <c r="D184" t="s">
        <v>2214</v>
      </c>
      <c r="E184" t="s">
        <v>2215</v>
      </c>
      <c r="F184">
        <v>214</v>
      </c>
      <c r="G184" t="s">
        <v>2216</v>
      </c>
    </row>
    <row r="185" spans="1:7">
      <c r="A185" t="s">
        <v>2217</v>
      </c>
      <c r="B185" t="s">
        <v>2218</v>
      </c>
      <c r="C185" t="s">
        <v>2219</v>
      </c>
      <c r="D185" t="s">
        <v>2220</v>
      </c>
      <c r="E185" t="s">
        <v>1098</v>
      </c>
      <c r="F185">
        <v>950</v>
      </c>
      <c r="G185" t="s">
        <v>1099</v>
      </c>
    </row>
    <row r="186" spans="1:7">
      <c r="A186" t="s">
        <v>2221</v>
      </c>
      <c r="B186" t="s">
        <v>2222</v>
      </c>
      <c r="C186" t="s">
        <v>2223</v>
      </c>
      <c r="D186" t="s">
        <v>2224</v>
      </c>
      <c r="E186" t="s">
        <v>2225</v>
      </c>
      <c r="F186">
        <v>417</v>
      </c>
      <c r="G186" t="s">
        <v>2226</v>
      </c>
    </row>
    <row r="187" spans="1:7">
      <c r="A187" s="3" t="s">
        <v>2227</v>
      </c>
      <c r="B187" s="3" t="s">
        <v>2228</v>
      </c>
      <c r="C187" s="3" t="s">
        <v>2229</v>
      </c>
      <c r="D187" s="3" t="s">
        <v>2230</v>
      </c>
      <c r="E187" s="3" t="s">
        <v>2231</v>
      </c>
      <c r="F187" s="3">
        <v>203</v>
      </c>
      <c r="G187" s="3" t="s">
        <v>2232</v>
      </c>
    </row>
    <row r="188" spans="1:7">
      <c r="A188" t="s">
        <v>2233</v>
      </c>
      <c r="B188" t="s">
        <v>2234</v>
      </c>
      <c r="C188" t="s">
        <v>2235</v>
      </c>
      <c r="D188" t="s">
        <v>2236</v>
      </c>
      <c r="E188" t="s">
        <v>709</v>
      </c>
      <c r="F188">
        <v>978</v>
      </c>
      <c r="G188" t="s">
        <v>710</v>
      </c>
    </row>
    <row r="189" spans="1:7">
      <c r="A189" t="s">
        <v>2237</v>
      </c>
      <c r="B189" t="s">
        <v>2238</v>
      </c>
      <c r="C189" t="s">
        <v>2239</v>
      </c>
      <c r="D189" t="s">
        <v>2240</v>
      </c>
      <c r="E189" t="s">
        <v>2241</v>
      </c>
      <c r="F189">
        <v>946</v>
      </c>
      <c r="G189" t="s">
        <v>2242</v>
      </c>
    </row>
    <row r="190" spans="1:7">
      <c r="A190" t="s">
        <v>2243</v>
      </c>
      <c r="B190" t="s">
        <v>2244</v>
      </c>
      <c r="C190" t="s">
        <v>2245</v>
      </c>
      <c r="D190" t="s">
        <v>2246</v>
      </c>
      <c r="E190" t="s">
        <v>2247</v>
      </c>
      <c r="F190">
        <v>826</v>
      </c>
      <c r="G190" t="s">
        <v>2248</v>
      </c>
    </row>
    <row r="191" spans="1:7">
      <c r="A191" t="s">
        <v>2249</v>
      </c>
      <c r="B191" t="s">
        <v>2250</v>
      </c>
      <c r="C191" t="s">
        <v>2251</v>
      </c>
      <c r="D191" t="s">
        <v>2252</v>
      </c>
      <c r="E191" t="s">
        <v>2253</v>
      </c>
      <c r="F191">
        <v>418</v>
      </c>
      <c r="G191" t="s">
        <v>2254</v>
      </c>
    </row>
    <row r="192" spans="1:7">
      <c r="A192" t="s">
        <v>2255</v>
      </c>
      <c r="B192" t="s">
        <v>2256</v>
      </c>
      <c r="C192" t="s">
        <v>2257</v>
      </c>
      <c r="D192" t="s">
        <v>2258</v>
      </c>
      <c r="E192" t="s">
        <v>2259</v>
      </c>
      <c r="F192">
        <v>646</v>
      </c>
      <c r="G192" t="s">
        <v>2260</v>
      </c>
    </row>
    <row r="193" spans="1:7">
      <c r="A193" t="s">
        <v>2261</v>
      </c>
      <c r="B193" t="s">
        <v>2262</v>
      </c>
      <c r="C193" t="s">
        <v>2263</v>
      </c>
      <c r="D193" t="s">
        <v>2264</v>
      </c>
    </row>
    <row r="194" spans="1:7">
      <c r="A194" t="s">
        <v>2265</v>
      </c>
      <c r="B194" t="s">
        <v>2266</v>
      </c>
      <c r="C194" t="s">
        <v>2267</v>
      </c>
      <c r="D194" t="s">
        <v>2268</v>
      </c>
      <c r="E194" t="s">
        <v>2269</v>
      </c>
      <c r="F194">
        <v>654</v>
      </c>
      <c r="G194" t="s">
        <v>2270</v>
      </c>
    </row>
    <row r="195" spans="1:7">
      <c r="A195" t="s">
        <v>2271</v>
      </c>
      <c r="B195" t="s">
        <v>2272</v>
      </c>
      <c r="C195" t="s">
        <v>2273</v>
      </c>
      <c r="D195" t="s">
        <v>2274</v>
      </c>
      <c r="E195" t="s">
        <v>743</v>
      </c>
      <c r="F195">
        <v>951</v>
      </c>
      <c r="G195" t="s">
        <v>744</v>
      </c>
    </row>
    <row r="196" spans="1:7">
      <c r="A196" t="s">
        <v>2275</v>
      </c>
      <c r="B196" t="s">
        <v>2276</v>
      </c>
      <c r="C196" t="s">
        <v>2277</v>
      </c>
      <c r="D196" t="s">
        <v>2278</v>
      </c>
      <c r="E196" t="s">
        <v>709</v>
      </c>
      <c r="F196">
        <v>978</v>
      </c>
      <c r="G196" t="s">
        <v>710</v>
      </c>
    </row>
    <row r="197" spans="1:7">
      <c r="A197" t="s">
        <v>2279</v>
      </c>
      <c r="B197" t="s">
        <v>2280</v>
      </c>
      <c r="C197" t="s">
        <v>2281</v>
      </c>
      <c r="D197" t="s">
        <v>2282</v>
      </c>
      <c r="E197" t="s">
        <v>709</v>
      </c>
      <c r="F197">
        <v>978</v>
      </c>
      <c r="G197" t="s">
        <v>710</v>
      </c>
    </row>
    <row r="198" spans="1:7">
      <c r="A198" t="s">
        <v>2283</v>
      </c>
      <c r="B198" t="s">
        <v>2284</v>
      </c>
      <c r="C198" t="s">
        <v>2285</v>
      </c>
      <c r="D198" t="s">
        <v>2286</v>
      </c>
      <c r="E198" t="s">
        <v>743</v>
      </c>
      <c r="F198">
        <v>951</v>
      </c>
      <c r="G198" t="s">
        <v>744</v>
      </c>
    </row>
    <row r="199" spans="1:7">
      <c r="A199" t="s">
        <v>2287</v>
      </c>
      <c r="B199" t="s">
        <v>2288</v>
      </c>
      <c r="C199" t="s">
        <v>2289</v>
      </c>
      <c r="D199" t="s">
        <v>2290</v>
      </c>
      <c r="E199" t="s">
        <v>709</v>
      </c>
      <c r="F199">
        <v>978</v>
      </c>
      <c r="G199" t="s">
        <v>710</v>
      </c>
    </row>
    <row r="200" spans="1:7">
      <c r="A200" t="s">
        <v>2291</v>
      </c>
      <c r="B200" t="s">
        <v>2292</v>
      </c>
      <c r="C200" t="s">
        <v>2293</v>
      </c>
      <c r="D200" t="s">
        <v>2294</v>
      </c>
      <c r="E200" t="s">
        <v>743</v>
      </c>
      <c r="F200">
        <v>951</v>
      </c>
      <c r="G200" t="s">
        <v>744</v>
      </c>
    </row>
    <row r="201" spans="1:7">
      <c r="A201" t="s">
        <v>2295</v>
      </c>
      <c r="B201" t="s">
        <v>2296</v>
      </c>
      <c r="C201" t="s">
        <v>2297</v>
      </c>
      <c r="D201" t="s">
        <v>2298</v>
      </c>
      <c r="E201" t="s">
        <v>709</v>
      </c>
      <c r="F201">
        <v>978</v>
      </c>
      <c r="G201" t="s">
        <v>710</v>
      </c>
    </row>
    <row r="202" spans="1:7">
      <c r="A202" t="s">
        <v>2299</v>
      </c>
      <c r="B202" t="s">
        <v>2300</v>
      </c>
      <c r="C202" t="s">
        <v>2301</v>
      </c>
      <c r="D202" t="s">
        <v>2302</v>
      </c>
      <c r="E202" t="s">
        <v>1304</v>
      </c>
      <c r="F202">
        <v>840</v>
      </c>
      <c r="G202" t="s">
        <v>1305</v>
      </c>
    </row>
    <row r="203" spans="1:7">
      <c r="A203" t="s">
        <v>2303</v>
      </c>
      <c r="B203" t="s">
        <v>2304</v>
      </c>
      <c r="C203" t="s">
        <v>2305</v>
      </c>
      <c r="D203" t="s">
        <v>2306</v>
      </c>
      <c r="E203" t="s">
        <v>2307</v>
      </c>
      <c r="F203">
        <v>882</v>
      </c>
      <c r="G203" t="s">
        <v>2308</v>
      </c>
    </row>
    <row r="204" spans="1:7">
      <c r="A204" s="3" t="s">
        <v>2309</v>
      </c>
      <c r="B204" s="3" t="s">
        <v>2310</v>
      </c>
      <c r="C204" s="3" t="s">
        <v>2311</v>
      </c>
      <c r="D204" s="3" t="s">
        <v>2312</v>
      </c>
      <c r="E204" s="3" t="s">
        <v>1304</v>
      </c>
      <c r="F204" s="3">
        <v>840</v>
      </c>
      <c r="G204" s="3" t="s">
        <v>1305</v>
      </c>
    </row>
    <row r="205" spans="1:7">
      <c r="A205" t="s">
        <v>2313</v>
      </c>
      <c r="B205" t="s">
        <v>2314</v>
      </c>
      <c r="C205" t="s">
        <v>2315</v>
      </c>
      <c r="D205" t="s">
        <v>2316</v>
      </c>
      <c r="E205" t="s">
        <v>2317</v>
      </c>
      <c r="F205">
        <v>678</v>
      </c>
      <c r="G205" t="s">
        <v>2318</v>
      </c>
    </row>
    <row r="206" spans="1:7">
      <c r="A206" t="s">
        <v>57</v>
      </c>
      <c r="B206" t="s">
        <v>2319</v>
      </c>
      <c r="C206" t="s">
        <v>2320</v>
      </c>
      <c r="D206" t="s">
        <v>2321</v>
      </c>
      <c r="E206" t="s">
        <v>94</v>
      </c>
      <c r="F206">
        <v>952</v>
      </c>
      <c r="G206" t="s">
        <v>972</v>
      </c>
    </row>
    <row r="207" spans="1:7">
      <c r="A207" t="s">
        <v>2322</v>
      </c>
      <c r="B207" t="s">
        <v>2323</v>
      </c>
      <c r="C207" t="s">
        <v>2324</v>
      </c>
      <c r="D207" t="s">
        <v>2325</v>
      </c>
      <c r="E207" t="s">
        <v>2326</v>
      </c>
      <c r="F207">
        <v>941</v>
      </c>
      <c r="G207" t="s">
        <v>2327</v>
      </c>
    </row>
    <row r="208" spans="1:7">
      <c r="A208" t="s">
        <v>2328</v>
      </c>
      <c r="B208" t="s">
        <v>2329</v>
      </c>
      <c r="C208" t="s">
        <v>2330</v>
      </c>
      <c r="D208" t="s">
        <v>2331</v>
      </c>
      <c r="E208" t="s">
        <v>2332</v>
      </c>
      <c r="F208">
        <v>690</v>
      </c>
      <c r="G208" t="s">
        <v>2333</v>
      </c>
    </row>
    <row r="209" spans="1:7">
      <c r="A209" t="s">
        <v>2334</v>
      </c>
      <c r="B209" t="s">
        <v>2335</v>
      </c>
      <c r="C209" t="s">
        <v>2336</v>
      </c>
      <c r="D209" t="s">
        <v>2337</v>
      </c>
      <c r="E209" t="s">
        <v>2338</v>
      </c>
      <c r="F209">
        <v>694</v>
      </c>
      <c r="G209" t="s">
        <v>2339</v>
      </c>
    </row>
    <row r="210" spans="1:7">
      <c r="A210" t="s">
        <v>2340</v>
      </c>
      <c r="B210" t="s">
        <v>2341</v>
      </c>
      <c r="C210" t="s">
        <v>2342</v>
      </c>
      <c r="D210" t="s">
        <v>2343</v>
      </c>
      <c r="E210" t="s">
        <v>2344</v>
      </c>
      <c r="F210">
        <v>702</v>
      </c>
      <c r="G210" t="s">
        <v>2345</v>
      </c>
    </row>
    <row r="211" spans="1:7">
      <c r="A211" t="s">
        <v>2346</v>
      </c>
      <c r="B211" t="s">
        <v>2347</v>
      </c>
      <c r="C211" t="s">
        <v>2348</v>
      </c>
      <c r="D211" t="s">
        <v>2349</v>
      </c>
      <c r="E211" t="s">
        <v>709</v>
      </c>
      <c r="F211">
        <v>978</v>
      </c>
      <c r="G211" t="s">
        <v>710</v>
      </c>
    </row>
    <row r="212" spans="1:7">
      <c r="A212" t="s">
        <v>2350</v>
      </c>
      <c r="B212" t="s">
        <v>2351</v>
      </c>
      <c r="C212" t="s">
        <v>2352</v>
      </c>
      <c r="D212" t="s">
        <v>2353</v>
      </c>
      <c r="E212" t="s">
        <v>709</v>
      </c>
      <c r="F212">
        <v>978</v>
      </c>
      <c r="G212" t="s">
        <v>710</v>
      </c>
    </row>
    <row r="213" spans="1:7">
      <c r="A213" t="s">
        <v>2354</v>
      </c>
      <c r="B213" t="s">
        <v>2355</v>
      </c>
      <c r="C213" t="s">
        <v>2356</v>
      </c>
      <c r="D213" t="s">
        <v>2357</v>
      </c>
      <c r="E213" t="s">
        <v>2358</v>
      </c>
      <c r="F213">
        <v>706</v>
      </c>
      <c r="G213" t="s">
        <v>1915</v>
      </c>
    </row>
    <row r="214" spans="1:7">
      <c r="A214" t="s">
        <v>2359</v>
      </c>
      <c r="B214" t="s">
        <v>2360</v>
      </c>
      <c r="C214" t="s">
        <v>2361</v>
      </c>
      <c r="D214" t="s">
        <v>2362</v>
      </c>
      <c r="E214" t="s">
        <v>2363</v>
      </c>
      <c r="F214">
        <v>938</v>
      </c>
      <c r="G214" t="s">
        <v>2364</v>
      </c>
    </row>
    <row r="215" spans="1:7">
      <c r="A215" t="s">
        <v>2365</v>
      </c>
      <c r="B215" t="s">
        <v>2366</v>
      </c>
      <c r="C215" t="s">
        <v>2367</v>
      </c>
      <c r="D215" t="s">
        <v>2368</v>
      </c>
      <c r="E215" t="s">
        <v>2369</v>
      </c>
      <c r="F215">
        <v>728</v>
      </c>
      <c r="G215" t="s">
        <v>2370</v>
      </c>
    </row>
    <row r="216" spans="1:7">
      <c r="A216" t="s">
        <v>2371</v>
      </c>
      <c r="B216" t="s">
        <v>2372</v>
      </c>
      <c r="C216" t="s">
        <v>2373</v>
      </c>
      <c r="D216" t="s">
        <v>2374</v>
      </c>
      <c r="E216" t="s">
        <v>2375</v>
      </c>
      <c r="F216">
        <v>144</v>
      </c>
      <c r="G216" t="s">
        <v>2376</v>
      </c>
    </row>
    <row r="217" spans="1:7">
      <c r="A217" t="s">
        <v>2377</v>
      </c>
      <c r="B217" t="s">
        <v>2378</v>
      </c>
      <c r="C217" t="s">
        <v>2379</v>
      </c>
      <c r="D217" t="s">
        <v>2380</v>
      </c>
      <c r="E217" t="s">
        <v>2381</v>
      </c>
      <c r="F217">
        <v>752</v>
      </c>
      <c r="G217" t="s">
        <v>2382</v>
      </c>
    </row>
    <row r="218" spans="1:7">
      <c r="A218" t="s">
        <v>2383</v>
      </c>
      <c r="B218" t="s">
        <v>2384</v>
      </c>
      <c r="C218" t="s">
        <v>2385</v>
      </c>
      <c r="D218" t="s">
        <v>2386</v>
      </c>
      <c r="E218" t="s">
        <v>1853</v>
      </c>
      <c r="F218">
        <v>756</v>
      </c>
      <c r="G218" t="s">
        <v>1854</v>
      </c>
    </row>
    <row r="219" spans="1:7">
      <c r="A219" t="s">
        <v>2387</v>
      </c>
      <c r="B219" t="s">
        <v>2388</v>
      </c>
      <c r="C219" t="s">
        <v>2389</v>
      </c>
      <c r="D219" t="s">
        <v>2390</v>
      </c>
      <c r="E219" t="s">
        <v>2391</v>
      </c>
      <c r="F219">
        <v>968</v>
      </c>
      <c r="G219" t="s">
        <v>2392</v>
      </c>
    </row>
    <row r="220" spans="1:7">
      <c r="A220" t="s">
        <v>2393</v>
      </c>
      <c r="B220" t="s">
        <v>2394</v>
      </c>
      <c r="C220" t="s">
        <v>2395</v>
      </c>
      <c r="D220" t="s">
        <v>2396</v>
      </c>
      <c r="E220" t="s">
        <v>2397</v>
      </c>
      <c r="F220">
        <v>760</v>
      </c>
      <c r="G220" t="s">
        <v>2398</v>
      </c>
    </row>
    <row r="221" spans="1:7">
      <c r="A221" t="s">
        <v>1965</v>
      </c>
      <c r="B221" t="s">
        <v>2399</v>
      </c>
      <c r="C221" t="s">
        <v>2400</v>
      </c>
      <c r="D221" t="s">
        <v>2401</v>
      </c>
      <c r="E221" t="s">
        <v>2402</v>
      </c>
      <c r="F221">
        <v>972</v>
      </c>
      <c r="G221" t="s">
        <v>2403</v>
      </c>
    </row>
    <row r="222" spans="1:7">
      <c r="A222" t="s">
        <v>2404</v>
      </c>
      <c r="B222" t="s">
        <v>2405</v>
      </c>
      <c r="C222" t="s">
        <v>2406</v>
      </c>
      <c r="D222" t="s">
        <v>2407</v>
      </c>
      <c r="E222" t="s">
        <v>2408</v>
      </c>
      <c r="F222">
        <v>901</v>
      </c>
      <c r="G222" t="s">
        <v>2409</v>
      </c>
    </row>
    <row r="223" spans="1:7">
      <c r="A223" t="s">
        <v>2410</v>
      </c>
      <c r="B223" t="s">
        <v>2411</v>
      </c>
      <c r="C223" t="s">
        <v>2412</v>
      </c>
      <c r="D223" t="s">
        <v>2413</v>
      </c>
      <c r="E223" t="s">
        <v>2414</v>
      </c>
      <c r="F223">
        <v>834</v>
      </c>
      <c r="G223" t="s">
        <v>2415</v>
      </c>
    </row>
    <row r="224" spans="1:7">
      <c r="A224" s="3" t="s">
        <v>2416</v>
      </c>
      <c r="B224" s="3" t="s">
        <v>2417</v>
      </c>
      <c r="C224" s="3" t="s">
        <v>2418</v>
      </c>
      <c r="D224" s="3" t="s">
        <v>2419</v>
      </c>
      <c r="E224" s="3" t="s">
        <v>1098</v>
      </c>
      <c r="F224" s="3">
        <v>950</v>
      </c>
      <c r="G224" s="3" t="s">
        <v>1099</v>
      </c>
    </row>
    <row r="225" spans="1:7" ht="27.95">
      <c r="A225" s="3" t="s">
        <v>2420</v>
      </c>
      <c r="B225" s="3" t="s">
        <v>2421</v>
      </c>
      <c r="C225" s="3" t="s">
        <v>2422</v>
      </c>
      <c r="D225" s="3" t="s">
        <v>2423</v>
      </c>
      <c r="E225" s="3" t="s">
        <v>1304</v>
      </c>
      <c r="F225" s="3">
        <v>840</v>
      </c>
      <c r="G225" s="3" t="s">
        <v>1305</v>
      </c>
    </row>
    <row r="226" spans="1:7">
      <c r="A226" t="s">
        <v>2424</v>
      </c>
      <c r="B226" t="s">
        <v>2425</v>
      </c>
      <c r="C226" t="s">
        <v>2426</v>
      </c>
      <c r="D226" t="s">
        <v>2427</v>
      </c>
    </row>
    <row r="227" spans="1:7">
      <c r="A227" t="s">
        <v>2428</v>
      </c>
      <c r="B227" t="s">
        <v>2429</v>
      </c>
      <c r="C227" t="s">
        <v>2430</v>
      </c>
      <c r="D227" t="s">
        <v>2431</v>
      </c>
      <c r="E227" t="s">
        <v>709</v>
      </c>
      <c r="F227">
        <v>978</v>
      </c>
      <c r="G227" t="s">
        <v>710</v>
      </c>
    </row>
    <row r="228" spans="1:7">
      <c r="A228" t="s">
        <v>2432</v>
      </c>
      <c r="B228" t="s">
        <v>2433</v>
      </c>
      <c r="C228" t="s">
        <v>2434</v>
      </c>
      <c r="D228" t="s">
        <v>2435</v>
      </c>
      <c r="E228" t="s">
        <v>2436</v>
      </c>
      <c r="F228">
        <v>764</v>
      </c>
      <c r="G228" t="s">
        <v>2437</v>
      </c>
    </row>
    <row r="229" spans="1:7">
      <c r="A229" t="s">
        <v>2438</v>
      </c>
      <c r="B229" t="s">
        <v>2439</v>
      </c>
      <c r="C229" t="s">
        <v>2440</v>
      </c>
      <c r="D229" t="s">
        <v>2441</v>
      </c>
      <c r="E229" t="s">
        <v>1304</v>
      </c>
      <c r="F229">
        <v>840</v>
      </c>
      <c r="G229" t="s">
        <v>1305</v>
      </c>
    </row>
    <row r="230" spans="1:7">
      <c r="A230" t="s">
        <v>2442</v>
      </c>
      <c r="B230" t="s">
        <v>2443</v>
      </c>
      <c r="C230" t="s">
        <v>2444</v>
      </c>
      <c r="D230" t="s">
        <v>2445</v>
      </c>
      <c r="E230" t="s">
        <v>94</v>
      </c>
      <c r="F230">
        <v>952</v>
      </c>
      <c r="G230" t="s">
        <v>972</v>
      </c>
    </row>
    <row r="231" spans="1:7">
      <c r="A231" t="s">
        <v>2446</v>
      </c>
      <c r="B231" t="s">
        <v>2447</v>
      </c>
      <c r="C231" t="s">
        <v>2448</v>
      </c>
      <c r="D231" t="s">
        <v>2449</v>
      </c>
    </row>
    <row r="232" spans="1:7">
      <c r="A232" t="s">
        <v>2450</v>
      </c>
      <c r="B232" t="s">
        <v>2451</v>
      </c>
      <c r="C232" t="s">
        <v>2452</v>
      </c>
      <c r="D232" t="s">
        <v>2453</v>
      </c>
      <c r="E232" t="s">
        <v>2454</v>
      </c>
      <c r="F232">
        <v>776</v>
      </c>
      <c r="G232" t="s">
        <v>2455</v>
      </c>
    </row>
    <row r="233" spans="1:7">
      <c r="A233" t="s">
        <v>2456</v>
      </c>
      <c r="B233" t="s">
        <v>2457</v>
      </c>
      <c r="C233" t="s">
        <v>2458</v>
      </c>
      <c r="D233" t="s">
        <v>2459</v>
      </c>
      <c r="E233" t="s">
        <v>2460</v>
      </c>
      <c r="F233">
        <v>780</v>
      </c>
      <c r="G233" t="s">
        <v>2461</v>
      </c>
    </row>
    <row r="234" spans="1:7">
      <c r="A234" t="s">
        <v>2462</v>
      </c>
      <c r="B234" t="s">
        <v>2463</v>
      </c>
      <c r="C234" t="s">
        <v>2464</v>
      </c>
      <c r="D234" t="s">
        <v>2465</v>
      </c>
      <c r="E234" t="s">
        <v>2466</v>
      </c>
      <c r="F234">
        <v>788</v>
      </c>
      <c r="G234" t="s">
        <v>2467</v>
      </c>
    </row>
    <row r="235" spans="1:7">
      <c r="A235" t="s">
        <v>2468</v>
      </c>
      <c r="B235" t="s">
        <v>2469</v>
      </c>
      <c r="C235" t="s">
        <v>2470</v>
      </c>
      <c r="D235" t="s">
        <v>2471</v>
      </c>
      <c r="E235" t="s">
        <v>2472</v>
      </c>
      <c r="F235">
        <v>934</v>
      </c>
      <c r="G235" t="s">
        <v>2473</v>
      </c>
    </row>
    <row r="236" spans="1:7">
      <c r="A236" t="s">
        <v>2474</v>
      </c>
      <c r="B236" t="s">
        <v>2475</v>
      </c>
      <c r="C236" t="s">
        <v>2476</v>
      </c>
      <c r="D236" t="s">
        <v>2477</v>
      </c>
      <c r="E236" t="s">
        <v>2478</v>
      </c>
      <c r="F236">
        <v>949</v>
      </c>
      <c r="G236" t="s">
        <v>2479</v>
      </c>
    </row>
    <row r="237" spans="1:7">
      <c r="A237" t="s">
        <v>2480</v>
      </c>
      <c r="B237" t="s">
        <v>2481</v>
      </c>
      <c r="C237" t="s">
        <v>2482</v>
      </c>
      <c r="D237" t="s">
        <v>2483</v>
      </c>
      <c r="E237" t="s">
        <v>2484</v>
      </c>
      <c r="F237">
        <v>0</v>
      </c>
      <c r="G237" t="s">
        <v>2485</v>
      </c>
    </row>
    <row r="238" spans="1:7">
      <c r="A238" t="s">
        <v>2486</v>
      </c>
      <c r="B238" t="s">
        <v>2487</v>
      </c>
      <c r="C238" t="s">
        <v>2488</v>
      </c>
      <c r="D238" t="s">
        <v>2489</v>
      </c>
      <c r="E238" t="s">
        <v>2490</v>
      </c>
      <c r="F238">
        <v>980</v>
      </c>
      <c r="G238" t="s">
        <v>2491</v>
      </c>
    </row>
    <row r="239" spans="1:7">
      <c r="A239" t="s">
        <v>2492</v>
      </c>
      <c r="B239" t="s">
        <v>2493</v>
      </c>
      <c r="C239" t="s">
        <v>2494</v>
      </c>
      <c r="D239" t="s">
        <v>2495</v>
      </c>
      <c r="E239" t="s">
        <v>2496</v>
      </c>
      <c r="F239">
        <v>858</v>
      </c>
      <c r="G239" t="s">
        <v>2497</v>
      </c>
    </row>
    <row r="240" spans="1:7">
      <c r="A240" t="s">
        <v>2498</v>
      </c>
      <c r="B240" t="s">
        <v>2499</v>
      </c>
      <c r="C240" t="s">
        <v>2500</v>
      </c>
      <c r="D240" t="s">
        <v>2501</v>
      </c>
      <c r="E240" t="s">
        <v>2502</v>
      </c>
      <c r="F240">
        <v>548</v>
      </c>
      <c r="G240" t="s">
        <v>2503</v>
      </c>
    </row>
    <row r="241" spans="1:7">
      <c r="A241" t="s">
        <v>2504</v>
      </c>
      <c r="B241" t="s">
        <v>2505</v>
      </c>
      <c r="C241" t="s">
        <v>2506</v>
      </c>
      <c r="D241" t="s">
        <v>2507</v>
      </c>
      <c r="E241" t="s">
        <v>709</v>
      </c>
      <c r="F241">
        <v>978</v>
      </c>
      <c r="G241" t="s">
        <v>710</v>
      </c>
    </row>
    <row r="242" spans="1:7">
      <c r="A242" t="s">
        <v>2508</v>
      </c>
      <c r="B242" t="s">
        <v>2509</v>
      </c>
      <c r="C242" t="s">
        <v>2510</v>
      </c>
      <c r="D242" t="s">
        <v>2511</v>
      </c>
      <c r="E242" t="s">
        <v>2512</v>
      </c>
      <c r="F242">
        <v>937</v>
      </c>
      <c r="G242" t="s">
        <v>2069</v>
      </c>
    </row>
    <row r="243" spans="1:7">
      <c r="A243" t="s">
        <v>2513</v>
      </c>
      <c r="B243" t="s">
        <v>2514</v>
      </c>
      <c r="C243" t="s">
        <v>2515</v>
      </c>
      <c r="D243" t="s">
        <v>2516</v>
      </c>
      <c r="E243" t="s">
        <v>2517</v>
      </c>
      <c r="F243">
        <v>704</v>
      </c>
      <c r="G243" t="s">
        <v>2518</v>
      </c>
    </row>
    <row r="244" spans="1:7">
      <c r="A244" t="s">
        <v>2519</v>
      </c>
      <c r="B244" t="s">
        <v>2520</v>
      </c>
      <c r="C244" t="s">
        <v>2521</v>
      </c>
      <c r="D244" t="s">
        <v>2522</v>
      </c>
      <c r="E244" t="s">
        <v>2523</v>
      </c>
      <c r="F244">
        <v>886</v>
      </c>
      <c r="G244" t="s">
        <v>2524</v>
      </c>
    </row>
    <row r="245" spans="1:7">
      <c r="A245" t="s">
        <v>2525</v>
      </c>
      <c r="B245" t="s">
        <v>2526</v>
      </c>
      <c r="C245" t="s">
        <v>2527</v>
      </c>
      <c r="D245" t="s">
        <v>2528</v>
      </c>
      <c r="E245" t="s">
        <v>2529</v>
      </c>
      <c r="F245">
        <v>967</v>
      </c>
      <c r="G245" t="s">
        <v>2530</v>
      </c>
    </row>
    <row r="246" spans="1:7">
      <c r="A246" t="s">
        <v>2531</v>
      </c>
      <c r="B246" t="s">
        <v>2532</v>
      </c>
      <c r="C246" t="s">
        <v>2533</v>
      </c>
      <c r="D246" t="s">
        <v>2534</v>
      </c>
      <c r="E246" t="s">
        <v>1304</v>
      </c>
      <c r="F246">
        <v>840</v>
      </c>
      <c r="G246" t="s">
        <v>1305</v>
      </c>
    </row>
  </sheetData>
  <sheetProtection algorithmName="SHA-512" hashValue="zoQ512WdFpDc/dHg9PJlNwkbX+Vf1RZpAkVVmLsEeWmct8oM5he5gSIAUNNuNx5oTa1uTWpzGAjJKLuu1MLSMw==" saltValue="erYomEKjEpjEt0chKr03nQ==" spinCount="100000" sheet="1" objects="1" scenarios="1"/>
  <sortState xmlns:xlrd2="http://schemas.microsoft.com/office/spreadsheetml/2017/richdata2" ref="H10:J156">
    <sortCondition ref="H10:H156"/>
  </sortState>
  <pageMargins left="0.7" right="0.7" top="0.75" bottom="0.75" header="0.3" footer="0.3"/>
  <pageSetup paperSize="9" orientation="portrait" r:id="rId1"/>
  <drawing r:id="rId2"/>
  <tableParts count="9">
    <tablePart r:id="rId3"/>
    <tablePart r:id="rId4"/>
    <tablePart r:id="rId5"/>
    <tablePart r:id="rId6"/>
    <tablePart r:id="rId7"/>
    <tablePart r:id="rId8"/>
    <tablePart r:id="rId9"/>
    <tablePart r:id="rId10"/>
    <tablePart r:id="rId1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c958bcd-fe3d-4310-8463-0016d19558cc">
      <Terms xmlns="http://schemas.microsoft.com/office/infopath/2007/PartnerControls"/>
    </lcf76f155ced4ddcb4097134ff3c332f>
    <TaxCatchAll xmlns="36538d5f-f7e1-46e7-b8e6-8d0f62ce97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F08D2786879A84C98C986A1D2FE2AC0" ma:contentTypeVersion="18" ma:contentTypeDescription="Create a new document." ma:contentTypeScope="" ma:versionID="23cef727ba65d2ecc24e2a1fbd298925">
  <xsd:schema xmlns:xsd="http://www.w3.org/2001/XMLSchema" xmlns:xs="http://www.w3.org/2001/XMLSchema" xmlns:p="http://schemas.microsoft.com/office/2006/metadata/properties" xmlns:ns2="0c958bcd-fe3d-4310-8463-0016d19558cc" xmlns:ns3="36538d5f-f7e1-46e7-b8e6-8d0f62ce9765" targetNamespace="http://schemas.microsoft.com/office/2006/metadata/properties" ma:root="true" ma:fieldsID="2978534243de8d7d19195d005391593c" ns2:_="" ns3:_="">
    <xsd:import namespace="0c958bcd-fe3d-4310-8463-0016d19558cc"/>
    <xsd:import namespace="36538d5f-f7e1-46e7-b8e6-8d0f62ce97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958bcd-fe3d-4310-8463-0016d19558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b58f297-623d-4bc9-82bf-53ab639f8509"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538d5f-f7e1-46e7-b8e6-8d0f62ce976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e301e53-ab4a-4184-9aa6-99509ffdd4e5}" ma:internalName="TaxCatchAll" ma:showField="CatchAllData" ma:web="36538d5f-f7e1-46e7-b8e6-8d0f62ce97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2EB73A9A-A04F-41FF-96F9-A7BAA5B16ED1}"/>
</file>

<file path=customXml/itemProps2.xml><?xml version="1.0" encoding="utf-8"?>
<ds:datastoreItem xmlns:ds="http://schemas.openxmlformats.org/officeDocument/2006/customXml" ds:itemID="{FB8AB5B8-5BB9-491B-BDB0-F6603DE6208B}"/>
</file>

<file path=customXml/itemProps3.xml><?xml version="1.0" encoding="utf-8"?>
<ds:datastoreItem xmlns:ds="http://schemas.openxmlformats.org/officeDocument/2006/customXml" ds:itemID="{D54F90D9-6E1E-43EA-AB01-9921EA13ECBF}"/>
</file>

<file path=customXml/itemProps4.xml><?xml version="1.0" encoding="utf-8"?>
<ds:datastoreItem xmlns:ds="http://schemas.openxmlformats.org/officeDocument/2006/customXml" ds:itemID="{7BDA85FB-57D5-4A9F-A904-DAE49170983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EITI International Secretariat</dc:creator>
  <cp:keywords/>
  <dc:description/>
  <cp:lastModifiedBy>Skye Zheng</cp:lastModifiedBy>
  <cp:revision/>
  <dcterms:created xsi:type="dcterms:W3CDTF">2018-04-20T09:16:43Z</dcterms:created>
  <dcterms:modified xsi:type="dcterms:W3CDTF">2024-12-18T10:43:09Z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0x010100AF08D2786879A84C98C986A1D2FE2AC0</vt:lpwstr>
  </property>
  <property fmtid="{D5CDD505-2E9C-101B-9397-08002B2CF9AE}" pid="3" name="MediaServiceImageTags">
    <vt:lpwstr/>
  </property>
</Properties>
</file>